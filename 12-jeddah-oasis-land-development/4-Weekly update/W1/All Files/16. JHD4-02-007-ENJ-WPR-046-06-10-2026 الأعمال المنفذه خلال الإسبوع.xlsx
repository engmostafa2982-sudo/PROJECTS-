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odon -Oasis-Jeddha\JDH4-02-007-Contractual\Weekly Report\JHD4-02-007-ENJ-WPR-046-06-10-2026\"/>
    </mc:Choice>
  </mc:AlternateContent>
  <xr:revisionPtr revIDLastSave="0" documentId="13_ncr:1_{DE4C520E-A91B-4499-8238-4719A0B96BA4}" xr6:coauthVersionLast="47" xr6:coauthVersionMax="47" xr10:uidLastSave="{00000000-0000-0000-0000-000000000000}"/>
  <bookViews>
    <workbookView xWindow="22932" yWindow="-1584" windowWidth="23256" windowHeight="13896" xr2:uid="{412A90CB-0A05-440D-B062-0BD6D50BCB9D}"/>
  </bookViews>
  <sheets>
    <sheet name="الأعماال المنفذه خلال الاسبوع" sheetId="1" r:id="rId1"/>
  </sheets>
  <definedNames>
    <definedName name="_xlnm._FilterDatabase" localSheetId="0" hidden="1">'الأعماال المنفذه خلال الاسبوع'!$B$1:$X$5</definedName>
    <definedName name="_xlnm.Print_Area" localSheetId="0">'الأعماال المنفذه خلال الاسبوع'!$B$1:$Y$5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alcChain>
</file>

<file path=xl/sharedStrings.xml><?xml version="1.0" encoding="utf-8"?>
<sst xmlns="http://schemas.openxmlformats.org/spreadsheetml/2006/main" count="36" uniqueCount="32">
  <si>
    <t>#</t>
  </si>
  <si>
    <t>القطاع</t>
  </si>
  <si>
    <t>Project ID</t>
  </si>
  <si>
    <t>اسم المشروع</t>
  </si>
  <si>
    <t>مدير المشروع</t>
  </si>
  <si>
    <t>المقاول</t>
  </si>
  <si>
    <t xml:space="preserve">بداية المشروع </t>
  </si>
  <si>
    <t>نهاية المشروع التعاقدية</t>
  </si>
  <si>
    <t>نهاية المشروع
 المتوقعة/ الالتزام</t>
  </si>
  <si>
    <t>قيمة المشروع</t>
  </si>
  <si>
    <t>Planned (%)
AS PER BASELINE
حتى الاسبوع الحالي</t>
  </si>
  <si>
    <t>Planned (%)
AS PER Crashed Plan
حتى الاسبوع الحالي</t>
  </si>
  <si>
    <t>Actual (%)
حتى الاسبوع السابق</t>
  </si>
  <si>
    <t>Actual (%)
حتى الاسبوع الحالي</t>
  </si>
  <si>
    <t>Actual (%)
خلال الاسبوع</t>
  </si>
  <si>
    <t>الأعمال التي تمت خلال هذا الاسبوع</t>
  </si>
  <si>
    <t>أسباب التأخير
في حالة وجود تأخير</t>
  </si>
  <si>
    <t>تحديات المشروع</t>
  </si>
  <si>
    <t>استشاري المشروع</t>
  </si>
  <si>
    <t>رقم استشاري المشروع</t>
  </si>
  <si>
    <t>Email</t>
  </si>
  <si>
    <t>مهندس تخطيط المشروع</t>
  </si>
  <si>
    <t>رقم مهندس تخطيط المشروع</t>
  </si>
  <si>
    <t>القطاع الأوسط</t>
  </si>
  <si>
    <t>باسم الطيب</t>
  </si>
  <si>
    <t>0542536776</t>
  </si>
  <si>
    <t>Bassem.Altayeb@jasarapmc.com</t>
  </si>
  <si>
    <t>JHD4-02-007</t>
  </si>
  <si>
    <t>تطوير أراضي واحة جدة</t>
  </si>
  <si>
    <t>شركة الانجاز للتجارة والمقاولات</t>
  </si>
  <si>
    <t>عبد الله الشنيفي</t>
  </si>
  <si>
    <t xml:space="preserve">  Road Marking Work at R4R, R4L, R5L, R7N &amp; R8Road Marking Work at R4R, R4L, R5L, R7N &amp; R8
 CCTV Work at Lift Station
 Diesl Pump Work at Lift Station   
 Rockfilling Work for Plots 4 &amp; 6
Sign Board Installation at R7S &amp; R5L
 ABC Work at Tent Road 
Earth work at Tent 
 Kerbstone work at R1  
      MV Cable Laying at RS &amp; Out Zone 
   SL Work at R3 &amp; R7S 
  Handhole Installation at Lift Station
 Duct Work at Lift Station
  TL Work at R7S 
  Pump Installation Work at Lift Station
Relocation of Lightning Pole at R7S 
  Checker Plate Installation at Lift Station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</si>
</sst>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18">
    <font>
      <sz val="11"/>
      <color theme="1"/>
      <name val="Aptos Narrow"/>
      <family val="2"/>
      <scheme val="minor"/>
    </font>
    <font>
      <sz val="11"/>
      <color theme="1"/>
      <name val="Aptos Narrow"/>
      <family val="2"/>
      <scheme val="minor"/>
    </font>
    <font>
      <b/>
      <sz val="15"/>
      <color theme="3"/>
      <name val="Aptos Narrow"/>
      <family val="2"/>
      <scheme val="minor"/>
    </font>
    <font>
      <u/>
      <sz val="11"/>
      <color theme="10"/>
      <name val="Aptos Narrow"/>
      <family val="2"/>
      <scheme val="minor"/>
    </font>
    <font>
      <sz val="36"/>
      <color theme="1"/>
      <name val="Aptos Narrow"/>
      <family val="2"/>
      <scheme val="minor"/>
    </font>
    <font>
      <b/>
      <sz val="36"/>
      <color theme="1"/>
      <name val="TheSansArab Light"/>
      <family val="2"/>
    </font>
    <font>
      <b/>
      <sz val="36"/>
      <color theme="3" tint="0.499984740745262"/>
      <name val="TheSansArab Light"/>
      <family val="2"/>
    </font>
    <font>
      <b/>
      <sz val="20"/>
      <color theme="0"/>
      <name val="Aptos Narrow"/>
      <family val="2"/>
      <scheme val="minor"/>
    </font>
    <font>
      <sz val="20"/>
      <color theme="1"/>
      <name val="Aptos Narrow"/>
      <family val="2"/>
      <scheme val="minor"/>
    </font>
    <font>
      <b/>
      <sz val="28"/>
      <color theme="1"/>
      <name val="TheSansArab Light"/>
      <family val="2"/>
    </font>
    <font>
      <b/>
      <sz val="36"/>
      <color theme="1"/>
      <name val="Aptos Narrow"/>
      <family val="2"/>
      <scheme val="minor"/>
    </font>
    <font>
      <b/>
      <sz val="20"/>
      <color theme="1"/>
      <name val="Aptos Narrow"/>
      <family val="2"/>
      <scheme val="minor"/>
    </font>
    <font>
      <b/>
      <sz val="28"/>
      <color theme="8" tint="0.39997558519241921"/>
      <name val="Aptos Narrow"/>
      <family val="2"/>
      <scheme val="minor"/>
    </font>
    <font>
      <b/>
      <sz val="28"/>
      <color theme="1"/>
      <name val="Aptos Narrow"/>
      <family val="2"/>
      <scheme val="minor"/>
    </font>
    <font>
      <b/>
      <sz val="28"/>
      <color theme="7" tint="0.39997558519241921"/>
      <name val="Aptos Narrow"/>
      <family val="2"/>
      <scheme val="minor"/>
    </font>
    <font>
      <b/>
      <sz val="20"/>
      <color rgb="FFFF0000"/>
      <name val="Aptos Narrow"/>
      <family val="2"/>
      <scheme val="minor"/>
    </font>
    <font>
      <sz val="11"/>
      <color theme="3" tint="0.499984740745262"/>
      <name val="Aptos Narrow"/>
      <family val="2"/>
      <scheme val="minor"/>
    </font>
    <font>
      <b/>
      <sz val="22"/>
      <color theme="1"/>
      <name val="Aptos Narrow"/>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99CCFF"/>
        <bgColor indexed="64"/>
      </patternFill>
    </fill>
    <fill>
      <patternFill patternType="solid">
        <fgColor rgb="FFFFFF00"/>
        <bgColor indexed="64"/>
      </patternFill>
    </fill>
  </fills>
  <borders count="4">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cellStyleXfs>
  <cellXfs count="44">
    <xf numFmtId="0" fontId="0" fillId="0" borderId="0" xfId="0"/>
    <xf numFmtId="0" fontId="4" fillId="0" borderId="0" xfId="0" applyFont="1"/>
    <xf numFmtId="0" fontId="5" fillId="2" borderId="2" xfId="3" applyFont="1" applyFill="1" applyBorder="1" applyAlignment="1">
      <alignment horizontal="center" vertical="center" wrapText="1"/>
    </xf>
    <xf numFmtId="10" fontId="6" fillId="2" borderId="2" xfId="2" applyNumberFormat="1" applyFont="1" applyFill="1" applyBorder="1" applyAlignment="1">
      <alignment horizontal="center" vertical="center" wrapText="1"/>
    </xf>
    <xf numFmtId="0" fontId="6" fillId="2" borderId="3" xfId="3" applyFont="1" applyFill="1" applyBorder="1" applyAlignment="1">
      <alignment horizontal="center" vertical="center" wrapText="1" readingOrder="2"/>
    </xf>
    <xf numFmtId="4" fontId="7" fillId="3" borderId="3" xfId="0" applyNumberFormat="1" applyFont="1" applyFill="1" applyBorder="1" applyAlignment="1">
      <alignment horizontal="center" vertical="center" wrapText="1" readingOrder="2"/>
    </xf>
    <xf numFmtId="0" fontId="8" fillId="0" borderId="0" xfId="0" applyFont="1"/>
    <xf numFmtId="0" fontId="1" fillId="0" borderId="0" xfId="0" applyFont="1"/>
    <xf numFmtId="0" fontId="9" fillId="2" borderId="3"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14" fontId="11" fillId="4" borderId="3" xfId="0" applyNumberFormat="1" applyFont="1" applyFill="1" applyBorder="1" applyAlignment="1">
      <alignment horizontal="center" vertical="center" wrapText="1"/>
    </xf>
    <xf numFmtId="14" fontId="10" fillId="4" borderId="3" xfId="0" applyNumberFormat="1" applyFont="1" applyFill="1" applyBorder="1" applyAlignment="1">
      <alignment horizontal="center" vertical="center" wrapText="1"/>
    </xf>
    <xf numFmtId="43" fontId="10" fillId="4" borderId="3" xfId="1" applyFont="1" applyFill="1" applyBorder="1" applyAlignment="1">
      <alignment horizontal="center" vertical="center" wrapText="1"/>
    </xf>
    <xf numFmtId="10" fontId="10" fillId="4" borderId="3" xfId="2" applyNumberFormat="1" applyFont="1" applyFill="1" applyBorder="1" applyAlignment="1">
      <alignment horizontal="center" vertical="center" wrapText="1"/>
    </xf>
    <xf numFmtId="0" fontId="12" fillId="0" borderId="3" xfId="0" applyFont="1" applyBorder="1" applyAlignment="1">
      <alignment horizontal="right" vertical="center" wrapText="1" readingOrder="2"/>
    </xf>
    <xf numFmtId="0" fontId="11" fillId="0" borderId="3" xfId="0" applyFont="1" applyBorder="1" applyAlignment="1">
      <alignment horizontal="right" vertical="center" wrapText="1" readingOrder="2"/>
    </xf>
    <xf numFmtId="49" fontId="11" fillId="5" borderId="3" xfId="0" applyNumberFormat="1" applyFont="1" applyFill="1" applyBorder="1" applyAlignment="1">
      <alignment horizontal="center" vertical="center" wrapText="1"/>
    </xf>
    <xf numFmtId="49" fontId="11" fillId="6" borderId="3" xfId="0" applyNumberFormat="1" applyFont="1" applyFill="1" applyBorder="1" applyAlignment="1">
      <alignment horizontal="center" vertical="center" wrapText="1"/>
    </xf>
    <xf numFmtId="49" fontId="3" fillId="6" borderId="3" xfId="4" applyNumberFormat="1" applyFill="1" applyBorder="1" applyAlignment="1">
      <alignment horizontal="center" vertical="center" wrapText="1"/>
    </xf>
    <xf numFmtId="0" fontId="10" fillId="7" borderId="3" xfId="0" applyFont="1" applyFill="1" applyBorder="1" applyAlignment="1">
      <alignment horizontal="center" vertical="center"/>
    </xf>
    <xf numFmtId="0" fontId="10" fillId="7"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14" fontId="11" fillId="7" borderId="3" xfId="0" applyNumberFormat="1" applyFont="1" applyFill="1" applyBorder="1" applyAlignment="1">
      <alignment horizontal="center" vertical="center" wrapText="1"/>
    </xf>
    <xf numFmtId="14" fontId="10" fillId="7" borderId="3" xfId="0" applyNumberFormat="1" applyFont="1" applyFill="1" applyBorder="1" applyAlignment="1">
      <alignment horizontal="center" vertical="center" wrapText="1"/>
    </xf>
    <xf numFmtId="43" fontId="10" fillId="7" borderId="3" xfId="1" applyFont="1" applyFill="1" applyBorder="1" applyAlignment="1">
      <alignment horizontal="center" vertical="center" wrapText="1"/>
    </xf>
    <xf numFmtId="10" fontId="10" fillId="7" borderId="3" xfId="2" applyNumberFormat="1" applyFont="1" applyFill="1" applyBorder="1" applyAlignment="1">
      <alignment horizontal="center" vertical="center" wrapText="1"/>
    </xf>
    <xf numFmtId="0" fontId="13" fillId="0" borderId="3" xfId="0" applyFont="1" applyBorder="1" applyAlignment="1">
      <alignment horizontal="right" vertical="center" wrapText="1" readingOrder="2"/>
    </xf>
    <xf numFmtId="49" fontId="11" fillId="0" borderId="3" xfId="0" applyNumberFormat="1" applyFont="1" applyBorder="1" applyAlignment="1">
      <alignment horizontal="center" vertical="center" wrapText="1"/>
    </xf>
    <xf numFmtId="49" fontId="3" fillId="0" borderId="3" xfId="4" applyNumberFormat="1" applyBorder="1" applyAlignment="1">
      <alignment horizontal="center" vertical="center" wrapText="1"/>
    </xf>
    <xf numFmtId="0" fontId="14" fillId="0" borderId="3" xfId="0" applyFont="1" applyBorder="1" applyAlignment="1">
      <alignment horizontal="right" vertical="center" wrapText="1" readingOrder="2"/>
    </xf>
    <xf numFmtId="49" fontId="15" fillId="8" borderId="3" xfId="0" applyNumberFormat="1" applyFont="1" applyFill="1" applyBorder="1" applyAlignment="1">
      <alignment horizontal="center" vertical="center" wrapText="1"/>
    </xf>
    <xf numFmtId="49" fontId="15" fillId="9" borderId="3" xfId="0" applyNumberFormat="1" applyFont="1" applyFill="1" applyBorder="1" applyAlignment="1">
      <alignment horizontal="center" vertical="center" wrapText="1"/>
    </xf>
    <xf numFmtId="49" fontId="3" fillId="9" borderId="3" xfId="4" applyNumberFormat="1" applyFill="1" applyBorder="1" applyAlignment="1">
      <alignment horizontal="center" vertical="center" wrapText="1"/>
    </xf>
    <xf numFmtId="49" fontId="11" fillId="9" borderId="3" xfId="0" applyNumberFormat="1" applyFont="1" applyFill="1" applyBorder="1" applyAlignment="1">
      <alignment horizontal="center"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xf>
    <xf numFmtId="10" fontId="16" fillId="0" borderId="0" xfId="2" applyNumberFormat="1" applyFont="1" applyAlignment="1">
      <alignment horizontal="center" vertical="center"/>
    </xf>
    <xf numFmtId="0" fontId="1" fillId="0" borderId="0" xfId="0" applyFont="1" applyAlignment="1">
      <alignment horizontal="right" vertical="center" readingOrder="2"/>
    </xf>
    <xf numFmtId="0" fontId="1" fillId="0" borderId="0" xfId="0" applyFont="1" applyAlignment="1">
      <alignment horizontal="center" vertical="center" readingOrder="2"/>
    </xf>
    <xf numFmtId="0" fontId="0" fillId="0" borderId="0" xfId="0" applyAlignment="1">
      <alignment horizontal="right" vertical="center" readingOrder="2"/>
    </xf>
    <xf numFmtId="0" fontId="10" fillId="0" borderId="3" xfId="0" applyFont="1" applyBorder="1" applyAlignment="1">
      <alignment horizontal="right" vertical="center" wrapText="1" readingOrder="2"/>
    </xf>
    <xf numFmtId="0" fontId="17" fillId="0" borderId="3" xfId="0" applyFont="1" applyBorder="1" applyAlignment="1">
      <alignment horizontal="right" vertical="center" wrapText="1" readingOrder="2"/>
    </xf>
  </cellXfs>
  <cellStyles count="5">
    <cellStyle name="Comma" xfId="1" builtinId="3"/>
    <cellStyle name="Heading 1" xfId="3" builtinId="16"/>
    <cellStyle name="Hyperlink" xfId="4" builtinId="8"/>
    <cellStyle name="Normal" xfId="0" builtinId="0"/>
    <cellStyle name="Percent" xfId="2"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DCA09739-13EA-4D4D-A041-D920445AB91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zshabat@modon.gov.sa" TargetMode="External"/><Relationship Id="rId2" Type="http://schemas.openxmlformats.org/officeDocument/2006/relationships/hyperlink" Target="mailto:Bassem.Altayeb@jasarapmc.com" TargetMode="External"/><Relationship Id="rId1" Type="http://schemas.openxmlformats.org/officeDocument/2006/relationships/hyperlink" Target="mailto:Ahmed.Farag@jasarapmc.com" TargetMode="External"/><Relationship Id="rId5" Type="http://schemas.openxmlformats.org/officeDocument/2006/relationships/printerSettings" Target="../printerSettings/printerSettings1.bin"/><Relationship Id="rId4" Type="http://schemas.openxmlformats.org/officeDocument/2006/relationships/hyperlink" Target="mailto:zshabat@modon.gov.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F10C-666F-4D0B-9C52-B76E9114E76D}">
  <dimension ref="A1:Y43"/>
  <sheetViews>
    <sheetView rightToLeft="1" tabSelected="1" view="pageBreakPreview" topLeftCell="L1" zoomScale="40" zoomScaleNormal="100" zoomScaleSheetLayoutView="40" workbookViewId="0">
      <selection activeCell="Q2" sqref="Q2"/>
    </sheetView>
  </sheetViews>
  <sheetFormatPr defaultColWidth="9" defaultRowHeight="15"/>
  <cols>
    <col min="1" max="1" width="2.85546875" style="7" customWidth="1"/>
    <col min="2" max="2" width="14" style="36" customWidth="1"/>
    <col min="3" max="3" width="36.28515625" style="36" hidden="1" customWidth="1"/>
    <col min="4" max="4" width="40.140625" style="36" bestFit="1" customWidth="1"/>
    <col min="5" max="5" width="86.28515625" style="36" customWidth="1"/>
    <col min="6" max="6" width="36" style="36" hidden="1" customWidth="1"/>
    <col min="7" max="7" width="53.7109375" style="36" hidden="1" customWidth="1"/>
    <col min="8" max="8" width="48" style="36" hidden="1" customWidth="1"/>
    <col min="9" max="9" width="53.85546875" style="36" hidden="1" customWidth="1"/>
    <col min="10" max="10" width="45.7109375" style="36" bestFit="1" customWidth="1"/>
    <col min="11" max="11" width="68.42578125" style="36" customWidth="1"/>
    <col min="12" max="12" width="60.7109375" style="36" customWidth="1"/>
    <col min="13" max="13" width="71.7109375" style="36" customWidth="1"/>
    <col min="14" max="16" width="60.7109375" style="38" customWidth="1"/>
    <col min="17" max="17" width="215.28515625" style="39" customWidth="1"/>
    <col min="18" max="19" width="96.28515625" style="40" customWidth="1"/>
    <col min="20" max="20" width="39.7109375" style="7" hidden="1" customWidth="1"/>
    <col min="21" max="21" width="40" style="7" hidden="1" customWidth="1"/>
    <col min="22" max="22" width="34" style="7" hidden="1" customWidth="1"/>
    <col min="23" max="23" width="32.85546875" style="7" hidden="1" customWidth="1"/>
    <col min="24" max="24" width="39.28515625" style="7" hidden="1" customWidth="1"/>
    <col min="25" max="25" width="31.28515625" style="7" hidden="1" customWidth="1"/>
    <col min="26" max="27" width="9" style="7" customWidth="1"/>
    <col min="28" max="16384" width="9" style="7"/>
  </cols>
  <sheetData>
    <row r="1" spans="1:25" s="6" customFormat="1" ht="187.15" customHeight="1">
      <c r="A1" s="1"/>
      <c r="B1" s="2" t="s">
        <v>0</v>
      </c>
      <c r="C1" s="2" t="s">
        <v>1</v>
      </c>
      <c r="D1" s="2" t="s">
        <v>2</v>
      </c>
      <c r="E1" s="2" t="s">
        <v>3</v>
      </c>
      <c r="F1" s="2" t="s">
        <v>4</v>
      </c>
      <c r="G1" s="2" t="s">
        <v>5</v>
      </c>
      <c r="H1" s="2" t="s">
        <v>6</v>
      </c>
      <c r="I1" s="2" t="s">
        <v>7</v>
      </c>
      <c r="J1" s="2" t="s">
        <v>8</v>
      </c>
      <c r="K1" s="2" t="s">
        <v>9</v>
      </c>
      <c r="L1" s="3" t="s">
        <v>10</v>
      </c>
      <c r="M1" s="3" t="s">
        <v>11</v>
      </c>
      <c r="N1" s="3" t="s">
        <v>12</v>
      </c>
      <c r="O1" s="3" t="s">
        <v>13</v>
      </c>
      <c r="P1" s="3" t="s">
        <v>14</v>
      </c>
      <c r="Q1" s="4" t="s">
        <v>15</v>
      </c>
      <c r="R1" s="4" t="s">
        <v>16</v>
      </c>
      <c r="S1" s="4" t="s">
        <v>17</v>
      </c>
      <c r="T1" s="5" t="s">
        <v>18</v>
      </c>
      <c r="U1" s="5" t="s">
        <v>19</v>
      </c>
      <c r="V1" s="5" t="s">
        <v>20</v>
      </c>
      <c r="W1" s="5" t="s">
        <v>21</v>
      </c>
      <c r="X1" s="5" t="s">
        <v>22</v>
      </c>
      <c r="Y1" s="5" t="s">
        <v>20</v>
      </c>
    </row>
    <row r="2" spans="1:25" ht="409.5">
      <c r="B2" s="8">
        <v>1</v>
      </c>
      <c r="C2" s="9" t="s">
        <v>23</v>
      </c>
      <c r="D2" s="10" t="s">
        <v>27</v>
      </c>
      <c r="E2" s="10" t="s">
        <v>28</v>
      </c>
      <c r="F2" s="10" t="s">
        <v>30</v>
      </c>
      <c r="G2" s="13" t="s">
        <v>29</v>
      </c>
      <c r="H2" s="13">
        <v>45985</v>
      </c>
      <c r="I2" s="13">
        <v>46165</v>
      </c>
      <c r="J2" s="13">
        <v>46349</v>
      </c>
      <c r="K2" s="14">
        <v>57304347.860000007</v>
      </c>
      <c r="L2" s="15">
        <v>0.58609999999999995</v>
      </c>
      <c r="M2" s="15">
        <v>0.86209999999999998</v>
      </c>
      <c r="N2" s="15">
        <v>0.8841</v>
      </c>
      <c r="O2" s="15">
        <v>0.91110000000000002</v>
      </c>
      <c r="P2" s="15">
        <f>O2-N2</f>
        <v>2.7000000000000024E-2</v>
      </c>
      <c r="Q2" s="43" t="s">
        <v>31</v>
      </c>
      <c r="R2" s="17"/>
      <c r="S2" s="42"/>
      <c r="T2" s="18"/>
      <c r="U2" s="19"/>
      <c r="V2" s="20"/>
      <c r="W2" s="19"/>
      <c r="X2" s="19"/>
      <c r="Y2" s="19"/>
    </row>
    <row r="3" spans="1:25" ht="167.45" customHeight="1">
      <c r="B3" s="8">
        <v>3</v>
      </c>
      <c r="C3" s="21" t="s">
        <v>23</v>
      </c>
      <c r="D3" s="22"/>
      <c r="E3" s="22"/>
      <c r="F3" s="22"/>
      <c r="G3" s="23"/>
      <c r="H3" s="24"/>
      <c r="I3" s="24"/>
      <c r="J3" s="25"/>
      <c r="K3" s="26"/>
      <c r="L3" s="26"/>
      <c r="M3" s="26"/>
      <c r="N3" s="27"/>
      <c r="O3" s="27"/>
      <c r="P3" s="27"/>
      <c r="Q3" s="16"/>
      <c r="R3" s="17"/>
      <c r="S3" s="17"/>
      <c r="T3" s="18"/>
      <c r="U3" s="19"/>
      <c r="V3" s="20"/>
      <c r="W3" s="19"/>
      <c r="X3" s="19"/>
      <c r="Y3" s="19"/>
    </row>
    <row r="4" spans="1:25" ht="167.45" customHeight="1">
      <c r="B4" s="8">
        <v>4</v>
      </c>
      <c r="C4" s="9" t="s">
        <v>23</v>
      </c>
      <c r="D4" s="10"/>
      <c r="E4" s="10"/>
      <c r="F4" s="10"/>
      <c r="G4" s="11"/>
      <c r="H4" s="12"/>
      <c r="I4" s="12"/>
      <c r="J4" s="13"/>
      <c r="K4" s="14"/>
      <c r="L4" s="14"/>
      <c r="M4" s="14"/>
      <c r="N4" s="15"/>
      <c r="O4" s="15"/>
      <c r="P4" s="15"/>
      <c r="Q4" s="28"/>
      <c r="R4" s="17"/>
      <c r="S4" s="17"/>
      <c r="T4" s="29"/>
      <c r="U4" s="29"/>
      <c r="V4" s="30"/>
      <c r="W4" s="29"/>
      <c r="X4" s="29"/>
      <c r="Y4" s="29"/>
    </row>
    <row r="5" spans="1:25" ht="167.45" customHeight="1">
      <c r="B5" s="8">
        <v>5</v>
      </c>
      <c r="C5" s="21" t="s">
        <v>23</v>
      </c>
      <c r="D5" s="22"/>
      <c r="E5" s="22"/>
      <c r="F5" s="22"/>
      <c r="G5" s="23"/>
      <c r="H5" s="24"/>
      <c r="I5" s="24"/>
      <c r="J5" s="25"/>
      <c r="K5" s="26"/>
      <c r="L5" s="26"/>
      <c r="M5" s="26"/>
      <c r="N5" s="27"/>
      <c r="O5" s="27"/>
      <c r="P5" s="27"/>
      <c r="Q5" s="31"/>
      <c r="R5" s="17"/>
      <c r="S5" s="17"/>
      <c r="T5" s="32" t="s">
        <v>24</v>
      </c>
      <c r="U5" s="33" t="s">
        <v>25</v>
      </c>
      <c r="V5" s="34" t="s">
        <v>26</v>
      </c>
      <c r="W5" s="35"/>
      <c r="X5" s="35"/>
      <c r="Y5" s="35"/>
    </row>
    <row r="6" spans="1:25">
      <c r="J6" s="37"/>
    </row>
    <row r="7" spans="1:25">
      <c r="J7" s="37"/>
    </row>
    <row r="8" spans="1:25">
      <c r="J8" s="37"/>
    </row>
    <row r="9" spans="1:25">
      <c r="J9" s="37"/>
    </row>
    <row r="10" spans="1:25">
      <c r="J10" s="37"/>
      <c r="Q10" s="38"/>
    </row>
    <row r="11" spans="1:25">
      <c r="J11" s="37"/>
    </row>
    <row r="12" spans="1:25">
      <c r="J12" s="37"/>
      <c r="Q12" s="41"/>
    </row>
    <row r="13" spans="1:25">
      <c r="J13" s="37"/>
      <c r="Q13" s="41"/>
    </row>
    <row r="14" spans="1:25">
      <c r="J14" s="37"/>
      <c r="Q14" s="41"/>
    </row>
    <row r="15" spans="1:25">
      <c r="J15" s="37"/>
      <c r="Q15" s="41"/>
    </row>
    <row r="16" spans="1:25">
      <c r="J16" s="37"/>
      <c r="Q16" s="41"/>
    </row>
    <row r="17" spans="10:17">
      <c r="J17" s="37"/>
      <c r="Q17" s="41"/>
    </row>
    <row r="18" spans="10:17">
      <c r="J18" s="37"/>
      <c r="Q18" s="41"/>
    </row>
    <row r="19" spans="10:17">
      <c r="J19" s="37"/>
      <c r="Q19" s="41"/>
    </row>
    <row r="20" spans="10:17">
      <c r="J20" s="37"/>
      <c r="Q20" s="41"/>
    </row>
    <row r="21" spans="10:17">
      <c r="J21" s="37"/>
    </row>
    <row r="22" spans="10:17">
      <c r="J22" s="37"/>
    </row>
    <row r="23" spans="10:17">
      <c r="J23" s="37"/>
    </row>
    <row r="24" spans="10:17">
      <c r="J24" s="37"/>
    </row>
    <row r="25" spans="10:17">
      <c r="J25" s="37"/>
    </row>
    <row r="26" spans="10:17">
      <c r="J26" s="37"/>
    </row>
    <row r="27" spans="10:17">
      <c r="J27" s="37"/>
    </row>
    <row r="28" spans="10:17">
      <c r="J28" s="37"/>
    </row>
    <row r="29" spans="10:17">
      <c r="J29" s="37"/>
    </row>
    <row r="30" spans="10:17">
      <c r="J30" s="37"/>
    </row>
    <row r="31" spans="10:17">
      <c r="J31" s="37"/>
    </row>
    <row r="32" spans="10:17">
      <c r="J32" s="37"/>
    </row>
    <row r="33" spans="10:10">
      <c r="J33" s="37"/>
    </row>
    <row r="34" spans="10:10">
      <c r="J34" s="37"/>
    </row>
    <row r="35" spans="10:10">
      <c r="J35" s="37"/>
    </row>
    <row r="36" spans="10:10">
      <c r="J36" s="37"/>
    </row>
    <row r="37" spans="10:10">
      <c r="J37" s="37"/>
    </row>
    <row r="38" spans="10:10">
      <c r="J38" s="37"/>
    </row>
    <row r="39" spans="10:10">
      <c r="J39" s="37"/>
    </row>
    <row r="40" spans="10:10">
      <c r="J40" s="37"/>
    </row>
    <row r="41" spans="10:10">
      <c r="J41" s="37"/>
    </row>
    <row r="42" spans="10:10">
      <c r="J42" s="37"/>
    </row>
    <row r="43" spans="10:10">
      <c r="J43" s="37"/>
    </row>
  </sheetData>
  <autoFilter ref="B1:X5" xr:uid="{00000000-0001-0000-0000-000000000000}"/>
  <conditionalFormatting sqref="C1">
    <cfRule type="duplicateValues" dxfId="11" priority="17"/>
    <cfRule type="duplicateValues" dxfId="10" priority="18"/>
  </conditionalFormatting>
  <conditionalFormatting sqref="D1:D5">
    <cfRule type="duplicateValues" dxfId="9" priority="19"/>
    <cfRule type="duplicateValues" dxfId="8" priority="20"/>
  </conditionalFormatting>
  <conditionalFormatting sqref="Q2">
    <cfRule type="duplicateValues" dxfId="7" priority="1"/>
    <cfRule type="duplicateValues" dxfId="6" priority="2"/>
  </conditionalFormatting>
  <conditionalFormatting sqref="Q3:Q5">
    <cfRule type="duplicateValues" dxfId="5" priority="21"/>
    <cfRule type="duplicateValues" dxfId="4" priority="22"/>
  </conditionalFormatting>
  <conditionalFormatting sqref="R2:R5">
    <cfRule type="duplicateValues" dxfId="3" priority="25"/>
    <cfRule type="duplicateValues" dxfId="2" priority="26"/>
  </conditionalFormatting>
  <conditionalFormatting sqref="S2:S5">
    <cfRule type="duplicateValues" dxfId="1" priority="23"/>
    <cfRule type="duplicateValues" dxfId="0" priority="24"/>
  </conditionalFormatting>
  <hyperlinks>
    <hyperlink ref="V4" r:id="rId1" display="Ahmed.Farag@jasarapmc.com" xr:uid="{316BE599-EE8B-4486-97E0-BE1198EA5078}"/>
    <hyperlink ref="V5" r:id="rId2" xr:uid="{47F68E65-AFA9-44BA-BBC2-5FADDAF9F43D}"/>
    <hyperlink ref="V2" r:id="rId3" display="zshabat@modon.gov.sa" xr:uid="{68F6556D-E53C-4A68-9DC7-52E5EA488D8B}"/>
    <hyperlink ref="V3" r:id="rId4" display="zshabat@modon.gov.sa" xr:uid="{7795BCCD-47FE-46F9-94BC-BC57F8B6D40A}"/>
  </hyperlinks>
  <printOptions horizontalCentered="1" verticalCentered="1"/>
  <pageMargins left="0.1" right="0.1" top="0.1" bottom="0.1" header="0.05" footer="0.05"/>
  <pageSetup paperSize="8" scale="17" fitToHeight="0" orientation="landscape"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الأعماال المنفذه خلال الاسبوع</vt:lpstr>
      <vt:lpstr>'الأعماال المنفذه خلال الاسبوع'!Print_Area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Windows User</cp:lastModifiedBy>
  <dcterms:created xsi:type="dcterms:W3CDTF">2025-04-14T06:00:16Z</dcterms:created>
  <dcterms:modified xsi:type="dcterms:W3CDTF">2026-10-05T06:50:51Z</dcterms:modified>
</cp:coreProperties>
</file>
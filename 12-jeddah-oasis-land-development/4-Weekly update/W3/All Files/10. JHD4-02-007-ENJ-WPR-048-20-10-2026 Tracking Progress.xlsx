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8-20-10-2026\"/>
    </mc:Choice>
  </mc:AlternateContent>
  <xr:revisionPtr revIDLastSave="0" documentId="13_ncr:1_{AE78D7CC-D6EA-49BA-B89A-96A22D8BD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ing Progress" sheetId="16" r:id="rId1"/>
    <sheet name="Current week" sheetId="17" r:id="rId2"/>
    <sheet name="Previous week" sheetId="18" r:id="rId3"/>
  </sheets>
  <definedNames>
    <definedName name="_xlnm._FilterDatabase" localSheetId="0" hidden="1">'Tracking Progress'!$A$1:$L$1765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6" l="1"/>
  <c r="A1721" i="17"/>
  <c r="A1722" i="17"/>
  <c r="A1723" i="17"/>
  <c r="A1724" i="17"/>
  <c r="A1725" i="17"/>
  <c r="A1726" i="17"/>
  <c r="A1727" i="17"/>
  <c r="A1728" i="17"/>
  <c r="A1729" i="17"/>
  <c r="A1730" i="17"/>
  <c r="A1731" i="17"/>
  <c r="A1732" i="17"/>
  <c r="A1733" i="17"/>
  <c r="A1734" i="17"/>
  <c r="A1735" i="17"/>
  <c r="A1736" i="17"/>
  <c r="A1737" i="17"/>
  <c r="A1738" i="17"/>
  <c r="A1739" i="17"/>
  <c r="A1740" i="17"/>
  <c r="A1741" i="17"/>
  <c r="A1742" i="17"/>
  <c r="A1743" i="17"/>
  <c r="A1744" i="17"/>
  <c r="A1745" i="17"/>
  <c r="A1746" i="17"/>
  <c r="A1747" i="17"/>
  <c r="A1748" i="17"/>
  <c r="A1749" i="17"/>
  <c r="A1750" i="17"/>
  <c r="A1751" i="17"/>
  <c r="A1752" i="17"/>
  <c r="A1753" i="17"/>
  <c r="A1754" i="17"/>
  <c r="A1755" i="17"/>
  <c r="A1756" i="17"/>
  <c r="A1757" i="17"/>
  <c r="A1758" i="17"/>
  <c r="A1759" i="17"/>
  <c r="A1760" i="17"/>
  <c r="A1761" i="17"/>
  <c r="A1762" i="17"/>
  <c r="A1763" i="17"/>
  <c r="A1764" i="17"/>
  <c r="A1765" i="17"/>
  <c r="A1720" i="17"/>
  <c r="A1719" i="17"/>
  <c r="A1718" i="17"/>
  <c r="A1717" i="17"/>
  <c r="A1716" i="17"/>
  <c r="A1715" i="17"/>
  <c r="A1714" i="17"/>
  <c r="A1713" i="17"/>
  <c r="A1712" i="17"/>
  <c r="A1711" i="17"/>
  <c r="A1710" i="17"/>
  <c r="A1709" i="17"/>
  <c r="A1708" i="17"/>
  <c r="A1707" i="17"/>
  <c r="A1706" i="17"/>
  <c r="A1705" i="17"/>
  <c r="A1704" i="17"/>
  <c r="A1703" i="17"/>
  <c r="A1702" i="17"/>
  <c r="A1701" i="17"/>
  <c r="A1700" i="17"/>
  <c r="A1699" i="17"/>
  <c r="A1698" i="17"/>
  <c r="A1697" i="17"/>
  <c r="A1696" i="17"/>
  <c r="A1695" i="17"/>
  <c r="A1694" i="17"/>
  <c r="A1693" i="17"/>
  <c r="A1692" i="17"/>
  <c r="A1691" i="17"/>
  <c r="A1690" i="17"/>
  <c r="A1689" i="17"/>
  <c r="A1688" i="17"/>
  <c r="A1687" i="17"/>
  <c r="A1686" i="17"/>
  <c r="A1685" i="17"/>
  <c r="A1684" i="17"/>
  <c r="A1683" i="17"/>
  <c r="A1682" i="17"/>
  <c r="A1681" i="17"/>
  <c r="A1680" i="17"/>
  <c r="A1679" i="17"/>
  <c r="A1678" i="17"/>
  <c r="A1677" i="17"/>
  <c r="A1676" i="17"/>
  <c r="A1675" i="17"/>
  <c r="A1674" i="17"/>
  <c r="A1673" i="17"/>
  <c r="A1672" i="17"/>
  <c r="A1671" i="17"/>
  <c r="A1670" i="17"/>
  <c r="A1669" i="17"/>
  <c r="A1668" i="17"/>
  <c r="A1667" i="17"/>
  <c r="A1666" i="17"/>
  <c r="A1665" i="17"/>
  <c r="A1664" i="17"/>
  <c r="A1663" i="17"/>
  <c r="A1662" i="17"/>
  <c r="A1661" i="17"/>
  <c r="A1660" i="17"/>
  <c r="A1659" i="17"/>
  <c r="A1658" i="17"/>
  <c r="A1657" i="17"/>
  <c r="A1656" i="17"/>
  <c r="A1655" i="17"/>
  <c r="A1654" i="17"/>
  <c r="A1653" i="17"/>
  <c r="A1652" i="17"/>
  <c r="A1651" i="17"/>
  <c r="A1650" i="17"/>
  <c r="A1649" i="17"/>
  <c r="A1648" i="17"/>
  <c r="A1647" i="17"/>
  <c r="A1646" i="17"/>
  <c r="A1645" i="17"/>
  <c r="A1644" i="17"/>
  <c r="A1643" i="17"/>
  <c r="A1642" i="17"/>
  <c r="A1641" i="17"/>
  <c r="A1640" i="17"/>
  <c r="A1639" i="17"/>
  <c r="A1638" i="17"/>
  <c r="A1637" i="17"/>
  <c r="A1636" i="17"/>
  <c r="A1635" i="17"/>
  <c r="A1634" i="17"/>
  <c r="A1633" i="17"/>
  <c r="A1632" i="17"/>
  <c r="A1631" i="17"/>
  <c r="A1630" i="17"/>
  <c r="A1629" i="17"/>
  <c r="A1628" i="17"/>
  <c r="A1627" i="17"/>
  <c r="A1626" i="17"/>
  <c r="A1625" i="17"/>
  <c r="A1624" i="17"/>
  <c r="A1623" i="17"/>
  <c r="A1622" i="17"/>
  <c r="A1621" i="17"/>
  <c r="A1620" i="17"/>
  <c r="A1619" i="17"/>
  <c r="A1618" i="17"/>
  <c r="A1617" i="17"/>
  <c r="A1616" i="17"/>
  <c r="A1615" i="17"/>
  <c r="A1614" i="17"/>
  <c r="A1613" i="17"/>
  <c r="A1612" i="17"/>
  <c r="A1611" i="17"/>
  <c r="A1610" i="17"/>
  <c r="A1609" i="17"/>
  <c r="A1608" i="17"/>
  <c r="A1607" i="17"/>
  <c r="A1606" i="17"/>
  <c r="A1605" i="17"/>
  <c r="A1604" i="17"/>
  <c r="A1603" i="17"/>
  <c r="A1602" i="17"/>
  <c r="A1601" i="17"/>
  <c r="A1600" i="17"/>
  <c r="A1599" i="17"/>
  <c r="A1598" i="17"/>
  <c r="A1597" i="17"/>
  <c r="A1596" i="17"/>
  <c r="A1595" i="17"/>
  <c r="A1594" i="17"/>
  <c r="A1593" i="17"/>
  <c r="A1592" i="17"/>
  <c r="A1591" i="17"/>
  <c r="A1590" i="17"/>
  <c r="A1589" i="17"/>
  <c r="A1588" i="17"/>
  <c r="A1587" i="17"/>
  <c r="A1586" i="17"/>
  <c r="A1585" i="17"/>
  <c r="A1584" i="17"/>
  <c r="A1583" i="17"/>
  <c r="A1582" i="17"/>
  <c r="A1581" i="17"/>
  <c r="A1580" i="17"/>
  <c r="A1579" i="17"/>
  <c r="A1578" i="17"/>
  <c r="A1577" i="17"/>
  <c r="A1576" i="17"/>
  <c r="A1575" i="17"/>
  <c r="A1574" i="17"/>
  <c r="A1573" i="17"/>
  <c r="A1572" i="17"/>
  <c r="A1571" i="17"/>
  <c r="A1570" i="17"/>
  <c r="A1569" i="17"/>
  <c r="A1568" i="17"/>
  <c r="A1567" i="17"/>
  <c r="A1566" i="17"/>
  <c r="A1565" i="17"/>
  <c r="A1564" i="17"/>
  <c r="A1563" i="17"/>
  <c r="A1562" i="17"/>
  <c r="A1561" i="17"/>
  <c r="A1560" i="17"/>
  <c r="A1559" i="17"/>
  <c r="A1558" i="17"/>
  <c r="A1557" i="17"/>
  <c r="A1556" i="17"/>
  <c r="A1555" i="17"/>
  <c r="A1554" i="17"/>
  <c r="A1553" i="17"/>
  <c r="A1552" i="17"/>
  <c r="A1551" i="17"/>
  <c r="A1550" i="17"/>
  <c r="A1549" i="17"/>
  <c r="A1548" i="17"/>
  <c r="A1547" i="17"/>
  <c r="A1546" i="17"/>
  <c r="A1545" i="17"/>
  <c r="A1544" i="17"/>
  <c r="A1543" i="17"/>
  <c r="A1542" i="17"/>
  <c r="A1541" i="17"/>
  <c r="A1540" i="17"/>
  <c r="A1539" i="17"/>
  <c r="A1538" i="17"/>
  <c r="A1537" i="17"/>
  <c r="A1536" i="17"/>
  <c r="A1535" i="17"/>
  <c r="A1534" i="17"/>
  <c r="A1533" i="17"/>
  <c r="A1532" i="17"/>
  <c r="A1531" i="17"/>
  <c r="A1530" i="17"/>
  <c r="A1529" i="17"/>
  <c r="A1528" i="17"/>
  <c r="A1527" i="17"/>
  <c r="A1526" i="17"/>
  <c r="A1525" i="17"/>
  <c r="A1524" i="17"/>
  <c r="A1523" i="17"/>
  <c r="A1522" i="17"/>
  <c r="A1521" i="17"/>
  <c r="A1520" i="17"/>
  <c r="A1519" i="17"/>
  <c r="A1518" i="17"/>
  <c r="A1517" i="17"/>
  <c r="A1516" i="17"/>
  <c r="A1515" i="17"/>
  <c r="A1514" i="17"/>
  <c r="A1513" i="17"/>
  <c r="A1512" i="17"/>
  <c r="A1511" i="17"/>
  <c r="A1510" i="17"/>
  <c r="A1509" i="17"/>
  <c r="A1508" i="17"/>
  <c r="A1507" i="17"/>
  <c r="A1506" i="17"/>
  <c r="A1505" i="17"/>
  <c r="A1504" i="17"/>
  <c r="A1503" i="17"/>
  <c r="A1502" i="17"/>
  <c r="A1501" i="17"/>
  <c r="A1500" i="17"/>
  <c r="A1499" i="17"/>
  <c r="A1498" i="17"/>
  <c r="A1497" i="17"/>
  <c r="A1496" i="17"/>
  <c r="A1495" i="17"/>
  <c r="A1494" i="17"/>
  <c r="A1493" i="17"/>
  <c r="A1492" i="17"/>
  <c r="A1491" i="17"/>
  <c r="A1490" i="17"/>
  <c r="A1489" i="17"/>
  <c r="A1488" i="17"/>
  <c r="A1487" i="17"/>
  <c r="A1486" i="17"/>
  <c r="A1485" i="17"/>
  <c r="A1484" i="17"/>
  <c r="A1483" i="17"/>
  <c r="A1482" i="17"/>
  <c r="A1481" i="17"/>
  <c r="A1480" i="17"/>
  <c r="A1479" i="17"/>
  <c r="A1478" i="17"/>
  <c r="A1477" i="17"/>
  <c r="A1476" i="17"/>
  <c r="A1475" i="17"/>
  <c r="A1474" i="17"/>
  <c r="A1473" i="17"/>
  <c r="A1472" i="17"/>
  <c r="A1471" i="17"/>
  <c r="A1470" i="17"/>
  <c r="A1469" i="17"/>
  <c r="A1468" i="17"/>
  <c r="A1467" i="17"/>
  <c r="A1466" i="17"/>
  <c r="A1465" i="17"/>
  <c r="A1464" i="17"/>
  <c r="A1463" i="17"/>
  <c r="A1462" i="17"/>
  <c r="A1461" i="17"/>
  <c r="A1460" i="17"/>
  <c r="A1459" i="17"/>
  <c r="A1458" i="17"/>
  <c r="A1457" i="17"/>
  <c r="A1456" i="17"/>
  <c r="A1455" i="17"/>
  <c r="A1454" i="17"/>
  <c r="A1453" i="17"/>
  <c r="A1452" i="17"/>
  <c r="A1451" i="17"/>
  <c r="A1450" i="17"/>
  <c r="A1449" i="17"/>
  <c r="A1448" i="17"/>
  <c r="A1447" i="17"/>
  <c r="A1446" i="17"/>
  <c r="A1445" i="17"/>
  <c r="A1444" i="17"/>
  <c r="A1443" i="17"/>
  <c r="A1442" i="17"/>
  <c r="A1441" i="17"/>
  <c r="A1440" i="17"/>
  <c r="A1439" i="17"/>
  <c r="A1438" i="17"/>
  <c r="A1437" i="17"/>
  <c r="A1436" i="17"/>
  <c r="A1435" i="17"/>
  <c r="A1434" i="17"/>
  <c r="A1433" i="17"/>
  <c r="A1432" i="17"/>
  <c r="A1431" i="17"/>
  <c r="A1430" i="17"/>
  <c r="A1429" i="17"/>
  <c r="A1428" i="17"/>
  <c r="A1427" i="17"/>
  <c r="A1426" i="17"/>
  <c r="A1425" i="17"/>
  <c r="A1424" i="17"/>
  <c r="A1423" i="17"/>
  <c r="A1422" i="17"/>
  <c r="A1421" i="17"/>
  <c r="A1420" i="17"/>
  <c r="A1419" i="17"/>
  <c r="A1418" i="17"/>
  <c r="A1417" i="17"/>
  <c r="A1416" i="17"/>
  <c r="A1415" i="17"/>
  <c r="A1414" i="17"/>
  <c r="A1413" i="17"/>
  <c r="A1412" i="17"/>
  <c r="A1411" i="17"/>
  <c r="A1410" i="17"/>
  <c r="A1409" i="17"/>
  <c r="A1408" i="17"/>
  <c r="A1407" i="17"/>
  <c r="A1406" i="17"/>
  <c r="A1405" i="17"/>
  <c r="A1404" i="17"/>
  <c r="A1403" i="17"/>
  <c r="A1402" i="17"/>
  <c r="A1401" i="17"/>
  <c r="A1400" i="17"/>
  <c r="A1399" i="17"/>
  <c r="A1398" i="17"/>
  <c r="A1397" i="17"/>
  <c r="A1396" i="17"/>
  <c r="A1395" i="17"/>
  <c r="A1394" i="17"/>
  <c r="A1393" i="17"/>
  <c r="A1392" i="17"/>
  <c r="A1391" i="17"/>
  <c r="A1390" i="17"/>
  <c r="A1389" i="17"/>
  <c r="A1388" i="17"/>
  <c r="A1387" i="17"/>
  <c r="A1386" i="17"/>
  <c r="A1385" i="17"/>
  <c r="A1384" i="17"/>
  <c r="A1383" i="17"/>
  <c r="A1382" i="17"/>
  <c r="A1381" i="17"/>
  <c r="A1380" i="17"/>
  <c r="A1379" i="17"/>
  <c r="A1378" i="17"/>
  <c r="A1377" i="17"/>
  <c r="A1376" i="17"/>
  <c r="A1375" i="17"/>
  <c r="A1374" i="17"/>
  <c r="A1373" i="17"/>
  <c r="A1372" i="17"/>
  <c r="A1371" i="17"/>
  <c r="A1370" i="17"/>
  <c r="A1369" i="17"/>
  <c r="A1368" i="17"/>
  <c r="A1367" i="17"/>
  <c r="A1366" i="17"/>
  <c r="A1365" i="17"/>
  <c r="A1364" i="17"/>
  <c r="A1363" i="17"/>
  <c r="A1362" i="17"/>
  <c r="A1361" i="17"/>
  <c r="A1360" i="17"/>
  <c r="A1359" i="17"/>
  <c r="A1358" i="17"/>
  <c r="A1357" i="17"/>
  <c r="A1356" i="17"/>
  <c r="A1355" i="17"/>
  <c r="A1354" i="17"/>
  <c r="A1353" i="17"/>
  <c r="A1352" i="17"/>
  <c r="A1351" i="17"/>
  <c r="A1350" i="17"/>
  <c r="A1349" i="17"/>
  <c r="A1348" i="17"/>
  <c r="A1347" i="17"/>
  <c r="A1346" i="17"/>
  <c r="A1345" i="17"/>
  <c r="A1344" i="17"/>
  <c r="A1343" i="17"/>
  <c r="A1342" i="17"/>
  <c r="A1341" i="17"/>
  <c r="A1340" i="17"/>
  <c r="A1339" i="17"/>
  <c r="A1338" i="17"/>
  <c r="A1337" i="17"/>
  <c r="A1336" i="17"/>
  <c r="A1335" i="17"/>
  <c r="A1334" i="17"/>
  <c r="A1333" i="17"/>
  <c r="A1332" i="17"/>
  <c r="A1331" i="17"/>
  <c r="A1330" i="17"/>
  <c r="A1329" i="17"/>
  <c r="A1328" i="17"/>
  <c r="A1327" i="17"/>
  <c r="A1326" i="17"/>
  <c r="A1325" i="17"/>
  <c r="A1324" i="17"/>
  <c r="A1323" i="17"/>
  <c r="A1322" i="17"/>
  <c r="A1321" i="17"/>
  <c r="A1320" i="17"/>
  <c r="A1319" i="17"/>
  <c r="A1318" i="17"/>
  <c r="A1317" i="17"/>
  <c r="A1316" i="17"/>
  <c r="A1315" i="17"/>
  <c r="A1314" i="17"/>
  <c r="A1313" i="17"/>
  <c r="A1312" i="17"/>
  <c r="A1311" i="17"/>
  <c r="A1310" i="17"/>
  <c r="A1309" i="17"/>
  <c r="A1308" i="17"/>
  <c r="A1307" i="17"/>
  <c r="A1306" i="17"/>
  <c r="A1305" i="17"/>
  <c r="A1304" i="17"/>
  <c r="A1303" i="17"/>
  <c r="A1302" i="17"/>
  <c r="A1301" i="17"/>
  <c r="A1300" i="17"/>
  <c r="A1299" i="17"/>
  <c r="A1298" i="17"/>
  <c r="A1297" i="17"/>
  <c r="A1296" i="17"/>
  <c r="A1295" i="17"/>
  <c r="A1294" i="17"/>
  <c r="A1293" i="17"/>
  <c r="A1292" i="17"/>
  <c r="A1291" i="17"/>
  <c r="A1290" i="17"/>
  <c r="A1289" i="17"/>
  <c r="A1288" i="17"/>
  <c r="A1287" i="17"/>
  <c r="A1286" i="17"/>
  <c r="A1285" i="17"/>
  <c r="A1284" i="17"/>
  <c r="A1283" i="17"/>
  <c r="A1282" i="17"/>
  <c r="A1281" i="17"/>
  <c r="A1280" i="17"/>
  <c r="A1279" i="17"/>
  <c r="A1278" i="17"/>
  <c r="A1277" i="17"/>
  <c r="A1276" i="17"/>
  <c r="A1275" i="17"/>
  <c r="A1274" i="17"/>
  <c r="A1273" i="17"/>
  <c r="A1272" i="17"/>
  <c r="A1271" i="17"/>
  <c r="A1270" i="17"/>
  <c r="A1269" i="17"/>
  <c r="A1268" i="17"/>
  <c r="A1267" i="17"/>
  <c r="A1266" i="17"/>
  <c r="A1265" i="17"/>
  <c r="A1264" i="17"/>
  <c r="A1263" i="17"/>
  <c r="A1262" i="17"/>
  <c r="A1261" i="17"/>
  <c r="A1260" i="17"/>
  <c r="A1259" i="17"/>
  <c r="A1258" i="17"/>
  <c r="A1257" i="17"/>
  <c r="A1256" i="17"/>
  <c r="A1255" i="17"/>
  <c r="A1254" i="17"/>
  <c r="A1253" i="17"/>
  <c r="A1252" i="17"/>
  <c r="A1251" i="17"/>
  <c r="A1250" i="17"/>
  <c r="A1249" i="17"/>
  <c r="A1248" i="17"/>
  <c r="A1247" i="17"/>
  <c r="A1246" i="17"/>
  <c r="A1245" i="17"/>
  <c r="A1244" i="17"/>
  <c r="A1243" i="17"/>
  <c r="A1242" i="17"/>
  <c r="A1241" i="17"/>
  <c r="A1240" i="17"/>
  <c r="A1239" i="17"/>
  <c r="A1238" i="17"/>
  <c r="A1237" i="17"/>
  <c r="A1236" i="17"/>
  <c r="A1235" i="17"/>
  <c r="A1234" i="17"/>
  <c r="A1233" i="17"/>
  <c r="A1232" i="17"/>
  <c r="A1231" i="17"/>
  <c r="A1230" i="17"/>
  <c r="A1229" i="17"/>
  <c r="A1228" i="17"/>
  <c r="A1227" i="17"/>
  <c r="A1226" i="17"/>
  <c r="A1225" i="17"/>
  <c r="A1224" i="17"/>
  <c r="A1223" i="17"/>
  <c r="A1222" i="17"/>
  <c r="A1221" i="17"/>
  <c r="A1220" i="17"/>
  <c r="A1219" i="17"/>
  <c r="A1218" i="17"/>
  <c r="A1217" i="17"/>
  <c r="A1216" i="17"/>
  <c r="A1215" i="17"/>
  <c r="A1214" i="17"/>
  <c r="A1213" i="17"/>
  <c r="A1212" i="17"/>
  <c r="A1211" i="17"/>
  <c r="A1210" i="17"/>
  <c r="A1209" i="17"/>
  <c r="A1208" i="17"/>
  <c r="A1207" i="17"/>
  <c r="A1206" i="17"/>
  <c r="A1205" i="17"/>
  <c r="A1204" i="17"/>
  <c r="A1203" i="17"/>
  <c r="A1202" i="17"/>
  <c r="A1201" i="17"/>
  <c r="A1200" i="17"/>
  <c r="A1199" i="17"/>
  <c r="A1198" i="17"/>
  <c r="A1197" i="17"/>
  <c r="A1196" i="17"/>
  <c r="A1195" i="17"/>
  <c r="A1194" i="17"/>
  <c r="A1193" i="17"/>
  <c r="A1192" i="17"/>
  <c r="A1191" i="17"/>
  <c r="A1190" i="17"/>
  <c r="A1189" i="17"/>
  <c r="A1188" i="17"/>
  <c r="A1187" i="17"/>
  <c r="A1186" i="17"/>
  <c r="A1185" i="17"/>
  <c r="A1184" i="17"/>
  <c r="A1183" i="17"/>
  <c r="A1182" i="17"/>
  <c r="A1181" i="17"/>
  <c r="A1180" i="17"/>
  <c r="A1179" i="17"/>
  <c r="A1178" i="17"/>
  <c r="A1177" i="17"/>
  <c r="A1176" i="17"/>
  <c r="A1175" i="17"/>
  <c r="A1174" i="17"/>
  <c r="A1173" i="17"/>
  <c r="A1172" i="17"/>
  <c r="A1171" i="17"/>
  <c r="A1170" i="17"/>
  <c r="A1169" i="17"/>
  <c r="A1168" i="17"/>
  <c r="A1167" i="17"/>
  <c r="A1166" i="17"/>
  <c r="A1165" i="17"/>
  <c r="A1164" i="17"/>
  <c r="A1163" i="17"/>
  <c r="A1162" i="17"/>
  <c r="A1161" i="17"/>
  <c r="A1160" i="17"/>
  <c r="A1159" i="17"/>
  <c r="A1158" i="17"/>
  <c r="A1157" i="17"/>
  <c r="A1156" i="17"/>
  <c r="A1155" i="17"/>
  <c r="A1154" i="17"/>
  <c r="A1153" i="17"/>
  <c r="A1152" i="17"/>
  <c r="A1151" i="17"/>
  <c r="A1150" i="17"/>
  <c r="A1149" i="17"/>
  <c r="A1148" i="17"/>
  <c r="A1147" i="17"/>
  <c r="A1146" i="17"/>
  <c r="A1145" i="17"/>
  <c r="A1144" i="17"/>
  <c r="A1143" i="17"/>
  <c r="A1142" i="17"/>
  <c r="A1141" i="17"/>
  <c r="A1140" i="17"/>
  <c r="A1139" i="17"/>
  <c r="A1138" i="17"/>
  <c r="A1137" i="17"/>
  <c r="A1136" i="17"/>
  <c r="A1135" i="17"/>
  <c r="A1134" i="17"/>
  <c r="A1133" i="17"/>
  <c r="A1132" i="17"/>
  <c r="A1131" i="17"/>
  <c r="A1130" i="17"/>
  <c r="A1129" i="17"/>
  <c r="A1128" i="17"/>
  <c r="A1127" i="17"/>
  <c r="A1126" i="17"/>
  <c r="A1125" i="17"/>
  <c r="A1124" i="17"/>
  <c r="A1123" i="17"/>
  <c r="A1122" i="17"/>
  <c r="A1121" i="17"/>
  <c r="A1120" i="17"/>
  <c r="A1119" i="17"/>
  <c r="A1118" i="17"/>
  <c r="A1117" i="17"/>
  <c r="A1116" i="17"/>
  <c r="A1115" i="17"/>
  <c r="A1114" i="17"/>
  <c r="A1113" i="17"/>
  <c r="A1112" i="17"/>
  <c r="A1111" i="17"/>
  <c r="A1110" i="17"/>
  <c r="A1109" i="17"/>
  <c r="A1108" i="17"/>
  <c r="A1107" i="17"/>
  <c r="A1106" i="17"/>
  <c r="A1105" i="17"/>
  <c r="A1104" i="17"/>
  <c r="A1103" i="17"/>
  <c r="A1102" i="17"/>
  <c r="A1101" i="17"/>
  <c r="A1100" i="17"/>
  <c r="A1099" i="17"/>
  <c r="A1098" i="17"/>
  <c r="A1097" i="17"/>
  <c r="A1096" i="17"/>
  <c r="A1095" i="17"/>
  <c r="A1094" i="17"/>
  <c r="A1093" i="17"/>
  <c r="A1092" i="17"/>
  <c r="A1091" i="17"/>
  <c r="A1090" i="17"/>
  <c r="A1089" i="17"/>
  <c r="A1088" i="17"/>
  <c r="A1087" i="17"/>
  <c r="A1086" i="17"/>
  <c r="A1085" i="17"/>
  <c r="A1084" i="17"/>
  <c r="A1083" i="17"/>
  <c r="A1082" i="17"/>
  <c r="A1081" i="17"/>
  <c r="A1080" i="17"/>
  <c r="A1079" i="17"/>
  <c r="A1078" i="17"/>
  <c r="A1077" i="17"/>
  <c r="A1076" i="17"/>
  <c r="A1075" i="17"/>
  <c r="A1074" i="17"/>
  <c r="A1073" i="17"/>
  <c r="A1072" i="17"/>
  <c r="A1071" i="17"/>
  <c r="A1070" i="17"/>
  <c r="A1069" i="17"/>
  <c r="A1068" i="17"/>
  <c r="A1067" i="17"/>
  <c r="A1066" i="17"/>
  <c r="A1065" i="17"/>
  <c r="A1064" i="17"/>
  <c r="A1063" i="17"/>
  <c r="A1062" i="17"/>
  <c r="A1061" i="17"/>
  <c r="A1060" i="17"/>
  <c r="A1059" i="17"/>
  <c r="A1058" i="17"/>
  <c r="A1057" i="17"/>
  <c r="A1056" i="17"/>
  <c r="A1055" i="17"/>
  <c r="A1054" i="17"/>
  <c r="A1053" i="17"/>
  <c r="A1052" i="17"/>
  <c r="A1051" i="17"/>
  <c r="A1050" i="17"/>
  <c r="A1049" i="17"/>
  <c r="A1048" i="17"/>
  <c r="A1047" i="17"/>
  <c r="A1046" i="17"/>
  <c r="A1045" i="17"/>
  <c r="A1044" i="17"/>
  <c r="A1043" i="17"/>
  <c r="A1042" i="17"/>
  <c r="A1041" i="17"/>
  <c r="A1040" i="17"/>
  <c r="A1039" i="17"/>
  <c r="A1038" i="17"/>
  <c r="A1037" i="17"/>
  <c r="A1036" i="17"/>
  <c r="A1035" i="17"/>
  <c r="A1034" i="17"/>
  <c r="A1033" i="17"/>
  <c r="A1032" i="17"/>
  <c r="A1031" i="17"/>
  <c r="A1030" i="17"/>
  <c r="A1029" i="17"/>
  <c r="A1028" i="17"/>
  <c r="A1027" i="17"/>
  <c r="A1026" i="17"/>
  <c r="A1025" i="17"/>
  <c r="A1024" i="17"/>
  <c r="A1023" i="17"/>
  <c r="A1022" i="17"/>
  <c r="A1021" i="17"/>
  <c r="A1020" i="17"/>
  <c r="A1019" i="17"/>
  <c r="A1018" i="17"/>
  <c r="A1017" i="17"/>
  <c r="A1016" i="17"/>
  <c r="A1015" i="17"/>
  <c r="A1014" i="17"/>
  <c r="A1013" i="17"/>
  <c r="A1012" i="17"/>
  <c r="A1011" i="17"/>
  <c r="A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858" i="17"/>
  <c r="A857" i="17"/>
  <c r="A856" i="17"/>
  <c r="A855" i="17"/>
  <c r="A854" i="17"/>
  <c r="A853" i="17"/>
  <c r="A852" i="17"/>
  <c r="A851" i="17"/>
  <c r="A850" i="17"/>
  <c r="A849" i="17"/>
  <c r="A848" i="17"/>
  <c r="A847" i="17"/>
  <c r="A846" i="17"/>
  <c r="A845" i="17"/>
  <c r="A844" i="17"/>
  <c r="A843" i="17"/>
  <c r="A842" i="17"/>
  <c r="A841" i="17"/>
  <c r="A840" i="17"/>
  <c r="A839" i="17"/>
  <c r="A838" i="17"/>
  <c r="A837" i="17"/>
  <c r="A836" i="17"/>
  <c r="A835" i="17"/>
  <c r="A834" i="17"/>
  <c r="A833" i="17"/>
  <c r="A832" i="17"/>
  <c r="A831" i="17"/>
  <c r="A830" i="17"/>
  <c r="A829" i="17"/>
  <c r="A828" i="17"/>
  <c r="A827" i="17"/>
  <c r="A826" i="17"/>
  <c r="A825" i="17"/>
  <c r="A824" i="17"/>
  <c r="A823" i="17"/>
  <c r="A822" i="17"/>
  <c r="A821" i="17"/>
  <c r="A820" i="17"/>
  <c r="A819" i="17"/>
  <c r="A818" i="17"/>
  <c r="A817" i="17"/>
  <c r="A816" i="17"/>
  <c r="A815" i="17"/>
  <c r="A814" i="17"/>
  <c r="A813" i="17"/>
  <c r="A812" i="17"/>
  <c r="A811" i="17"/>
  <c r="A810" i="17"/>
  <c r="A809" i="17"/>
  <c r="A808" i="17"/>
  <c r="A807" i="17"/>
  <c r="A806" i="17"/>
  <c r="A805" i="17"/>
  <c r="A804" i="17"/>
  <c r="A803" i="17"/>
  <c r="A802" i="17"/>
  <c r="A801" i="17"/>
  <c r="A800" i="17"/>
  <c r="A799" i="17"/>
  <c r="A798" i="17"/>
  <c r="A797" i="17"/>
  <c r="A796" i="17"/>
  <c r="A795" i="17"/>
  <c r="A794" i="17"/>
  <c r="A793" i="17"/>
  <c r="A792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532" i="18"/>
  <c r="A533" i="18"/>
  <c r="A534" i="18"/>
  <c r="A535" i="18"/>
  <c r="A536" i="18"/>
  <c r="A537" i="18"/>
  <c r="A538" i="18"/>
  <c r="A539" i="18"/>
  <c r="A540" i="18"/>
  <c r="A541" i="18"/>
  <c r="A542" i="18"/>
  <c r="A543" i="18"/>
  <c r="A544" i="18"/>
  <c r="A545" i="18"/>
  <c r="A546" i="18"/>
  <c r="A547" i="18"/>
  <c r="A548" i="18"/>
  <c r="A549" i="18"/>
  <c r="A550" i="18"/>
  <c r="A551" i="18"/>
  <c r="A552" i="18"/>
  <c r="A553" i="18"/>
  <c r="A554" i="18"/>
  <c r="A555" i="18"/>
  <c r="A556" i="18"/>
  <c r="A557" i="18"/>
  <c r="A558" i="18"/>
  <c r="A559" i="18"/>
  <c r="A560" i="18"/>
  <c r="A561" i="18"/>
  <c r="A562" i="18"/>
  <c r="A563" i="18"/>
  <c r="A564" i="18"/>
  <c r="A565" i="18"/>
  <c r="A566" i="18"/>
  <c r="A567" i="18"/>
  <c r="A568" i="18"/>
  <c r="A569" i="18"/>
  <c r="A570" i="18"/>
  <c r="A571" i="18"/>
  <c r="A572" i="18"/>
  <c r="A573" i="18"/>
  <c r="A574" i="18"/>
  <c r="A575" i="18"/>
  <c r="A576" i="18"/>
  <c r="A577" i="18"/>
  <c r="A578" i="18"/>
  <c r="A579" i="18"/>
  <c r="A580" i="18"/>
  <c r="A581" i="18"/>
  <c r="A582" i="18"/>
  <c r="A583" i="18"/>
  <c r="A584" i="18"/>
  <c r="A585" i="18"/>
  <c r="A586" i="18"/>
  <c r="A587" i="18"/>
  <c r="A588" i="18"/>
  <c r="A589" i="18"/>
  <c r="A590" i="18"/>
  <c r="A591" i="18"/>
  <c r="A592" i="18"/>
  <c r="A593" i="18"/>
  <c r="A594" i="18"/>
  <c r="A595" i="18"/>
  <c r="A596" i="18"/>
  <c r="A597" i="18"/>
  <c r="A598" i="18"/>
  <c r="A599" i="18"/>
  <c r="A600" i="18"/>
  <c r="A601" i="18"/>
  <c r="A602" i="18"/>
  <c r="A603" i="18"/>
  <c r="A604" i="18"/>
  <c r="A605" i="18"/>
  <c r="A606" i="18"/>
  <c r="A607" i="18"/>
  <c r="A608" i="18"/>
  <c r="A609" i="18"/>
  <c r="A610" i="18"/>
  <c r="A611" i="18"/>
  <c r="A612" i="18"/>
  <c r="A613" i="18"/>
  <c r="A614" i="18"/>
  <c r="A615" i="18"/>
  <c r="A616" i="18"/>
  <c r="A617" i="18"/>
  <c r="A618" i="18"/>
  <c r="A619" i="18"/>
  <c r="A620" i="18"/>
  <c r="A621" i="18"/>
  <c r="A622" i="18"/>
  <c r="A623" i="18"/>
  <c r="A624" i="18"/>
  <c r="A625" i="18"/>
  <c r="A626" i="18"/>
  <c r="A627" i="18"/>
  <c r="A628" i="18"/>
  <c r="A629" i="18"/>
  <c r="A630" i="18"/>
  <c r="A631" i="18"/>
  <c r="A632" i="18"/>
  <c r="A633" i="18"/>
  <c r="A634" i="18"/>
  <c r="A635" i="18"/>
  <c r="A636" i="18"/>
  <c r="A637" i="18"/>
  <c r="A638" i="18"/>
  <c r="A639" i="18"/>
  <c r="A640" i="18"/>
  <c r="A641" i="18"/>
  <c r="A642" i="18"/>
  <c r="A643" i="18"/>
  <c r="A644" i="18"/>
  <c r="A645" i="18"/>
  <c r="A646" i="18"/>
  <c r="A647" i="18"/>
  <c r="A648" i="18"/>
  <c r="A649" i="18"/>
  <c r="A650" i="18"/>
  <c r="A651" i="18"/>
  <c r="A652" i="18"/>
  <c r="A653" i="18"/>
  <c r="A654" i="18"/>
  <c r="A655" i="18"/>
  <c r="A656" i="18"/>
  <c r="A657" i="18"/>
  <c r="A658" i="18"/>
  <c r="A659" i="18"/>
  <c r="A660" i="18"/>
  <c r="A661" i="18"/>
  <c r="A662" i="18"/>
  <c r="A663" i="18"/>
  <c r="A664" i="18"/>
  <c r="A665" i="18"/>
  <c r="A666" i="18"/>
  <c r="A667" i="18"/>
  <c r="A668" i="18"/>
  <c r="A669" i="18"/>
  <c r="A670" i="18"/>
  <c r="A671" i="18"/>
  <c r="A672" i="18"/>
  <c r="A673" i="18"/>
  <c r="A674" i="18"/>
  <c r="A675" i="18"/>
  <c r="A676" i="18"/>
  <c r="A677" i="18"/>
  <c r="A678" i="18"/>
  <c r="A679" i="18"/>
  <c r="A680" i="18"/>
  <c r="A681" i="18"/>
  <c r="A682" i="18"/>
  <c r="A683" i="18"/>
  <c r="A684" i="18"/>
  <c r="A685" i="18"/>
  <c r="A686" i="18"/>
  <c r="A687" i="18"/>
  <c r="A688" i="18"/>
  <c r="A689" i="18"/>
  <c r="A690" i="18"/>
  <c r="A691" i="18"/>
  <c r="A692" i="18"/>
  <c r="A693" i="18"/>
  <c r="A694" i="18"/>
  <c r="A695" i="18"/>
  <c r="A696" i="18"/>
  <c r="A697" i="18"/>
  <c r="A698" i="18"/>
  <c r="A699" i="18"/>
  <c r="A700" i="18"/>
  <c r="A701" i="18"/>
  <c r="A702" i="18"/>
  <c r="A703" i="18"/>
  <c r="A704" i="18"/>
  <c r="A705" i="18"/>
  <c r="A706" i="18"/>
  <c r="A707" i="18"/>
  <c r="A708" i="18"/>
  <c r="A709" i="18"/>
  <c r="A710" i="18"/>
  <c r="A711" i="18"/>
  <c r="A712" i="18"/>
  <c r="A713" i="18"/>
  <c r="A714" i="18"/>
  <c r="A715" i="18"/>
  <c r="A716" i="18"/>
  <c r="A717" i="18"/>
  <c r="A718" i="18"/>
  <c r="A719" i="18"/>
  <c r="A720" i="18"/>
  <c r="A721" i="18"/>
  <c r="A722" i="18"/>
  <c r="A723" i="18"/>
  <c r="A724" i="18"/>
  <c r="A725" i="18"/>
  <c r="A726" i="18"/>
  <c r="A727" i="18"/>
  <c r="A728" i="18"/>
  <c r="A729" i="18"/>
  <c r="A730" i="18"/>
  <c r="A731" i="18"/>
  <c r="A732" i="18"/>
  <c r="A733" i="18"/>
  <c r="A734" i="18"/>
  <c r="A735" i="18"/>
  <c r="A736" i="18"/>
  <c r="A737" i="18"/>
  <c r="A738" i="18"/>
  <c r="A739" i="18"/>
  <c r="A740" i="18"/>
  <c r="A741" i="18"/>
  <c r="A742" i="18"/>
  <c r="A743" i="18"/>
  <c r="A744" i="18"/>
  <c r="A745" i="18"/>
  <c r="A746" i="18"/>
  <c r="A747" i="18"/>
  <c r="A748" i="18"/>
  <c r="A749" i="18"/>
  <c r="A750" i="18"/>
  <c r="A751" i="18"/>
  <c r="A752" i="18"/>
  <c r="A753" i="18"/>
  <c r="A754" i="18"/>
  <c r="A755" i="18"/>
  <c r="A756" i="18"/>
  <c r="A757" i="18"/>
  <c r="A758" i="18"/>
  <c r="A759" i="18"/>
  <c r="A760" i="18"/>
  <c r="A761" i="18"/>
  <c r="A762" i="18"/>
  <c r="A763" i="18"/>
  <c r="A764" i="18"/>
  <c r="A765" i="18"/>
  <c r="A766" i="18"/>
  <c r="A767" i="18"/>
  <c r="A768" i="18"/>
  <c r="A769" i="18"/>
  <c r="A770" i="18"/>
  <c r="A771" i="18"/>
  <c r="A772" i="18"/>
  <c r="A773" i="18"/>
  <c r="A774" i="18"/>
  <c r="A775" i="18"/>
  <c r="A776" i="18"/>
  <c r="A777" i="18"/>
  <c r="A778" i="18"/>
  <c r="A779" i="18"/>
  <c r="A780" i="18"/>
  <c r="A781" i="18"/>
  <c r="A782" i="18"/>
  <c r="A783" i="18"/>
  <c r="A784" i="18"/>
  <c r="A785" i="18"/>
  <c r="A786" i="18"/>
  <c r="A787" i="18"/>
  <c r="A788" i="18"/>
  <c r="A789" i="18"/>
  <c r="A790" i="18"/>
  <c r="A791" i="18"/>
  <c r="A792" i="18"/>
  <c r="A793" i="18"/>
  <c r="A794" i="18"/>
  <c r="A795" i="18"/>
  <c r="A796" i="18"/>
  <c r="A797" i="18"/>
  <c r="A798" i="18"/>
  <c r="A799" i="18"/>
  <c r="A800" i="18"/>
  <c r="A801" i="18"/>
  <c r="A802" i="18"/>
  <c r="A803" i="18"/>
  <c r="A804" i="18"/>
  <c r="A805" i="18"/>
  <c r="A806" i="18"/>
  <c r="A807" i="18"/>
  <c r="A808" i="18"/>
  <c r="A809" i="18"/>
  <c r="A810" i="18"/>
  <c r="A811" i="18"/>
  <c r="A812" i="18"/>
  <c r="A813" i="18"/>
  <c r="A814" i="18"/>
  <c r="A815" i="18"/>
  <c r="A816" i="18"/>
  <c r="A817" i="18"/>
  <c r="A818" i="18"/>
  <c r="A819" i="18"/>
  <c r="A820" i="18"/>
  <c r="A821" i="18"/>
  <c r="A822" i="18"/>
  <c r="A823" i="18"/>
  <c r="A824" i="18"/>
  <c r="A825" i="18"/>
  <c r="A826" i="18"/>
  <c r="A827" i="18"/>
  <c r="A828" i="18"/>
  <c r="A829" i="18"/>
  <c r="A830" i="18"/>
  <c r="A831" i="18"/>
  <c r="A832" i="18"/>
  <c r="A833" i="18"/>
  <c r="A834" i="18"/>
  <c r="A835" i="18"/>
  <c r="A836" i="18"/>
  <c r="A837" i="18"/>
  <c r="A838" i="18"/>
  <c r="A839" i="18"/>
  <c r="A840" i="18"/>
  <c r="A841" i="18"/>
  <c r="A842" i="18"/>
  <c r="A843" i="18"/>
  <c r="A844" i="18"/>
  <c r="A845" i="18"/>
  <c r="A846" i="18"/>
  <c r="A847" i="18"/>
  <c r="A848" i="18"/>
  <c r="A849" i="18"/>
  <c r="A850" i="18"/>
  <c r="A851" i="18"/>
  <c r="A852" i="18"/>
  <c r="A853" i="18"/>
  <c r="A854" i="18"/>
  <c r="A855" i="18"/>
  <c r="A856" i="18"/>
  <c r="A857" i="18"/>
  <c r="A858" i="18"/>
  <c r="A859" i="18"/>
  <c r="A860" i="18"/>
  <c r="A861" i="18"/>
  <c r="A862" i="18"/>
  <c r="A863" i="18"/>
  <c r="A864" i="18"/>
  <c r="A865" i="18"/>
  <c r="A866" i="18"/>
  <c r="A867" i="18"/>
  <c r="A868" i="18"/>
  <c r="A869" i="18"/>
  <c r="A870" i="18"/>
  <c r="A871" i="18"/>
  <c r="A872" i="18"/>
  <c r="A873" i="18"/>
  <c r="A874" i="18"/>
  <c r="A875" i="18"/>
  <c r="A876" i="18"/>
  <c r="A877" i="18"/>
  <c r="A878" i="18"/>
  <c r="A879" i="18"/>
  <c r="A880" i="18"/>
  <c r="A881" i="18"/>
  <c r="A882" i="18"/>
  <c r="A883" i="18"/>
  <c r="A884" i="18"/>
  <c r="A885" i="18"/>
  <c r="A886" i="18"/>
  <c r="A887" i="18"/>
  <c r="A888" i="18"/>
  <c r="A889" i="18"/>
  <c r="A890" i="18"/>
  <c r="A891" i="18"/>
  <c r="A892" i="18"/>
  <c r="A893" i="18"/>
  <c r="A894" i="18"/>
  <c r="A895" i="18"/>
  <c r="A896" i="18"/>
  <c r="A897" i="18"/>
  <c r="A898" i="18"/>
  <c r="A899" i="18"/>
  <c r="A900" i="18"/>
  <c r="A901" i="18"/>
  <c r="A902" i="18"/>
  <c r="A903" i="18"/>
  <c r="A904" i="18"/>
  <c r="A905" i="18"/>
  <c r="A906" i="18"/>
  <c r="A907" i="18"/>
  <c r="A908" i="18"/>
  <c r="A909" i="18"/>
  <c r="A910" i="18"/>
  <c r="A911" i="18"/>
  <c r="A912" i="18"/>
  <c r="A913" i="18"/>
  <c r="A914" i="18"/>
  <c r="A915" i="18"/>
  <c r="A916" i="18"/>
  <c r="A917" i="18"/>
  <c r="A918" i="18"/>
  <c r="A919" i="18"/>
  <c r="A920" i="18"/>
  <c r="A921" i="18"/>
  <c r="A922" i="18"/>
  <c r="A923" i="18"/>
  <c r="A924" i="18"/>
  <c r="A925" i="18"/>
  <c r="A926" i="18"/>
  <c r="A927" i="18"/>
  <c r="A928" i="18"/>
  <c r="A929" i="18"/>
  <c r="A930" i="18"/>
  <c r="A931" i="18"/>
  <c r="A932" i="18"/>
  <c r="A933" i="18"/>
  <c r="A934" i="18"/>
  <c r="A935" i="18"/>
  <c r="A936" i="18"/>
  <c r="A937" i="18"/>
  <c r="A938" i="18"/>
  <c r="A939" i="18"/>
  <c r="A940" i="18"/>
  <c r="A941" i="18"/>
  <c r="A942" i="18"/>
  <c r="A943" i="18"/>
  <c r="A944" i="18"/>
  <c r="A945" i="18"/>
  <c r="A946" i="18"/>
  <c r="A947" i="18"/>
  <c r="A948" i="18"/>
  <c r="A949" i="18"/>
  <c r="A950" i="18"/>
  <c r="A951" i="18"/>
  <c r="A952" i="18"/>
  <c r="A953" i="18"/>
  <c r="A954" i="18"/>
  <c r="A955" i="18"/>
  <c r="A956" i="18"/>
  <c r="A957" i="18"/>
  <c r="A958" i="18"/>
  <c r="A959" i="18"/>
  <c r="A960" i="18"/>
  <c r="A961" i="18"/>
  <c r="A962" i="18"/>
  <c r="A963" i="18"/>
  <c r="A964" i="18"/>
  <c r="A965" i="18"/>
  <c r="A966" i="18"/>
  <c r="A967" i="18"/>
  <c r="A968" i="18"/>
  <c r="A969" i="18"/>
  <c r="A970" i="18"/>
  <c r="A971" i="18"/>
  <c r="A972" i="18"/>
  <c r="A973" i="18"/>
  <c r="A974" i="18"/>
  <c r="A975" i="18"/>
  <c r="A976" i="18"/>
  <c r="A977" i="18"/>
  <c r="A978" i="18"/>
  <c r="A979" i="18"/>
  <c r="A980" i="18"/>
  <c r="A981" i="18"/>
  <c r="A982" i="18"/>
  <c r="A983" i="18"/>
  <c r="A984" i="18"/>
  <c r="A985" i="18"/>
  <c r="A986" i="18"/>
  <c r="A987" i="18"/>
  <c r="A988" i="18"/>
  <c r="A989" i="18"/>
  <c r="A990" i="18"/>
  <c r="A991" i="18"/>
  <c r="A992" i="18"/>
  <c r="A993" i="18"/>
  <c r="A994" i="18"/>
  <c r="A995" i="18"/>
  <c r="A996" i="18"/>
  <c r="A997" i="18"/>
  <c r="A998" i="18"/>
  <c r="A999" i="18"/>
  <c r="A1000" i="18"/>
  <c r="A1001" i="18"/>
  <c r="A1002" i="18"/>
  <c r="A1003" i="18"/>
  <c r="A1004" i="18"/>
  <c r="A1005" i="18"/>
  <c r="A1006" i="18"/>
  <c r="A1007" i="18"/>
  <c r="A1008" i="18"/>
  <c r="A1009" i="18"/>
  <c r="A1010" i="18"/>
  <c r="A1011" i="18"/>
  <c r="A1012" i="18"/>
  <c r="A1013" i="18"/>
  <c r="A1014" i="18"/>
  <c r="A1015" i="18"/>
  <c r="A1016" i="18"/>
  <c r="A1017" i="18"/>
  <c r="A1018" i="18"/>
  <c r="A1019" i="18"/>
  <c r="A1020" i="18"/>
  <c r="A1021" i="18"/>
  <c r="A1022" i="18"/>
  <c r="A1023" i="18"/>
  <c r="A1024" i="18"/>
  <c r="A1025" i="18"/>
  <c r="A1026" i="18"/>
  <c r="A1027" i="18"/>
  <c r="A1028" i="18"/>
  <c r="A1029" i="18"/>
  <c r="A1030" i="18"/>
  <c r="A1031" i="18"/>
  <c r="A1032" i="18"/>
  <c r="A1033" i="18"/>
  <c r="A1034" i="18"/>
  <c r="A1035" i="18"/>
  <c r="A1036" i="18"/>
  <c r="A1037" i="18"/>
  <c r="A1038" i="18"/>
  <c r="A1039" i="18"/>
  <c r="A1040" i="18"/>
  <c r="A1041" i="18"/>
  <c r="A1042" i="18"/>
  <c r="A1043" i="18"/>
  <c r="A1044" i="18"/>
  <c r="A1045" i="18"/>
  <c r="A1046" i="18"/>
  <c r="A1047" i="18"/>
  <c r="A1048" i="18"/>
  <c r="A1049" i="18"/>
  <c r="A1050" i="18"/>
  <c r="A1051" i="18"/>
  <c r="A1052" i="18"/>
  <c r="A1053" i="18"/>
  <c r="A1054" i="18"/>
  <c r="A1055" i="18"/>
  <c r="A1056" i="18"/>
  <c r="A1057" i="18"/>
  <c r="A1058" i="18"/>
  <c r="A1059" i="18"/>
  <c r="A1060" i="18"/>
  <c r="A1061" i="18"/>
  <c r="A1062" i="18"/>
  <c r="A1063" i="18"/>
  <c r="A1064" i="18"/>
  <c r="A1065" i="18"/>
  <c r="A1066" i="18"/>
  <c r="A1067" i="18"/>
  <c r="A1068" i="18"/>
  <c r="A1069" i="18"/>
  <c r="A1070" i="18"/>
  <c r="A1071" i="18"/>
  <c r="A1072" i="18"/>
  <c r="A1073" i="18"/>
  <c r="A1074" i="18"/>
  <c r="A1075" i="18"/>
  <c r="A1076" i="18"/>
  <c r="A1077" i="18"/>
  <c r="A1078" i="18"/>
  <c r="A1079" i="18"/>
  <c r="A1080" i="18"/>
  <c r="A1081" i="18"/>
  <c r="A1082" i="18"/>
  <c r="A1083" i="18"/>
  <c r="A1084" i="18"/>
  <c r="A1085" i="18"/>
  <c r="A1086" i="18"/>
  <c r="A1087" i="18"/>
  <c r="A1088" i="18"/>
  <c r="A1089" i="18"/>
  <c r="A1090" i="18"/>
  <c r="A1091" i="18"/>
  <c r="A1092" i="18"/>
  <c r="A1093" i="18"/>
  <c r="A1094" i="18"/>
  <c r="A1095" i="18"/>
  <c r="A1096" i="18"/>
  <c r="A1097" i="18"/>
  <c r="A1098" i="18"/>
  <c r="A1099" i="18"/>
  <c r="A1100" i="18"/>
  <c r="A1101" i="18"/>
  <c r="A1102" i="18"/>
  <c r="A1103" i="18"/>
  <c r="A1104" i="18"/>
  <c r="A1105" i="18"/>
  <c r="A1106" i="18"/>
  <c r="A1107" i="18"/>
  <c r="A1108" i="18"/>
  <c r="A1109" i="18"/>
  <c r="A1110" i="18"/>
  <c r="A1111" i="18"/>
  <c r="A1112" i="18"/>
  <c r="A1113" i="18"/>
  <c r="A1114" i="18"/>
  <c r="A1115" i="18"/>
  <c r="A1116" i="18"/>
  <c r="A1117" i="18"/>
  <c r="A1118" i="18"/>
  <c r="A1119" i="18"/>
  <c r="A1120" i="18"/>
  <c r="A1121" i="18"/>
  <c r="A1122" i="18"/>
  <c r="A1123" i="18"/>
  <c r="A1124" i="18"/>
  <c r="A1125" i="18"/>
  <c r="A1126" i="18"/>
  <c r="A1127" i="18"/>
  <c r="A1128" i="18"/>
  <c r="A1129" i="18"/>
  <c r="A1130" i="18"/>
  <c r="A1131" i="18"/>
  <c r="A1132" i="18"/>
  <c r="A1133" i="18"/>
  <c r="A1134" i="18"/>
  <c r="A1135" i="18"/>
  <c r="A1136" i="18"/>
  <c r="A1137" i="18"/>
  <c r="A1138" i="18"/>
  <c r="A1139" i="18"/>
  <c r="A1140" i="18"/>
  <c r="A1141" i="18"/>
  <c r="A1142" i="18"/>
  <c r="A1143" i="18"/>
  <c r="A1144" i="18"/>
  <c r="A1145" i="18"/>
  <c r="A1146" i="18"/>
  <c r="A1147" i="18"/>
  <c r="A1148" i="18"/>
  <c r="A1149" i="18"/>
  <c r="A1150" i="18"/>
  <c r="A1151" i="18"/>
  <c r="A1152" i="18"/>
  <c r="A1153" i="18"/>
  <c r="A1154" i="18"/>
  <c r="A1155" i="18"/>
  <c r="A1156" i="18"/>
  <c r="A1157" i="18"/>
  <c r="A1158" i="18"/>
  <c r="A1159" i="18"/>
  <c r="A1160" i="18"/>
  <c r="A1161" i="18"/>
  <c r="A1162" i="18"/>
  <c r="A1163" i="18"/>
  <c r="A1164" i="18"/>
  <c r="A1165" i="18"/>
  <c r="A1166" i="18"/>
  <c r="A1167" i="18"/>
  <c r="A1168" i="18"/>
  <c r="A1169" i="18"/>
  <c r="A1170" i="18"/>
  <c r="A1171" i="18"/>
  <c r="A1172" i="18"/>
  <c r="A1173" i="18"/>
  <c r="A1174" i="18"/>
  <c r="A1175" i="18"/>
  <c r="A1176" i="18"/>
  <c r="A1177" i="18"/>
  <c r="A1178" i="18"/>
  <c r="A1179" i="18"/>
  <c r="A1180" i="18"/>
  <c r="A1181" i="18"/>
  <c r="A1182" i="18"/>
  <c r="A1183" i="18"/>
  <c r="A1184" i="18"/>
  <c r="A1185" i="18"/>
  <c r="A1186" i="18"/>
  <c r="A1187" i="18"/>
  <c r="A1188" i="18"/>
  <c r="A1189" i="18"/>
  <c r="A1190" i="18"/>
  <c r="A1191" i="18"/>
  <c r="A1192" i="18"/>
  <c r="A1193" i="18"/>
  <c r="A1194" i="18"/>
  <c r="A1195" i="18"/>
  <c r="A1196" i="18"/>
  <c r="A1197" i="18"/>
  <c r="A1198" i="18"/>
  <c r="A1199" i="18"/>
  <c r="A1200" i="18"/>
  <c r="A1201" i="18"/>
  <c r="A1202" i="18"/>
  <c r="A1203" i="18"/>
  <c r="A1204" i="18"/>
  <c r="A1205" i="18"/>
  <c r="A1206" i="18"/>
  <c r="A1207" i="18"/>
  <c r="A1208" i="18"/>
  <c r="A1209" i="18"/>
  <c r="A1210" i="18"/>
  <c r="A1211" i="18"/>
  <c r="A1212" i="18"/>
  <c r="A1213" i="18"/>
  <c r="A1214" i="18"/>
  <c r="A1215" i="18"/>
  <c r="A1216" i="18"/>
  <c r="A1217" i="18"/>
  <c r="A1218" i="18"/>
  <c r="A1219" i="18"/>
  <c r="A1220" i="18"/>
  <c r="A1221" i="18"/>
  <c r="A1222" i="18"/>
  <c r="A1223" i="18"/>
  <c r="A1224" i="18"/>
  <c r="A1225" i="18"/>
  <c r="A1226" i="18"/>
  <c r="A1227" i="18"/>
  <c r="A1228" i="18"/>
  <c r="A1229" i="18"/>
  <c r="A1230" i="18"/>
  <c r="A1231" i="18"/>
  <c r="A1232" i="18"/>
  <c r="A1233" i="18"/>
  <c r="A1234" i="18"/>
  <c r="A1235" i="18"/>
  <c r="A1236" i="18"/>
  <c r="A1237" i="18"/>
  <c r="A1238" i="18"/>
  <c r="A1239" i="18"/>
  <c r="A1240" i="18"/>
  <c r="A1241" i="18"/>
  <c r="A1242" i="18"/>
  <c r="A1243" i="18"/>
  <c r="A1244" i="18"/>
  <c r="A1245" i="18"/>
  <c r="A1246" i="18"/>
  <c r="A1247" i="18"/>
  <c r="A1248" i="18"/>
  <c r="A1249" i="18"/>
  <c r="A1250" i="18"/>
  <c r="A1251" i="18"/>
  <c r="A1252" i="18"/>
  <c r="A1253" i="18"/>
  <c r="A1254" i="18"/>
  <c r="A1255" i="18"/>
  <c r="A1256" i="18"/>
  <c r="A1257" i="18"/>
  <c r="A1258" i="18"/>
  <c r="A1259" i="18"/>
  <c r="A1260" i="18"/>
  <c r="A1261" i="18"/>
  <c r="A1262" i="18"/>
  <c r="A1263" i="18"/>
  <c r="A1264" i="18"/>
  <c r="A1265" i="18"/>
  <c r="A1266" i="18"/>
  <c r="A1267" i="18"/>
  <c r="A1268" i="18"/>
  <c r="A1269" i="18"/>
  <c r="A1270" i="18"/>
  <c r="A1271" i="18"/>
  <c r="A1272" i="18"/>
  <c r="A1273" i="18"/>
  <c r="A1274" i="18"/>
  <c r="A1275" i="18"/>
  <c r="A1276" i="18"/>
  <c r="A1277" i="18"/>
  <c r="A1278" i="18"/>
  <c r="A1279" i="18"/>
  <c r="A1280" i="18"/>
  <c r="A1281" i="18"/>
  <c r="A1282" i="18"/>
  <c r="A1283" i="18"/>
  <c r="A1284" i="18"/>
  <c r="A1285" i="18"/>
  <c r="A1286" i="18"/>
  <c r="A1287" i="18"/>
  <c r="A1288" i="18"/>
  <c r="A1289" i="18"/>
  <c r="A1290" i="18"/>
  <c r="A1291" i="18"/>
  <c r="A1292" i="18"/>
  <c r="A1293" i="18"/>
  <c r="A1294" i="18"/>
  <c r="A1295" i="18"/>
  <c r="A1296" i="18"/>
  <c r="A1297" i="18"/>
  <c r="A1298" i="18"/>
  <c r="A1299" i="18"/>
  <c r="A1300" i="18"/>
  <c r="A1301" i="18"/>
  <c r="A1302" i="18"/>
  <c r="A1303" i="18"/>
  <c r="A1304" i="18"/>
  <c r="A1305" i="18"/>
  <c r="A1306" i="18"/>
  <c r="A1307" i="18"/>
  <c r="A1308" i="18"/>
  <c r="A1309" i="18"/>
  <c r="A1310" i="18"/>
  <c r="A1311" i="18"/>
  <c r="A1312" i="18"/>
  <c r="A1313" i="18"/>
  <c r="A1314" i="18"/>
  <c r="A1315" i="18"/>
  <c r="A1316" i="18"/>
  <c r="A1317" i="18"/>
  <c r="A1318" i="18"/>
  <c r="A1319" i="18"/>
  <c r="A1320" i="18"/>
  <c r="A1321" i="18"/>
  <c r="A1322" i="18"/>
  <c r="A1323" i="18"/>
  <c r="A1324" i="18"/>
  <c r="A1325" i="18"/>
  <c r="A1326" i="18"/>
  <c r="A1327" i="18"/>
  <c r="A1328" i="18"/>
  <c r="A1329" i="18"/>
  <c r="A1330" i="18"/>
  <c r="A1331" i="18"/>
  <c r="A1332" i="18"/>
  <c r="A1333" i="18"/>
  <c r="A1334" i="18"/>
  <c r="A1335" i="18"/>
  <c r="A1336" i="18"/>
  <c r="A1337" i="18"/>
  <c r="A1338" i="18"/>
  <c r="A1339" i="18"/>
  <c r="A1340" i="18"/>
  <c r="A1341" i="18"/>
  <c r="A1342" i="18"/>
  <c r="A1343" i="18"/>
  <c r="A1344" i="18"/>
  <c r="A1345" i="18"/>
  <c r="A1346" i="18"/>
  <c r="A1347" i="18"/>
  <c r="A1348" i="18"/>
  <c r="A1349" i="18"/>
  <c r="A1350" i="18"/>
  <c r="A1351" i="18"/>
  <c r="A1352" i="18"/>
  <c r="A1353" i="18"/>
  <c r="A1354" i="18"/>
  <c r="A1355" i="18"/>
  <c r="A1356" i="18"/>
  <c r="A1357" i="18"/>
  <c r="A1358" i="18"/>
  <c r="A1359" i="18"/>
  <c r="A1360" i="18"/>
  <c r="A1361" i="18"/>
  <c r="A1362" i="18"/>
  <c r="A1363" i="18"/>
  <c r="A1364" i="18"/>
  <c r="A1365" i="18"/>
  <c r="A1366" i="18"/>
  <c r="A1367" i="18"/>
  <c r="A1368" i="18"/>
  <c r="A1369" i="18"/>
  <c r="A1370" i="18"/>
  <c r="A1371" i="18"/>
  <c r="A1372" i="18"/>
  <c r="A1373" i="18"/>
  <c r="A1374" i="18"/>
  <c r="A1375" i="18"/>
  <c r="A1376" i="18"/>
  <c r="A1377" i="18"/>
  <c r="A1378" i="18"/>
  <c r="A1379" i="18"/>
  <c r="A1380" i="18"/>
  <c r="A1381" i="18"/>
  <c r="A1382" i="18"/>
  <c r="A1383" i="18"/>
  <c r="A1384" i="18"/>
  <c r="A1385" i="18"/>
  <c r="A1386" i="18"/>
  <c r="A1387" i="18"/>
  <c r="A1388" i="18"/>
  <c r="A1389" i="18"/>
  <c r="A1390" i="18"/>
  <c r="A1391" i="18"/>
  <c r="A1392" i="18"/>
  <c r="A1393" i="18"/>
  <c r="A1394" i="18"/>
  <c r="A1395" i="18"/>
  <c r="A1396" i="18"/>
  <c r="A1397" i="18"/>
  <c r="A1398" i="18"/>
  <c r="A1399" i="18"/>
  <c r="A1400" i="18"/>
  <c r="A1401" i="18"/>
  <c r="A1402" i="18"/>
  <c r="A1403" i="18"/>
  <c r="A1404" i="18"/>
  <c r="A1405" i="18"/>
  <c r="A1406" i="18"/>
  <c r="A1407" i="18"/>
  <c r="A1408" i="18"/>
  <c r="A1409" i="18"/>
  <c r="A1410" i="18"/>
  <c r="A1411" i="18"/>
  <c r="A1412" i="18"/>
  <c r="A1413" i="18"/>
  <c r="A1414" i="18"/>
  <c r="A1415" i="18"/>
  <c r="A1416" i="18"/>
  <c r="A1417" i="18"/>
  <c r="A1418" i="18"/>
  <c r="A1419" i="18"/>
  <c r="A1420" i="18"/>
  <c r="A1421" i="18"/>
  <c r="A1422" i="18"/>
  <c r="A1423" i="18"/>
  <c r="A1424" i="18"/>
  <c r="A1425" i="18"/>
  <c r="A1426" i="18"/>
  <c r="A1427" i="18"/>
  <c r="A1428" i="18"/>
  <c r="A1429" i="18"/>
  <c r="A1430" i="18"/>
  <c r="A1431" i="18"/>
  <c r="A1432" i="18"/>
  <c r="A1433" i="18"/>
  <c r="A1434" i="18"/>
  <c r="A1435" i="18"/>
  <c r="A1436" i="18"/>
  <c r="A1437" i="18"/>
  <c r="A1438" i="18"/>
  <c r="A1439" i="18"/>
  <c r="A1440" i="18"/>
  <c r="A1441" i="18"/>
  <c r="A1442" i="18"/>
  <c r="A1443" i="18"/>
  <c r="A1444" i="18"/>
  <c r="A1445" i="18"/>
  <c r="A1446" i="18"/>
  <c r="A1447" i="18"/>
  <c r="A1448" i="18"/>
  <c r="A1449" i="18"/>
  <c r="A1450" i="18"/>
  <c r="A1451" i="18"/>
  <c r="A1452" i="18"/>
  <c r="A1453" i="18"/>
  <c r="A1454" i="18"/>
  <c r="A1455" i="18"/>
  <c r="A1456" i="18"/>
  <c r="A1457" i="18"/>
  <c r="A1458" i="18"/>
  <c r="A1459" i="18"/>
  <c r="A1460" i="18"/>
  <c r="A1461" i="18"/>
  <c r="A1462" i="18"/>
  <c r="A1463" i="18"/>
  <c r="A1464" i="18"/>
  <c r="A1465" i="18"/>
  <c r="A1466" i="18"/>
  <c r="A1467" i="18"/>
  <c r="A1468" i="18"/>
  <c r="A1469" i="18"/>
  <c r="A1470" i="18"/>
  <c r="A1471" i="18"/>
  <c r="A1472" i="18"/>
  <c r="A1473" i="18"/>
  <c r="A1474" i="18"/>
  <c r="A1475" i="18"/>
  <c r="A1476" i="18"/>
  <c r="A1477" i="18"/>
  <c r="A1478" i="18"/>
  <c r="A1479" i="18"/>
  <c r="A1480" i="18"/>
  <c r="A1481" i="18"/>
  <c r="A1482" i="18"/>
  <c r="A1483" i="18"/>
  <c r="A1484" i="18"/>
  <c r="A1485" i="18"/>
  <c r="A1486" i="18"/>
  <c r="A1487" i="18"/>
  <c r="A1488" i="18"/>
  <c r="A1489" i="18"/>
  <c r="A1490" i="18"/>
  <c r="A1491" i="18"/>
  <c r="A1492" i="18"/>
  <c r="A1493" i="18"/>
  <c r="A1494" i="18"/>
  <c r="A1495" i="18"/>
  <c r="A1496" i="18"/>
  <c r="A1497" i="18"/>
  <c r="A1498" i="18"/>
  <c r="A1499" i="18"/>
  <c r="A1500" i="18"/>
  <c r="A1501" i="18"/>
  <c r="A1502" i="18"/>
  <c r="A1503" i="18"/>
  <c r="A1504" i="18"/>
  <c r="A1505" i="18"/>
  <c r="A1506" i="18"/>
  <c r="A1507" i="18"/>
  <c r="A1508" i="18"/>
  <c r="A1509" i="18"/>
  <c r="A1510" i="18"/>
  <c r="A1511" i="18"/>
  <c r="A1512" i="18"/>
  <c r="A1513" i="18"/>
  <c r="A1514" i="18"/>
  <c r="A1515" i="18"/>
  <c r="A1516" i="18"/>
  <c r="A1517" i="18"/>
  <c r="A1518" i="18"/>
  <c r="A1519" i="18"/>
  <c r="A1520" i="18"/>
  <c r="A1521" i="18"/>
  <c r="A1522" i="18"/>
  <c r="A1523" i="18"/>
  <c r="A1524" i="18"/>
  <c r="A1525" i="18"/>
  <c r="A1526" i="18"/>
  <c r="A1527" i="18"/>
  <c r="A1528" i="18"/>
  <c r="A1529" i="18"/>
  <c r="A1530" i="18"/>
  <c r="A1531" i="18"/>
  <c r="A1532" i="18"/>
  <c r="A1533" i="18"/>
  <c r="A1534" i="18"/>
  <c r="A1535" i="18"/>
  <c r="A1536" i="18"/>
  <c r="A1537" i="18"/>
  <c r="A1538" i="18"/>
  <c r="A1539" i="18"/>
  <c r="A1540" i="18"/>
  <c r="A1541" i="18"/>
  <c r="A1542" i="18"/>
  <c r="A1543" i="18"/>
  <c r="A1544" i="18"/>
  <c r="A1545" i="18"/>
  <c r="A1546" i="18"/>
  <c r="A1547" i="18"/>
  <c r="A1548" i="18"/>
  <c r="A1549" i="18"/>
  <c r="A1550" i="18"/>
  <c r="A1551" i="18"/>
  <c r="A1552" i="18"/>
  <c r="A1553" i="18"/>
  <c r="A1554" i="18"/>
  <c r="A1555" i="18"/>
  <c r="A1556" i="18"/>
  <c r="A1557" i="18"/>
  <c r="A1558" i="18"/>
  <c r="A1559" i="18"/>
  <c r="A1560" i="18"/>
  <c r="A1561" i="18"/>
  <c r="A1562" i="18"/>
  <c r="A1563" i="18"/>
  <c r="A1564" i="18"/>
  <c r="A1565" i="18"/>
  <c r="A1566" i="18"/>
  <c r="A1567" i="18"/>
  <c r="A1568" i="18"/>
  <c r="A1569" i="18"/>
  <c r="A1570" i="18"/>
  <c r="A1571" i="18"/>
  <c r="A1572" i="18"/>
  <c r="A1573" i="18"/>
  <c r="A1574" i="18"/>
  <c r="A1575" i="18"/>
  <c r="A1576" i="18"/>
  <c r="A1577" i="18"/>
  <c r="A1578" i="18"/>
  <c r="A1579" i="18"/>
  <c r="A1580" i="18"/>
  <c r="A1581" i="18"/>
  <c r="A1582" i="18"/>
  <c r="A1583" i="18"/>
  <c r="A1584" i="18"/>
  <c r="A1585" i="18"/>
  <c r="A1586" i="18"/>
  <c r="A1587" i="18"/>
  <c r="A1588" i="18"/>
  <c r="A1589" i="18"/>
  <c r="A1590" i="18"/>
  <c r="A1591" i="18"/>
  <c r="A1592" i="18"/>
  <c r="A1593" i="18"/>
  <c r="A1594" i="18"/>
  <c r="A1595" i="18"/>
  <c r="A1596" i="18"/>
  <c r="A1597" i="18"/>
  <c r="A1598" i="18"/>
  <c r="A1599" i="18"/>
  <c r="A1600" i="18"/>
  <c r="A1601" i="18"/>
  <c r="A1602" i="18"/>
  <c r="A1603" i="18"/>
  <c r="A1604" i="18"/>
  <c r="A1605" i="18"/>
  <c r="A1606" i="18"/>
  <c r="A1607" i="18"/>
  <c r="A1608" i="18"/>
  <c r="A1609" i="18"/>
  <c r="A1610" i="18"/>
  <c r="A1611" i="18"/>
  <c r="A1612" i="18"/>
  <c r="A1613" i="18"/>
  <c r="A1614" i="18"/>
  <c r="A1615" i="18"/>
  <c r="A1616" i="18"/>
  <c r="A1617" i="18"/>
  <c r="A1618" i="18"/>
  <c r="A1619" i="18"/>
  <c r="A1620" i="18"/>
  <c r="A1621" i="18"/>
  <c r="A1622" i="18"/>
  <c r="A1623" i="18"/>
  <c r="A1624" i="18"/>
  <c r="A1625" i="18"/>
  <c r="A1626" i="18"/>
  <c r="A1627" i="18"/>
  <c r="A1628" i="18"/>
  <c r="A1629" i="18"/>
  <c r="A1630" i="18"/>
  <c r="A1631" i="18"/>
  <c r="A1632" i="18"/>
  <c r="A1633" i="18"/>
  <c r="A1634" i="18"/>
  <c r="A1635" i="18"/>
  <c r="A1636" i="18"/>
  <c r="A1637" i="18"/>
  <c r="A1638" i="18"/>
  <c r="A1639" i="18"/>
  <c r="A1640" i="18"/>
  <c r="A1641" i="18"/>
  <c r="A1642" i="18"/>
  <c r="A1643" i="18"/>
  <c r="A1644" i="18"/>
  <c r="A1645" i="18"/>
  <c r="A1646" i="18"/>
  <c r="A1647" i="18"/>
  <c r="A1648" i="18"/>
  <c r="A1649" i="18"/>
  <c r="A1650" i="18"/>
  <c r="A1651" i="18"/>
  <c r="A1652" i="18"/>
  <c r="A1653" i="18"/>
  <c r="A1654" i="18"/>
  <c r="A1655" i="18"/>
  <c r="A1656" i="18"/>
  <c r="A1657" i="18"/>
  <c r="A1658" i="18"/>
  <c r="A1659" i="18"/>
  <c r="A1660" i="18"/>
  <c r="A1661" i="18"/>
  <c r="A1662" i="18"/>
  <c r="A1663" i="18"/>
  <c r="A1664" i="18"/>
  <c r="A1665" i="18"/>
  <c r="A1666" i="18"/>
  <c r="A1667" i="18"/>
  <c r="A1668" i="18"/>
  <c r="A1669" i="18"/>
  <c r="A1670" i="18"/>
  <c r="A1671" i="18"/>
  <c r="A1672" i="18"/>
  <c r="A1673" i="18"/>
  <c r="A1674" i="18"/>
  <c r="A1675" i="18"/>
  <c r="A1676" i="18"/>
  <c r="A1677" i="18"/>
  <c r="A1678" i="18"/>
  <c r="A1679" i="18"/>
  <c r="A1680" i="18"/>
  <c r="A1681" i="18"/>
  <c r="A1682" i="18"/>
  <c r="A1683" i="18"/>
  <c r="A1684" i="18"/>
  <c r="A1685" i="18"/>
  <c r="A1686" i="18"/>
  <c r="A1687" i="18"/>
  <c r="A1688" i="18"/>
  <c r="A1689" i="18"/>
  <c r="A1690" i="18"/>
  <c r="A1691" i="18"/>
  <c r="A1692" i="18"/>
  <c r="A1693" i="18"/>
  <c r="A1694" i="18"/>
  <c r="A1695" i="18"/>
  <c r="A1696" i="18"/>
  <c r="A1697" i="18"/>
  <c r="A1698" i="18"/>
  <c r="A1699" i="18"/>
  <c r="A1700" i="18"/>
  <c r="A1701" i="18"/>
  <c r="A1702" i="18"/>
  <c r="A1703" i="18"/>
  <c r="A1704" i="18"/>
  <c r="A1705" i="18"/>
  <c r="A1706" i="18"/>
  <c r="A1707" i="18"/>
  <c r="A1708" i="18"/>
  <c r="A1709" i="18"/>
  <c r="A1710" i="18"/>
  <c r="A1711" i="18"/>
  <c r="A1712" i="18"/>
  <c r="A1713" i="18"/>
  <c r="A1714" i="18"/>
  <c r="A1715" i="18"/>
  <c r="A1716" i="18"/>
  <c r="A1717" i="18"/>
  <c r="A1718" i="18"/>
  <c r="A1719" i="18"/>
  <c r="A1720" i="18"/>
  <c r="A1721" i="18"/>
  <c r="A1722" i="18"/>
  <c r="A1723" i="18"/>
  <c r="A1724" i="18"/>
  <c r="A1725" i="18"/>
  <c r="A1726" i="18"/>
  <c r="A1727" i="18"/>
  <c r="A1728" i="18"/>
  <c r="A1729" i="18"/>
  <c r="A1730" i="18"/>
  <c r="A1731" i="18"/>
  <c r="A1732" i="18"/>
  <c r="A1733" i="18"/>
  <c r="A1734" i="18"/>
  <c r="A1735" i="18"/>
  <c r="A1736" i="18"/>
  <c r="A1737" i="18"/>
  <c r="A1738" i="18"/>
  <c r="A1739" i="18"/>
  <c r="A1740" i="18"/>
  <c r="A1741" i="18"/>
  <c r="A1742" i="18"/>
  <c r="A1743" i="18"/>
  <c r="A1744" i="18"/>
  <c r="A1745" i="18"/>
  <c r="A1746" i="18"/>
  <c r="A1747" i="18"/>
  <c r="A1748" i="18"/>
  <c r="A1749" i="18"/>
  <c r="A1750" i="18"/>
  <c r="A1751" i="18"/>
  <c r="A1752" i="18"/>
  <c r="A1753" i="18"/>
  <c r="A1754" i="18"/>
  <c r="A1755" i="18"/>
  <c r="A1756" i="18"/>
  <c r="A1757" i="18"/>
  <c r="A1758" i="18"/>
  <c r="A1759" i="18"/>
  <c r="A1760" i="18"/>
  <c r="A1761" i="18"/>
  <c r="A1762" i="18"/>
  <c r="A1763" i="18"/>
  <c r="A1764" i="18"/>
  <c r="A1765" i="18"/>
  <c r="H2" i="16"/>
  <c r="F1760" i="16" l="1"/>
  <c r="F1753" i="16"/>
  <c r="F1746" i="16"/>
  <c r="F1739" i="16"/>
  <c r="F1732" i="16"/>
  <c r="F1725" i="16"/>
  <c r="F1718" i="16"/>
  <c r="F1717" i="16"/>
  <c r="F1605" i="16"/>
  <c r="F1464" i="16"/>
  <c r="F1463" i="16"/>
  <c r="F1459" i="16"/>
  <c r="F1455" i="16"/>
  <c r="F1448" i="16"/>
  <c r="F1441" i="16"/>
  <c r="F1434" i="16"/>
  <c r="F1427" i="16"/>
  <c r="F1420" i="16"/>
  <c r="F1413" i="16"/>
  <c r="F1412" i="16"/>
  <c r="F1409" i="16"/>
  <c r="F1407" i="16"/>
  <c r="F1404" i="16"/>
  <c r="F1397" i="16"/>
  <c r="F1390" i="16"/>
  <c r="F1383" i="16"/>
  <c r="F1376" i="16"/>
  <c r="F1369" i="16"/>
  <c r="F1362" i="16"/>
  <c r="F1361" i="16"/>
  <c r="F1358" i="16"/>
  <c r="F1355" i="16"/>
  <c r="F1351" i="16"/>
  <c r="F1347" i="16"/>
  <c r="F1346" i="16"/>
  <c r="F1345" i="16"/>
  <c r="F1341" i="16"/>
  <c r="F1339" i="16"/>
  <c r="F1335" i="16"/>
  <c r="F1334" i="16"/>
  <c r="F1332" i="16"/>
  <c r="F1327" i="16"/>
  <c r="F1323" i="16"/>
  <c r="F1317" i="16"/>
  <c r="F1312" i="16"/>
  <c r="F1311" i="16"/>
  <c r="F1310" i="16"/>
  <c r="F1309" i="16"/>
  <c r="F1305" i="16"/>
  <c r="F1298" i="16"/>
  <c r="F1297" i="16"/>
  <c r="F1246" i="16"/>
  <c r="F1220" i="16"/>
  <c r="F1194" i="16"/>
  <c r="F1165" i="16"/>
  <c r="F1164" i="16"/>
  <c r="F1163" i="16"/>
  <c r="F1154" i="16"/>
  <c r="F1145" i="16"/>
  <c r="F1136" i="16"/>
  <c r="F1127" i="16"/>
  <c r="F1118" i="16"/>
  <c r="F1117" i="16"/>
  <c r="F1110" i="16"/>
  <c r="F1109" i="16"/>
  <c r="F1073" i="16"/>
  <c r="F1072" i="16"/>
  <c r="F1070" i="16"/>
  <c r="F1068" i="16"/>
  <c r="F1066" i="16"/>
  <c r="F1064" i="16"/>
  <c r="F1062" i="16"/>
  <c r="F1060" i="16"/>
  <c r="F1053" i="16"/>
  <c r="F1046" i="16"/>
  <c r="F1039" i="16"/>
  <c r="F1038" i="16"/>
  <c r="F1036" i="16"/>
  <c r="F1034" i="16"/>
  <c r="F1032" i="16"/>
  <c r="F1030" i="16"/>
  <c r="F1028" i="16"/>
  <c r="F1026" i="16"/>
  <c r="F1024" i="16"/>
  <c r="F1022" i="16"/>
  <c r="F1020" i="16"/>
  <c r="F1013" i="16"/>
  <c r="F1006" i="16"/>
  <c r="F999" i="16"/>
  <c r="F998" i="16"/>
  <c r="F995" i="16"/>
  <c r="F992" i="16"/>
  <c r="F988" i="16"/>
  <c r="F984" i="16"/>
  <c r="F983" i="16"/>
  <c r="F979" i="16"/>
  <c r="F975" i="16"/>
  <c r="F971" i="16"/>
  <c r="F967" i="16"/>
  <c r="F963" i="16"/>
  <c r="F960" i="16"/>
  <c r="F955" i="16"/>
  <c r="F950" i="16"/>
  <c r="F943" i="16"/>
  <c r="F938" i="16"/>
  <c r="F937" i="16"/>
  <c r="F932" i="16"/>
  <c r="F928" i="16"/>
  <c r="F924" i="16"/>
  <c r="F915" i="16"/>
  <c r="F914" i="16"/>
  <c r="F815" i="16"/>
  <c r="F814" i="16"/>
  <c r="F813" i="16"/>
  <c r="F812" i="16"/>
  <c r="F803" i="16"/>
  <c r="F726" i="16"/>
  <c r="F717" i="16"/>
  <c r="F716" i="16"/>
  <c r="F712" i="16"/>
  <c r="F708" i="16"/>
  <c r="F704" i="16"/>
  <c r="F703" i="16"/>
  <c r="F699" i="16"/>
  <c r="F695" i="16"/>
  <c r="F694" i="16"/>
  <c r="F690" i="16"/>
  <c r="F686" i="16"/>
  <c r="F682" i="16"/>
  <c r="F681" i="16"/>
  <c r="F677" i="16"/>
  <c r="F673" i="16"/>
  <c r="F669" i="16"/>
  <c r="F668" i="16"/>
  <c r="F664" i="16"/>
  <c r="F660" i="16"/>
  <c r="F656" i="16"/>
  <c r="F652" i="16"/>
  <c r="F648" i="16"/>
  <c r="F644" i="16"/>
  <c r="F640" i="16"/>
  <c r="F636" i="16"/>
  <c r="F635" i="16"/>
  <c r="F634" i="16"/>
  <c r="F630" i="16"/>
  <c r="F629" i="16"/>
  <c r="F625" i="16"/>
  <c r="F621" i="16"/>
  <c r="F617" i="16"/>
  <c r="F613" i="16"/>
  <c r="F612" i="16"/>
  <c r="F608" i="16"/>
  <c r="F605" i="16"/>
  <c r="F601" i="16"/>
  <c r="F597" i="16"/>
  <c r="F594" i="16"/>
  <c r="F591" i="16"/>
  <c r="F587" i="16"/>
  <c r="F584" i="16"/>
  <c r="F581" i="16"/>
  <c r="F577" i="16"/>
  <c r="F576" i="16"/>
  <c r="F575" i="16"/>
  <c r="F574" i="16"/>
  <c r="F498" i="16"/>
  <c r="F485" i="16"/>
  <c r="F478" i="16"/>
  <c r="F468" i="16"/>
  <c r="F458" i="16"/>
  <c r="F418" i="16"/>
  <c r="F387" i="16"/>
  <c r="F386" i="16"/>
  <c r="F310" i="16"/>
  <c r="F297" i="16"/>
  <c r="F290" i="16"/>
  <c r="F280" i="16"/>
  <c r="F270" i="16"/>
  <c r="F230" i="16"/>
  <c r="F199" i="16"/>
  <c r="F198" i="16"/>
  <c r="F197" i="16"/>
  <c r="F180" i="16"/>
  <c r="F163" i="16"/>
  <c r="F162" i="16"/>
  <c r="F154" i="16"/>
  <c r="F150" i="16"/>
  <c r="F146" i="16"/>
  <c r="F142" i="16"/>
  <c r="F138" i="16"/>
  <c r="F134" i="16"/>
  <c r="F124" i="16"/>
  <c r="F123" i="16"/>
  <c r="F115" i="16"/>
  <c r="F111" i="16"/>
  <c r="F107" i="16"/>
  <c r="F103" i="16"/>
  <c r="F99" i="16"/>
  <c r="F95" i="16"/>
  <c r="F85" i="16"/>
  <c r="F84" i="16"/>
  <c r="F83" i="16"/>
  <c r="F82" i="16"/>
  <c r="F62" i="16"/>
  <c r="F42" i="16"/>
  <c r="F41" i="16"/>
  <c r="F39" i="16"/>
  <c r="F37" i="16"/>
  <c r="F25" i="16"/>
  <c r="F24" i="16"/>
  <c r="F17" i="16"/>
  <c r="F14" i="16"/>
  <c r="F11" i="16"/>
  <c r="F8" i="16"/>
  <c r="F7" i="16"/>
  <c r="F4" i="16"/>
  <c r="F3" i="16"/>
  <c r="G2" i="16"/>
  <c r="G427" i="16" l="1"/>
  <c r="E6" i="16"/>
  <c r="E5" i="16"/>
  <c r="F2" i="16"/>
  <c r="I2" i="16" s="1"/>
  <c r="E1480" i="16"/>
  <c r="G923" i="16"/>
  <c r="G59" i="16"/>
  <c r="G239" i="16"/>
  <c r="G551" i="16"/>
  <c r="G611" i="16"/>
  <c r="G863" i="16"/>
  <c r="G935" i="16"/>
  <c r="G178" i="16"/>
  <c r="G897" i="16"/>
  <c r="G1055" i="16"/>
  <c r="G1144" i="16"/>
  <c r="G179" i="16"/>
  <c r="G35" i="16"/>
  <c r="G119" i="16"/>
  <c r="G143" i="16"/>
  <c r="G155" i="16"/>
  <c r="G275" i="16"/>
  <c r="G539" i="16"/>
  <c r="G719" i="16"/>
  <c r="G1156" i="16"/>
  <c r="G395" i="16"/>
  <c r="G166" i="16"/>
  <c r="G238" i="16"/>
  <c r="G997" i="16"/>
  <c r="G1067" i="16"/>
  <c r="G47" i="16"/>
  <c r="G131" i="16"/>
  <c r="G167" i="16"/>
  <c r="G563" i="16"/>
  <c r="G1387" i="16"/>
  <c r="G1388" i="16"/>
  <c r="G1428" i="16"/>
  <c r="G1451" i="16"/>
  <c r="G1571" i="16"/>
  <c r="G1673" i="16"/>
  <c r="G1267" i="16"/>
  <c r="G1337" i="16"/>
  <c r="G1476" i="16"/>
  <c r="G1560" i="16"/>
  <c r="G276" i="16"/>
  <c r="G384" i="16"/>
  <c r="G420" i="16"/>
  <c r="G432" i="16"/>
  <c r="G480" i="16"/>
  <c r="G600" i="16"/>
  <c r="G720" i="16"/>
  <c r="G756" i="16"/>
  <c r="G780" i="16"/>
  <c r="G876" i="16"/>
  <c r="G887" i="16"/>
  <c r="G909" i="16"/>
  <c r="G916" i="16"/>
  <c r="G940" i="16"/>
  <c r="G1011" i="16"/>
  <c r="G1023" i="16"/>
  <c r="G1069" i="16"/>
  <c r="G1093" i="16"/>
  <c r="G1146" i="16"/>
  <c r="G1239" i="16"/>
  <c r="G1302" i="16"/>
  <c r="G1453" i="16"/>
  <c r="G1513" i="16"/>
  <c r="G1537" i="16"/>
  <c r="G1597" i="16"/>
  <c r="G1628" i="16"/>
  <c r="G1652" i="16"/>
  <c r="G1747" i="16"/>
  <c r="G73" i="16"/>
  <c r="G229" i="16"/>
  <c r="G445" i="16"/>
  <c r="G1579" i="16"/>
  <c r="G607" i="16"/>
  <c r="G688" i="16"/>
  <c r="G1266" i="16"/>
  <c r="G1415" i="16"/>
  <c r="G1511" i="16"/>
  <c r="G1614" i="16"/>
  <c r="G1757" i="16"/>
  <c r="G1318" i="16"/>
  <c r="G1356" i="16"/>
  <c r="G1512" i="16"/>
  <c r="G1572" i="16"/>
  <c r="G144" i="16"/>
  <c r="G168" i="16"/>
  <c r="G300" i="16"/>
  <c r="G324" i="16"/>
  <c r="G408" i="16"/>
  <c r="G588" i="16"/>
  <c r="G768" i="16"/>
  <c r="G899" i="16"/>
  <c r="G1122" i="16"/>
  <c r="G1192" i="16"/>
  <c r="G1338" i="16"/>
  <c r="G1393" i="16"/>
  <c r="G1417" i="16"/>
  <c r="G1573" i="16"/>
  <c r="G1640" i="16"/>
  <c r="G1663" i="16"/>
  <c r="G13" i="16"/>
  <c r="G49" i="16"/>
  <c r="G97" i="16"/>
  <c r="G169" i="16"/>
  <c r="G289" i="16"/>
  <c r="G421" i="16"/>
  <c r="G1694" i="16"/>
  <c r="G1375" i="16"/>
  <c r="G946" i="16"/>
  <c r="G112" i="16"/>
  <c r="G1632" i="16"/>
  <c r="G1224" i="16"/>
  <c r="G715" i="16"/>
  <c r="G1532" i="16"/>
  <c r="G991" i="16"/>
  <c r="G139" i="16"/>
  <c r="G1505" i="16"/>
  <c r="G949" i="16"/>
  <c r="G91" i="16"/>
  <c r="G1253" i="16"/>
  <c r="G604" i="16"/>
  <c r="G1715" i="16"/>
  <c r="G1687" i="16"/>
  <c r="G424" i="16"/>
  <c r="G6" i="16"/>
  <c r="G1091" i="16"/>
  <c r="G1580" i="16"/>
  <c r="G1236" i="16"/>
  <c r="G592" i="16"/>
  <c r="G1214" i="16"/>
  <c r="G1112" i="16"/>
  <c r="G1682" i="16"/>
  <c r="G1100" i="16"/>
  <c r="G1662" i="16"/>
  <c r="G5" i="16"/>
  <c r="G947" i="16"/>
  <c r="G784" i="16"/>
  <c r="G721" i="16"/>
  <c r="G733" i="16"/>
  <c r="G793" i="16"/>
  <c r="G865" i="16"/>
  <c r="G1000" i="16"/>
  <c r="G1094" i="16"/>
  <c r="G1106" i="16"/>
  <c r="G1490" i="16"/>
  <c r="G1629" i="16"/>
  <c r="G278" i="16"/>
  <c r="G590" i="16"/>
  <c r="G854" i="16"/>
  <c r="G953" i="16"/>
  <c r="G1001" i="16"/>
  <c r="G1071" i="16"/>
  <c r="G1359" i="16"/>
  <c r="G1443" i="16"/>
  <c r="G1618" i="16"/>
  <c r="G1665" i="16"/>
  <c r="G1689" i="16"/>
  <c r="G1701" i="16"/>
  <c r="G1713" i="16"/>
  <c r="G159" i="16"/>
  <c r="G1432" i="16"/>
  <c r="G1492" i="16"/>
  <c r="G1504" i="16"/>
  <c r="G1588" i="16"/>
  <c r="G1714" i="16"/>
  <c r="G40" i="16"/>
  <c r="G172" i="16"/>
  <c r="G448" i="16"/>
  <c r="G484" i="16"/>
  <c r="G616" i="16"/>
  <c r="G700" i="16"/>
  <c r="G724" i="16"/>
  <c r="G66" i="16"/>
  <c r="G618" i="16"/>
  <c r="G1087" i="16"/>
  <c r="G1223" i="16"/>
  <c r="G1263" i="16"/>
  <c r="G1447" i="16"/>
  <c r="G1729" i="16"/>
  <c r="G565" i="16"/>
  <c r="G805" i="16"/>
  <c r="G1193" i="16"/>
  <c r="G1296" i="16"/>
  <c r="G1466" i="16"/>
  <c r="G1617" i="16"/>
  <c r="G1712" i="16"/>
  <c r="G1736" i="16"/>
  <c r="G398" i="16"/>
  <c r="G530" i="16"/>
  <c r="G638" i="16"/>
  <c r="G806" i="16"/>
  <c r="G818" i="16"/>
  <c r="G930" i="16"/>
  <c r="G1035" i="16"/>
  <c r="G1059" i="16"/>
  <c r="G1148" i="16"/>
  <c r="G1202" i="16"/>
  <c r="G1551" i="16"/>
  <c r="G1587" i="16"/>
  <c r="G1642" i="16"/>
  <c r="G1677" i="16"/>
  <c r="G1737" i="16"/>
  <c r="G339" i="16"/>
  <c r="G819" i="16"/>
  <c r="G1242" i="16"/>
  <c r="G1600" i="16"/>
  <c r="G1690" i="16"/>
  <c r="G1750" i="16"/>
  <c r="G1762" i="16"/>
  <c r="G52" i="16"/>
  <c r="G88" i="16"/>
  <c r="G184" i="16"/>
  <c r="G244" i="16"/>
  <c r="G268" i="16"/>
  <c r="G496" i="16"/>
  <c r="G736" i="16"/>
  <c r="G1061" i="16"/>
  <c r="G78" i="16"/>
  <c r="G126" i="16"/>
  <c r="G186" i="16"/>
  <c r="G438" i="16"/>
  <c r="G582" i="16"/>
  <c r="G654" i="16"/>
  <c r="G750" i="16"/>
  <c r="G786" i="16"/>
  <c r="G810" i="16"/>
  <c r="G1075" i="16"/>
  <c r="G1176" i="16"/>
  <c r="G1280" i="16"/>
  <c r="G1411" i="16"/>
  <c r="G1646" i="16"/>
  <c r="G1693" i="16"/>
  <c r="G1085" i="16"/>
  <c r="G1174" i="16"/>
  <c r="G31" i="16"/>
  <c r="G79" i="16"/>
  <c r="G127" i="16"/>
  <c r="G151" i="16"/>
  <c r="G187" i="16"/>
  <c r="G235" i="16"/>
  <c r="G247" i="16"/>
  <c r="G259" i="16"/>
  <c r="G295" i="16"/>
  <c r="G319" i="16"/>
  <c r="G68" i="16"/>
  <c r="G80" i="16"/>
  <c r="G116" i="16"/>
  <c r="G152" i="16"/>
  <c r="G188" i="16"/>
  <c r="G236" i="16"/>
  <c r="G248" i="16"/>
  <c r="G272" i="16"/>
  <c r="G296" i="16"/>
  <c r="G320" i="16"/>
  <c r="G332" i="16"/>
  <c r="G344" i="16"/>
  <c r="G356" i="16"/>
  <c r="G392" i="16"/>
  <c r="G416" i="16"/>
  <c r="G464" i="16"/>
  <c r="G476" i="16"/>
  <c r="G488" i="16"/>
  <c r="G512" i="16"/>
  <c r="G524" i="16"/>
  <c r="G536" i="16"/>
  <c r="G560" i="16"/>
  <c r="G596" i="16"/>
  <c r="G620" i="16"/>
  <c r="G632" i="16"/>
  <c r="G680" i="16"/>
  <c r="G692" i="16"/>
  <c r="G740" i="16"/>
  <c r="G764" i="16"/>
  <c r="G776" i="16"/>
  <c r="G824" i="16"/>
  <c r="G860" i="16"/>
  <c r="G1065" i="16"/>
  <c r="G1142" i="16"/>
  <c r="G1196" i="16"/>
  <c r="G1233" i="16"/>
  <c r="G1321" i="16"/>
  <c r="G1340" i="16"/>
  <c r="G1469" i="16"/>
  <c r="G1529" i="16"/>
  <c r="G1620" i="16"/>
  <c r="G439" i="16"/>
  <c r="G463" i="16"/>
  <c r="G487" i="16"/>
  <c r="G511" i="16"/>
  <c r="G535" i="16"/>
  <c r="G559" i="16"/>
  <c r="G583" i="16"/>
  <c r="G595" i="16"/>
  <c r="G619" i="16"/>
  <c r="G631" i="16"/>
  <c r="G655" i="16"/>
  <c r="G667" i="16"/>
  <c r="G679" i="16"/>
  <c r="G835" i="16"/>
  <c r="G859" i="16"/>
  <c r="G904" i="16"/>
  <c r="G958" i="16"/>
  <c r="G982" i="16"/>
  <c r="G1018" i="16"/>
  <c r="G1040" i="16"/>
  <c r="G1052" i="16"/>
  <c r="G1153" i="16"/>
  <c r="G1177" i="16"/>
  <c r="G1207" i="16"/>
  <c r="G1314" i="16"/>
  <c r="G1343" i="16"/>
  <c r="G1352" i="16"/>
  <c r="G1424" i="16"/>
  <c r="G1460" i="16"/>
  <c r="G1508" i="16"/>
  <c r="G1520" i="16"/>
  <c r="G1592" i="16"/>
  <c r="G1623" i="16"/>
  <c r="G1647" i="16"/>
  <c r="G1659" i="16"/>
  <c r="G1742" i="16"/>
  <c r="G557" i="16"/>
  <c r="G653" i="16"/>
  <c r="G1506" i="16"/>
  <c r="G1633" i="16"/>
  <c r="G1680" i="16"/>
  <c r="G1716" i="16"/>
  <c r="G1752" i="16"/>
  <c r="G1425" i="16"/>
  <c r="G1569" i="16"/>
  <c r="G1581" i="16"/>
  <c r="G1719" i="16"/>
  <c r="G33" i="16"/>
  <c r="G105" i="16"/>
  <c r="G177" i="16"/>
  <c r="G381" i="16"/>
  <c r="G405" i="16"/>
  <c r="G633" i="16"/>
  <c r="G645" i="16"/>
  <c r="G873" i="16"/>
  <c r="G1326" i="16"/>
  <c r="E22" i="16"/>
  <c r="E550" i="16"/>
  <c r="E838" i="16"/>
  <c r="E985" i="16"/>
  <c r="E1210" i="16"/>
  <c r="E1626" i="16"/>
  <c r="E156" i="16"/>
  <c r="E456" i="16"/>
  <c r="E624" i="16"/>
  <c r="E840" i="16"/>
  <c r="E1274" i="16"/>
  <c r="E1561" i="16"/>
  <c r="E148" i="16"/>
  <c r="E157" i="16"/>
  <c r="E493" i="16"/>
  <c r="E853" i="16"/>
  <c r="E1201" i="16"/>
  <c r="E1240" i="16"/>
  <c r="E1320" i="16"/>
  <c r="E1382" i="16"/>
  <c r="E1478" i="16"/>
  <c r="E242" i="16"/>
  <c r="E554" i="16"/>
  <c r="E977" i="16"/>
  <c r="E1276" i="16"/>
  <c r="E1395" i="16"/>
  <c r="E1515" i="16"/>
  <c r="E15" i="16"/>
  <c r="E1096" i="16"/>
  <c r="E1456" i="16"/>
  <c r="E436" i="16"/>
  <c r="E1565" i="16"/>
  <c r="E1632" i="16"/>
  <c r="E77" i="16"/>
  <c r="E113" i="16"/>
  <c r="E149" i="16"/>
  <c r="E353" i="16"/>
  <c r="E905" i="16"/>
  <c r="E18" i="16"/>
  <c r="E90" i="16"/>
  <c r="E210" i="16"/>
  <c r="E354" i="16"/>
  <c r="E642" i="16"/>
  <c r="E646" i="16"/>
  <c r="E961" i="16"/>
  <c r="E1043" i="16"/>
  <c r="E23" i="16"/>
  <c r="E335" i="16"/>
  <c r="E491" i="16"/>
  <c r="E659" i="16"/>
  <c r="E839" i="16"/>
  <c r="E1698" i="16"/>
  <c r="E108" i="16"/>
  <c r="E372" i="16"/>
  <c r="E696" i="16"/>
  <c r="E1158" i="16"/>
  <c r="E1723" i="16"/>
  <c r="E133" i="16"/>
  <c r="E505" i="16"/>
  <c r="E952" i="16"/>
  <c r="E1182" i="16"/>
  <c r="E1526" i="16"/>
  <c r="E1025" i="16"/>
  <c r="E1630" i="16"/>
  <c r="E966" i="16"/>
  <c r="E1540" i="16"/>
  <c r="E604" i="16"/>
  <c r="E556" i="16"/>
  <c r="E1505" i="16"/>
  <c r="E53" i="16"/>
  <c r="E125" i="16"/>
  <c r="E293" i="16"/>
  <c r="E991" i="16"/>
  <c r="E19" i="16"/>
  <c r="E691" i="16"/>
  <c r="E1236" i="16"/>
  <c r="E10" i="16"/>
  <c r="E850" i="16"/>
  <c r="E949" i="16"/>
  <c r="E1021" i="16"/>
  <c r="E1403" i="16"/>
  <c r="E1559" i="16"/>
  <c r="E251" i="16"/>
  <c r="E407" i="16"/>
  <c r="E623" i="16"/>
  <c r="E671" i="16"/>
  <c r="E96" i="16"/>
  <c r="E192" i="16"/>
  <c r="E792" i="16"/>
  <c r="E1211" i="16"/>
  <c r="E1706" i="16"/>
  <c r="E781" i="16"/>
  <c r="E910" i="16"/>
  <c r="E1135" i="16"/>
  <c r="E1269" i="16"/>
  <c r="E1430" i="16"/>
  <c r="E1304" i="16"/>
  <c r="E1539" i="16"/>
  <c r="E1232" i="16"/>
  <c r="E1150" i="16"/>
  <c r="E1481" i="16"/>
  <c r="E1608" i="16"/>
  <c r="E65" i="16"/>
  <c r="E341" i="16"/>
  <c r="E1262" i="16"/>
  <c r="E20" i="16"/>
  <c r="E92" i="16"/>
  <c r="E104" i="16"/>
  <c r="E728" i="16"/>
  <c r="E752" i="16"/>
  <c r="E359" i="16"/>
  <c r="E599" i="16"/>
  <c r="E707" i="16"/>
  <c r="E12" i="16"/>
  <c r="E120" i="16"/>
  <c r="E744" i="16"/>
  <c r="E385" i="16"/>
  <c r="E841" i="16"/>
  <c r="E1123" i="16"/>
  <c r="E1275" i="16"/>
  <c r="E1406" i="16"/>
  <c r="E1562" i="16"/>
  <c r="E211" i="16"/>
  <c r="E901" i="16"/>
  <c r="E1248" i="16"/>
  <c r="E1431" i="16"/>
  <c r="E548" i="16"/>
  <c r="E375" i="16"/>
  <c r="E1702" i="16"/>
  <c r="E136" i="16"/>
  <c r="E920" i="16"/>
  <c r="E1703" i="16"/>
  <c r="E628" i="16"/>
  <c r="E89" i="16"/>
  <c r="E137" i="16"/>
  <c r="E9" i="16"/>
  <c r="E21" i="16"/>
  <c r="E141" i="16"/>
  <c r="E189" i="16"/>
  <c r="E273" i="16"/>
  <c r="E333" i="16"/>
  <c r="E417" i="16"/>
  <c r="G1141" i="16"/>
  <c r="G811" i="16"/>
  <c r="G521" i="16"/>
  <c r="G642" i="16"/>
  <c r="G1728" i="16"/>
  <c r="G527" i="16"/>
  <c r="G847" i="16"/>
  <c r="G1187" i="16"/>
  <c r="G1488" i="16"/>
  <c r="G1730" i="16"/>
  <c r="G19" i="16"/>
  <c r="G1005" i="16"/>
  <c r="G43" i="16"/>
  <c r="G262" i="16"/>
  <c r="G672" i="16"/>
  <c r="G868" i="16"/>
  <c r="G211" i="16"/>
  <c r="G523" i="16"/>
  <c r="G643" i="16"/>
  <c r="G846" i="16"/>
  <c r="G55" i="16"/>
  <c r="G283" i="16"/>
  <c r="G894" i="16"/>
  <c r="G67" i="16"/>
  <c r="G293" i="16"/>
  <c r="E371" i="16"/>
  <c r="E502" i="16"/>
  <c r="G220" i="16"/>
  <c r="G1274" i="16"/>
  <c r="E520" i="16"/>
  <c r="E1614" i="16"/>
  <c r="G50" i="16"/>
  <c r="G1392" i="16"/>
  <c r="G1084" i="16"/>
  <c r="E521" i="16"/>
  <c r="G562" i="16"/>
  <c r="E907" i="16"/>
  <c r="G1021" i="16"/>
  <c r="G1627" i="16"/>
  <c r="G58" i="16"/>
  <c r="G901" i="16"/>
  <c r="G1723" i="16"/>
  <c r="E1751" i="16"/>
  <c r="G1751" i="16"/>
  <c r="E60" i="16"/>
  <c r="G60" i="16"/>
  <c r="G396" i="16"/>
  <c r="G444" i="16"/>
  <c r="E504" i="16"/>
  <c r="G828" i="16"/>
  <c r="E864" i="16"/>
  <c r="G864" i="16"/>
  <c r="E1045" i="16"/>
  <c r="E1134" i="16"/>
  <c r="G1134" i="16"/>
  <c r="E1381" i="16"/>
  <c r="G1759" i="16"/>
  <c r="E1759" i="16"/>
  <c r="E758" i="16"/>
  <c r="G504" i="16"/>
  <c r="E135" i="16"/>
  <c r="E1002" i="16"/>
  <c r="G1002" i="16"/>
  <c r="G1213" i="16"/>
  <c r="E1348" i="16"/>
  <c r="E1408" i="16"/>
  <c r="E64" i="16"/>
  <c r="G64" i="16"/>
  <c r="E100" i="16"/>
  <c r="G100" i="16"/>
  <c r="G208" i="16"/>
  <c r="G316" i="16"/>
  <c r="E688" i="16"/>
  <c r="G748" i="16"/>
  <c r="E832" i="16"/>
  <c r="G832" i="16"/>
  <c r="G1243" i="16"/>
  <c r="E1243" i="16"/>
  <c r="E1278" i="16"/>
  <c r="G1278" i="16"/>
  <c r="G1373" i="16"/>
  <c r="E1541" i="16"/>
  <c r="G1541" i="16"/>
  <c r="E1589" i="16"/>
  <c r="G1589" i="16"/>
  <c r="G1601" i="16"/>
  <c r="E1601" i="16"/>
  <c r="E1644" i="16"/>
  <c r="G1644" i="16"/>
  <c r="E1679" i="16"/>
  <c r="G1679" i="16"/>
  <c r="G1763" i="16"/>
  <c r="E1763" i="16"/>
  <c r="G1456" i="16"/>
  <c r="E112" i="16"/>
  <c r="G196" i="16"/>
  <c r="E292" i="16"/>
  <c r="G292" i="16"/>
  <c r="G628" i="16"/>
  <c r="E1015" i="16"/>
  <c r="E1037" i="16"/>
  <c r="G1037" i="16"/>
  <c r="E1061" i="16"/>
  <c r="G1138" i="16"/>
  <c r="G1162" i="16"/>
  <c r="E1162" i="16"/>
  <c r="E1184" i="16"/>
  <c r="G1184" i="16"/>
  <c r="E1214" i="16"/>
  <c r="E1250" i="16"/>
  <c r="G1250" i="16"/>
  <c r="E1385" i="16"/>
  <c r="G148" i="16"/>
  <c r="G807" i="16"/>
  <c r="G1027" i="16"/>
  <c r="G1565" i="16"/>
  <c r="E36" i="16"/>
  <c r="G36" i="16"/>
  <c r="G1170" i="16"/>
  <c r="E1319" i="16"/>
  <c r="G1319" i="16"/>
  <c r="G1357" i="16"/>
  <c r="E1357" i="16"/>
  <c r="E1429" i="16"/>
  <c r="G1429" i="16"/>
  <c r="E1585" i="16"/>
  <c r="E362" i="16"/>
  <c r="G855" i="16"/>
  <c r="G1249" i="16"/>
  <c r="E1249" i="16"/>
  <c r="E16" i="16"/>
  <c r="G16" i="16"/>
  <c r="E160" i="16"/>
  <c r="E256" i="16"/>
  <c r="G256" i="16"/>
  <c r="E580" i="16"/>
  <c r="G580" i="16"/>
  <c r="E760" i="16"/>
  <c r="G760" i="16"/>
  <c r="E784" i="16"/>
  <c r="E902" i="16"/>
  <c r="G902" i="16"/>
  <c r="E1003" i="16"/>
  <c r="G1003" i="16"/>
  <c r="G1306" i="16"/>
  <c r="E1306" i="16"/>
  <c r="E1333" i="16"/>
  <c r="G1333" i="16"/>
  <c r="E1421" i="16"/>
  <c r="G348" i="16"/>
  <c r="G1158" i="16"/>
  <c r="E220" i="16"/>
  <c r="E1513" i="16"/>
  <c r="G192" i="16"/>
  <c r="G696" i="16"/>
  <c r="G171" i="16"/>
  <c r="G399" i="16"/>
  <c r="E232" i="16"/>
  <c r="G232" i="16"/>
  <c r="G460" i="16"/>
  <c r="E460" i="16"/>
  <c r="E508" i="16"/>
  <c r="E532" i="16"/>
  <c r="G532" i="16"/>
  <c r="E544" i="16"/>
  <c r="G544" i="16"/>
  <c r="G772" i="16"/>
  <c r="G820" i="16"/>
  <c r="E820" i="16"/>
  <c r="E1126" i="16"/>
  <c r="G1126" i="16"/>
  <c r="G1262" i="16"/>
  <c r="G1349" i="16"/>
  <c r="E1349" i="16"/>
  <c r="E1445" i="16"/>
  <c r="G1445" i="16"/>
  <c r="G160" i="16"/>
  <c r="G1481" i="16"/>
  <c r="E316" i="16"/>
  <c r="E1529" i="16"/>
  <c r="E1228" i="16"/>
  <c r="G1380" i="16"/>
  <c r="E1380" i="16"/>
  <c r="G1710" i="16"/>
  <c r="E1504" i="16"/>
  <c r="G145" i="16"/>
  <c r="E193" i="16"/>
  <c r="E917" i="16"/>
  <c r="G917" i="16"/>
  <c r="G578" i="16"/>
  <c r="G602" i="16"/>
  <c r="G698" i="16"/>
  <c r="G674" i="16"/>
  <c r="G1182" i="16"/>
  <c r="G1304" i="16"/>
  <c r="E87" i="16"/>
  <c r="E147" i="16"/>
  <c r="G147" i="16"/>
  <c r="G483" i="16"/>
  <c r="G890" i="16"/>
  <c r="G954" i="16"/>
  <c r="G122" i="16"/>
  <c r="E769" i="16"/>
  <c r="G627" i="16"/>
  <c r="G912" i="16"/>
  <c r="G965" i="16"/>
  <c r="G1702" i="16"/>
  <c r="E13" i="16"/>
  <c r="E483" i="16"/>
  <c r="E930" i="16"/>
  <c r="G15" i="16"/>
  <c r="G254" i="16"/>
  <c r="G1025" i="16"/>
  <c r="G1320" i="16"/>
  <c r="E931" i="16"/>
  <c r="E1071" i="16"/>
  <c r="G579" i="16"/>
  <c r="G637" i="16"/>
  <c r="G919" i="16"/>
  <c r="G978" i="16"/>
  <c r="G158" i="16"/>
  <c r="G435" i="16"/>
  <c r="G710" i="16"/>
  <c r="G1240" i="16"/>
  <c r="G1371" i="16"/>
  <c r="E1124" i="16"/>
  <c r="G711" i="16"/>
  <c r="G1203" i="16"/>
  <c r="G1372" i="16"/>
  <c r="G1503" i="16"/>
  <c r="G1539" i="16"/>
  <c r="E661" i="16"/>
  <c r="G442" i="16"/>
  <c r="G790" i="16"/>
  <c r="G205" i="16"/>
  <c r="G265" i="16"/>
  <c r="G651" i="16"/>
  <c r="G931" i="16"/>
  <c r="G1444" i="16"/>
  <c r="G1540" i="16"/>
  <c r="G1678" i="16"/>
  <c r="E685" i="16"/>
  <c r="E1149" i="16"/>
  <c r="E1428" i="16"/>
  <c r="G1524" i="16"/>
  <c r="G1536" i="16"/>
  <c r="E253" i="16"/>
  <c r="G757" i="16"/>
  <c r="E757" i="16"/>
  <c r="G964" i="16"/>
  <c r="E1653" i="16"/>
  <c r="G1653" i="16"/>
  <c r="G109" i="16"/>
  <c r="G626" i="16"/>
  <c r="E734" i="16"/>
  <c r="G734" i="16"/>
  <c r="G27" i="16"/>
  <c r="G279" i="16"/>
  <c r="G327" i="16"/>
  <c r="G363" i="16"/>
  <c r="G675" i="16"/>
  <c r="G1125" i="16"/>
  <c r="E1213" i="16"/>
  <c r="G183" i="16"/>
  <c r="G1348" i="16"/>
  <c r="G1467" i="16"/>
  <c r="E1629" i="16"/>
  <c r="G685" i="16"/>
  <c r="G758" i="16"/>
  <c r="G1468" i="16"/>
  <c r="E1048" i="16"/>
  <c r="E1359" i="16"/>
  <c r="G61" i="16"/>
  <c r="G302" i="16"/>
  <c r="G1515" i="16"/>
  <c r="G303" i="16"/>
  <c r="G867" i="16"/>
  <c r="G918" i="16"/>
  <c r="G966" i="16"/>
  <c r="G1149" i="16"/>
  <c r="E63" i="16"/>
  <c r="G193" i="16"/>
  <c r="E637" i="16"/>
  <c r="G195" i="16"/>
  <c r="G507" i="16"/>
  <c r="G782" i="16"/>
  <c r="G98" i="16"/>
  <c r="G207" i="16"/>
  <c r="G273" i="16"/>
  <c r="G362" i="16"/>
  <c r="G1048" i="16"/>
  <c r="E109" i="16"/>
  <c r="E890" i="16"/>
  <c r="E228" i="16"/>
  <c r="G228" i="16"/>
  <c r="G372" i="16"/>
  <c r="G624" i="16"/>
  <c r="E732" i="16"/>
  <c r="G732" i="16"/>
  <c r="G792" i="16"/>
  <c r="E987" i="16"/>
  <c r="E1268" i="16"/>
  <c r="G1268" i="16"/>
  <c r="E1489" i="16"/>
  <c r="G1489" i="16"/>
  <c r="G1501" i="16"/>
  <c r="E28" i="16"/>
  <c r="G28" i="16"/>
  <c r="E244" i="16"/>
  <c r="E496" i="16"/>
  <c r="E700" i="16"/>
  <c r="E724" i="16"/>
  <c r="E1027" i="16"/>
  <c r="G1656" i="16"/>
  <c r="E1656" i="16"/>
  <c r="G508" i="16"/>
  <c r="G913" i="16"/>
  <c r="G1015" i="16"/>
  <c r="G1433" i="16"/>
  <c r="G1691" i="16"/>
  <c r="E76" i="16"/>
  <c r="E1321" i="16"/>
  <c r="G1727" i="16"/>
  <c r="G76" i="16"/>
  <c r="G520" i="16"/>
  <c r="G676" i="16"/>
  <c r="G844" i="16"/>
  <c r="G880" i="16"/>
  <c r="G1385" i="16"/>
  <c r="E208" i="16"/>
  <c r="E868" i="16"/>
  <c r="G1017" i="16"/>
  <c r="G1111" i="16"/>
  <c r="G1363" i="16"/>
  <c r="E140" i="16"/>
  <c r="G140" i="16"/>
  <c r="E46" i="16"/>
  <c r="G46" i="16"/>
  <c r="G70" i="16"/>
  <c r="E70" i="16"/>
  <c r="E106" i="16"/>
  <c r="G106" i="16"/>
  <c r="E166" i="16"/>
  <c r="E382" i="16"/>
  <c r="E610" i="16"/>
  <c r="E658" i="16"/>
  <c r="E874" i="16"/>
  <c r="G874" i="16"/>
  <c r="E926" i="16"/>
  <c r="G926" i="16"/>
  <c r="E1190" i="16"/>
  <c r="G1190" i="16"/>
  <c r="G1475" i="16"/>
  <c r="G1559" i="16"/>
  <c r="G1626" i="16"/>
  <c r="G164" i="16"/>
  <c r="E308" i="16"/>
  <c r="E572" i="16"/>
  <c r="E800" i="16"/>
  <c r="G800" i="16"/>
  <c r="E936" i="16"/>
  <c r="E1007" i="16"/>
  <c r="G1007" i="16"/>
  <c r="G1282" i="16"/>
  <c r="G1473" i="16"/>
  <c r="E1545" i="16"/>
  <c r="G1624" i="16"/>
  <c r="G1648" i="16"/>
  <c r="E1755" i="16"/>
  <c r="G1755" i="16"/>
  <c r="G260" i="16"/>
  <c r="E94" i="16"/>
  <c r="E130" i="16"/>
  <c r="G286" i="16"/>
  <c r="G430" i="16"/>
  <c r="E454" i="16"/>
  <c r="G454" i="16"/>
  <c r="G490" i="16"/>
  <c r="E526" i="16"/>
  <c r="G526" i="16"/>
  <c r="G646" i="16"/>
  <c r="E973" i="16"/>
  <c r="E1132" i="16"/>
  <c r="E1266" i="16"/>
  <c r="G1294" i="16"/>
  <c r="E1294" i="16"/>
  <c r="G1336" i="16"/>
  <c r="E1336" i="16"/>
  <c r="E1367" i="16"/>
  <c r="E1391" i="16"/>
  <c r="E1439" i="16"/>
  <c r="E1547" i="16"/>
  <c r="E1595" i="16"/>
  <c r="G1638" i="16"/>
  <c r="E1638" i="16"/>
  <c r="G34" i="16"/>
  <c r="G1132" i="16"/>
  <c r="G1547" i="16"/>
  <c r="G1731" i="16"/>
  <c r="E164" i="16"/>
  <c r="E1511" i="16"/>
  <c r="E299" i="16"/>
  <c r="G299" i="16"/>
  <c r="G898" i="16"/>
  <c r="G927" i="16"/>
  <c r="G1044" i="16"/>
  <c r="G1080" i="16"/>
  <c r="G1116" i="16"/>
  <c r="G1104" i="16"/>
  <c r="E562" i="16"/>
  <c r="E1449" i="16"/>
  <c r="G72" i="16"/>
  <c r="E72" i="16"/>
  <c r="E144" i="16"/>
  <c r="G204" i="16"/>
  <c r="G216" i="16"/>
  <c r="G118" i="16"/>
  <c r="E34" i="16"/>
  <c r="E430" i="16"/>
  <c r="E1569" i="16"/>
  <c r="E121" i="16"/>
  <c r="G157" i="16"/>
  <c r="E289" i="16"/>
  <c r="G505" i="16"/>
  <c r="E553" i="16"/>
  <c r="G553" i="16"/>
  <c r="G649" i="16"/>
  <c r="E649" i="16"/>
  <c r="E745" i="16"/>
  <c r="G745" i="16"/>
  <c r="G781" i="16"/>
  <c r="E805" i="16"/>
  <c r="E888" i="16"/>
  <c r="E929" i="16"/>
  <c r="G929" i="16"/>
  <c r="E1000" i="16"/>
  <c r="E1012" i="16"/>
  <c r="G1058" i="16"/>
  <c r="E1058" i="16"/>
  <c r="G1082" i="16"/>
  <c r="G1135" i="16"/>
  <c r="E1159" i="16"/>
  <c r="G1159" i="16"/>
  <c r="G1269" i="16"/>
  <c r="E1296" i="16"/>
  <c r="G1382" i="16"/>
  <c r="G1430" i="16"/>
  <c r="E1538" i="16"/>
  <c r="G1562" i="16"/>
  <c r="G1586" i="16"/>
  <c r="G1676" i="16"/>
  <c r="E1712" i="16"/>
  <c r="E1736" i="16"/>
  <c r="G1748" i="16"/>
  <c r="G12" i="16"/>
  <c r="G313" i="16"/>
  <c r="G838" i="16"/>
  <c r="E1284" i="16"/>
  <c r="E1743" i="16"/>
  <c r="G120" i="16"/>
  <c r="G250" i="16"/>
  <c r="G368" i="16"/>
  <c r="G538" i="16"/>
  <c r="G658" i="16"/>
  <c r="G697" i="16"/>
  <c r="G907" i="16"/>
  <c r="G1079" i="16"/>
  <c r="G1219" i="16"/>
  <c r="G1391" i="16"/>
  <c r="G1595" i="16"/>
  <c r="E61" i="16"/>
  <c r="E205" i="16"/>
  <c r="E262" i="16"/>
  <c r="E598" i="16"/>
  <c r="E788" i="16"/>
  <c r="E1079" i="16"/>
  <c r="E1287" i="16"/>
  <c r="E1475" i="16"/>
  <c r="E1745" i="16"/>
  <c r="G121" i="16"/>
  <c r="G156" i="16"/>
  <c r="G251" i="16"/>
  <c r="G541" i="16"/>
  <c r="G622" i="16"/>
  <c r="G661" i="16"/>
  <c r="G769" i="16"/>
  <c r="G884" i="16"/>
  <c r="G936" i="16"/>
  <c r="G1367" i="16"/>
  <c r="G1437" i="16"/>
  <c r="G1661" i="16"/>
  <c r="G1743" i="16"/>
  <c r="E265" i="16"/>
  <c r="E442" i="16"/>
  <c r="E790" i="16"/>
  <c r="E1080" i="16"/>
  <c r="E1586" i="16"/>
  <c r="E56" i="16"/>
  <c r="E128" i="16"/>
  <c r="E404" i="16"/>
  <c r="G1299" i="16"/>
  <c r="G1325" i="16"/>
  <c r="G1353" i="16"/>
  <c r="G1377" i="16"/>
  <c r="G1461" i="16"/>
  <c r="G1485" i="16"/>
  <c r="G1533" i="16"/>
  <c r="G1557" i="16"/>
  <c r="G1593" i="16"/>
  <c r="E1671" i="16"/>
  <c r="G1671" i="16"/>
  <c r="G1707" i="16"/>
  <c r="G1509" i="16"/>
  <c r="E368" i="16"/>
  <c r="E1365" i="16"/>
  <c r="G32" i="16"/>
  <c r="G404" i="16"/>
  <c r="G1545" i="16"/>
  <c r="E190" i="16"/>
  <c r="E670" i="16"/>
  <c r="E766" i="16"/>
  <c r="G778" i="16"/>
  <c r="G802" i="16"/>
  <c r="E802" i="16"/>
  <c r="G850" i="16"/>
  <c r="E1120" i="16"/>
  <c r="E1168" i="16"/>
  <c r="G1168" i="16"/>
  <c r="G1210" i="16"/>
  <c r="E1415" i="16"/>
  <c r="E1533" i="16"/>
  <c r="E1676" i="16"/>
  <c r="G104" i="16"/>
  <c r="G1113" i="16"/>
  <c r="G214" i="16"/>
  <c r="E238" i="16"/>
  <c r="G466" i="16"/>
  <c r="E586" i="16"/>
  <c r="G586" i="16"/>
  <c r="E706" i="16"/>
  <c r="E897" i="16"/>
  <c r="E997" i="16"/>
  <c r="E1055" i="16"/>
  <c r="E1115" i="16"/>
  <c r="G1115" i="16"/>
  <c r="E1499" i="16"/>
  <c r="E939" i="16"/>
  <c r="G308" i="16"/>
  <c r="E73" i="16"/>
  <c r="E97" i="16"/>
  <c r="G133" i="16"/>
  <c r="E229" i="16"/>
  <c r="G385" i="16"/>
  <c r="E421" i="16"/>
  <c r="E445" i="16"/>
  <c r="E481" i="16"/>
  <c r="E517" i="16"/>
  <c r="G529" i="16"/>
  <c r="E529" i="16"/>
  <c r="E565" i="16"/>
  <c r="G589" i="16"/>
  <c r="E976" i="16"/>
  <c r="G976" i="16"/>
  <c r="G44" i="16"/>
  <c r="E236" i="16"/>
  <c r="E824" i="16"/>
  <c r="G905" i="16"/>
  <c r="E947" i="16"/>
  <c r="G1019" i="16"/>
  <c r="G1188" i="16"/>
  <c r="G1208" i="16"/>
  <c r="G1225" i="16"/>
  <c r="G1254" i="16"/>
  <c r="G1292" i="16"/>
  <c r="G1315" i="16"/>
  <c r="G1401" i="16"/>
  <c r="G1612" i="16"/>
  <c r="G1660" i="16"/>
  <c r="E1660" i="16"/>
  <c r="G1683" i="16"/>
  <c r="E1719" i="16"/>
  <c r="G788" i="16"/>
  <c r="G1130" i="16"/>
  <c r="E178" i="16"/>
  <c r="E226" i="16"/>
  <c r="E514" i="16"/>
  <c r="G550" i="16"/>
  <c r="E754" i="16"/>
  <c r="G754" i="16"/>
  <c r="G985" i="16"/>
  <c r="G1033" i="16"/>
  <c r="E1091" i="16"/>
  <c r="E1227" i="16"/>
  <c r="G1227" i="16"/>
  <c r="E1379" i="16"/>
  <c r="G1379" i="16"/>
  <c r="G1403" i="16"/>
  <c r="E1451" i="16"/>
  <c r="G1487" i="16"/>
  <c r="G1523" i="16"/>
  <c r="G1583" i="16"/>
  <c r="G1650" i="16"/>
  <c r="E1733" i="16"/>
  <c r="G827" i="16"/>
  <c r="G839" i="16"/>
  <c r="E851" i="16"/>
  <c r="E875" i="16"/>
  <c r="G1092" i="16"/>
  <c r="G202" i="16"/>
  <c r="G359" i="16"/>
  <c r="G502" i="16"/>
  <c r="G572" i="16"/>
  <c r="G610" i="16"/>
  <c r="G1733" i="16"/>
  <c r="E32" i="16"/>
  <c r="E778" i="16"/>
  <c r="E1067" i="16"/>
  <c r="E1707" i="16"/>
  <c r="E48" i="16"/>
  <c r="G48" i="16"/>
  <c r="G108" i="16"/>
  <c r="G132" i="16"/>
  <c r="E168" i="16"/>
  <c r="E288" i="16"/>
  <c r="G10" i="16"/>
  <c r="G730" i="16"/>
  <c r="G836" i="16"/>
  <c r="G959" i="16"/>
  <c r="G1169" i="16"/>
  <c r="G1497" i="16"/>
  <c r="G1685" i="16"/>
  <c r="E1009" i="16"/>
  <c r="E1198" i="16"/>
  <c r="E1282" i="16"/>
  <c r="E49" i="16"/>
  <c r="E169" i="16"/>
  <c r="G181" i="16"/>
  <c r="E181" i="16"/>
  <c r="E241" i="16"/>
  <c r="G241" i="16"/>
  <c r="E457" i="16"/>
  <c r="G457" i="16"/>
  <c r="G493" i="16"/>
  <c r="E709" i="16"/>
  <c r="E721" i="16"/>
  <c r="E733" i="16"/>
  <c r="E793" i="16"/>
  <c r="E829" i="16"/>
  <c r="G829" i="16"/>
  <c r="G841" i="16"/>
  <c r="G853" i="16"/>
  <c r="E941" i="16"/>
  <c r="G952" i="16"/>
  <c r="E964" i="16"/>
  <c r="E1106" i="16"/>
  <c r="E1147" i="16"/>
  <c r="E1193" i="16"/>
  <c r="E1259" i="16"/>
  <c r="G1259" i="16"/>
  <c r="E1303" i="16"/>
  <c r="G1303" i="16"/>
  <c r="E1330" i="16"/>
  <c r="G1330" i="16"/>
  <c r="E1370" i="16"/>
  <c r="E1394" i="16"/>
  <c r="G1406" i="16"/>
  <c r="E1418" i="16"/>
  <c r="G1418" i="16"/>
  <c r="E1442" i="16"/>
  <c r="G1454" i="16"/>
  <c r="E1454" i="16"/>
  <c r="E1466" i="16"/>
  <c r="E1490" i="16"/>
  <c r="G1502" i="16"/>
  <c r="E1502" i="16"/>
  <c r="G1526" i="16"/>
  <c r="G1550" i="16"/>
  <c r="E1550" i="16"/>
  <c r="E1574" i="16"/>
  <c r="E1617" i="16"/>
  <c r="E1641" i="16"/>
  <c r="E1700" i="16"/>
  <c r="G1700" i="16"/>
  <c r="G1724" i="16"/>
  <c r="G766" i="16"/>
  <c r="G961" i="16"/>
  <c r="G1275" i="16"/>
  <c r="G1389" i="16"/>
  <c r="G1499" i="16"/>
  <c r="E44" i="16"/>
  <c r="E118" i="16"/>
  <c r="E202" i="16"/>
  <c r="E260" i="16"/>
  <c r="E433" i="16"/>
  <c r="E589" i="16"/>
  <c r="E697" i="16"/>
  <c r="E865" i="16"/>
  <c r="E1077" i="16"/>
  <c r="E1144" i="16"/>
  <c r="E1473" i="16"/>
  <c r="E1523" i="16"/>
  <c r="E1581" i="16"/>
  <c r="E1650" i="16"/>
  <c r="G217" i="16"/>
  <c r="G253" i="16"/>
  <c r="G382" i="16"/>
  <c r="G514" i="16"/>
  <c r="G910" i="16"/>
  <c r="G1009" i="16"/>
  <c r="G1041" i="16"/>
  <c r="G1120" i="16"/>
  <c r="G1198" i="16"/>
  <c r="G1284" i="16"/>
  <c r="G1370" i="16"/>
  <c r="G1439" i="16"/>
  <c r="G1721" i="16"/>
  <c r="G1745" i="16"/>
  <c r="E538" i="16"/>
  <c r="E622" i="16"/>
  <c r="E962" i="16"/>
  <c r="E1082" i="16"/>
  <c r="E1156" i="16"/>
  <c r="G20" i="16"/>
  <c r="G94" i="16"/>
  <c r="G128" i="16"/>
  <c r="G433" i="16"/>
  <c r="G517" i="16"/>
  <c r="G548" i="16"/>
  <c r="G670" i="16"/>
  <c r="G706" i="16"/>
  <c r="G888" i="16"/>
  <c r="G941" i="16"/>
  <c r="G973" i="16"/>
  <c r="G1043" i="16"/>
  <c r="G1147" i="16"/>
  <c r="G1178" i="16"/>
  <c r="G1201" i="16"/>
  <c r="G1287" i="16"/>
  <c r="G1394" i="16"/>
  <c r="G1442" i="16"/>
  <c r="G1538" i="16"/>
  <c r="E145" i="16"/>
  <c r="E214" i="16"/>
  <c r="E313" i="16"/>
  <c r="E466" i="16"/>
  <c r="E541" i="16"/>
  <c r="E742" i="16"/>
  <c r="E1033" i="16"/>
  <c r="E1094" i="16"/>
  <c r="G22" i="16"/>
  <c r="G56" i="16"/>
  <c r="G96" i="16"/>
  <c r="G130" i="16"/>
  <c r="G190" i="16"/>
  <c r="G226" i="16"/>
  <c r="G288" i="16"/>
  <c r="G335" i="16"/>
  <c r="G481" i="16"/>
  <c r="G598" i="16"/>
  <c r="G709" i="16"/>
  <c r="G742" i="16"/>
  <c r="G974" i="16"/>
  <c r="G1012" i="16"/>
  <c r="G1089" i="16"/>
  <c r="G1123" i="16"/>
  <c r="G1478" i="16"/>
  <c r="G1574" i="16"/>
  <c r="G1641" i="16"/>
  <c r="G1697" i="16"/>
  <c r="E217" i="16"/>
  <c r="E1219" i="16"/>
  <c r="E1487" i="16"/>
  <c r="E1685" i="16"/>
  <c r="E360" i="16"/>
  <c r="G360" i="16"/>
  <c r="E420" i="16"/>
  <c r="E480" i="16"/>
  <c r="G744" i="16"/>
  <c r="E768" i="16"/>
  <c r="E876" i="16"/>
  <c r="E887" i="16"/>
  <c r="E909" i="16"/>
  <c r="E940" i="16"/>
  <c r="G951" i="16"/>
  <c r="E1011" i="16"/>
  <c r="E1023" i="16"/>
  <c r="G1057" i="16"/>
  <c r="E1057" i="16"/>
  <c r="E1069" i="16"/>
  <c r="E1122" i="16"/>
  <c r="E1146" i="16"/>
  <c r="E1329" i="16"/>
  <c r="G1381" i="16"/>
  <c r="G1405" i="16"/>
  <c r="E1453" i="16"/>
  <c r="G1561" i="16"/>
  <c r="G1585" i="16"/>
  <c r="E1597" i="16"/>
  <c r="E1640" i="16"/>
  <c r="E1735" i="16"/>
  <c r="G1735" i="16"/>
  <c r="E1747" i="16"/>
  <c r="E650" i="16"/>
  <c r="E806" i="16"/>
  <c r="G830" i="16"/>
  <c r="E878" i="16"/>
  <c r="G878" i="16"/>
  <c r="E918" i="16"/>
  <c r="G977" i="16"/>
  <c r="E1059" i="16"/>
  <c r="E1148" i="16"/>
  <c r="G1160" i="16"/>
  <c r="E1231" i="16"/>
  <c r="G1248" i="16"/>
  <c r="G1331" i="16"/>
  <c r="G1395" i="16"/>
  <c r="E1419" i="16"/>
  <c r="G1431" i="16"/>
  <c r="E1503" i="16"/>
  <c r="G1599" i="16"/>
  <c r="G1654" i="16"/>
  <c r="E1749" i="16"/>
  <c r="G1749" i="16"/>
  <c r="G336" i="16"/>
  <c r="E444" i="16"/>
  <c r="G554" i="16"/>
  <c r="E566" i="16"/>
  <c r="G338" i="16"/>
  <c r="G456" i="16"/>
  <c r="G650" i="16"/>
  <c r="G840" i="16"/>
  <c r="G987" i="16"/>
  <c r="G1045" i="16"/>
  <c r="G1229" i="16"/>
  <c r="G1258" i="16"/>
  <c r="G1329" i="16"/>
  <c r="G1525" i="16"/>
  <c r="E336" i="16"/>
  <c r="E672" i="16"/>
  <c r="G684" i="16"/>
  <c r="G1047" i="16"/>
  <c r="G1211" i="16"/>
  <c r="G1231" i="16"/>
  <c r="G1419" i="16"/>
  <c r="G1477" i="16"/>
  <c r="G1527" i="16"/>
  <c r="E348" i="16"/>
  <c r="E684" i="16"/>
  <c r="E1663" i="16"/>
  <c r="E1737" i="16"/>
  <c r="E1102" i="16"/>
  <c r="E184" i="16"/>
  <c r="E1185" i="16"/>
  <c r="E1518" i="16"/>
  <c r="E1645" i="16"/>
  <c r="G1704" i="16"/>
  <c r="G1740" i="16"/>
  <c r="E1016" i="16"/>
  <c r="G1050" i="16"/>
  <c r="G1222" i="16"/>
  <c r="G823" i="16"/>
  <c r="G994" i="16"/>
  <c r="G1076" i="16"/>
  <c r="G1129" i="16"/>
  <c r="G1217" i="16"/>
  <c r="G1245" i="16"/>
  <c r="E1314" i="16"/>
  <c r="G1400" i="16"/>
  <c r="G1436" i="16"/>
  <c r="G1496" i="16"/>
  <c r="G1635" i="16"/>
  <c r="E1659" i="16"/>
  <c r="E1754" i="16"/>
  <c r="G906" i="16"/>
  <c r="G925" i="16"/>
  <c r="H925" i="16" s="1"/>
  <c r="G1090" i="16"/>
  <c r="G1119" i="16"/>
  <c r="G1167" i="16"/>
  <c r="G1237" i="16"/>
  <c r="G1265" i="16"/>
  <c r="G1293" i="16"/>
  <c r="E1378" i="16"/>
  <c r="G1402" i="16"/>
  <c r="G1414" i="16"/>
  <c r="G1426" i="16"/>
  <c r="G1450" i="16"/>
  <c r="G1462" i="16"/>
  <c r="G1510" i="16"/>
  <c r="G1522" i="16"/>
  <c r="G1534" i="16"/>
  <c r="G1558" i="16"/>
  <c r="E1582" i="16"/>
  <c r="G1594" i="16"/>
  <c r="G1613" i="16"/>
  <c r="G1625" i="16"/>
  <c r="G1637" i="16"/>
  <c r="G1684" i="16"/>
  <c r="G1696" i="16"/>
  <c r="G1708" i="16"/>
  <c r="E1720" i="16"/>
  <c r="G1756" i="16"/>
  <c r="G1199" i="16"/>
  <c r="G1257" i="16"/>
  <c r="G1273" i="16"/>
  <c r="G1301" i="16"/>
  <c r="E1337" i="16"/>
  <c r="G1368" i="16"/>
  <c r="G1416" i="16"/>
  <c r="G1440" i="16"/>
  <c r="E1548" i="16"/>
  <c r="G1596" i="16"/>
  <c r="G1651" i="16"/>
  <c r="G1734" i="16"/>
  <c r="E676" i="16"/>
  <c r="E772" i="16"/>
  <c r="E1271" i="16"/>
  <c r="E1373" i="16"/>
  <c r="E922" i="16"/>
  <c r="E1051" i="16"/>
  <c r="G1128" i="16"/>
  <c r="E1280" i="16"/>
  <c r="G1308" i="16"/>
  <c r="G1313" i="16"/>
  <c r="G1342" i="16"/>
  <c r="G1435" i="16"/>
  <c r="G1471" i="16"/>
  <c r="G1495" i="16"/>
  <c r="G1519" i="16"/>
  <c r="G1622" i="16"/>
  <c r="G1634" i="16"/>
  <c r="G1669" i="16"/>
  <c r="G1681" i="16"/>
  <c r="G1741" i="16"/>
  <c r="G908" i="16"/>
  <c r="G962" i="16"/>
  <c r="E986" i="16"/>
  <c r="G1010" i="16"/>
  <c r="G1056" i="16"/>
  <c r="E1121" i="16"/>
  <c r="G1133" i="16"/>
  <c r="E1181" i="16"/>
  <c r="E1267" i="16"/>
  <c r="E1285" i="16"/>
  <c r="G1285" i="16"/>
  <c r="G1328" i="16"/>
  <c r="E1452" i="16"/>
  <c r="E1560" i="16"/>
  <c r="E1639" i="16"/>
  <c r="G1758" i="16"/>
  <c r="E1758" i="16"/>
  <c r="E527" i="16"/>
  <c r="E927" i="16"/>
  <c r="G1228" i="16"/>
  <c r="E27" i="16"/>
  <c r="E71" i="16"/>
  <c r="E183" i="16"/>
  <c r="E254" i="16"/>
  <c r="E314" i="16"/>
  <c r="E863" i="16"/>
  <c r="E1010" i="16"/>
  <c r="E1125" i="16"/>
  <c r="E1157" i="16"/>
  <c r="E1356" i="16"/>
  <c r="E1662" i="16"/>
  <c r="E1288" i="16"/>
  <c r="E143" i="16"/>
  <c r="E263" i="16"/>
  <c r="G671" i="16"/>
  <c r="G71" i="16"/>
  <c r="G407" i="16"/>
  <c r="E38" i="16"/>
  <c r="G242" i="16"/>
  <c r="E278" i="16"/>
  <c r="G38" i="16"/>
  <c r="G614" i="16"/>
  <c r="E110" i="16"/>
  <c r="E323" i="16"/>
  <c r="E626" i="16"/>
  <c r="E1512" i="16"/>
  <c r="G51" i="16"/>
  <c r="E159" i="16"/>
  <c r="E339" i="16"/>
  <c r="G375" i="16"/>
  <c r="G603" i="16"/>
  <c r="G843" i="16"/>
  <c r="E843" i="16"/>
  <c r="E919" i="16"/>
  <c r="G1096" i="16"/>
  <c r="G1108" i="16"/>
  <c r="E1137" i="16"/>
  <c r="G1173" i="16"/>
  <c r="E191" i="16"/>
  <c r="E399" i="16"/>
  <c r="E579" i="16"/>
  <c r="E1133" i="16"/>
  <c r="E1328" i="16"/>
  <c r="E40" i="16"/>
  <c r="E52" i="16"/>
  <c r="E88" i="16"/>
  <c r="G136" i="16"/>
  <c r="E172" i="16"/>
  <c r="E268" i="16"/>
  <c r="G436" i="16"/>
  <c r="E448" i="16"/>
  <c r="E484" i="16"/>
  <c r="G556" i="16"/>
  <c r="E616" i="16"/>
  <c r="E736" i="16"/>
  <c r="E796" i="16"/>
  <c r="G796" i="16"/>
  <c r="E844" i="16"/>
  <c r="E913" i="16"/>
  <c r="G920" i="16"/>
  <c r="E944" i="16"/>
  <c r="G944" i="16"/>
  <c r="E1049" i="16"/>
  <c r="G1049" i="16"/>
  <c r="E1085" i="16"/>
  <c r="E1138" i="16"/>
  <c r="G1150" i="16"/>
  <c r="E1174" i="16"/>
  <c r="E1233" i="16"/>
  <c r="G1271" i="16"/>
  <c r="E1340" i="16"/>
  <c r="G1421" i="16"/>
  <c r="E1433" i="16"/>
  <c r="G1457" i="16"/>
  <c r="E1457" i="16"/>
  <c r="E1469" i="16"/>
  <c r="G1517" i="16"/>
  <c r="E1517" i="16"/>
  <c r="E1553" i="16"/>
  <c r="G1553" i="16"/>
  <c r="G1608" i="16"/>
  <c r="E1620" i="16"/>
  <c r="G1667" i="16"/>
  <c r="E1667" i="16"/>
  <c r="E1691" i="16"/>
  <c r="G1703" i="16"/>
  <c r="E1715" i="16"/>
  <c r="E1727" i="16"/>
  <c r="G1360" i="16"/>
  <c r="E1372" i="16"/>
  <c r="G1384" i="16"/>
  <c r="E1396" i="16"/>
  <c r="G1396" i="16"/>
  <c r="E1432" i="16"/>
  <c r="E1468" i="16"/>
  <c r="G1480" i="16"/>
  <c r="G1516" i="16"/>
  <c r="G1552" i="16"/>
  <c r="E1576" i="16"/>
  <c r="G1576" i="16"/>
  <c r="G75" i="16"/>
  <c r="G314" i="16"/>
  <c r="G347" i="16"/>
  <c r="G411" i="16"/>
  <c r="G615" i="16"/>
  <c r="G662" i="16"/>
  <c r="G939" i="16"/>
  <c r="G1157" i="16"/>
  <c r="G1232" i="16"/>
  <c r="G170" i="16"/>
  <c r="G191" i="16"/>
  <c r="G263" i="16"/>
  <c r="G467" i="16"/>
  <c r="G494" i="16"/>
  <c r="G639" i="16"/>
  <c r="G663" i="16"/>
  <c r="G687" i="16"/>
  <c r="G875" i="16"/>
  <c r="G990" i="16"/>
  <c r="G1014" i="16"/>
  <c r="G1137" i="16"/>
  <c r="G1181" i="16"/>
  <c r="G1408" i="16"/>
  <c r="G1452" i="16"/>
  <c r="G1564" i="16"/>
  <c r="E86" i="16"/>
  <c r="E347" i="16"/>
  <c r="E542" i="16"/>
  <c r="E1104" i="16"/>
  <c r="E1488" i="16"/>
  <c r="E1716" i="16"/>
  <c r="E515" i="16"/>
  <c r="G515" i="16"/>
  <c r="E563" i="16"/>
  <c r="G623" i="16"/>
  <c r="G647" i="16"/>
  <c r="E683" i="16"/>
  <c r="G707" i="16"/>
  <c r="G1288" i="16"/>
  <c r="E1056" i="16"/>
  <c r="E398" i="16"/>
  <c r="G410" i="16"/>
  <c r="E590" i="16"/>
  <c r="G794" i="16"/>
  <c r="G371" i="16"/>
  <c r="G491" i="16"/>
  <c r="G518" i="16"/>
  <c r="G986" i="16"/>
  <c r="G323" i="16"/>
  <c r="G350" i="16"/>
  <c r="G851" i="16"/>
  <c r="E908" i="16"/>
  <c r="G23" i="16"/>
  <c r="G351" i="16"/>
  <c r="G471" i="16"/>
  <c r="G746" i="16"/>
  <c r="G1698" i="16"/>
  <c r="E194" i="16"/>
  <c r="E279" i="16"/>
  <c r="E350" i="16"/>
  <c r="E467" i="16"/>
  <c r="E647" i="16"/>
  <c r="E746" i="16"/>
  <c r="E879" i="16"/>
  <c r="E239" i="16"/>
  <c r="E395" i="16"/>
  <c r="E551" i="16"/>
  <c r="G659" i="16"/>
  <c r="G683" i="16"/>
  <c r="E530" i="16"/>
  <c r="E638" i="16"/>
  <c r="G770" i="16"/>
  <c r="G74" i="16"/>
  <c r="G470" i="16"/>
  <c r="G542" i="16"/>
  <c r="E266" i="16"/>
  <c r="G63" i="16"/>
  <c r="G86" i="16"/>
  <c r="G266" i="16"/>
  <c r="G566" i="16"/>
  <c r="G26" i="16"/>
  <c r="G87" i="16"/>
  <c r="G110" i="16"/>
  <c r="G135" i="16"/>
  <c r="G194" i="16"/>
  <c r="G219" i="16"/>
  <c r="G326" i="16"/>
  <c r="G354" i="16"/>
  <c r="G423" i="16"/>
  <c r="G447" i="16"/>
  <c r="G599" i="16"/>
  <c r="G723" i="16"/>
  <c r="G879" i="16"/>
  <c r="G1121" i="16"/>
  <c r="G1161" i="16"/>
  <c r="G1543" i="16"/>
  <c r="G1639" i="16"/>
  <c r="E196" i="16"/>
  <c r="E351" i="16"/>
  <c r="E424" i="16"/>
  <c r="E470" i="16"/>
  <c r="E518" i="16"/>
  <c r="E592" i="16"/>
  <c r="E748" i="16"/>
  <c r="E782" i="16"/>
  <c r="E880" i="16"/>
  <c r="E1492" i="16"/>
  <c r="E1564" i="16"/>
  <c r="G92" i="16"/>
  <c r="E176" i="16"/>
  <c r="G176" i="16"/>
  <c r="E344" i="16"/>
  <c r="E524" i="16"/>
  <c r="G728" i="16"/>
  <c r="G752" i="16"/>
  <c r="E764" i="16"/>
  <c r="E884" i="16"/>
  <c r="G1031" i="16"/>
  <c r="E1031" i="16"/>
  <c r="G1077" i="16"/>
  <c r="E1142" i="16"/>
  <c r="E1178" i="16"/>
  <c r="E1196" i="16"/>
  <c r="E1225" i="16"/>
  <c r="E1292" i="16"/>
  <c r="G1344" i="16"/>
  <c r="E1344" i="16"/>
  <c r="G842" i="16"/>
  <c r="G889" i="16"/>
  <c r="G942" i="16"/>
  <c r="G989" i="16"/>
  <c r="E1160" i="16"/>
  <c r="G1172" i="16"/>
  <c r="E1241" i="16"/>
  <c r="E1371" i="16"/>
  <c r="E1527" i="16"/>
  <c r="E1551" i="16"/>
  <c r="G1575" i="16"/>
  <c r="G1630" i="16"/>
  <c r="E1642" i="16"/>
  <c r="E1761" i="16"/>
  <c r="G1666" i="16"/>
  <c r="E1678" i="16"/>
  <c r="G1726" i="16"/>
  <c r="E1726" i="16"/>
  <c r="G1738" i="16"/>
  <c r="E1762" i="16"/>
  <c r="E883" i="16"/>
  <c r="G1365" i="16"/>
  <c r="E1497" i="16"/>
  <c r="E1624" i="16"/>
  <c r="G1083" i="16"/>
  <c r="G1124" i="16"/>
  <c r="G1241" i="16"/>
  <c r="G1260" i="16"/>
  <c r="G1276" i="16"/>
  <c r="G1449" i="16"/>
  <c r="G1491" i="16"/>
  <c r="G1619" i="16"/>
  <c r="G1761" i="16"/>
  <c r="E842" i="16"/>
  <c r="E1001" i="16"/>
  <c r="E1377" i="16"/>
  <c r="E1666" i="16"/>
  <c r="E1599" i="16"/>
  <c r="E1343" i="16"/>
  <c r="E1673" i="16"/>
  <c r="E58" i="16"/>
  <c r="E91" i="16"/>
  <c r="E216" i="16"/>
  <c r="E250" i="16"/>
  <c r="E286" i="16"/>
  <c r="E396" i="16"/>
  <c r="E490" i="16"/>
  <c r="E730" i="16"/>
  <c r="E1583" i="16"/>
  <c r="E1757" i="16"/>
  <c r="E1552" i="16"/>
  <c r="E207" i="16"/>
  <c r="E363" i="16"/>
  <c r="E411" i="16"/>
  <c r="E447" i="16"/>
  <c r="E651" i="16"/>
  <c r="E687" i="16"/>
  <c r="E867" i="16"/>
  <c r="E954" i="16"/>
  <c r="E990" i="16"/>
  <c r="E1014" i="16"/>
  <c r="E1084" i="16"/>
  <c r="E1161" i="16"/>
  <c r="E1444" i="16"/>
  <c r="E67" i="16"/>
  <c r="E327" i="16"/>
  <c r="E423" i="16"/>
  <c r="E627" i="16"/>
  <c r="E663" i="16"/>
  <c r="E1173" i="16"/>
  <c r="E1242" i="16"/>
  <c r="E1360" i="16"/>
  <c r="E1384" i="16"/>
  <c r="E1588" i="16"/>
  <c r="E1619" i="16"/>
  <c r="E1738" i="16"/>
  <c r="E1714" i="16"/>
  <c r="E219" i="16"/>
  <c r="E603" i="16"/>
  <c r="E807" i="16"/>
  <c r="E1203" i="16"/>
  <c r="E435" i="16"/>
  <c r="E507" i="16"/>
  <c r="E639" i="16"/>
  <c r="E675" i="16"/>
  <c r="E711" i="16"/>
  <c r="E811" i="16"/>
  <c r="E912" i="16"/>
  <c r="E1516" i="16"/>
  <c r="E1690" i="16"/>
  <c r="E51" i="16"/>
  <c r="E75" i="16"/>
  <c r="E171" i="16"/>
  <c r="E195" i="16"/>
  <c r="E471" i="16"/>
  <c r="E819" i="16"/>
  <c r="E855" i="16"/>
  <c r="E978" i="16"/>
  <c r="E1108" i="16"/>
  <c r="E1571" i="16"/>
  <c r="E1600" i="16"/>
  <c r="E1721" i="16"/>
  <c r="E1750" i="16"/>
  <c r="E303" i="16"/>
  <c r="E615" i="16"/>
  <c r="E723" i="16"/>
  <c r="E1661" i="16"/>
  <c r="E1697" i="16"/>
  <c r="E1364" i="16"/>
  <c r="E1623" i="16"/>
  <c r="E1532" i="16"/>
  <c r="E1701" i="16"/>
  <c r="E43" i="16"/>
  <c r="E170" i="16"/>
  <c r="E283" i="16"/>
  <c r="E326" i="16"/>
  <c r="E410" i="16"/>
  <c r="E602" i="16"/>
  <c r="E662" i="16"/>
  <c r="E818" i="16"/>
  <c r="E847" i="16"/>
  <c r="E904" i="16"/>
  <c r="E953" i="16"/>
  <c r="E982" i="16"/>
  <c r="E1035" i="16"/>
  <c r="E1172" i="16"/>
  <c r="E1260" i="16"/>
  <c r="E1575" i="16"/>
  <c r="E1654" i="16"/>
  <c r="E1677" i="16"/>
  <c r="G1754" i="16"/>
  <c r="E122" i="16"/>
  <c r="E338" i="16"/>
  <c r="E374" i="16"/>
  <c r="E698" i="16"/>
  <c r="E854" i="16"/>
  <c r="E1177" i="16"/>
  <c r="E1682" i="16"/>
  <c r="G547" i="16"/>
  <c r="G970" i="16"/>
  <c r="G1051" i="16"/>
  <c r="G1544" i="16"/>
  <c r="G182" i="16"/>
  <c r="G374" i="16"/>
  <c r="G1291" i="16"/>
  <c r="G1364" i="16"/>
  <c r="E50" i="16"/>
  <c r="E547" i="16"/>
  <c r="E578" i="16"/>
  <c r="E614" i="16"/>
  <c r="E643" i="16"/>
  <c r="E830" i="16"/>
  <c r="E989" i="16"/>
  <c r="E1047" i="16"/>
  <c r="G883" i="16"/>
  <c r="G1568" i="16"/>
  <c r="E26" i="16"/>
  <c r="E98" i="16"/>
  <c r="E158" i="16"/>
  <c r="E204" i="16"/>
  <c r="E302" i="16"/>
  <c r="E494" i="16"/>
  <c r="E523" i="16"/>
  <c r="E674" i="16"/>
  <c r="E794" i="16"/>
  <c r="E965" i="16"/>
  <c r="E1202" i="16"/>
  <c r="E1467" i="16"/>
  <c r="E1491" i="16"/>
  <c r="E1543" i="16"/>
  <c r="E1689" i="16"/>
  <c r="E1713" i="16"/>
  <c r="E1742" i="16"/>
  <c r="E74" i="16"/>
  <c r="E132" i="16"/>
  <c r="E182" i="16"/>
  <c r="E427" i="16"/>
  <c r="E889" i="16"/>
  <c r="E942" i="16"/>
  <c r="E1291" i="16"/>
  <c r="E1331" i="16"/>
  <c r="E1544" i="16"/>
  <c r="E1587" i="16"/>
  <c r="E55" i="16"/>
  <c r="E710" i="16"/>
  <c r="E770" i="16"/>
  <c r="E970" i="16"/>
  <c r="E1083" i="16"/>
  <c r="E1443" i="16"/>
  <c r="E1618" i="16"/>
  <c r="E1665" i="16"/>
  <c r="E946" i="16"/>
  <c r="E1568" i="16"/>
  <c r="E1724" i="16"/>
  <c r="E1748" i="16"/>
  <c r="G1744" i="16"/>
  <c r="G1546" i="16"/>
  <c r="E1546" i="16"/>
  <c r="E1744" i="16"/>
  <c r="G417" i="16"/>
  <c r="E35" i="16"/>
  <c r="E47" i="16"/>
  <c r="E59" i="16"/>
  <c r="E119" i="16"/>
  <c r="E131" i="16"/>
  <c r="E155" i="16"/>
  <c r="E167" i="16"/>
  <c r="E179" i="16"/>
  <c r="E275" i="16"/>
  <c r="E276" i="16"/>
  <c r="E300" i="16"/>
  <c r="E324" i="16"/>
  <c r="E384" i="16"/>
  <c r="E408" i="16"/>
  <c r="E432" i="16"/>
  <c r="E588" i="16"/>
  <c r="E600" i="16"/>
  <c r="E173" i="16"/>
  <c r="E185" i="16"/>
  <c r="E233" i="16"/>
  <c r="E245" i="16"/>
  <c r="E257" i="16"/>
  <c r="E269" i="16"/>
  <c r="E305" i="16"/>
  <c r="E317" i="16"/>
  <c r="E329" i="16"/>
  <c r="E365" i="16"/>
  <c r="E377" i="16"/>
  <c r="E389" i="16"/>
  <c r="E401" i="16"/>
  <c r="E461" i="16"/>
  <c r="E473" i="16"/>
  <c r="E533" i="16"/>
  <c r="E545" i="16"/>
  <c r="E557" i="16"/>
  <c r="E569" i="16"/>
  <c r="E653" i="16"/>
  <c r="E665" i="16"/>
  <c r="E701" i="16"/>
  <c r="E737" i="16"/>
  <c r="E761" i="16"/>
  <c r="E785" i="16"/>
  <c r="E821" i="16"/>
  <c r="E869" i="16"/>
  <c r="E921" i="16"/>
  <c r="E933" i="16"/>
  <c r="E956" i="16"/>
  <c r="E968" i="16"/>
  <c r="E1004" i="16"/>
  <c r="E1050" i="16"/>
  <c r="E1086" i="16"/>
  <c r="E1151" i="16"/>
  <c r="E1215" i="16"/>
  <c r="E1222" i="16"/>
  <c r="E1251" i="16"/>
  <c r="E1350" i="16"/>
  <c r="E1374" i="16"/>
  <c r="E1386" i="16"/>
  <c r="E1422" i="16"/>
  <c r="E1446" i="16"/>
  <c r="E1494" i="16"/>
  <c r="E1506" i="16"/>
  <c r="E1566" i="16"/>
  <c r="E1578" i="16"/>
  <c r="E1633" i="16"/>
  <c r="E1680" i="16"/>
  <c r="E1704" i="16"/>
  <c r="E1728" i="16"/>
  <c r="E1740" i="16"/>
  <c r="E1752" i="16"/>
  <c r="E54" i="16"/>
  <c r="E66" i="16"/>
  <c r="E78" i="16"/>
  <c r="G90" i="16"/>
  <c r="E102" i="16"/>
  <c r="E114" i="16"/>
  <c r="E126" i="16"/>
  <c r="E186" i="16"/>
  <c r="E282" i="16"/>
  <c r="E330" i="16"/>
  <c r="E342" i="16"/>
  <c r="E366" i="16"/>
  <c r="E378" i="16"/>
  <c r="E390" i="16"/>
  <c r="E426" i="16"/>
  <c r="E438" i="16"/>
  <c r="E474" i="16"/>
  <c r="E570" i="16"/>
  <c r="E582" i="16"/>
  <c r="E606" i="16"/>
  <c r="E618" i="16"/>
  <c r="E654" i="16"/>
  <c r="E666" i="16"/>
  <c r="E678" i="16"/>
  <c r="E702" i="16"/>
  <c r="E738" i="16"/>
  <c r="E750" i="16"/>
  <c r="E762" i="16"/>
  <c r="E786" i="16"/>
  <c r="E798" i="16"/>
  <c r="E810" i="16"/>
  <c r="E846" i="16"/>
  <c r="E870" i="16"/>
  <c r="E893" i="16"/>
  <c r="E969" i="16"/>
  <c r="E1005" i="16"/>
  <c r="E1017" i="16"/>
  <c r="E1029" i="16"/>
  <c r="E1075" i="16"/>
  <c r="E1087" i="16"/>
  <c r="E1111" i="16"/>
  <c r="E1128" i="16"/>
  <c r="E1176" i="16"/>
  <c r="E1186" i="16"/>
  <c r="E1223" i="16"/>
  <c r="E1263" i="16"/>
  <c r="E1308" i="16"/>
  <c r="E1313" i="16"/>
  <c r="E1342" i="16"/>
  <c r="E1363" i="16"/>
  <c r="E1375" i="16"/>
  <c r="E1387" i="16"/>
  <c r="E1411" i="16"/>
  <c r="E1435" i="16"/>
  <c r="E1447" i="16"/>
  <c r="E1471" i="16"/>
  <c r="E1495" i="16"/>
  <c r="E1519" i="16"/>
  <c r="E1579" i="16"/>
  <c r="E1622" i="16"/>
  <c r="E1634" i="16"/>
  <c r="E1646" i="16"/>
  <c r="E1669" i="16"/>
  <c r="E1681" i="16"/>
  <c r="E1693" i="16"/>
  <c r="E1729" i="16"/>
  <c r="E1741" i="16"/>
  <c r="E1765" i="16"/>
  <c r="E31" i="16"/>
  <c r="E79" i="16"/>
  <c r="E127" i="16"/>
  <c r="E139" i="16"/>
  <c r="E151" i="16"/>
  <c r="E175" i="16"/>
  <c r="E187" i="16"/>
  <c r="E223" i="16"/>
  <c r="E235" i="16"/>
  <c r="E247" i="16"/>
  <c r="E259" i="16"/>
  <c r="E295" i="16"/>
  <c r="E319" i="16"/>
  <c r="E439" i="16"/>
  <c r="E451" i="16"/>
  <c r="E463" i="16"/>
  <c r="E487" i="16"/>
  <c r="E511" i="16"/>
  <c r="E535" i="16"/>
  <c r="E559" i="16"/>
  <c r="E583" i="16"/>
  <c r="E68" i="16"/>
  <c r="E80" i="16"/>
  <c r="E116" i="16"/>
  <c r="E152" i="16"/>
  <c r="E188" i="16"/>
  <c r="E248" i="16"/>
  <c r="E272" i="16"/>
  <c r="E296" i="16"/>
  <c r="E320" i="16"/>
  <c r="E332" i="16"/>
  <c r="E356" i="16"/>
  <c r="E392" i="16"/>
  <c r="E416" i="16"/>
  <c r="E464" i="16"/>
  <c r="E476" i="16"/>
  <c r="E488" i="16"/>
  <c r="E512" i="16"/>
  <c r="E536" i="16"/>
  <c r="E560" i="16"/>
  <c r="E596" i="16"/>
  <c r="E620" i="16"/>
  <c r="E632" i="16"/>
  <c r="E680" i="16"/>
  <c r="E692" i="16"/>
  <c r="E740" i="16"/>
  <c r="E776" i="16"/>
  <c r="E836" i="16"/>
  <c r="E860" i="16"/>
  <c r="E959" i="16"/>
  <c r="E1019" i="16"/>
  <c r="E1041" i="16"/>
  <c r="E1065" i="16"/>
  <c r="E1089" i="16"/>
  <c r="E1113" i="16"/>
  <c r="E1130" i="16"/>
  <c r="E1188" i="16"/>
  <c r="E1208" i="16"/>
  <c r="E1254" i="16"/>
  <c r="E1299" i="16"/>
  <c r="E1315" i="16"/>
  <c r="E1325" i="16"/>
  <c r="E1353" i="16"/>
  <c r="E1389" i="16"/>
  <c r="E1401" i="16"/>
  <c r="E1425" i="16"/>
  <c r="E1437" i="16"/>
  <c r="E1461" i="16"/>
  <c r="E1485" i="16"/>
  <c r="E1509" i="16"/>
  <c r="E1557" i="16"/>
  <c r="E1593" i="16"/>
  <c r="E1612" i="16"/>
  <c r="E1648" i="16"/>
  <c r="E33" i="16"/>
  <c r="E69" i="16"/>
  <c r="E81" i="16"/>
  <c r="E93" i="16"/>
  <c r="E105" i="16"/>
  <c r="E129" i="16"/>
  <c r="G141" i="16"/>
  <c r="E153" i="16"/>
  <c r="E165" i="16"/>
  <c r="E201" i="16"/>
  <c r="G213" i="16"/>
  <c r="E225" i="16"/>
  <c r="E285" i="16"/>
  <c r="G309" i="16"/>
  <c r="E369" i="16"/>
  <c r="E381" i="16"/>
  <c r="G393" i="16"/>
  <c r="E405" i="16"/>
  <c r="E429" i="16"/>
  <c r="E441" i="16"/>
  <c r="E453" i="16"/>
  <c r="E501" i="16"/>
  <c r="E585" i="16"/>
  <c r="E609" i="16"/>
  <c r="E633" i="16"/>
  <c r="E645" i="16"/>
  <c r="E693" i="16"/>
  <c r="E705" i="16"/>
  <c r="E729" i="16"/>
  <c r="E753" i="16"/>
  <c r="E777" i="16"/>
  <c r="E801" i="16"/>
  <c r="E825" i="16"/>
  <c r="G861" i="16"/>
  <c r="E873" i="16"/>
  <c r="E885" i="16"/>
  <c r="E906" i="16"/>
  <c r="E925" i="16"/>
  <c r="E972" i="16"/>
  <c r="E996" i="16"/>
  <c r="G1008" i="16"/>
  <c r="E1054" i="16"/>
  <c r="E1090" i="16"/>
  <c r="G1102" i="16"/>
  <c r="E1119" i="16"/>
  <c r="E1131" i="16"/>
  <c r="E1143" i="16"/>
  <c r="E1155" i="16"/>
  <c r="E1167" i="16"/>
  <c r="E1189" i="16"/>
  <c r="E1197" i="16"/>
  <c r="E1237" i="16"/>
  <c r="E1265" i="16"/>
  <c r="E1293" i="16"/>
  <c r="E1300" i="16"/>
  <c r="E1326" i="16"/>
  <c r="G1378" i="16"/>
  <c r="E1402" i="16"/>
  <c r="E1414" i="16"/>
  <c r="E1426" i="16"/>
  <c r="E1450" i="16"/>
  <c r="E1462" i="16"/>
  <c r="E1510" i="16"/>
  <c r="E1522" i="16"/>
  <c r="E1534" i="16"/>
  <c r="E1558" i="16"/>
  <c r="G1582" i="16"/>
  <c r="E1594" i="16"/>
  <c r="E1613" i="16"/>
  <c r="E595" i="16"/>
  <c r="E607" i="16"/>
  <c r="E619" i="16"/>
  <c r="E631" i="16"/>
  <c r="E655" i="16"/>
  <c r="E667" i="16"/>
  <c r="E679" i="16"/>
  <c r="G691" i="16"/>
  <c r="E715" i="16"/>
  <c r="E823" i="16"/>
  <c r="E835" i="16"/>
  <c r="E859" i="16"/>
  <c r="E894" i="16"/>
  <c r="E923" i="16"/>
  <c r="E935" i="16"/>
  <c r="E958" i="16"/>
  <c r="E994" i="16"/>
  <c r="E1018" i="16"/>
  <c r="E1040" i="16"/>
  <c r="E1052" i="16"/>
  <c r="E1076" i="16"/>
  <c r="E1100" i="16"/>
  <c r="E1112" i="16"/>
  <c r="E1129" i="16"/>
  <c r="E1141" i="16"/>
  <c r="E1153" i="16"/>
  <c r="E1187" i="16"/>
  <c r="E1207" i="16"/>
  <c r="E1217" i="16"/>
  <c r="E1224" i="16"/>
  <c r="E1245" i="16"/>
  <c r="E1253" i="16"/>
  <c r="E1324" i="16"/>
  <c r="E1352" i="16"/>
  <c r="E1388" i="16"/>
  <c r="E1400" i="16"/>
  <c r="E1424" i="16"/>
  <c r="E1436" i="16"/>
  <c r="E1460" i="16"/>
  <c r="E1484" i="16"/>
  <c r="E1496" i="16"/>
  <c r="E1508" i="16"/>
  <c r="E1520" i="16"/>
  <c r="E1580" i="16"/>
  <c r="E1592" i="16"/>
  <c r="E1611" i="16"/>
  <c r="E1635" i="16"/>
  <c r="E1647" i="16"/>
  <c r="E1694" i="16"/>
  <c r="G1706" i="16"/>
  <c r="E1730" i="16"/>
  <c r="E1683" i="16"/>
  <c r="E1731" i="16"/>
  <c r="E1637" i="16"/>
  <c r="E1672" i="16"/>
  <c r="E1684" i="16"/>
  <c r="E1696" i="16"/>
  <c r="E1708" i="16"/>
  <c r="E1756" i="16"/>
  <c r="E539" i="16"/>
  <c r="E611" i="16"/>
  <c r="E719" i="16"/>
  <c r="E827" i="16"/>
  <c r="E898" i="16"/>
  <c r="E974" i="16"/>
  <c r="E1044" i="16"/>
  <c r="E1092" i="16"/>
  <c r="E1116" i="16"/>
  <c r="E1169" i="16"/>
  <c r="E1199" i="16"/>
  <c r="E1257" i="16"/>
  <c r="E1273" i="16"/>
  <c r="E1301" i="16"/>
  <c r="E1318" i="16"/>
  <c r="E1368" i="16"/>
  <c r="E1392" i="16"/>
  <c r="E1416" i="16"/>
  <c r="E1440" i="16"/>
  <c r="E1476" i="16"/>
  <c r="E1524" i="16"/>
  <c r="E1536" i="16"/>
  <c r="G1548" i="16"/>
  <c r="E1572" i="16"/>
  <c r="E1596" i="16"/>
  <c r="E1627" i="16"/>
  <c r="E1651" i="16"/>
  <c r="E1710" i="16"/>
  <c r="E1734" i="16"/>
  <c r="E720" i="16"/>
  <c r="E756" i="16"/>
  <c r="E780" i="16"/>
  <c r="E828" i="16"/>
  <c r="E899" i="16"/>
  <c r="E916" i="16"/>
  <c r="E951" i="16"/>
  <c r="E1093" i="16"/>
  <c r="E1170" i="16"/>
  <c r="E1192" i="16"/>
  <c r="E1229" i="16"/>
  <c r="E1239" i="16"/>
  <c r="E1258" i="16"/>
  <c r="E1302" i="16"/>
  <c r="E1338" i="16"/>
  <c r="E1393" i="16"/>
  <c r="E1405" i="16"/>
  <c r="E1417" i="16"/>
  <c r="E1477" i="16"/>
  <c r="E1501" i="16"/>
  <c r="E1525" i="16"/>
  <c r="E1537" i="16"/>
  <c r="E1573" i="16"/>
  <c r="E1628" i="16"/>
  <c r="E1652" i="16"/>
  <c r="E1687" i="16"/>
  <c r="E30" i="16"/>
  <c r="G30" i="16"/>
  <c r="E174" i="16"/>
  <c r="G174" i="16"/>
  <c r="E222" i="16"/>
  <c r="G222" i="16"/>
  <c r="E306" i="16"/>
  <c r="G306" i="16"/>
  <c r="E402" i="16"/>
  <c r="G402" i="16"/>
  <c r="E414" i="16"/>
  <c r="G414" i="16"/>
  <c r="E450" i="16"/>
  <c r="G450" i="16"/>
  <c r="E714" i="16"/>
  <c r="G714" i="16"/>
  <c r="E774" i="16"/>
  <c r="G774" i="16"/>
  <c r="E834" i="16"/>
  <c r="G834" i="16"/>
  <c r="E858" i="16"/>
  <c r="G858" i="16"/>
  <c r="E882" i="16"/>
  <c r="G882" i="16"/>
  <c r="G934" i="16"/>
  <c r="E934" i="16"/>
  <c r="E945" i="16"/>
  <c r="G945" i="16"/>
  <c r="E957" i="16"/>
  <c r="G957" i="16"/>
  <c r="E981" i="16"/>
  <c r="G981" i="16"/>
  <c r="E993" i="16"/>
  <c r="G993" i="16"/>
  <c r="G1063" i="16"/>
  <c r="E1063" i="16"/>
  <c r="E1140" i="16"/>
  <c r="G1140" i="16"/>
  <c r="E1152" i="16"/>
  <c r="G1152" i="16"/>
  <c r="E1206" i="16"/>
  <c r="G1206" i="16"/>
  <c r="E1216" i="16"/>
  <c r="G1216" i="16"/>
  <c r="E1290" i="16"/>
  <c r="G1290" i="16"/>
  <c r="E1399" i="16"/>
  <c r="G1399" i="16"/>
  <c r="E1423" i="16"/>
  <c r="G1423" i="16"/>
  <c r="E1483" i="16"/>
  <c r="G1483" i="16"/>
  <c r="E1531" i="16"/>
  <c r="G1531" i="16"/>
  <c r="E1555" i="16"/>
  <c r="G1555" i="16"/>
  <c r="E1567" i="16"/>
  <c r="G1567" i="16"/>
  <c r="E1603" i="16"/>
  <c r="G1603" i="16"/>
  <c r="E1610" i="16"/>
  <c r="G1610" i="16"/>
  <c r="E689" i="16"/>
  <c r="G689" i="16"/>
  <c r="G713" i="16"/>
  <c r="E713" i="16"/>
  <c r="E725" i="16"/>
  <c r="G725" i="16"/>
  <c r="E773" i="16"/>
  <c r="G773" i="16"/>
  <c r="E797" i="16"/>
  <c r="G797" i="16"/>
  <c r="E892" i="16"/>
  <c r="G892" i="16"/>
  <c r="E1410" i="16"/>
  <c r="G1410" i="16"/>
  <c r="E1609" i="16"/>
  <c r="G1609" i="16"/>
  <c r="G317" i="16"/>
  <c r="G137" i="16"/>
  <c r="G153" i="16"/>
  <c r="G257" i="16"/>
  <c r="G377" i="16"/>
  <c r="G461" i="16"/>
  <c r="G693" i="16"/>
  <c r="G753" i="16"/>
  <c r="G1016" i="16"/>
  <c r="G1251" i="16"/>
  <c r="G1494" i="16"/>
  <c r="E213" i="16"/>
  <c r="E309" i="16"/>
  <c r="E393" i="16"/>
  <c r="E861" i="16"/>
  <c r="E101" i="16"/>
  <c r="G101" i="16"/>
  <c r="G89" i="16"/>
  <c r="G1374" i="16"/>
  <c r="G125" i="16"/>
  <c r="G185" i="16"/>
  <c r="G201" i="16"/>
  <c r="G378" i="16"/>
  <c r="G441" i="16"/>
  <c r="G585" i="16"/>
  <c r="G885" i="16"/>
  <c r="G1054" i="16"/>
  <c r="G1151" i="16"/>
  <c r="G1197" i="16"/>
  <c r="E980" i="16"/>
  <c r="G980" i="16"/>
  <c r="E1139" i="16"/>
  <c r="G1139" i="16"/>
  <c r="E1205" i="16"/>
  <c r="G1205" i="16"/>
  <c r="E1322" i="16"/>
  <c r="G1322" i="16"/>
  <c r="E1458" i="16"/>
  <c r="G1458" i="16"/>
  <c r="E1590" i="16"/>
  <c r="G1590" i="16"/>
  <c r="E1602" i="16"/>
  <c r="G1602" i="16"/>
  <c r="G57" i="16"/>
  <c r="E57" i="16"/>
  <c r="E345" i="16"/>
  <c r="G345" i="16"/>
  <c r="E357" i="16"/>
  <c r="G357" i="16"/>
  <c r="E477" i="16"/>
  <c r="G477" i="16"/>
  <c r="E573" i="16"/>
  <c r="G573" i="16"/>
  <c r="E657" i="16"/>
  <c r="G657" i="16"/>
  <c r="E741" i="16"/>
  <c r="G741" i="16"/>
  <c r="G765" i="16"/>
  <c r="E765" i="16"/>
  <c r="G789" i="16"/>
  <c r="E789" i="16"/>
  <c r="G849" i="16"/>
  <c r="E849" i="16"/>
  <c r="E896" i="16"/>
  <c r="G896" i="16"/>
  <c r="G948" i="16"/>
  <c r="E948" i="16"/>
  <c r="E1042" i="16"/>
  <c r="G1042" i="16"/>
  <c r="G1078" i="16"/>
  <c r="E1078" i="16"/>
  <c r="E1114" i="16"/>
  <c r="G1114" i="16"/>
  <c r="G1179" i="16"/>
  <c r="E1179" i="16"/>
  <c r="E1255" i="16"/>
  <c r="G1255" i="16"/>
  <c r="G1283" i="16"/>
  <c r="E1283" i="16"/>
  <c r="G1316" i="16"/>
  <c r="E1316" i="16"/>
  <c r="E1354" i="16"/>
  <c r="G1354" i="16"/>
  <c r="G1366" i="16"/>
  <c r="E1366" i="16"/>
  <c r="E1438" i="16"/>
  <c r="G1438" i="16"/>
  <c r="E1474" i="16"/>
  <c r="G1474" i="16"/>
  <c r="E1498" i="16"/>
  <c r="G1498" i="16"/>
  <c r="E29" i="16"/>
  <c r="G29" i="16"/>
  <c r="E497" i="16"/>
  <c r="G497" i="16"/>
  <c r="E593" i="16"/>
  <c r="G593" i="16"/>
  <c r="E641" i="16"/>
  <c r="G641" i="16"/>
  <c r="G1098" i="16"/>
  <c r="E1098" i="16"/>
  <c r="G1234" i="16"/>
  <c r="E1234" i="16"/>
  <c r="E1279" i="16"/>
  <c r="G1279" i="16"/>
  <c r="E1307" i="16"/>
  <c r="G1307" i="16"/>
  <c r="G1398" i="16"/>
  <c r="E1398" i="16"/>
  <c r="E1470" i="16"/>
  <c r="G1470" i="16"/>
  <c r="E1482" i="16"/>
  <c r="G1482" i="16"/>
  <c r="G1530" i="16"/>
  <c r="E1530" i="16"/>
  <c r="E1554" i="16"/>
  <c r="G1554" i="16"/>
  <c r="G737" i="16"/>
  <c r="G869" i="16"/>
  <c r="G1185" i="16"/>
  <c r="E45" i="16"/>
  <c r="G45" i="16"/>
  <c r="E117" i="16"/>
  <c r="G117" i="16"/>
  <c r="G18" i="16"/>
  <c r="G65" i="16"/>
  <c r="G77" i="16"/>
  <c r="G93" i="16"/>
  <c r="G225" i="16"/>
  <c r="G282" i="16"/>
  <c r="G342" i="16"/>
  <c r="G426" i="16"/>
  <c r="G606" i="16"/>
  <c r="G678" i="16"/>
  <c r="G738" i="16"/>
  <c r="G777" i="16"/>
  <c r="G870" i="16"/>
  <c r="G1004" i="16"/>
  <c r="G1155" i="16"/>
  <c r="G1186" i="16"/>
  <c r="G1215" i="16"/>
  <c r="G833" i="16"/>
  <c r="E833" i="16"/>
  <c r="G53" i="16"/>
  <c r="G113" i="16"/>
  <c r="G129" i="16"/>
  <c r="G189" i="16"/>
  <c r="G285" i="16"/>
  <c r="G305" i="16"/>
  <c r="G366" i="16"/>
  <c r="G429" i="16"/>
  <c r="G569" i="16"/>
  <c r="G609" i="16"/>
  <c r="G701" i="16"/>
  <c r="G798" i="16"/>
  <c r="G821" i="16"/>
  <c r="G933" i="16"/>
  <c r="G969" i="16"/>
  <c r="G1578" i="16"/>
  <c r="E177" i="16"/>
  <c r="G341" i="16"/>
  <c r="G545" i="16"/>
  <c r="G21" i="16"/>
  <c r="G54" i="16"/>
  <c r="G114" i="16"/>
  <c r="G329" i="16"/>
  <c r="G389" i="16"/>
  <c r="G533" i="16"/>
  <c r="G570" i="16"/>
  <c r="G665" i="16"/>
  <c r="G702" i="16"/>
  <c r="G761" i="16"/>
  <c r="G893" i="16"/>
  <c r="G1143" i="16"/>
  <c r="G1189" i="16"/>
  <c r="E161" i="16"/>
  <c r="G161" i="16"/>
  <c r="E809" i="16"/>
  <c r="G809" i="16"/>
  <c r="G173" i="16"/>
  <c r="G69" i="16"/>
  <c r="G81" i="16"/>
  <c r="G210" i="16"/>
  <c r="G330" i="16"/>
  <c r="G369" i="16"/>
  <c r="G390" i="16"/>
  <c r="G453" i="16"/>
  <c r="G473" i="16"/>
  <c r="G666" i="16"/>
  <c r="G705" i="16"/>
  <c r="G762" i="16"/>
  <c r="G801" i="16"/>
  <c r="G972" i="16"/>
  <c r="G1300" i="16"/>
  <c r="G1350" i="16"/>
  <c r="E749" i="16"/>
  <c r="G749" i="16"/>
  <c r="G401" i="16"/>
  <c r="G245" i="16"/>
  <c r="G365" i="16"/>
  <c r="G165" i="16"/>
  <c r="G233" i="16"/>
  <c r="G269" i="16"/>
  <c r="G474" i="16"/>
  <c r="G729" i="16"/>
  <c r="G825" i="16"/>
  <c r="G921" i="16"/>
  <c r="G956" i="16"/>
  <c r="G1029" i="16"/>
  <c r="G1386" i="16"/>
  <c r="G1518" i="16"/>
  <c r="G1566" i="16"/>
  <c r="E413" i="16"/>
  <c r="G413" i="16"/>
  <c r="G968" i="16"/>
  <c r="G1446" i="16"/>
  <c r="G9" i="16"/>
  <c r="G102" i="16"/>
  <c r="G149" i="16"/>
  <c r="G333" i="16"/>
  <c r="G353" i="16"/>
  <c r="G501" i="16"/>
  <c r="G785" i="16"/>
  <c r="G922" i="16"/>
  <c r="G996" i="16"/>
  <c r="G1086" i="16"/>
  <c r="G1131" i="16"/>
  <c r="G1422" i="16"/>
  <c r="E1008" i="16"/>
  <c r="E1764" i="16"/>
  <c r="G1764" i="16"/>
  <c r="E1604" i="16"/>
  <c r="G1604" i="16"/>
  <c r="E1625" i="16"/>
  <c r="E1722" i="16"/>
  <c r="G1722" i="16"/>
  <c r="G1720" i="16"/>
  <c r="G175" i="16"/>
  <c r="G223" i="16"/>
  <c r="G451" i="16"/>
  <c r="G1324" i="16"/>
  <c r="G1484" i="16"/>
  <c r="G1611" i="16"/>
  <c r="G1672" i="16"/>
  <c r="G1765" i="16"/>
  <c r="G1616" i="16"/>
  <c r="E1616" i="16"/>
  <c r="G1645" i="16"/>
  <c r="F427" i="16" l="1"/>
  <c r="I427" i="16" s="1"/>
  <c r="F178" i="16"/>
  <c r="F1299" i="16"/>
  <c r="F1512" i="16"/>
  <c r="F1691" i="16"/>
  <c r="F1031" i="16"/>
  <c r="F139" i="16"/>
  <c r="F935" i="16"/>
  <c r="F719" i="16"/>
  <c r="F158" i="16"/>
  <c r="F1388" i="16"/>
  <c r="F1156" i="16"/>
  <c r="F1179" i="16"/>
  <c r="F849" i="16"/>
  <c r="F1398" i="16"/>
  <c r="F1736" i="16"/>
  <c r="F1202" i="16"/>
  <c r="F1666" i="16"/>
  <c r="F1050" i="16"/>
  <c r="F860" i="16"/>
  <c r="F319" i="16"/>
  <c r="F1467" i="16"/>
  <c r="F384" i="16"/>
  <c r="F295" i="16"/>
  <c r="F259" i="16"/>
  <c r="F1076" i="16"/>
  <c r="F132" i="16"/>
  <c r="F166" i="16"/>
  <c r="F92" i="16"/>
  <c r="F1326" i="16"/>
  <c r="F1616" i="16"/>
  <c r="F50" i="16"/>
  <c r="F563" i="16"/>
  <c r="F1093" i="16"/>
  <c r="F1618" i="16"/>
  <c r="F1460" i="16"/>
  <c r="F155" i="16"/>
  <c r="F978" i="16"/>
  <c r="F1471" i="16"/>
  <c r="F1040" i="16"/>
  <c r="F1018" i="16"/>
  <c r="F435" i="16"/>
  <c r="F1219" i="16"/>
  <c r="F1443" i="16"/>
  <c r="F196" i="16"/>
  <c r="F1747" i="16"/>
  <c r="F1629" i="16"/>
  <c r="F863" i="16"/>
  <c r="F899" i="16"/>
  <c r="F588" i="16"/>
  <c r="F460" i="16"/>
  <c r="F827" i="16"/>
  <c r="F219" i="16"/>
  <c r="F1456" i="16"/>
  <c r="F1373" i="16"/>
  <c r="F1627" i="16"/>
  <c r="F368" i="16"/>
  <c r="F127" i="16"/>
  <c r="F35" i="16"/>
  <c r="F73" i="16"/>
  <c r="F501" i="16"/>
  <c r="F1257" i="16"/>
  <c r="F1224" i="16"/>
  <c r="F165" i="16"/>
  <c r="F953" i="16"/>
  <c r="F807" i="16"/>
  <c r="F1551" i="16"/>
  <c r="F1516" i="16"/>
  <c r="F897" i="16"/>
  <c r="F202" i="16"/>
  <c r="F835" i="16"/>
  <c r="F463" i="16"/>
  <c r="F611" i="16"/>
  <c r="F959" i="16"/>
  <c r="F909" i="16"/>
  <c r="F666" i="16"/>
  <c r="F169" i="16"/>
  <c r="F1524" i="16"/>
  <c r="F208" i="16"/>
  <c r="F112" i="16"/>
  <c r="F1501" i="16"/>
  <c r="F1476" i="16"/>
  <c r="F1116" i="16"/>
  <c r="F167" i="16"/>
  <c r="F1232" i="16"/>
  <c r="F149" i="16"/>
  <c r="F707" i="16"/>
  <c r="F910" i="16"/>
  <c r="F1228" i="16"/>
  <c r="F1672" i="16"/>
  <c r="F1593" i="16"/>
  <c r="F488" i="16"/>
  <c r="F317" i="16"/>
  <c r="F183" i="16"/>
  <c r="F1569" i="16"/>
  <c r="F1505" i="16"/>
  <c r="F453" i="16"/>
  <c r="F476" i="16"/>
  <c r="F1728" i="16"/>
  <c r="F615" i="16"/>
  <c r="F855" i="16"/>
  <c r="F1678" i="16"/>
  <c r="F1620" i="16"/>
  <c r="F626" i="16"/>
  <c r="F940" i="16"/>
  <c r="F1366" i="16"/>
  <c r="F789" i="16"/>
  <c r="F916" i="16"/>
  <c r="F282" i="16"/>
  <c r="F276" i="16"/>
  <c r="F1287" i="16"/>
  <c r="F1628" i="16"/>
  <c r="F1352" i="16"/>
  <c r="F535" i="16"/>
  <c r="F764" i="16"/>
  <c r="F13" i="16"/>
  <c r="F511" i="16"/>
  <c r="F484" i="16"/>
  <c r="F1597" i="16"/>
  <c r="F26" i="16"/>
  <c r="F879" i="16"/>
  <c r="F603" i="16"/>
  <c r="F1558" i="16"/>
  <c r="F366" i="16"/>
  <c r="F253" i="16"/>
  <c r="F217" i="16"/>
  <c r="F275" i="16"/>
  <c r="F637" i="16"/>
  <c r="F1292" i="16"/>
  <c r="F251" i="16"/>
  <c r="F1245" i="16"/>
  <c r="F31" i="16"/>
  <c r="F653" i="16"/>
  <c r="F286" i="16"/>
  <c r="F913" i="16"/>
  <c r="F1119" i="16"/>
  <c r="F1547" i="16"/>
  <c r="F109" i="16"/>
  <c r="F1652" i="16"/>
  <c r="F559" i="16"/>
  <c r="F1681" i="16"/>
  <c r="F1387" i="16"/>
  <c r="F946" i="16"/>
  <c r="F171" i="16"/>
  <c r="F1737" i="16"/>
  <c r="F1122" i="16"/>
  <c r="F1439" i="16"/>
  <c r="F398" i="16"/>
  <c r="F88" i="16"/>
  <c r="F1132" i="16"/>
  <c r="F557" i="16"/>
  <c r="F1527" i="16"/>
  <c r="F1090" i="16"/>
  <c r="F1144" i="16"/>
  <c r="F79" i="16"/>
  <c r="F1740" i="16"/>
  <c r="F578" i="16"/>
  <c r="F1242" i="16"/>
  <c r="F250" i="16"/>
  <c r="F654" i="16"/>
  <c r="F1104" i="16"/>
  <c r="F91" i="16"/>
  <c r="F1392" i="16"/>
  <c r="F583" i="16"/>
  <c r="F1462" i="16"/>
  <c r="F1111" i="16"/>
  <c r="F363" i="16"/>
  <c r="F851" i="16"/>
  <c r="F229" i="16"/>
  <c r="F700" i="16"/>
  <c r="F1258" i="16"/>
  <c r="F480" i="16"/>
  <c r="F589" i="16"/>
  <c r="F1596" i="16"/>
  <c r="F859" i="16"/>
  <c r="F487" i="16"/>
  <c r="F1035" i="16"/>
  <c r="F448" i="16"/>
  <c r="F420" i="16"/>
  <c r="F1617" i="16"/>
  <c r="F97" i="16"/>
  <c r="F1336" i="16"/>
  <c r="F572" i="16"/>
  <c r="F1213" i="16"/>
  <c r="F1405" i="16"/>
  <c r="F776" i="16"/>
  <c r="F772" i="16"/>
  <c r="F316" i="16"/>
  <c r="F898" i="16"/>
  <c r="F126" i="16"/>
  <c r="F374" i="16"/>
  <c r="F327" i="16"/>
  <c r="F887" i="16"/>
  <c r="F1356" i="16"/>
  <c r="F1375" i="16"/>
  <c r="F1663" i="16"/>
  <c r="F1687" i="16"/>
  <c r="F1513" i="16"/>
  <c r="F1683" i="16"/>
  <c r="F1752" i="16"/>
  <c r="F1477" i="16"/>
  <c r="F1594" i="16"/>
  <c r="F152" i="16"/>
  <c r="F1004" i="16"/>
  <c r="F723" i="16"/>
  <c r="F1754" i="16"/>
  <c r="F1730" i="16"/>
  <c r="F1436" i="16"/>
  <c r="F464" i="16"/>
  <c r="F1078" i="16"/>
  <c r="F765" i="16"/>
  <c r="F309" i="16"/>
  <c r="F1578" i="16"/>
  <c r="F674" i="16"/>
  <c r="F411" i="16"/>
  <c r="F1624" i="16"/>
  <c r="F782" i="16"/>
  <c r="F279" i="16"/>
  <c r="F616" i="16"/>
  <c r="F1133" i="16"/>
  <c r="F444" i="16"/>
  <c r="F236" i="16"/>
  <c r="F1484" i="16"/>
  <c r="F201" i="16"/>
  <c r="F182" i="16"/>
  <c r="F1599" i="16"/>
  <c r="F550" i="16"/>
  <c r="F1557" i="16"/>
  <c r="F867" i="16"/>
  <c r="F1529" i="16"/>
  <c r="F1217" i="16"/>
  <c r="F865" i="16"/>
  <c r="F1425" i="16"/>
  <c r="F187" i="16"/>
  <c r="F1669" i="16"/>
  <c r="F710" i="16"/>
  <c r="F523" i="16"/>
  <c r="F1071" i="16"/>
  <c r="F1214" i="16"/>
  <c r="F263" i="16"/>
  <c r="F802" i="16"/>
  <c r="F1058" i="16"/>
  <c r="F72" i="16"/>
  <c r="F758" i="16"/>
  <c r="F502" i="16"/>
  <c r="F1562" i="16"/>
  <c r="F20" i="16"/>
  <c r="F781" i="16"/>
  <c r="F1526" i="16"/>
  <c r="F108" i="16"/>
  <c r="F1478" i="16"/>
  <c r="F1350" i="16"/>
  <c r="F305" i="16"/>
  <c r="F893" i="16"/>
  <c r="F647" i="16"/>
  <c r="F1056" i="16"/>
  <c r="F77" i="16"/>
  <c r="F1765" i="16"/>
  <c r="F569" i="16"/>
  <c r="F441" i="16"/>
  <c r="F1186" i="16"/>
  <c r="F330" i="16"/>
  <c r="F956" i="16"/>
  <c r="F1564" i="16"/>
  <c r="F1559" i="16"/>
  <c r="F1734" i="16"/>
  <c r="F1416" i="16"/>
  <c r="F683" i="16"/>
  <c r="F1517" i="16"/>
  <c r="F843" i="16"/>
  <c r="F1758" i="16"/>
  <c r="F1454" i="16"/>
  <c r="F1306" i="16"/>
  <c r="F841" i="16"/>
  <c r="F65" i="16"/>
  <c r="F1304" i="16"/>
  <c r="F491" i="16"/>
  <c r="F1395" i="16"/>
  <c r="F156" i="16"/>
  <c r="F1611" i="16"/>
  <c r="F1502" i="16"/>
  <c r="F529" i="16"/>
  <c r="F190" i="16"/>
  <c r="F1540" i="16"/>
  <c r="F1424" i="16"/>
  <c r="F958" i="16"/>
  <c r="F1534" i="16"/>
  <c r="F429" i="16"/>
  <c r="F1208" i="16"/>
  <c r="F740" i="16"/>
  <c r="F247" i="16"/>
  <c r="F1729" i="16"/>
  <c r="F1435" i="16"/>
  <c r="F545" i="16"/>
  <c r="F1083" i="16"/>
  <c r="F965" i="16"/>
  <c r="F602" i="16"/>
  <c r="F912" i="16"/>
  <c r="F627" i="16"/>
  <c r="F1371" i="16"/>
  <c r="F467" i="16"/>
  <c r="F1468" i="16"/>
  <c r="F110" i="16"/>
  <c r="F1280" i="16"/>
  <c r="F336" i="16"/>
  <c r="F566" i="16"/>
  <c r="F541" i="16"/>
  <c r="F1466" i="16"/>
  <c r="F1282" i="16"/>
  <c r="F288" i="16"/>
  <c r="F790" i="16"/>
  <c r="F1296" i="16"/>
  <c r="F9" i="16"/>
  <c r="F1403" i="16"/>
  <c r="F556" i="16"/>
  <c r="F1182" i="16"/>
  <c r="F1320" i="16"/>
  <c r="F393" i="16"/>
  <c r="F1063" i="16"/>
  <c r="F1710" i="16"/>
  <c r="F1265" i="16"/>
  <c r="F405" i="16"/>
  <c r="F1188" i="16"/>
  <c r="F235" i="16"/>
  <c r="F1693" i="16"/>
  <c r="F1411" i="16"/>
  <c r="F846" i="16"/>
  <c r="F186" i="16"/>
  <c r="F1251" i="16"/>
  <c r="F921" i="16"/>
  <c r="F698" i="16"/>
  <c r="F195" i="16"/>
  <c r="F58" i="16"/>
  <c r="F1344" i="16"/>
  <c r="F347" i="16"/>
  <c r="F1059" i="16"/>
  <c r="F824" i="16"/>
  <c r="F442" i="16"/>
  <c r="F1638" i="16"/>
  <c r="F1294" i="16"/>
  <c r="F308" i="16"/>
  <c r="F1359" i="16"/>
  <c r="F87" i="16"/>
  <c r="F820" i="16"/>
  <c r="F1061" i="16"/>
  <c r="F1601" i="16"/>
  <c r="F1759" i="16"/>
  <c r="F375" i="16"/>
  <c r="F1123" i="16"/>
  <c r="F341" i="16"/>
  <c r="F1021" i="16"/>
  <c r="F19" i="16"/>
  <c r="F952" i="16"/>
  <c r="F659" i="16"/>
  <c r="F1240" i="16"/>
  <c r="F1402" i="16"/>
  <c r="F1648" i="16"/>
  <c r="F643" i="16"/>
  <c r="F1384" i="16"/>
  <c r="F1343" i="16"/>
  <c r="F424" i="16"/>
  <c r="F314" i="16"/>
  <c r="F768" i="16"/>
  <c r="F1676" i="16"/>
  <c r="F728" i="16"/>
  <c r="F1269" i="16"/>
  <c r="F1682" i="16"/>
  <c r="F1313" i="16"/>
  <c r="F532" i="16"/>
  <c r="F1003" i="16"/>
  <c r="F256" i="16"/>
  <c r="F1429" i="16"/>
  <c r="F266" i="16"/>
  <c r="F1016" i="16"/>
  <c r="F930" i="16"/>
  <c r="F1408" i="16"/>
  <c r="F599" i="16"/>
  <c r="F1274" i="16"/>
  <c r="F1447" i="16"/>
  <c r="F303" i="16"/>
  <c r="F27" i="16"/>
  <c r="F793" i="16"/>
  <c r="F416" i="16"/>
  <c r="F811" i="16"/>
  <c r="F1714" i="16"/>
  <c r="F1001" i="16"/>
  <c r="F736" i="16"/>
  <c r="F1198" i="16"/>
  <c r="F562" i="16"/>
  <c r="F371" i="16"/>
  <c r="F1539" i="16"/>
  <c r="F1544" i="16"/>
  <c r="F1419" i="16"/>
  <c r="F121" i="16"/>
  <c r="F75" i="16"/>
  <c r="F1450" i="16"/>
  <c r="F1089" i="16"/>
  <c r="F1172" i="16"/>
  <c r="F1750" i="16"/>
  <c r="F1469" i="16"/>
  <c r="F1184" i="16"/>
  <c r="F1495" i="16"/>
  <c r="F685" i="16"/>
  <c r="F116" i="16"/>
  <c r="F746" i="16"/>
  <c r="F1488" i="16"/>
  <c r="F1176" i="16"/>
  <c r="F1654" i="16"/>
  <c r="F1385" i="16"/>
  <c r="F624" i="16"/>
  <c r="F692" i="16"/>
  <c r="F1314" i="16"/>
  <c r="F964" i="16"/>
  <c r="F888" i="16"/>
  <c r="F1237" i="16"/>
  <c r="F381" i="16"/>
  <c r="F1497" i="16"/>
  <c r="F1568" i="16"/>
  <c r="F1338" i="16"/>
  <c r="F179" i="16"/>
  <c r="F1757" i="16"/>
  <c r="F1069" i="16"/>
  <c r="F1094" i="16"/>
  <c r="F923" i="16"/>
  <c r="F1337" i="16"/>
  <c r="F1482" i="16"/>
  <c r="F1602" i="16"/>
  <c r="F1155" i="16"/>
  <c r="F1019" i="16"/>
  <c r="F1579" i="16"/>
  <c r="F66" i="16"/>
  <c r="F1543" i="16"/>
  <c r="F1160" i="16"/>
  <c r="F395" i="16"/>
  <c r="F515" i="16"/>
  <c r="F538" i="16"/>
  <c r="F1490" i="16"/>
  <c r="F1106" i="16"/>
  <c r="F241" i="16"/>
  <c r="F226" i="16"/>
  <c r="F445" i="16"/>
  <c r="F1168" i="16"/>
  <c r="F1511" i="16"/>
  <c r="F1190" i="16"/>
  <c r="F46" i="16"/>
  <c r="F135" i="16"/>
  <c r="F1045" i="16"/>
  <c r="F333" i="16"/>
  <c r="F1703" i="16"/>
  <c r="F211" i="16"/>
  <c r="F120" i="16"/>
  <c r="F623" i="16"/>
  <c r="F1043" i="16"/>
  <c r="F350" i="16"/>
  <c r="F1498" i="16"/>
  <c r="F657" i="16"/>
  <c r="F1139" i="16"/>
  <c r="F1525" i="16"/>
  <c r="F1192" i="16"/>
  <c r="F1696" i="16"/>
  <c r="F1508" i="16"/>
  <c r="F885" i="16"/>
  <c r="F609" i="16"/>
  <c r="F225" i="16"/>
  <c r="F1325" i="16"/>
  <c r="F536" i="16"/>
  <c r="F248" i="16"/>
  <c r="F390" i="16"/>
  <c r="F1422" i="16"/>
  <c r="F701" i="16"/>
  <c r="F365" i="16"/>
  <c r="F432" i="16"/>
  <c r="F1697" i="16"/>
  <c r="F490" i="16"/>
  <c r="F1642" i="16"/>
  <c r="F1178" i="16"/>
  <c r="F944" i="16"/>
  <c r="F159" i="16"/>
  <c r="F986" i="16"/>
  <c r="F1645" i="16"/>
  <c r="F1735" i="16"/>
  <c r="F1473" i="16"/>
  <c r="F1370" i="16"/>
  <c r="F1170" i="16"/>
  <c r="F1199" i="16"/>
  <c r="F1684" i="16"/>
  <c r="F1496" i="16"/>
  <c r="F1253" i="16"/>
  <c r="F1052" i="16"/>
  <c r="F715" i="16"/>
  <c r="F1613" i="16"/>
  <c r="F1143" i="16"/>
  <c r="F873" i="16"/>
  <c r="F585" i="16"/>
  <c r="F1612" i="16"/>
  <c r="F151" i="16"/>
  <c r="F1457" i="16"/>
  <c r="F191" i="16"/>
  <c r="F1010" i="16"/>
  <c r="F1023" i="16"/>
  <c r="F118" i="16"/>
  <c r="F1055" i="16"/>
  <c r="F404" i="16"/>
  <c r="F1656" i="16"/>
  <c r="F96" i="16"/>
  <c r="F293" i="16"/>
  <c r="F1315" i="16"/>
  <c r="F512" i="16"/>
  <c r="F188" i="16"/>
  <c r="F1519" i="16"/>
  <c r="F1308" i="16"/>
  <c r="F1005" i="16"/>
  <c r="F702" i="16"/>
  <c r="F378" i="16"/>
  <c r="F54" i="16"/>
  <c r="F1386" i="16"/>
  <c r="F329" i="16"/>
  <c r="F47" i="16"/>
  <c r="F1748" i="16"/>
  <c r="F1665" i="16"/>
  <c r="F1491" i="16"/>
  <c r="F98" i="16"/>
  <c r="F614" i="16"/>
  <c r="F904" i="16"/>
  <c r="F1661" i="16"/>
  <c r="F1108" i="16"/>
  <c r="F1203" i="16"/>
  <c r="F1360" i="16"/>
  <c r="F990" i="16"/>
  <c r="F396" i="16"/>
  <c r="F1726" i="16"/>
  <c r="F1142" i="16"/>
  <c r="F590" i="16"/>
  <c r="F1716" i="16"/>
  <c r="F1667" i="16"/>
  <c r="F172" i="16"/>
  <c r="F1582" i="16"/>
  <c r="F1518" i="16"/>
  <c r="F1146" i="16"/>
  <c r="F1550" i="16"/>
  <c r="F181" i="16"/>
  <c r="F778" i="16"/>
  <c r="F1660" i="16"/>
  <c r="F421" i="16"/>
  <c r="F997" i="16"/>
  <c r="F238" i="16"/>
  <c r="F1533" i="16"/>
  <c r="F1365" i="16"/>
  <c r="F1475" i="16"/>
  <c r="F164" i="16"/>
  <c r="F1545" i="16"/>
  <c r="F724" i="16"/>
  <c r="F1149" i="16"/>
  <c r="F769" i="16"/>
  <c r="F193" i="16"/>
  <c r="F508" i="16"/>
  <c r="F160" i="16"/>
  <c r="F1357" i="16"/>
  <c r="F1162" i="16"/>
  <c r="F273" i="16"/>
  <c r="F12" i="16"/>
  <c r="F104" i="16"/>
  <c r="F1135" i="16"/>
  <c r="F1025" i="16"/>
  <c r="F696" i="16"/>
  <c r="F961" i="16"/>
  <c r="F353" i="16"/>
  <c r="F161" i="16"/>
  <c r="F1399" i="16"/>
  <c r="F542" i="16"/>
  <c r="F1174" i="16"/>
  <c r="F697" i="16"/>
  <c r="F1268" i="16"/>
  <c r="F147" i="16"/>
  <c r="F292" i="16"/>
  <c r="F1644" i="16"/>
  <c r="F1275" i="16"/>
  <c r="F839" i="16"/>
  <c r="F797" i="16"/>
  <c r="F1603" i="16"/>
  <c r="F1140" i="16"/>
  <c r="F450" i="16"/>
  <c r="F1393" i="16"/>
  <c r="F618" i="16"/>
  <c r="F257" i="16"/>
  <c r="F676" i="16"/>
  <c r="F360" i="16"/>
  <c r="F1330" i="16"/>
  <c r="F351" i="16"/>
  <c r="F239" i="16"/>
  <c r="F796" i="16"/>
  <c r="F684" i="16"/>
  <c r="F631" i="16"/>
  <c r="F144" i="16"/>
  <c r="F30" i="16"/>
  <c r="F1293" i="16"/>
  <c r="F1700" i="16"/>
  <c r="F598" i="16"/>
  <c r="F289" i="16"/>
  <c r="F1126" i="16"/>
  <c r="F232" i="16"/>
  <c r="F1731" i="16"/>
  <c r="F823" i="16"/>
  <c r="F1017" i="16"/>
  <c r="F738" i="16"/>
  <c r="F1086" i="16"/>
  <c r="F59" i="16"/>
  <c r="F1546" i="16"/>
  <c r="F889" i="16"/>
  <c r="F1571" i="16"/>
  <c r="F1014" i="16"/>
  <c r="F344" i="16"/>
  <c r="F1433" i="16"/>
  <c r="F268" i="16"/>
  <c r="F1057" i="16"/>
  <c r="F1487" i="16"/>
  <c r="F1067" i="16"/>
  <c r="F1745" i="16"/>
  <c r="F649" i="16"/>
  <c r="F1027" i="16"/>
  <c r="F757" i="16"/>
  <c r="F1349" i="16"/>
  <c r="F1015" i="16"/>
  <c r="F1763" i="16"/>
  <c r="F1243" i="16"/>
  <c r="F53" i="16"/>
  <c r="F905" i="16"/>
  <c r="F985" i="16"/>
  <c r="F1744" i="16"/>
  <c r="F1623" i="16"/>
  <c r="F1432" i="16"/>
  <c r="F919" i="16"/>
  <c r="F1662" i="16"/>
  <c r="F184" i="16"/>
  <c r="F168" i="16"/>
  <c r="F262" i="16"/>
  <c r="F1333" i="16"/>
  <c r="F784" i="16"/>
  <c r="F828" i="16"/>
  <c r="F619" i="16"/>
  <c r="F711" i="16"/>
  <c r="F884" i="16"/>
  <c r="F1102" i="16"/>
  <c r="F433" i="16"/>
  <c r="F1451" i="16"/>
  <c r="F505" i="16"/>
  <c r="F1113" i="16"/>
  <c r="F1646" i="16"/>
  <c r="F1625" i="16"/>
  <c r="F29" i="16"/>
  <c r="F1042" i="16"/>
  <c r="F741" i="16"/>
  <c r="F1580" i="16"/>
  <c r="F1112" i="16"/>
  <c r="F925" i="16"/>
  <c r="F645" i="16"/>
  <c r="F1494" i="16"/>
  <c r="F761" i="16"/>
  <c r="F600" i="16"/>
  <c r="F507" i="16"/>
  <c r="F518" i="16"/>
  <c r="F1049" i="16"/>
  <c r="F1560" i="16"/>
  <c r="F1148" i="16"/>
  <c r="F1581" i="16"/>
  <c r="F457" i="16"/>
  <c r="F48" i="16"/>
  <c r="F947" i="16"/>
  <c r="F1415" i="16"/>
  <c r="F1000" i="16"/>
  <c r="F1266" i="16"/>
  <c r="F874" i="16"/>
  <c r="F732" i="16"/>
  <c r="F1445" i="16"/>
  <c r="F544" i="16"/>
  <c r="F580" i="16"/>
  <c r="F1037" i="16"/>
  <c r="F1589" i="16"/>
  <c r="F1410" i="16"/>
  <c r="F1537" i="16"/>
  <c r="F1572" i="16"/>
  <c r="F539" i="16"/>
  <c r="F633" i="16"/>
  <c r="F78" i="16"/>
  <c r="F918" i="16"/>
  <c r="F1284" i="16"/>
  <c r="F973" i="16"/>
  <c r="F6" i="16"/>
  <c r="F1541" i="16"/>
  <c r="F689" i="16"/>
  <c r="F439" i="16"/>
  <c r="F665" i="16"/>
  <c r="F929" i="16"/>
  <c r="F1421" i="16"/>
  <c r="F902" i="16"/>
  <c r="F451" i="16"/>
  <c r="F56" i="16"/>
  <c r="F1158" i="16"/>
  <c r="F117" i="16"/>
  <c r="F1206" i="16"/>
  <c r="F957" i="16"/>
  <c r="F774" i="16"/>
  <c r="F222" i="16"/>
  <c r="F1536" i="16"/>
  <c r="F1576" i="16"/>
  <c r="F1137" i="16"/>
  <c r="F254" i="16"/>
  <c r="F1378" i="16"/>
  <c r="F1231" i="16"/>
  <c r="F1303" i="16"/>
  <c r="F64" i="16"/>
  <c r="F920" i="16"/>
  <c r="F1474" i="16"/>
  <c r="F896" i="16"/>
  <c r="F1263" i="16"/>
  <c r="F678" i="16"/>
  <c r="F1374" i="16"/>
  <c r="F1724" i="16"/>
  <c r="F1690" i="16"/>
  <c r="F954" i="16"/>
  <c r="F176" i="16"/>
  <c r="F1340" i="16"/>
  <c r="F1453" i="16"/>
  <c r="F1193" i="16"/>
  <c r="F829" i="16"/>
  <c r="F32" i="16"/>
  <c r="F1379" i="16"/>
  <c r="F228" i="16"/>
  <c r="F1483" i="16"/>
  <c r="F408" i="16"/>
  <c r="F407" i="16"/>
  <c r="F838" i="16"/>
  <c r="F413" i="16"/>
  <c r="F1470" i="16"/>
  <c r="F1255" i="16"/>
  <c r="F573" i="16"/>
  <c r="F1590" i="16"/>
  <c r="F980" i="16"/>
  <c r="F1169" i="16"/>
  <c r="F1131" i="16"/>
  <c r="F969" i="16"/>
  <c r="F847" i="16"/>
  <c r="F136" i="16"/>
  <c r="F45" i="16"/>
  <c r="F892" i="16"/>
  <c r="F1152" i="16"/>
  <c r="F714" i="16"/>
  <c r="F174" i="16"/>
  <c r="F1417" i="16"/>
  <c r="F679" i="16"/>
  <c r="F825" i="16"/>
  <c r="F836" i="16"/>
  <c r="F1223" i="16"/>
  <c r="F342" i="16"/>
  <c r="F968" i="16"/>
  <c r="F324" i="16"/>
  <c r="F547" i="16"/>
  <c r="F818" i="16"/>
  <c r="F1173" i="16"/>
  <c r="F1552" i="16"/>
  <c r="F908" i="16"/>
  <c r="F844" i="16"/>
  <c r="F71" i="16"/>
  <c r="F1285" i="16"/>
  <c r="F1271" i="16"/>
  <c r="F1548" i="16"/>
  <c r="F1033" i="16"/>
  <c r="F1077" i="16"/>
  <c r="F1418" i="16"/>
  <c r="F1259" i="16"/>
  <c r="F1733" i="16"/>
  <c r="F976" i="16"/>
  <c r="F939" i="16"/>
  <c r="F1120" i="16"/>
  <c r="F1586" i="16"/>
  <c r="F1079" i="16"/>
  <c r="F553" i="16"/>
  <c r="F658" i="16"/>
  <c r="F496" i="16"/>
  <c r="F1489" i="16"/>
  <c r="F734" i="16"/>
  <c r="F16" i="16"/>
  <c r="F1679" i="16"/>
  <c r="F864" i="16"/>
  <c r="F1751" i="16"/>
  <c r="F141" i="16"/>
  <c r="F113" i="16"/>
  <c r="F1096" i="16"/>
  <c r="F22" i="16"/>
  <c r="F1604" i="16"/>
  <c r="F833" i="16"/>
  <c r="F641" i="16"/>
  <c r="F1438" i="16"/>
  <c r="F477" i="16"/>
  <c r="F1458" i="16"/>
  <c r="F101" i="16"/>
  <c r="F934" i="16"/>
  <c r="F951" i="16"/>
  <c r="F1440" i="16"/>
  <c r="F1092" i="16"/>
  <c r="F1637" i="16"/>
  <c r="F994" i="16"/>
  <c r="F667" i="16"/>
  <c r="F1300" i="16"/>
  <c r="F801" i="16"/>
  <c r="F153" i="16"/>
  <c r="F1509" i="16"/>
  <c r="F1254" i="16"/>
  <c r="F80" i="16"/>
  <c r="F1741" i="16"/>
  <c r="F372" i="16"/>
  <c r="F1610" i="16"/>
  <c r="F1423" i="16"/>
  <c r="F68" i="16"/>
  <c r="F870" i="16"/>
  <c r="F933" i="16"/>
  <c r="F1492" i="16"/>
  <c r="F40" i="16"/>
  <c r="F1449" i="16"/>
  <c r="F382" i="16"/>
  <c r="F1262" i="16"/>
  <c r="F691" i="16"/>
  <c r="F1307" i="16"/>
  <c r="F593" i="16"/>
  <c r="F357" i="16"/>
  <c r="F1322" i="16"/>
  <c r="F1647" i="16"/>
  <c r="F1187" i="16"/>
  <c r="F1461" i="16"/>
  <c r="F392" i="16"/>
  <c r="F606" i="16"/>
  <c r="F1633" i="16"/>
  <c r="F245" i="16"/>
  <c r="F970" i="16"/>
  <c r="F794" i="16"/>
  <c r="F1575" i="16"/>
  <c r="F880" i="16"/>
  <c r="F1328" i="16"/>
  <c r="F466" i="16"/>
  <c r="F721" i="16"/>
  <c r="F1567" i="16"/>
  <c r="F1290" i="16"/>
  <c r="F882" i="16"/>
  <c r="F1635" i="16"/>
  <c r="F1153" i="16"/>
  <c r="F729" i="16"/>
  <c r="F105" i="16"/>
  <c r="F1130" i="16"/>
  <c r="F356" i="16"/>
  <c r="F869" i="16"/>
  <c r="F473" i="16"/>
  <c r="F233" i="16"/>
  <c r="F1364" i="16"/>
  <c r="F1138" i="16"/>
  <c r="F650" i="16"/>
  <c r="F313" i="16"/>
  <c r="F1147" i="16"/>
  <c r="F709" i="16"/>
  <c r="F1009" i="16"/>
  <c r="F1227" i="16"/>
  <c r="F565" i="16"/>
  <c r="F1115" i="16"/>
  <c r="F670" i="16"/>
  <c r="F265" i="16"/>
  <c r="F205" i="16"/>
  <c r="F1538" i="16"/>
  <c r="F1012" i="16"/>
  <c r="F189" i="16"/>
  <c r="F646" i="16"/>
  <c r="F1561" i="16"/>
  <c r="F945" i="16"/>
  <c r="F861" i="16"/>
  <c r="F1044" i="16"/>
  <c r="F1694" i="16"/>
  <c r="F1207" i="16"/>
  <c r="F655" i="16"/>
  <c r="F777" i="16"/>
  <c r="F1485" i="16"/>
  <c r="F1680" i="16"/>
  <c r="F1532" i="16"/>
  <c r="F471" i="16"/>
  <c r="F651" i="16"/>
  <c r="F1288" i="16"/>
  <c r="F733" i="16"/>
  <c r="F1114" i="16"/>
  <c r="F974" i="16"/>
  <c r="F1400" i="16"/>
  <c r="F1522" i="16"/>
  <c r="F1054" i="16"/>
  <c r="F753" i="16"/>
  <c r="F129" i="16"/>
  <c r="F1128" i="16"/>
  <c r="F533" i="16"/>
  <c r="F1587" i="16"/>
  <c r="F410" i="16"/>
  <c r="F423" i="16"/>
  <c r="F447" i="16"/>
  <c r="F1553" i="16"/>
  <c r="F348" i="16"/>
  <c r="F878" i="16"/>
  <c r="F806" i="16"/>
  <c r="F766" i="16"/>
  <c r="F28" i="16"/>
  <c r="F987" i="16"/>
  <c r="F604" i="16"/>
  <c r="F642" i="16"/>
  <c r="F773" i="16"/>
  <c r="F1368" i="16"/>
  <c r="F1510" i="16"/>
  <c r="F1437" i="16"/>
  <c r="F680" i="16"/>
  <c r="F223" i="16"/>
  <c r="F582" i="16"/>
  <c r="F770" i="16"/>
  <c r="F326" i="16"/>
  <c r="F842" i="16"/>
  <c r="F638" i="16"/>
  <c r="F86" i="16"/>
  <c r="F927" i="16"/>
  <c r="F1181" i="16"/>
  <c r="F1185" i="16"/>
  <c r="F809" i="16"/>
  <c r="F854" i="16"/>
  <c r="F1515" i="16"/>
  <c r="F456" i="16"/>
  <c r="F414" i="16"/>
  <c r="F1651" i="16"/>
  <c r="F810" i="16"/>
  <c r="F1098" i="16"/>
  <c r="F1283" i="16"/>
  <c r="F948" i="16"/>
  <c r="F1704" i="16"/>
  <c r="F269" i="16"/>
  <c r="F300" i="16"/>
  <c r="F74" i="16"/>
  <c r="F1177" i="16"/>
  <c r="F1677" i="16"/>
  <c r="F662" i="16"/>
  <c r="F1701" i="16"/>
  <c r="F819" i="16"/>
  <c r="F663" i="16"/>
  <c r="F687" i="16"/>
  <c r="F216" i="16"/>
  <c r="F1377" i="16"/>
  <c r="F1233" i="16"/>
  <c r="F52" i="16"/>
  <c r="F323" i="16"/>
  <c r="F143" i="16"/>
  <c r="F1267" i="16"/>
  <c r="F922" i="16"/>
  <c r="F672" i="16"/>
  <c r="F742" i="16"/>
  <c r="F49" i="16"/>
  <c r="F1671" i="16"/>
  <c r="F1080" i="16"/>
  <c r="F788" i="16"/>
  <c r="F1159" i="16"/>
  <c r="F526" i="16"/>
  <c r="F1755" i="16"/>
  <c r="F800" i="16"/>
  <c r="F610" i="16"/>
  <c r="F140" i="16"/>
  <c r="F244" i="16"/>
  <c r="F890" i="16"/>
  <c r="F63" i="16"/>
  <c r="F1428" i="16"/>
  <c r="F483" i="16"/>
  <c r="F1249" i="16"/>
  <c r="F1319" i="16"/>
  <c r="F832" i="16"/>
  <c r="F1348" i="16"/>
  <c r="F521" i="16"/>
  <c r="F21" i="16"/>
  <c r="F1702" i="16"/>
  <c r="F1406" i="16"/>
  <c r="F359" i="16"/>
  <c r="F1706" i="16"/>
  <c r="F1236" i="16"/>
  <c r="F1698" i="16"/>
  <c r="F15" i="16"/>
  <c r="F1382" i="16"/>
  <c r="F840" i="16"/>
  <c r="F454" i="16"/>
  <c r="F1250" i="16"/>
  <c r="F504" i="16"/>
  <c r="F1211" i="16"/>
  <c r="F1554" i="16"/>
  <c r="F497" i="16"/>
  <c r="F1354" i="16"/>
  <c r="F345" i="16"/>
  <c r="F1205" i="16"/>
  <c r="F780" i="16"/>
  <c r="F1141" i="16"/>
  <c r="F996" i="16"/>
  <c r="F632" i="16"/>
  <c r="F798" i="16"/>
  <c r="F570" i="16"/>
  <c r="F114" i="16"/>
  <c r="F1566" i="16"/>
  <c r="F821" i="16"/>
  <c r="F461" i="16"/>
  <c r="F185" i="16"/>
  <c r="F1331" i="16"/>
  <c r="F338" i="16"/>
  <c r="F283" i="16"/>
  <c r="F748" i="16"/>
  <c r="F1085" i="16"/>
  <c r="F1157" i="16"/>
  <c r="F527" i="16"/>
  <c r="F1329" i="16"/>
  <c r="F214" i="16"/>
  <c r="F61" i="16"/>
  <c r="F1712" i="16"/>
  <c r="F805" i="16"/>
  <c r="F1391" i="16"/>
  <c r="F926" i="16"/>
  <c r="F106" i="16"/>
  <c r="F868" i="16"/>
  <c r="F760" i="16"/>
  <c r="F362" i="16"/>
  <c r="F1381" i="16"/>
  <c r="F385" i="16"/>
  <c r="F792" i="16"/>
  <c r="F850" i="16"/>
  <c r="F991" i="16"/>
  <c r="F133" i="16"/>
  <c r="F335" i="16"/>
  <c r="F210" i="16"/>
  <c r="F1276" i="16"/>
  <c r="F853" i="16"/>
  <c r="F688" i="16"/>
  <c r="F548" i="16"/>
  <c r="F949" i="16"/>
  <c r="F354" i="16"/>
  <c r="F1201" i="16"/>
  <c r="F1764" i="16"/>
  <c r="F1279" i="16"/>
  <c r="F213" i="16"/>
  <c r="F1302" i="16"/>
  <c r="F607" i="16"/>
  <c r="F705" i="16"/>
  <c r="F93" i="16"/>
  <c r="F332" i="16"/>
  <c r="F1222" i="16"/>
  <c r="F1260" i="16"/>
  <c r="F675" i="16"/>
  <c r="F67" i="16"/>
  <c r="F530" i="16"/>
  <c r="F194" i="16"/>
  <c r="F1396" i="16"/>
  <c r="F579" i="16"/>
  <c r="F1749" i="16"/>
  <c r="F1640" i="16"/>
  <c r="F260" i="16"/>
  <c r="F1722" i="16"/>
  <c r="F1008" i="16"/>
  <c r="F749" i="16"/>
  <c r="F177" i="16"/>
  <c r="F1530" i="16"/>
  <c r="F1234" i="16"/>
  <c r="F1316" i="16"/>
  <c r="F57" i="16"/>
  <c r="F1609" i="16"/>
  <c r="F725" i="16"/>
  <c r="F1555" i="16"/>
  <c r="F993" i="16"/>
  <c r="F858" i="16"/>
  <c r="F402" i="16"/>
  <c r="F756" i="16"/>
  <c r="F1318" i="16"/>
  <c r="F1592" i="16"/>
  <c r="F1129" i="16"/>
  <c r="F894" i="16"/>
  <c r="F595" i="16"/>
  <c r="F1197" i="16"/>
  <c r="F972" i="16"/>
  <c r="F693" i="16"/>
  <c r="F369" i="16"/>
  <c r="F81" i="16"/>
  <c r="F1401" i="16"/>
  <c r="F620" i="16"/>
  <c r="F320" i="16"/>
  <c r="F175" i="16"/>
  <c r="F1363" i="16"/>
  <c r="F1087" i="16"/>
  <c r="F786" i="16"/>
  <c r="F474" i="16"/>
  <c r="F102" i="16"/>
  <c r="F1506" i="16"/>
  <c r="F1215" i="16"/>
  <c r="F785" i="16"/>
  <c r="F401" i="16"/>
  <c r="F1048" i="16"/>
  <c r="F1124" i="16"/>
  <c r="F713" i="16"/>
  <c r="F1573" i="16"/>
  <c r="F1239" i="16"/>
  <c r="F720" i="16"/>
  <c r="F1301" i="16"/>
  <c r="F1756" i="16"/>
  <c r="F1324" i="16"/>
  <c r="F1426" i="16"/>
  <c r="F1189" i="16"/>
  <c r="F69" i="16"/>
  <c r="F1389" i="16"/>
  <c r="F1065" i="16"/>
  <c r="F596" i="16"/>
  <c r="F296" i="16"/>
  <c r="F1634" i="16"/>
  <c r="F1342" i="16"/>
  <c r="F1075" i="16"/>
  <c r="F762" i="16"/>
  <c r="F438" i="16"/>
  <c r="F1151" i="16"/>
  <c r="F389" i="16"/>
  <c r="F131" i="16"/>
  <c r="F1713" i="16"/>
  <c r="F302" i="16"/>
  <c r="F989" i="16"/>
  <c r="F43" i="16"/>
  <c r="F1721" i="16"/>
  <c r="F1619" i="16"/>
  <c r="F1161" i="16"/>
  <c r="F1673" i="16"/>
  <c r="F883" i="16"/>
  <c r="F1225" i="16"/>
  <c r="F1372" i="16"/>
  <c r="F1715" i="16"/>
  <c r="F1503" i="16"/>
  <c r="F962" i="16"/>
  <c r="F1641" i="16"/>
  <c r="F1574" i="16"/>
  <c r="F941" i="16"/>
  <c r="F517" i="16"/>
  <c r="F1743" i="16"/>
  <c r="F34" i="16"/>
  <c r="F130" i="16"/>
  <c r="F1321" i="16"/>
  <c r="F661" i="16"/>
  <c r="F907" i="16"/>
  <c r="F520" i="16"/>
  <c r="F89" i="16"/>
  <c r="F1248" i="16"/>
  <c r="F1481" i="16"/>
  <c r="F18" i="16"/>
  <c r="F1565" i="16"/>
  <c r="F554" i="16"/>
  <c r="F157" i="16"/>
  <c r="F1626" i="16"/>
  <c r="F1531" i="16"/>
  <c r="F1216" i="16"/>
  <c r="F981" i="16"/>
  <c r="F834" i="16"/>
  <c r="F306" i="16"/>
  <c r="F1229" i="16"/>
  <c r="F1273" i="16"/>
  <c r="F1708" i="16"/>
  <c r="F1520" i="16"/>
  <c r="F1100" i="16"/>
  <c r="F1414" i="16"/>
  <c r="F1167" i="16"/>
  <c r="F906" i="16"/>
  <c r="F285" i="16"/>
  <c r="F33" i="16"/>
  <c r="F1353" i="16"/>
  <c r="F1041" i="16"/>
  <c r="F560" i="16"/>
  <c r="F272" i="16"/>
  <c r="F1622" i="16"/>
  <c r="F1029" i="16"/>
  <c r="F750" i="16"/>
  <c r="F426" i="16"/>
  <c r="F1446" i="16"/>
  <c r="F737" i="16"/>
  <c r="F377" i="16"/>
  <c r="F1480" i="16"/>
  <c r="F173" i="16"/>
  <c r="F55" i="16"/>
  <c r="F1291" i="16"/>
  <c r="F1742" i="16"/>
  <c r="F494" i="16"/>
  <c r="F1047" i="16"/>
  <c r="F122" i="16"/>
  <c r="F170" i="16"/>
  <c r="F51" i="16"/>
  <c r="F639" i="16"/>
  <c r="F1738" i="16"/>
  <c r="F1444" i="16"/>
  <c r="F207" i="16"/>
  <c r="F1583" i="16"/>
  <c r="F1241" i="16"/>
  <c r="F592" i="16"/>
  <c r="F1727" i="16"/>
  <c r="F399" i="16"/>
  <c r="F278" i="16"/>
  <c r="F1125" i="16"/>
  <c r="F1639" i="16"/>
  <c r="F1121" i="16"/>
  <c r="F1051" i="16"/>
  <c r="F876" i="16"/>
  <c r="F145" i="16"/>
  <c r="F1082" i="16"/>
  <c r="F1650" i="16"/>
  <c r="F1394" i="16"/>
  <c r="F754" i="16"/>
  <c r="F1719" i="16"/>
  <c r="F706" i="16"/>
  <c r="F430" i="16"/>
  <c r="F1007" i="16"/>
  <c r="F70" i="16"/>
  <c r="F1653" i="16"/>
  <c r="F931" i="16"/>
  <c r="F1585" i="16"/>
  <c r="F1278" i="16"/>
  <c r="F1614" i="16"/>
  <c r="F137" i="16"/>
  <c r="F1431" i="16"/>
  <c r="F1608" i="16"/>
  <c r="F192" i="16"/>
  <c r="F10" i="16"/>
  <c r="F966" i="16"/>
  <c r="F23" i="16"/>
  <c r="F90" i="16"/>
  <c r="F1632" i="16"/>
  <c r="F977" i="16"/>
  <c r="F493" i="16"/>
  <c r="F119" i="16"/>
  <c r="F942" i="16"/>
  <c r="F1689" i="16"/>
  <c r="F204" i="16"/>
  <c r="F830" i="16"/>
  <c r="F982" i="16"/>
  <c r="F1600" i="16"/>
  <c r="F1588" i="16"/>
  <c r="F1084" i="16"/>
  <c r="F730" i="16"/>
  <c r="F1762" i="16"/>
  <c r="F1761" i="16"/>
  <c r="F1196" i="16"/>
  <c r="F524" i="16"/>
  <c r="F470" i="16"/>
  <c r="F551" i="16"/>
  <c r="F339" i="16"/>
  <c r="F38" i="16"/>
  <c r="F1452" i="16"/>
  <c r="F1720" i="16"/>
  <c r="F1659" i="16"/>
  <c r="F1011" i="16"/>
  <c r="F1685" i="16"/>
  <c r="F622" i="16"/>
  <c r="F1523" i="16"/>
  <c r="F44" i="16"/>
  <c r="F1442" i="16"/>
  <c r="F1707" i="16"/>
  <c r="F875" i="16"/>
  <c r="F1091" i="16"/>
  <c r="F514" i="16"/>
  <c r="F481" i="16"/>
  <c r="F1499" i="16"/>
  <c r="F586" i="16"/>
  <c r="F128" i="16"/>
  <c r="F745" i="16"/>
  <c r="F299" i="16"/>
  <c r="F1595" i="16"/>
  <c r="F1367" i="16"/>
  <c r="F94" i="16"/>
  <c r="F936" i="16"/>
  <c r="F76" i="16"/>
  <c r="F917" i="16"/>
  <c r="F1504" i="16"/>
  <c r="F1380" i="16"/>
  <c r="F220" i="16"/>
  <c r="F36" i="16"/>
  <c r="F100" i="16"/>
  <c r="F1002" i="16"/>
  <c r="F1134" i="16"/>
  <c r="F60" i="16"/>
  <c r="F417" i="16"/>
  <c r="F628" i="16"/>
  <c r="F901" i="16"/>
  <c r="F744" i="16"/>
  <c r="F752" i="16"/>
  <c r="F1150" i="16"/>
  <c r="F1430" i="16"/>
  <c r="F671" i="16"/>
  <c r="F125" i="16"/>
  <c r="F1630" i="16"/>
  <c r="F1723" i="16"/>
  <c r="F436" i="16"/>
  <c r="F242" i="16"/>
  <c r="F148" i="16"/>
  <c r="F1210" i="16"/>
  <c r="F5" i="16"/>
  <c r="G1711" i="16"/>
  <c r="G1709" i="16"/>
  <c r="H1709" i="16" s="1"/>
  <c r="G1705" i="16"/>
  <c r="G1699" i="16"/>
  <c r="G1695" i="16"/>
  <c r="G1692" i="16"/>
  <c r="H1692" i="16" s="1"/>
  <c r="G1688" i="16"/>
  <c r="G1686" i="16"/>
  <c r="G1675" i="16"/>
  <c r="G1674" i="16"/>
  <c r="G1670" i="16"/>
  <c r="G1668" i="16"/>
  <c r="H1668" i="16" s="1"/>
  <c r="G1664" i="16"/>
  <c r="G1658" i="16"/>
  <c r="G1657" i="16"/>
  <c r="H1657" i="16" s="1"/>
  <c r="G1655" i="16"/>
  <c r="G1649" i="16"/>
  <c r="H1649" i="16" s="1"/>
  <c r="G1643" i="16"/>
  <c r="G1636" i="16"/>
  <c r="G1631" i="16"/>
  <c r="G1621" i="16"/>
  <c r="H1621" i="16" s="1"/>
  <c r="G1615" i="16"/>
  <c r="G1607" i="16"/>
  <c r="G1606" i="16"/>
  <c r="H1606" i="16" s="1"/>
  <c r="G1598" i="16"/>
  <c r="G1591" i="16"/>
  <c r="G1584" i="16"/>
  <c r="G1577" i="16"/>
  <c r="G1570" i="16"/>
  <c r="H1570" i="16" s="1"/>
  <c r="G1563" i="16"/>
  <c r="G1556" i="16"/>
  <c r="G1549" i="16"/>
  <c r="G1542" i="16"/>
  <c r="H1542" i="16" s="1"/>
  <c r="G1535" i="16"/>
  <c r="H1535" i="16" s="1"/>
  <c r="G1528" i="16"/>
  <c r="G1521" i="16"/>
  <c r="G1514" i="16"/>
  <c r="G1507" i="16"/>
  <c r="G1500" i="16"/>
  <c r="G1493" i="16"/>
  <c r="G1486" i="16"/>
  <c r="H1486" i="16" s="1"/>
  <c r="G1479" i="16"/>
  <c r="G1472" i="16"/>
  <c r="G1465" i="16"/>
  <c r="G1295" i="16"/>
  <c r="G1289" i="16"/>
  <c r="H1289" i="16" s="1"/>
  <c r="G1286" i="16"/>
  <c r="G1281" i="16"/>
  <c r="G1277" i="16"/>
  <c r="G1272" i="16"/>
  <c r="H1272" i="16" s="1"/>
  <c r="G1270" i="16"/>
  <c r="G1264" i="16"/>
  <c r="G1261" i="16"/>
  <c r="G1256" i="16"/>
  <c r="H1256" i="16" s="1"/>
  <c r="G1252" i="16"/>
  <c r="G1247" i="16"/>
  <c r="G1244" i="16"/>
  <c r="G1238" i="16"/>
  <c r="G1235" i="16"/>
  <c r="G1230" i="16"/>
  <c r="G1226" i="16"/>
  <c r="H1226" i="16" s="1"/>
  <c r="G1221" i="16"/>
  <c r="G1218" i="16"/>
  <c r="H1218" i="16" s="1"/>
  <c r="G1212" i="16"/>
  <c r="G1209" i="16"/>
  <c r="H1209" i="16" s="1"/>
  <c r="G1204" i="16"/>
  <c r="G1200" i="16"/>
  <c r="G1195" i="16"/>
  <c r="G1191" i="16"/>
  <c r="G1183" i="16"/>
  <c r="G1180" i="16"/>
  <c r="H1180" i="16" s="1"/>
  <c r="G1175" i="16"/>
  <c r="H1175" i="16" s="1"/>
  <c r="G1171" i="16"/>
  <c r="G1166" i="16"/>
  <c r="G1107" i="16"/>
  <c r="G1105" i="16"/>
  <c r="G1103" i="16"/>
  <c r="H1103" i="16" s="1"/>
  <c r="G1101" i="16"/>
  <c r="G1099" i="16"/>
  <c r="G1097" i="16"/>
  <c r="G1095" i="16"/>
  <c r="G1088" i="16"/>
  <c r="G1081" i="16"/>
  <c r="G1074" i="16"/>
  <c r="G911" i="16"/>
  <c r="G903" i="16"/>
  <c r="G900" i="16"/>
  <c r="G895" i="16"/>
  <c r="G891" i="16"/>
  <c r="G886" i="16"/>
  <c r="G881" i="16"/>
  <c r="G877" i="16"/>
  <c r="G872" i="16"/>
  <c r="G871" i="16"/>
  <c r="G866" i="16"/>
  <c r="G862" i="16"/>
  <c r="H862" i="16" s="1"/>
  <c r="G857" i="16"/>
  <c r="G856" i="16"/>
  <c r="G852" i="16"/>
  <c r="G848" i="16"/>
  <c r="G845" i="16"/>
  <c r="G837" i="16"/>
  <c r="H837" i="16" s="1"/>
  <c r="G831" i="16"/>
  <c r="G826" i="16"/>
  <c r="H826" i="16" s="1"/>
  <c r="G822" i="16"/>
  <c r="G817" i="16"/>
  <c r="G816" i="16"/>
  <c r="G808" i="16"/>
  <c r="G804" i="16"/>
  <c r="G799" i="16"/>
  <c r="G795" i="16"/>
  <c r="G791" i="16"/>
  <c r="G787" i="16"/>
  <c r="G783" i="16"/>
  <c r="G779" i="16"/>
  <c r="G775" i="16"/>
  <c r="G771" i="16"/>
  <c r="G767" i="16"/>
  <c r="G763" i="16"/>
  <c r="G759" i="16"/>
  <c r="G755" i="16"/>
  <c r="G751" i="16"/>
  <c r="G747" i="16"/>
  <c r="G743" i="16"/>
  <c r="G739" i="16"/>
  <c r="G735" i="16"/>
  <c r="G731" i="16"/>
  <c r="G727" i="16"/>
  <c r="G722" i="16"/>
  <c r="G718" i="16"/>
  <c r="H718" i="16" s="1"/>
  <c r="G571" i="16"/>
  <c r="G568" i="16"/>
  <c r="G567" i="16"/>
  <c r="G564" i="16"/>
  <c r="G561" i="16"/>
  <c r="H561" i="16" s="1"/>
  <c r="G558" i="16"/>
  <c r="G555" i="16"/>
  <c r="G552" i="16"/>
  <c r="G549" i="16"/>
  <c r="H549" i="16" s="1"/>
  <c r="G546" i="16"/>
  <c r="G543" i="16"/>
  <c r="G540" i="16"/>
  <c r="G537" i="16"/>
  <c r="H537" i="16" s="1"/>
  <c r="G534" i="16"/>
  <c r="G531" i="16"/>
  <c r="G528" i="16"/>
  <c r="G525" i="16"/>
  <c r="H525" i="16" s="1"/>
  <c r="G522" i="16"/>
  <c r="G519" i="16"/>
  <c r="G516" i="16"/>
  <c r="G513" i="16"/>
  <c r="H513" i="16" s="1"/>
  <c r="G510" i="16"/>
  <c r="G509" i="16"/>
  <c r="G506" i="16"/>
  <c r="G503" i="16"/>
  <c r="G500" i="16"/>
  <c r="G499" i="16"/>
  <c r="G495" i="16"/>
  <c r="G492" i="16"/>
  <c r="G489" i="16"/>
  <c r="H489" i="16" s="1"/>
  <c r="G486" i="16"/>
  <c r="G482" i="16"/>
  <c r="G479" i="16"/>
  <c r="G475" i="16"/>
  <c r="G472" i="16"/>
  <c r="G469" i="16"/>
  <c r="G465" i="16"/>
  <c r="H465" i="16" s="1"/>
  <c r="G462" i="16"/>
  <c r="G459" i="16"/>
  <c r="G455" i="16"/>
  <c r="G452" i="16"/>
  <c r="G449" i="16"/>
  <c r="G446" i="16"/>
  <c r="G443" i="16"/>
  <c r="G440" i="16"/>
  <c r="G437" i="16"/>
  <c r="G434" i="16"/>
  <c r="G431" i="16"/>
  <c r="G428" i="16"/>
  <c r="G425" i="16"/>
  <c r="G422" i="16"/>
  <c r="G419" i="16"/>
  <c r="G415" i="16"/>
  <c r="G412" i="16"/>
  <c r="G409" i="16"/>
  <c r="G406" i="16"/>
  <c r="H406" i="16" s="1"/>
  <c r="G403" i="16"/>
  <c r="G400" i="16"/>
  <c r="G397" i="16"/>
  <c r="G394" i="16"/>
  <c r="H394" i="16" s="1"/>
  <c r="G391" i="16"/>
  <c r="G388" i="16"/>
  <c r="G383" i="16"/>
  <c r="G380" i="16"/>
  <c r="G379" i="16"/>
  <c r="G376" i="16"/>
  <c r="G373" i="16"/>
  <c r="G370" i="16"/>
  <c r="H370" i="16" s="1"/>
  <c r="G367" i="16"/>
  <c r="G364" i="16"/>
  <c r="G361" i="16"/>
  <c r="G358" i="16"/>
  <c r="H358" i="16" s="1"/>
  <c r="G355" i="16"/>
  <c r="G352" i="16"/>
  <c r="G349" i="16"/>
  <c r="G346" i="16"/>
  <c r="H346" i="16" s="1"/>
  <c r="G343" i="16"/>
  <c r="G340" i="16"/>
  <c r="G337" i="16"/>
  <c r="G334" i="16"/>
  <c r="H334" i="16" s="1"/>
  <c r="G331" i="16"/>
  <c r="G328" i="16"/>
  <c r="G325" i="16"/>
  <c r="G322" i="16"/>
  <c r="H322" i="16" s="1"/>
  <c r="G321" i="16"/>
  <c r="H321" i="16" s="1"/>
  <c r="G318" i="16"/>
  <c r="G315" i="16"/>
  <c r="G312" i="16"/>
  <c r="G311" i="16"/>
  <c r="G307" i="16"/>
  <c r="H307" i="16" s="1"/>
  <c r="G304" i="16"/>
  <c r="G301" i="16"/>
  <c r="G298" i="16"/>
  <c r="H298" i="16" s="1"/>
  <c r="G294" i="16"/>
  <c r="G291" i="16"/>
  <c r="G287" i="16"/>
  <c r="G284" i="16"/>
  <c r="G281" i="16"/>
  <c r="G277" i="16"/>
  <c r="G274" i="16"/>
  <c r="H274" i="16" s="1"/>
  <c r="G271" i="16"/>
  <c r="H271" i="16" s="1"/>
  <c r="G267" i="16"/>
  <c r="G264" i="16"/>
  <c r="G261" i="16"/>
  <c r="H261" i="16" s="1"/>
  <c r="G258" i="16"/>
  <c r="H258" i="16" s="1"/>
  <c r="G255" i="16"/>
  <c r="G252" i="16"/>
  <c r="G249" i="16"/>
  <c r="H249" i="16" s="1"/>
  <c r="G246" i="16"/>
  <c r="H246" i="16" s="1"/>
  <c r="G243" i="16"/>
  <c r="G240" i="16"/>
  <c r="G237" i="16"/>
  <c r="H237" i="16" s="1"/>
  <c r="G234" i="16"/>
  <c r="H234" i="16" s="1"/>
  <c r="G231" i="16"/>
  <c r="G227" i="16"/>
  <c r="H227" i="16" s="1"/>
  <c r="G224" i="16"/>
  <c r="H224" i="16" s="1"/>
  <c r="G221" i="16"/>
  <c r="G218" i="16"/>
  <c r="H218" i="16" s="1"/>
  <c r="G215" i="16"/>
  <c r="H215" i="16" s="1"/>
  <c r="G212" i="16"/>
  <c r="H212" i="16" s="1"/>
  <c r="G209" i="16"/>
  <c r="G206" i="16"/>
  <c r="H206" i="16" s="1"/>
  <c r="G203" i="16"/>
  <c r="H203" i="16" s="1"/>
  <c r="G200" i="16"/>
  <c r="H200" i="16" s="1"/>
  <c r="H36" i="16" l="1"/>
  <c r="H252" i="16"/>
  <c r="H264" i="16"/>
  <c r="H300" i="16"/>
  <c r="H336" i="16"/>
  <c r="H516" i="16"/>
  <c r="H732" i="16"/>
  <c r="H768" i="16"/>
  <c r="H864" i="16"/>
  <c r="H951" i="16"/>
  <c r="H1057" i="16"/>
  <c r="H1069" i="16"/>
  <c r="H1081" i="16"/>
  <c r="H1093" i="16"/>
  <c r="H1158" i="16"/>
  <c r="H1192" i="16"/>
  <c r="H1200" i="16"/>
  <c r="H1211" i="16"/>
  <c r="H1229" i="16"/>
  <c r="H171" i="16"/>
  <c r="H255" i="16"/>
  <c r="H267" i="16"/>
  <c r="H291" i="16"/>
  <c r="H363" i="16"/>
  <c r="H567" i="16"/>
  <c r="H711" i="16"/>
  <c r="H843" i="16"/>
  <c r="H1048" i="16"/>
  <c r="H1242" i="16"/>
  <c r="H1372" i="16"/>
  <c r="H1384" i="16"/>
  <c r="H1396" i="16"/>
  <c r="H1444" i="16"/>
  <c r="H1456" i="16"/>
  <c r="H1492" i="16"/>
  <c r="H1600" i="16"/>
  <c r="H1631" i="16"/>
  <c r="H1666" i="16"/>
  <c r="H1690" i="16"/>
  <c r="H1702" i="16"/>
  <c r="H1714" i="16"/>
  <c r="H53" i="16"/>
  <c r="H113" i="16"/>
  <c r="H209" i="16"/>
  <c r="H221" i="16"/>
  <c r="H245" i="16"/>
  <c r="H269" i="16"/>
  <c r="H353" i="16"/>
  <c r="H365" i="16"/>
  <c r="H389" i="16"/>
  <c r="H473" i="16"/>
  <c r="H569" i="16"/>
  <c r="H641" i="16"/>
  <c r="H653" i="16"/>
  <c r="H701" i="16"/>
  <c r="H773" i="16"/>
  <c r="H797" i="16"/>
  <c r="H833" i="16"/>
  <c r="H881" i="16"/>
  <c r="H892" i="16"/>
  <c r="H933" i="16"/>
  <c r="H1004" i="16"/>
  <c r="H1016" i="16"/>
  <c r="H1074" i="16"/>
  <c r="H1086" i="16"/>
  <c r="H1139" i="16"/>
  <c r="H48" i="16"/>
  <c r="H60" i="16"/>
  <c r="H108" i="16"/>
  <c r="H132" i="16"/>
  <c r="H168" i="16"/>
  <c r="H216" i="16"/>
  <c r="H384" i="16"/>
  <c r="H528" i="16"/>
  <c r="H672" i="16"/>
  <c r="H804" i="16"/>
  <c r="H828" i="16"/>
  <c r="H840" i="16"/>
  <c r="H876" i="16"/>
  <c r="H1023" i="16"/>
  <c r="H1105" i="16"/>
  <c r="H1239" i="16"/>
  <c r="H27" i="16"/>
  <c r="H75" i="16"/>
  <c r="H159" i="16"/>
  <c r="H183" i="16"/>
  <c r="H231" i="16"/>
  <c r="H339" i="16"/>
  <c r="H351" i="16"/>
  <c r="H399" i="16"/>
  <c r="H423" i="16"/>
  <c r="H435" i="16"/>
  <c r="H447" i="16"/>
  <c r="H471" i="16"/>
  <c r="H483" i="16"/>
  <c r="H507" i="16"/>
  <c r="H543" i="16"/>
  <c r="H555" i="16"/>
  <c r="H615" i="16"/>
  <c r="H747" i="16"/>
  <c r="H783" i="16"/>
  <c r="H795" i="16"/>
  <c r="H819" i="16"/>
  <c r="H867" i="16"/>
  <c r="H890" i="16"/>
  <c r="H912" i="16"/>
  <c r="H919" i="16"/>
  <c r="H966" i="16"/>
  <c r="H1161" i="16"/>
  <c r="H1480" i="16"/>
  <c r="H1504" i="16"/>
  <c r="H1528" i="16"/>
  <c r="H1552" i="16"/>
  <c r="H1564" i="16"/>
  <c r="H1576" i="16"/>
  <c r="H1607" i="16"/>
  <c r="H1643" i="16"/>
  <c r="H1678" i="16"/>
  <c r="H1738" i="16"/>
  <c r="H1750" i="16"/>
  <c r="H65" i="16"/>
  <c r="H257" i="16"/>
  <c r="H329" i="16"/>
  <c r="H401" i="16"/>
  <c r="H557" i="16"/>
  <c r="H665" i="16"/>
  <c r="H713" i="16"/>
  <c r="H725" i="16"/>
  <c r="H749" i="16"/>
  <c r="H821" i="16"/>
  <c r="H857" i="16"/>
  <c r="H956" i="16"/>
  <c r="H1050" i="16"/>
  <c r="H96" i="16"/>
  <c r="H144" i="16"/>
  <c r="H204" i="16"/>
  <c r="H348" i="16"/>
  <c r="H552" i="16"/>
  <c r="H588" i="16"/>
  <c r="H816" i="16"/>
  <c r="H940" i="16"/>
  <c r="H1045" i="16"/>
  <c r="H1170" i="16"/>
  <c r="H15" i="16"/>
  <c r="H87" i="16"/>
  <c r="H135" i="16"/>
  <c r="H195" i="16"/>
  <c r="H279" i="16"/>
  <c r="H459" i="16"/>
  <c r="H531" i="16"/>
  <c r="H603" i="16"/>
  <c r="H663" i="16"/>
  <c r="H759" i="16"/>
  <c r="H978" i="16"/>
  <c r="H1137" i="16"/>
  <c r="H1249" i="16"/>
  <c r="H1277" i="16"/>
  <c r="H1360" i="16"/>
  <c r="H1408" i="16"/>
  <c r="H1516" i="16"/>
  <c r="H1655" i="16"/>
  <c r="H5" i="16"/>
  <c r="H137" i="16"/>
  <c r="H233" i="16"/>
  <c r="H341" i="16"/>
  <c r="H449" i="16"/>
  <c r="H545" i="16"/>
  <c r="H737" i="16"/>
  <c r="H785" i="16"/>
  <c r="H845" i="16"/>
  <c r="H72" i="16"/>
  <c r="H276" i="16"/>
  <c r="H480" i="16"/>
  <c r="H600" i="16"/>
  <c r="H684" i="16"/>
  <c r="H756" i="16"/>
  <c r="H887" i="16"/>
  <c r="H916" i="16"/>
  <c r="H1011" i="16"/>
  <c r="H1122" i="16"/>
  <c r="H375" i="16"/>
  <c r="H651" i="16"/>
  <c r="H735" i="16"/>
  <c r="H855" i="16"/>
  <c r="H954" i="16"/>
  <c r="H1084" i="16"/>
  <c r="H1096" i="16"/>
  <c r="H1125" i="16"/>
  <c r="H1173" i="16"/>
  <c r="H1213" i="16"/>
  <c r="H1261" i="16"/>
  <c r="H1348" i="16"/>
  <c r="H1468" i="16"/>
  <c r="H1619" i="16"/>
  <c r="H1762" i="16"/>
  <c r="H29" i="16"/>
  <c r="H125" i="16"/>
  <c r="H149" i="16"/>
  <c r="H173" i="16"/>
  <c r="H305" i="16"/>
  <c r="H413" i="16"/>
  <c r="H533" i="16"/>
  <c r="H689" i="16"/>
  <c r="H809" i="16"/>
  <c r="H869" i="16"/>
  <c r="H921" i="16"/>
  <c r="H968" i="16"/>
  <c r="H980" i="16"/>
  <c r="H1098" i="16"/>
  <c r="H12" i="16"/>
  <c r="H120" i="16"/>
  <c r="H228" i="16"/>
  <c r="H288" i="16"/>
  <c r="H360" i="16"/>
  <c r="H396" i="16"/>
  <c r="H408" i="16"/>
  <c r="H432" i="16"/>
  <c r="H444" i="16"/>
  <c r="H456" i="16"/>
  <c r="H504" i="16"/>
  <c r="H564" i="16"/>
  <c r="H720" i="16"/>
  <c r="H744" i="16"/>
  <c r="H780" i="16"/>
  <c r="H899" i="16"/>
  <c r="H1146" i="16"/>
  <c r="H51" i="16"/>
  <c r="H147" i="16"/>
  <c r="H207" i="16"/>
  <c r="H327" i="16"/>
  <c r="H579" i="16"/>
  <c r="H723" i="16"/>
  <c r="H807" i="16"/>
  <c r="H879" i="16"/>
  <c r="H931" i="16"/>
  <c r="H1014" i="16"/>
  <c r="H101" i="16"/>
  <c r="H185" i="16"/>
  <c r="H317" i="16"/>
  <c r="H437" i="16"/>
  <c r="H497" i="16"/>
  <c r="H521" i="16"/>
  <c r="H593" i="16"/>
  <c r="H761" i="16"/>
  <c r="H192" i="16"/>
  <c r="H324" i="16"/>
  <c r="H372" i="16"/>
  <c r="H540" i="16"/>
  <c r="H624" i="16"/>
  <c r="H852" i="16"/>
  <c r="H909" i="16"/>
  <c r="H1134" i="16"/>
  <c r="H219" i="16"/>
  <c r="H303" i="16"/>
  <c r="H495" i="16"/>
  <c r="H627" i="16"/>
  <c r="H639" i="16"/>
  <c r="H675" i="16"/>
  <c r="H687" i="16"/>
  <c r="H771" i="16"/>
  <c r="H831" i="16"/>
  <c r="H1002" i="16"/>
  <c r="H1108" i="16"/>
  <c r="H1183" i="16"/>
  <c r="H1270" i="16"/>
  <c r="H1540" i="16"/>
  <c r="H89" i="16"/>
  <c r="H161" i="16"/>
  <c r="H293" i="16"/>
  <c r="H461" i="16"/>
  <c r="H156" i="16"/>
  <c r="H240" i="16"/>
  <c r="H312" i="16"/>
  <c r="H420" i="16"/>
  <c r="H492" i="16"/>
  <c r="H696" i="16"/>
  <c r="H792" i="16"/>
  <c r="H987" i="16"/>
  <c r="H63" i="16"/>
  <c r="H243" i="16"/>
  <c r="H315" i="16"/>
  <c r="H411" i="16"/>
  <c r="H519" i="16"/>
  <c r="H990" i="16"/>
  <c r="H1149" i="16"/>
  <c r="H1203" i="16"/>
  <c r="H1232" i="16"/>
  <c r="H1288" i="16"/>
  <c r="H1432" i="16"/>
  <c r="H1588" i="16"/>
  <c r="H1726" i="16"/>
  <c r="H77" i="16"/>
  <c r="H281" i="16"/>
  <c r="H377" i="16"/>
  <c r="H425" i="16"/>
  <c r="H509" i="16"/>
  <c r="H1398" i="16"/>
  <c r="H1422" i="16"/>
  <c r="H1446" i="16"/>
  <c r="H1518" i="16"/>
  <c r="H1680" i="16"/>
  <c r="H23" i="16"/>
  <c r="H35" i="16"/>
  <c r="H47" i="16"/>
  <c r="H59" i="16"/>
  <c r="H71" i="16"/>
  <c r="H119" i="16"/>
  <c r="H131" i="16"/>
  <c r="H143" i="16"/>
  <c r="H155" i="16"/>
  <c r="H167" i="16"/>
  <c r="H179" i="16"/>
  <c r="H191" i="16"/>
  <c r="H239" i="16"/>
  <c r="H251" i="16"/>
  <c r="H263" i="16"/>
  <c r="H275" i="16"/>
  <c r="H287" i="16"/>
  <c r="H299" i="16"/>
  <c r="H311" i="16"/>
  <c r="H323" i="16"/>
  <c r="H335" i="16"/>
  <c r="H347" i="16"/>
  <c r="H359" i="16"/>
  <c r="H371" i="16"/>
  <c r="H383" i="16"/>
  <c r="H395" i="16"/>
  <c r="H407" i="16"/>
  <c r="H419" i="16"/>
  <c r="H431" i="16"/>
  <c r="H443" i="16"/>
  <c r="H455" i="16"/>
  <c r="H467" i="16"/>
  <c r="H479" i="16"/>
  <c r="H491" i="16"/>
  <c r="H503" i="16"/>
  <c r="H515" i="16"/>
  <c r="H527" i="16"/>
  <c r="H539" i="16"/>
  <c r="H551" i="16"/>
  <c r="H563" i="16"/>
  <c r="H599" i="16"/>
  <c r="H611" i="16"/>
  <c r="H623" i="16"/>
  <c r="H647" i="16"/>
  <c r="H659" i="16"/>
  <c r="H671" i="16"/>
  <c r="H683" i="16"/>
  <c r="H707" i="16"/>
  <c r="H719" i="16"/>
  <c r="H731" i="16"/>
  <c r="H743" i="16"/>
  <c r="H755" i="16"/>
  <c r="H767" i="16"/>
  <c r="H779" i="16"/>
  <c r="H791" i="16"/>
  <c r="H827" i="16"/>
  <c r="H839" i="16"/>
  <c r="H851" i="16"/>
  <c r="H863" i="16"/>
  <c r="H875" i="16"/>
  <c r="H886" i="16"/>
  <c r="H898" i="16"/>
  <c r="H908" i="16"/>
  <c r="H927" i="16"/>
  <c r="H939" i="16"/>
  <c r="H962" i="16"/>
  <c r="H974" i="16"/>
  <c r="H986" i="16"/>
  <c r="H1010" i="16"/>
  <c r="H1044" i="16"/>
  <c r="H1056" i="16"/>
  <c r="H1080" i="16"/>
  <c r="H1092" i="16"/>
  <c r="H1104" i="16"/>
  <c r="H1116" i="16"/>
  <c r="H1121" i="16"/>
  <c r="H1133" i="16"/>
  <c r="H1157" i="16"/>
  <c r="H1169" i="16"/>
  <c r="H1181" i="16"/>
  <c r="H1191" i="16"/>
  <c r="H1199" i="16"/>
  <c r="H1228" i="16"/>
  <c r="H1238" i="16"/>
  <c r="H1257" i="16"/>
  <c r="H1267" i="16"/>
  <c r="H1273" i="16"/>
  <c r="H1285" i="16"/>
  <c r="H1301" i="16"/>
  <c r="H1318" i="16"/>
  <c r="H1328" i="16"/>
  <c r="H1337" i="16"/>
  <c r="H1356" i="16"/>
  <c r="H1368" i="16"/>
  <c r="H1380" i="16"/>
  <c r="H1392" i="16"/>
  <c r="H1416" i="16"/>
  <c r="H1428" i="16"/>
  <c r="H1440" i="16"/>
  <c r="H1452" i="16"/>
  <c r="H1476" i="16"/>
  <c r="H1488" i="16"/>
  <c r="H1500" i="16"/>
  <c r="H1512" i="16"/>
  <c r="H1524" i="16"/>
  <c r="H1536" i="16"/>
  <c r="H1548" i="16"/>
  <c r="H1560" i="16"/>
  <c r="H1572" i="16"/>
  <c r="H1584" i="16"/>
  <c r="H1596" i="16"/>
  <c r="H1615" i="16"/>
  <c r="H1627" i="16"/>
  <c r="H1639" i="16"/>
  <c r="H1651" i="16"/>
  <c r="H1662" i="16"/>
  <c r="H1674" i="16"/>
  <c r="H1686" i="16"/>
  <c r="H1698" i="16"/>
  <c r="H1710" i="16"/>
  <c r="H1722" i="16"/>
  <c r="H1734" i="16"/>
  <c r="H1758" i="16"/>
  <c r="H1268" i="16"/>
  <c r="H1295" i="16"/>
  <c r="H1302" i="16"/>
  <c r="H1319" i="16"/>
  <c r="H1357" i="16"/>
  <c r="H1381" i="16"/>
  <c r="H1405" i="16"/>
  <c r="H1429" i="16"/>
  <c r="H1453" i="16"/>
  <c r="H1477" i="16"/>
  <c r="H1489" i="16"/>
  <c r="H1513" i="16"/>
  <c r="H1525" i="16"/>
  <c r="H1561" i="16"/>
  <c r="H1573" i="16"/>
  <c r="H1597" i="16"/>
  <c r="H1616" i="16"/>
  <c r="H1628" i="16"/>
  <c r="H1675" i="16"/>
  <c r="H1687" i="16"/>
  <c r="H1711" i="16"/>
  <c r="H1735" i="16"/>
  <c r="H1747" i="16"/>
  <c r="H13" i="16"/>
  <c r="H49" i="16"/>
  <c r="H61" i="16"/>
  <c r="H73" i="16"/>
  <c r="H97" i="16"/>
  <c r="H109" i="16"/>
  <c r="H121" i="16"/>
  <c r="H133" i="16"/>
  <c r="H145" i="16"/>
  <c r="H157" i="16"/>
  <c r="H169" i="16"/>
  <c r="H181" i="16"/>
  <c r="H193" i="16"/>
  <c r="H205" i="16"/>
  <c r="H217" i="16"/>
  <c r="H229" i="16"/>
  <c r="H241" i="16"/>
  <c r="H253" i="16"/>
  <c r="H265" i="16"/>
  <c r="H277" i="16"/>
  <c r="H289" i="16"/>
  <c r="H301" i="16"/>
  <c r="H313" i="16"/>
  <c r="H325" i="16"/>
  <c r="H337" i="16"/>
  <c r="H349" i="16"/>
  <c r="H361" i="16"/>
  <c r="H373" i="16"/>
  <c r="H385" i="16"/>
  <c r="H397" i="16"/>
  <c r="H409" i="16"/>
  <c r="H421" i="16"/>
  <c r="H433" i="16"/>
  <c r="H445" i="16"/>
  <c r="H457" i="16"/>
  <c r="H469" i="16"/>
  <c r="H481" i="16"/>
  <c r="H493" i="16"/>
  <c r="H505" i="16"/>
  <c r="H517" i="16"/>
  <c r="H529" i="16"/>
  <c r="H541" i="16"/>
  <c r="H553" i="16"/>
  <c r="H565" i="16"/>
  <c r="H589" i="16"/>
  <c r="H637" i="16"/>
  <c r="H649" i="16"/>
  <c r="H661" i="16"/>
  <c r="H685" i="16"/>
  <c r="H697" i="16"/>
  <c r="H709" i="16"/>
  <c r="H721" i="16"/>
  <c r="H733" i="16"/>
  <c r="H745" i="16"/>
  <c r="H757" i="16"/>
  <c r="H769" i="16"/>
  <c r="H781" i="16"/>
  <c r="H793" i="16"/>
  <c r="H805" i="16"/>
  <c r="H817" i="16"/>
  <c r="H829" i="16"/>
  <c r="H841" i="16"/>
  <c r="H853" i="16"/>
  <c r="H865" i="16"/>
  <c r="H877" i="16"/>
  <c r="H888" i="16"/>
  <c r="H900" i="16"/>
  <c r="H910" i="16"/>
  <c r="H917" i="16"/>
  <c r="H929" i="16"/>
  <c r="H941" i="16"/>
  <c r="H952" i="16"/>
  <c r="H964" i="16"/>
  <c r="H976" i="16"/>
  <c r="H1000" i="16"/>
  <c r="H1012" i="16"/>
  <c r="H1058" i="16"/>
  <c r="H1082" i="16"/>
  <c r="H1094" i="16"/>
  <c r="H1106" i="16"/>
  <c r="H1123" i="16"/>
  <c r="H1135" i="16"/>
  <c r="H1147" i="16"/>
  <c r="H1159" i="16"/>
  <c r="H1171" i="16"/>
  <c r="H1182" i="16"/>
  <c r="H1193" i="16"/>
  <c r="H1201" i="16"/>
  <c r="H1230" i="16"/>
  <c r="H1240" i="16"/>
  <c r="H1247" i="16"/>
  <c r="H1259" i="16"/>
  <c r="H1269" i="16"/>
  <c r="H1275" i="16"/>
  <c r="H1287" i="16"/>
  <c r="H1296" i="16"/>
  <c r="H1303" i="16"/>
  <c r="H1320" i="16"/>
  <c r="H1330" i="16"/>
  <c r="H1370" i="16"/>
  <c r="H1382" i="16"/>
  <c r="H1394" i="16"/>
  <c r="H1406" i="16"/>
  <c r="H1418" i="16"/>
  <c r="H1430" i="16"/>
  <c r="H1442" i="16"/>
  <c r="H1454" i="16"/>
  <c r="H1466" i="16"/>
  <c r="H1478" i="16"/>
  <c r="H1490" i="16"/>
  <c r="H1502" i="16"/>
  <c r="H1514" i="16"/>
  <c r="H1526" i="16"/>
  <c r="H1538" i="16"/>
  <c r="H1550" i="16"/>
  <c r="H1562" i="16"/>
  <c r="H1574" i="16"/>
  <c r="H1586" i="16"/>
  <c r="H1598" i="16"/>
  <c r="H1617" i="16"/>
  <c r="H1629" i="16"/>
  <c r="H1641" i="16"/>
  <c r="H1653" i="16"/>
  <c r="H1664" i="16"/>
  <c r="H1676" i="16"/>
  <c r="H1688" i="16"/>
  <c r="H1700" i="16"/>
  <c r="H1712" i="16"/>
  <c r="H1724" i="16"/>
  <c r="H1736" i="16"/>
  <c r="H1748" i="16"/>
  <c r="H1258" i="16"/>
  <c r="H1274" i="16"/>
  <c r="H1286" i="16"/>
  <c r="H1329" i="16"/>
  <c r="H1338" i="16"/>
  <c r="H1393" i="16"/>
  <c r="H1417" i="16"/>
  <c r="H1465" i="16"/>
  <c r="H1501" i="16"/>
  <c r="H1537" i="16"/>
  <c r="H1549" i="16"/>
  <c r="H1585" i="16"/>
  <c r="H1640" i="16"/>
  <c r="H1652" i="16"/>
  <c r="H1663" i="16"/>
  <c r="H1699" i="16"/>
  <c r="H1723" i="16"/>
  <c r="H1759" i="16"/>
  <c r="H26" i="16"/>
  <c r="H38" i="16"/>
  <c r="H50" i="16"/>
  <c r="H74" i="16"/>
  <c r="H86" i="16"/>
  <c r="H98" i="16"/>
  <c r="H110" i="16"/>
  <c r="H122" i="16"/>
  <c r="H158" i="16"/>
  <c r="H170" i="16"/>
  <c r="H182" i="16"/>
  <c r="H194" i="16"/>
  <c r="H242" i="16"/>
  <c r="H254" i="16"/>
  <c r="H266" i="16"/>
  <c r="H278" i="16"/>
  <c r="H302" i="16"/>
  <c r="H314" i="16"/>
  <c r="H326" i="16"/>
  <c r="H338" i="16"/>
  <c r="H350" i="16"/>
  <c r="H362" i="16"/>
  <c r="H374" i="16"/>
  <c r="H398" i="16"/>
  <c r="H410" i="16"/>
  <c r="H422" i="16"/>
  <c r="H434" i="16"/>
  <c r="H446" i="16"/>
  <c r="H470" i="16"/>
  <c r="H482" i="16"/>
  <c r="H494" i="16"/>
  <c r="H506" i="16"/>
  <c r="H518" i="16"/>
  <c r="H530" i="16"/>
  <c r="H542" i="16"/>
  <c r="H554" i="16"/>
  <c r="H566" i="16"/>
  <c r="H578" i="16"/>
  <c r="H590" i="16"/>
  <c r="H602" i="16"/>
  <c r="H614" i="16"/>
  <c r="H626" i="16"/>
  <c r="H638" i="16"/>
  <c r="H650" i="16"/>
  <c r="H662" i="16"/>
  <c r="H674" i="16"/>
  <c r="H698" i="16"/>
  <c r="H710" i="16"/>
  <c r="H722" i="16"/>
  <c r="H734" i="16"/>
  <c r="H746" i="16"/>
  <c r="H758" i="16"/>
  <c r="H770" i="16"/>
  <c r="H782" i="16"/>
  <c r="H794" i="16"/>
  <c r="H806" i="16"/>
  <c r="H818" i="16"/>
  <c r="H830" i="16"/>
  <c r="H842" i="16"/>
  <c r="H854" i="16"/>
  <c r="H866" i="16"/>
  <c r="H878" i="16"/>
  <c r="H889" i="16"/>
  <c r="H901" i="16"/>
  <c r="H911" i="16"/>
  <c r="H918" i="16"/>
  <c r="H930" i="16"/>
  <c r="H942" i="16"/>
  <c r="H953" i="16"/>
  <c r="H965" i="16"/>
  <c r="H977" i="16"/>
  <c r="H989" i="16"/>
  <c r="H1001" i="16"/>
  <c r="H1025" i="16"/>
  <c r="H1035" i="16"/>
  <c r="H1047" i="16"/>
  <c r="H1059" i="16"/>
  <c r="H1071" i="16"/>
  <c r="H1083" i="16"/>
  <c r="H1095" i="16"/>
  <c r="H1107" i="16"/>
  <c r="H1124" i="16"/>
  <c r="H1148" i="16"/>
  <c r="H1160" i="16"/>
  <c r="H1172" i="16"/>
  <c r="H1202" i="16"/>
  <c r="H1212" i="16"/>
  <c r="H1231" i="16"/>
  <c r="H1241" i="16"/>
  <c r="H1248" i="16"/>
  <c r="H1260" i="16"/>
  <c r="H1276" i="16"/>
  <c r="H1304" i="16"/>
  <c r="H1331" i="16"/>
  <c r="H1359" i="16"/>
  <c r="H1371" i="16"/>
  <c r="H1395" i="16"/>
  <c r="H1419" i="16"/>
  <c r="H1431" i="16"/>
  <c r="H1443" i="16"/>
  <c r="H1467" i="16"/>
  <c r="H1479" i="16"/>
  <c r="H1491" i="16"/>
  <c r="H1503" i="16"/>
  <c r="H1515" i="16"/>
  <c r="H1527" i="16"/>
  <c r="H1539" i="16"/>
  <c r="H1551" i="16"/>
  <c r="H1563" i="16"/>
  <c r="H1575" i="16"/>
  <c r="H1587" i="16"/>
  <c r="H1599" i="16"/>
  <c r="H1618" i="16"/>
  <c r="H1630" i="16"/>
  <c r="H1642" i="16"/>
  <c r="H1654" i="16"/>
  <c r="H1665" i="16"/>
  <c r="H1677" i="16"/>
  <c r="H1689" i="16"/>
  <c r="H1701" i="16"/>
  <c r="H1713" i="16"/>
  <c r="H1737" i="16"/>
  <c r="H1749" i="16"/>
  <c r="H1761" i="16"/>
  <c r="H16" i="16"/>
  <c r="H28" i="16"/>
  <c r="H40" i="16"/>
  <c r="H52" i="16"/>
  <c r="H64" i="16"/>
  <c r="H76" i="16"/>
  <c r="H88" i="16"/>
  <c r="H100" i="16"/>
  <c r="H112" i="16"/>
  <c r="H136" i="16"/>
  <c r="H148" i="16"/>
  <c r="H160" i="16"/>
  <c r="H172" i="16"/>
  <c r="H184" i="16"/>
  <c r="H196" i="16"/>
  <c r="H208" i="16"/>
  <c r="H220" i="16"/>
  <c r="H232" i="16"/>
  <c r="H244" i="16"/>
  <c r="H256" i="16"/>
  <c r="H268" i="16"/>
  <c r="H292" i="16"/>
  <c r="H304" i="16"/>
  <c r="H316" i="16"/>
  <c r="H328" i="16"/>
  <c r="H340" i="16"/>
  <c r="H352" i="16"/>
  <c r="H364" i="16"/>
  <c r="H376" i="16"/>
  <c r="H388" i="16"/>
  <c r="H400" i="16"/>
  <c r="H412" i="16"/>
  <c r="H424" i="16"/>
  <c r="H436" i="16"/>
  <c r="H448" i="16"/>
  <c r="H460" i="16"/>
  <c r="H472" i="16"/>
  <c r="H484" i="16"/>
  <c r="H496" i="16"/>
  <c r="H508" i="16"/>
  <c r="H520" i="16"/>
  <c r="H532" i="16"/>
  <c r="H544" i="16"/>
  <c r="H556" i="16"/>
  <c r="H568" i="16"/>
  <c r="H580" i="16"/>
  <c r="H592" i="16"/>
  <c r="H604" i="16"/>
  <c r="H616" i="16"/>
  <c r="H628" i="16"/>
  <c r="H676" i="16"/>
  <c r="H688" i="16"/>
  <c r="H700" i="16"/>
  <c r="H724" i="16"/>
  <c r="H736" i="16"/>
  <c r="H748" i="16"/>
  <c r="H760" i="16"/>
  <c r="H772" i="16"/>
  <c r="H784" i="16"/>
  <c r="H796" i="16"/>
  <c r="H808" i="16"/>
  <c r="H820" i="16"/>
  <c r="H832" i="16"/>
  <c r="H844" i="16"/>
  <c r="H856" i="16"/>
  <c r="H868" i="16"/>
  <c r="H880" i="16"/>
  <c r="H891" i="16"/>
  <c r="H902" i="16"/>
  <c r="H913" i="16"/>
  <c r="H920" i="16"/>
  <c r="H944" i="16"/>
  <c r="H991" i="16"/>
  <c r="H1003" i="16"/>
  <c r="H1015" i="16"/>
  <c r="H1027" i="16"/>
  <c r="H1037" i="16"/>
  <c r="H1049" i="16"/>
  <c r="H1061" i="16"/>
  <c r="H1085" i="16"/>
  <c r="H1097" i="16"/>
  <c r="H1126" i="16"/>
  <c r="H1138" i="16"/>
  <c r="H1150" i="16"/>
  <c r="H1162" i="16"/>
  <c r="H1174" i="16"/>
  <c r="H1184" i="16"/>
  <c r="H1204" i="16"/>
  <c r="H1214" i="16"/>
  <c r="H1221" i="16"/>
  <c r="H1233" i="16"/>
  <c r="H1243" i="16"/>
  <c r="H1250" i="16"/>
  <c r="H1262" i="16"/>
  <c r="H1271" i="16"/>
  <c r="H1278" i="16"/>
  <c r="H1306" i="16"/>
  <c r="H1321" i="16"/>
  <c r="H1333" i="16"/>
  <c r="H1340" i="16"/>
  <c r="H1349" i="16"/>
  <c r="H1373" i="16"/>
  <c r="H1385" i="16"/>
  <c r="H1421" i="16"/>
  <c r="H1433" i="16"/>
  <c r="H1445" i="16"/>
  <c r="H1457" i="16"/>
  <c r="H1469" i="16"/>
  <c r="H1481" i="16"/>
  <c r="H1493" i="16"/>
  <c r="H1505" i="16"/>
  <c r="H1517" i="16"/>
  <c r="H1529" i="16"/>
  <c r="H1541" i="16"/>
  <c r="H1553" i="16"/>
  <c r="H1565" i="16"/>
  <c r="H1577" i="16"/>
  <c r="H1589" i="16"/>
  <c r="H1601" i="16"/>
  <c r="H1608" i="16"/>
  <c r="H1620" i="16"/>
  <c r="H1632" i="16"/>
  <c r="H1644" i="16"/>
  <c r="H1656" i="16"/>
  <c r="H1667" i="16"/>
  <c r="H1679" i="16"/>
  <c r="H1691" i="16"/>
  <c r="H1703" i="16"/>
  <c r="H1715" i="16"/>
  <c r="H1727" i="16"/>
  <c r="H1751" i="16"/>
  <c r="H1763" i="16"/>
  <c r="H1151" i="16"/>
  <c r="H1205" i="16"/>
  <c r="H1215" i="16"/>
  <c r="H1350" i="16"/>
  <c r="H1470" i="16"/>
  <c r="H1554" i="16"/>
  <c r="H1566" i="16"/>
  <c r="H1609" i="16"/>
  <c r="H1633" i="16"/>
  <c r="H1704" i="16"/>
  <c r="H6" i="16"/>
  <c r="H18" i="16"/>
  <c r="H30" i="16"/>
  <c r="H54" i="16"/>
  <c r="H66" i="16"/>
  <c r="H78" i="16"/>
  <c r="H90" i="16"/>
  <c r="H102" i="16"/>
  <c r="H114" i="16"/>
  <c r="H126" i="16"/>
  <c r="H174" i="16"/>
  <c r="H186" i="16"/>
  <c r="H210" i="16"/>
  <c r="H222" i="16"/>
  <c r="H282" i="16"/>
  <c r="H294" i="16"/>
  <c r="H306" i="16"/>
  <c r="H318" i="16"/>
  <c r="H330" i="16"/>
  <c r="H342" i="16"/>
  <c r="H354" i="16"/>
  <c r="H366" i="16"/>
  <c r="H378" i="16"/>
  <c r="H390" i="16"/>
  <c r="H402" i="16"/>
  <c r="H414" i="16"/>
  <c r="H426" i="16"/>
  <c r="H438" i="16"/>
  <c r="H450" i="16"/>
  <c r="H462" i="16"/>
  <c r="H474" i="16"/>
  <c r="H486" i="16"/>
  <c r="H510" i="16"/>
  <c r="H522" i="16"/>
  <c r="H534" i="16"/>
  <c r="H546" i="16"/>
  <c r="H558" i="16"/>
  <c r="H570" i="16"/>
  <c r="H582" i="16"/>
  <c r="H606" i="16"/>
  <c r="H618" i="16"/>
  <c r="H642" i="16"/>
  <c r="H654" i="16"/>
  <c r="H666" i="16"/>
  <c r="H678" i="16"/>
  <c r="H702" i="16"/>
  <c r="H714" i="16"/>
  <c r="H738" i="16"/>
  <c r="H750" i="16"/>
  <c r="H762" i="16"/>
  <c r="H774" i="16"/>
  <c r="H786" i="16"/>
  <c r="H798" i="16"/>
  <c r="H810" i="16"/>
  <c r="H822" i="16"/>
  <c r="H834" i="16"/>
  <c r="H846" i="16"/>
  <c r="H858" i="16"/>
  <c r="H870" i="16"/>
  <c r="H882" i="16"/>
  <c r="H893" i="16"/>
  <c r="H903" i="16"/>
  <c r="H922" i="16"/>
  <c r="H934" i="16"/>
  <c r="H945" i="16"/>
  <c r="H957" i="16"/>
  <c r="H969" i="16"/>
  <c r="H981" i="16"/>
  <c r="H993" i="16"/>
  <c r="H1005" i="16"/>
  <c r="H1017" i="16"/>
  <c r="H1029" i="16"/>
  <c r="H1051" i="16"/>
  <c r="H1063" i="16"/>
  <c r="H1075" i="16"/>
  <c r="H1087" i="16"/>
  <c r="H1099" i="16"/>
  <c r="H1111" i="16"/>
  <c r="H1128" i="16"/>
  <c r="H1140" i="16"/>
  <c r="H1152" i="16"/>
  <c r="H1176" i="16"/>
  <c r="H1186" i="16"/>
  <c r="H1206" i="16"/>
  <c r="H1216" i="16"/>
  <c r="H1223" i="16"/>
  <c r="H1235" i="16"/>
  <c r="H1244" i="16"/>
  <c r="H1252" i="16"/>
  <c r="H1263" i="16"/>
  <c r="H1280" i="16"/>
  <c r="H1290" i="16"/>
  <c r="H1308" i="16"/>
  <c r="H1313" i="16"/>
  <c r="H1342" i="16"/>
  <c r="H1363" i="16"/>
  <c r="H1375" i="16"/>
  <c r="H1387" i="16"/>
  <c r="H1399" i="16"/>
  <c r="H1411" i="16"/>
  <c r="H1423" i="16"/>
  <c r="H1435" i="16"/>
  <c r="H1447" i="16"/>
  <c r="H1471" i="16"/>
  <c r="H1483" i="16"/>
  <c r="H1495" i="16"/>
  <c r="H1507" i="16"/>
  <c r="H1519" i="16"/>
  <c r="H1531" i="16"/>
  <c r="H1543" i="16"/>
  <c r="H1555" i="16"/>
  <c r="H1567" i="16"/>
  <c r="H1579" i="16"/>
  <c r="H1591" i="16"/>
  <c r="H1603" i="16"/>
  <c r="H1610" i="16"/>
  <c r="H1622" i="16"/>
  <c r="H1634" i="16"/>
  <c r="H1646" i="16"/>
  <c r="H1658" i="16"/>
  <c r="H1669" i="16"/>
  <c r="H1681" i="16"/>
  <c r="I1681" i="16"/>
  <c r="H1693" i="16"/>
  <c r="H1705" i="16"/>
  <c r="H1729" i="16"/>
  <c r="H1741" i="16"/>
  <c r="H1765" i="16"/>
  <c r="H1222" i="16"/>
  <c r="H1386" i="16"/>
  <c r="H1458" i="16"/>
  <c r="H1530" i="16"/>
  <c r="H1602" i="16"/>
  <c r="H1740" i="16"/>
  <c r="H19" i="16"/>
  <c r="H31" i="16"/>
  <c r="H43" i="16"/>
  <c r="H55" i="16"/>
  <c r="H67" i="16"/>
  <c r="H79" i="16"/>
  <c r="H91" i="16"/>
  <c r="H127" i="16"/>
  <c r="H139" i="16"/>
  <c r="H151" i="16"/>
  <c r="H175" i="16"/>
  <c r="H187" i="16"/>
  <c r="H211" i="16"/>
  <c r="H223" i="16"/>
  <c r="H235" i="16"/>
  <c r="H247" i="16"/>
  <c r="H259" i="16"/>
  <c r="H283" i="16"/>
  <c r="H295" i="16"/>
  <c r="H319" i="16"/>
  <c r="H331" i="16"/>
  <c r="H343" i="16"/>
  <c r="H355" i="16"/>
  <c r="H367" i="16"/>
  <c r="H379" i="16"/>
  <c r="H391" i="16"/>
  <c r="H403" i="16"/>
  <c r="H415" i="16"/>
  <c r="H427" i="16"/>
  <c r="H439" i="16"/>
  <c r="H451" i="16"/>
  <c r="H463" i="16"/>
  <c r="H475" i="16"/>
  <c r="H487" i="16"/>
  <c r="H499" i="16"/>
  <c r="H511" i="16"/>
  <c r="H523" i="16"/>
  <c r="H535" i="16"/>
  <c r="H547" i="16"/>
  <c r="H559" i="16"/>
  <c r="H571" i="16"/>
  <c r="H583" i="16"/>
  <c r="H595" i="16"/>
  <c r="H607" i="16"/>
  <c r="H619" i="16"/>
  <c r="H631" i="16"/>
  <c r="H643" i="16"/>
  <c r="H655" i="16"/>
  <c r="H667" i="16"/>
  <c r="H679" i="16"/>
  <c r="H691" i="16"/>
  <c r="H715" i="16"/>
  <c r="H727" i="16"/>
  <c r="H739" i="16"/>
  <c r="H751" i="16"/>
  <c r="H763" i="16"/>
  <c r="H775" i="16"/>
  <c r="H787" i="16"/>
  <c r="H799" i="16"/>
  <c r="H811" i="16"/>
  <c r="H823" i="16"/>
  <c r="H835" i="16"/>
  <c r="H847" i="16"/>
  <c r="H859" i="16"/>
  <c r="H871" i="16"/>
  <c r="H883" i="16"/>
  <c r="H894" i="16"/>
  <c r="H904" i="16"/>
  <c r="H923" i="16"/>
  <c r="H935" i="16"/>
  <c r="H946" i="16"/>
  <c r="H958" i="16"/>
  <c r="H970" i="16"/>
  <c r="H982" i="16"/>
  <c r="H994" i="16"/>
  <c r="H1018" i="16"/>
  <c r="H1040" i="16"/>
  <c r="H1052" i="16"/>
  <c r="H1076" i="16"/>
  <c r="H1088" i="16"/>
  <c r="H1100" i="16"/>
  <c r="H1112" i="16"/>
  <c r="H1129" i="16"/>
  <c r="H1141" i="16"/>
  <c r="H1153" i="16"/>
  <c r="H1177" i="16"/>
  <c r="H1187" i="16"/>
  <c r="H1195" i="16"/>
  <c r="H1207" i="16"/>
  <c r="H1217" i="16"/>
  <c r="H1224" i="16"/>
  <c r="H1236" i="16"/>
  <c r="H1245" i="16"/>
  <c r="H1253" i="16"/>
  <c r="H1281" i="16"/>
  <c r="H1291" i="16"/>
  <c r="H1314" i="16"/>
  <c r="H1324" i="16"/>
  <c r="H1343" i="16"/>
  <c r="H1352" i="16"/>
  <c r="H1364" i="16"/>
  <c r="H1388" i="16"/>
  <c r="H1400" i="16"/>
  <c r="H1424" i="16"/>
  <c r="H1436" i="16"/>
  <c r="H1460" i="16"/>
  <c r="H1472" i="16"/>
  <c r="H1484" i="16"/>
  <c r="H1496" i="16"/>
  <c r="H1508" i="16"/>
  <c r="H1520" i="16"/>
  <c r="H1532" i="16"/>
  <c r="H1544" i="16"/>
  <c r="H1556" i="16"/>
  <c r="H1568" i="16"/>
  <c r="H1580" i="16"/>
  <c r="H1592" i="16"/>
  <c r="H1604" i="16"/>
  <c r="H1611" i="16"/>
  <c r="H1623" i="16"/>
  <c r="H1635" i="16"/>
  <c r="H1647" i="16"/>
  <c r="H1659" i="16"/>
  <c r="H1670" i="16"/>
  <c r="H1682" i="16"/>
  <c r="H1694" i="16"/>
  <c r="H1706" i="16"/>
  <c r="H1730" i="16"/>
  <c r="H1742" i="16"/>
  <c r="H1754" i="16"/>
  <c r="H1185" i="16"/>
  <c r="H1251" i="16"/>
  <c r="H1279" i="16"/>
  <c r="H1374" i="16"/>
  <c r="H1728" i="16"/>
  <c r="H20" i="16"/>
  <c r="H32" i="16"/>
  <c r="H44" i="16"/>
  <c r="H56" i="16"/>
  <c r="H68" i="16"/>
  <c r="H80" i="16"/>
  <c r="H92" i="16"/>
  <c r="H104" i="16"/>
  <c r="H116" i="16"/>
  <c r="H128" i="16"/>
  <c r="H140" i="16"/>
  <c r="H152" i="16"/>
  <c r="H164" i="16"/>
  <c r="H176" i="16"/>
  <c r="H188" i="16"/>
  <c r="H236" i="16"/>
  <c r="H248" i="16"/>
  <c r="H260" i="16"/>
  <c r="H272" i="16"/>
  <c r="H284" i="16"/>
  <c r="H296" i="16"/>
  <c r="H308" i="16"/>
  <c r="H320" i="16"/>
  <c r="H332" i="16"/>
  <c r="H344" i="16"/>
  <c r="H356" i="16"/>
  <c r="H368" i="16"/>
  <c r="H380" i="16"/>
  <c r="H392" i="16"/>
  <c r="H404" i="16"/>
  <c r="H416" i="16"/>
  <c r="H428" i="16"/>
  <c r="H440" i="16"/>
  <c r="H452" i="16"/>
  <c r="H464" i="16"/>
  <c r="H476" i="16"/>
  <c r="H488" i="16"/>
  <c r="H500" i="16"/>
  <c r="H512" i="16"/>
  <c r="H524" i="16"/>
  <c r="H536" i="16"/>
  <c r="H548" i="16"/>
  <c r="H560" i="16"/>
  <c r="H572" i="16"/>
  <c r="H596" i="16"/>
  <c r="H620" i="16"/>
  <c r="H632" i="16"/>
  <c r="H680" i="16"/>
  <c r="H692" i="16"/>
  <c r="H728" i="16"/>
  <c r="H740" i="16"/>
  <c r="H752" i="16"/>
  <c r="H764" i="16"/>
  <c r="H776" i="16"/>
  <c r="H788" i="16"/>
  <c r="H800" i="16"/>
  <c r="H824" i="16"/>
  <c r="H836" i="16"/>
  <c r="H848" i="16"/>
  <c r="H860" i="16"/>
  <c r="H872" i="16"/>
  <c r="H884" i="16"/>
  <c r="H895" i="16"/>
  <c r="H905" i="16"/>
  <c r="H936" i="16"/>
  <c r="H947" i="16"/>
  <c r="H959" i="16"/>
  <c r="H1007" i="16"/>
  <c r="H1019" i="16"/>
  <c r="H1031" i="16"/>
  <c r="H1041" i="16"/>
  <c r="H1065" i="16"/>
  <c r="H1077" i="16"/>
  <c r="H1089" i="16"/>
  <c r="H1101" i="16"/>
  <c r="H1113" i="16"/>
  <c r="H1130" i="16"/>
  <c r="H1142" i="16"/>
  <c r="H1166" i="16"/>
  <c r="H1178" i="16"/>
  <c r="H1188" i="16"/>
  <c r="H1196" i="16"/>
  <c r="H1208" i="16"/>
  <c r="H1225" i="16"/>
  <c r="H1254" i="16"/>
  <c r="H1264" i="16"/>
  <c r="H1282" i="16"/>
  <c r="H1292" i="16"/>
  <c r="H1299" i="16"/>
  <c r="H1315" i="16"/>
  <c r="H1325" i="16"/>
  <c r="H1344" i="16"/>
  <c r="H1353" i="16"/>
  <c r="H1365" i="16"/>
  <c r="H1377" i="16"/>
  <c r="H1389" i="16"/>
  <c r="H1401" i="16"/>
  <c r="H1425" i="16"/>
  <c r="H1437" i="16"/>
  <c r="H1449" i="16"/>
  <c r="H1461" i="16"/>
  <c r="H1473" i="16"/>
  <c r="H1485" i="16"/>
  <c r="H1497" i="16"/>
  <c r="H1509" i="16"/>
  <c r="H1521" i="16"/>
  <c r="H1533" i="16"/>
  <c r="H1545" i="16"/>
  <c r="H1557" i="16"/>
  <c r="H1569" i="16"/>
  <c r="H1581" i="16"/>
  <c r="H1593" i="16"/>
  <c r="H1612" i="16"/>
  <c r="H1624" i="16"/>
  <c r="H1636" i="16"/>
  <c r="H1648" i="16"/>
  <c r="H1660" i="16"/>
  <c r="H1671" i="16"/>
  <c r="H1683" i="16"/>
  <c r="H1695" i="16"/>
  <c r="H1707" i="16"/>
  <c r="H1719" i="16"/>
  <c r="H1731" i="16"/>
  <c r="H1743" i="16"/>
  <c r="H1755" i="16"/>
  <c r="H1234" i="16"/>
  <c r="H1307" i="16"/>
  <c r="H1506" i="16"/>
  <c r="H1590" i="16"/>
  <c r="H1764" i="16"/>
  <c r="H9" i="16"/>
  <c r="H21" i="16"/>
  <c r="H33" i="16"/>
  <c r="H45" i="16"/>
  <c r="H57" i="16"/>
  <c r="H69" i="16"/>
  <c r="H81" i="16"/>
  <c r="H93" i="16"/>
  <c r="H105" i="16"/>
  <c r="H117" i="16"/>
  <c r="H129" i="16"/>
  <c r="H141" i="16"/>
  <c r="H153" i="16"/>
  <c r="H165" i="16"/>
  <c r="H177" i="16"/>
  <c r="H189" i="16"/>
  <c r="H201" i="16"/>
  <c r="H213" i="16"/>
  <c r="H225" i="16"/>
  <c r="H273" i="16"/>
  <c r="H285" i="16"/>
  <c r="H309" i="16"/>
  <c r="H333" i="16"/>
  <c r="H345" i="16"/>
  <c r="H357" i="16"/>
  <c r="H369" i="16"/>
  <c r="H381" i="16"/>
  <c r="H393" i="16"/>
  <c r="H405" i="16"/>
  <c r="H417" i="16"/>
  <c r="H429" i="16"/>
  <c r="H441" i="16"/>
  <c r="H453" i="16"/>
  <c r="H477" i="16"/>
  <c r="H501" i="16"/>
  <c r="H573" i="16"/>
  <c r="H585" i="16"/>
  <c r="H609" i="16"/>
  <c r="H633" i="16"/>
  <c r="H645" i="16"/>
  <c r="H657" i="16"/>
  <c r="H693" i="16"/>
  <c r="H705" i="16"/>
  <c r="H729" i="16"/>
  <c r="H741" i="16"/>
  <c r="H753" i="16"/>
  <c r="H765" i="16"/>
  <c r="H777" i="16"/>
  <c r="H789" i="16"/>
  <c r="H801" i="16"/>
  <c r="H825" i="16"/>
  <c r="H849" i="16"/>
  <c r="H861" i="16"/>
  <c r="H873" i="16"/>
  <c r="H885" i="16"/>
  <c r="H896" i="16"/>
  <c r="H906" i="16"/>
  <c r="H948" i="16"/>
  <c r="H972" i="16"/>
  <c r="H996" i="16"/>
  <c r="H1008" i="16"/>
  <c r="H1042" i="16"/>
  <c r="H1054" i="16"/>
  <c r="H1078" i="16"/>
  <c r="H1090" i="16"/>
  <c r="H1102" i="16"/>
  <c r="H1114" i="16"/>
  <c r="H1119" i="16"/>
  <c r="H1131" i="16"/>
  <c r="H1143" i="16"/>
  <c r="H1155" i="16"/>
  <c r="H1167" i="16"/>
  <c r="H1179" i="16"/>
  <c r="H1189" i="16"/>
  <c r="H1197" i="16"/>
  <c r="H1237" i="16"/>
  <c r="H1255" i="16"/>
  <c r="H1265" i="16"/>
  <c r="H1283" i="16"/>
  <c r="H1293" i="16"/>
  <c r="H1300" i="16"/>
  <c r="H1316" i="16"/>
  <c r="H1326" i="16"/>
  <c r="H1354" i="16"/>
  <c r="H1366" i="16"/>
  <c r="H1378" i="16"/>
  <c r="H1402" i="16"/>
  <c r="H1414" i="16"/>
  <c r="H1426" i="16"/>
  <c r="H1438" i="16"/>
  <c r="H1450" i="16"/>
  <c r="H1462" i="16"/>
  <c r="H1474" i="16"/>
  <c r="H1498" i="16"/>
  <c r="H1510" i="16"/>
  <c r="H1522" i="16"/>
  <c r="H1534" i="16"/>
  <c r="H1546" i="16"/>
  <c r="H1558" i="16"/>
  <c r="H1582" i="16"/>
  <c r="H1594" i="16"/>
  <c r="H1613" i="16"/>
  <c r="H1625" i="16"/>
  <c r="H1637" i="16"/>
  <c r="H1672" i="16"/>
  <c r="H1684" i="16"/>
  <c r="H1696" i="16"/>
  <c r="H1708" i="16"/>
  <c r="H1720" i="16"/>
  <c r="H1744" i="16"/>
  <c r="H1756" i="16"/>
  <c r="H1322" i="16"/>
  <c r="H1410" i="16"/>
  <c r="H1482" i="16"/>
  <c r="H1494" i="16"/>
  <c r="H1578" i="16"/>
  <c r="H1645" i="16"/>
  <c r="H1716" i="16"/>
  <c r="H1752" i="16"/>
  <c r="H10" i="16"/>
  <c r="H22" i="16"/>
  <c r="H34" i="16"/>
  <c r="H46" i="16"/>
  <c r="H58" i="16"/>
  <c r="H70" i="16"/>
  <c r="H94" i="16"/>
  <c r="H106" i="16"/>
  <c r="H118" i="16"/>
  <c r="H130" i="16"/>
  <c r="H166" i="16"/>
  <c r="H178" i="16"/>
  <c r="H190" i="16"/>
  <c r="H202" i="16"/>
  <c r="H214" i="16"/>
  <c r="H226" i="16"/>
  <c r="H238" i="16"/>
  <c r="H250" i="16"/>
  <c r="H262" i="16"/>
  <c r="H286" i="16"/>
  <c r="H382" i="16"/>
  <c r="H430" i="16"/>
  <c r="H442" i="16"/>
  <c r="H454" i="16"/>
  <c r="H466" i="16"/>
  <c r="H490" i="16"/>
  <c r="H502" i="16"/>
  <c r="H514" i="16"/>
  <c r="H526" i="16"/>
  <c r="H538" i="16"/>
  <c r="H550" i="16"/>
  <c r="H562" i="16"/>
  <c r="H586" i="16"/>
  <c r="H598" i="16"/>
  <c r="H610" i="16"/>
  <c r="H622" i="16"/>
  <c r="H646" i="16"/>
  <c r="H658" i="16"/>
  <c r="H670" i="16"/>
  <c r="H706" i="16"/>
  <c r="H730" i="16"/>
  <c r="H742" i="16"/>
  <c r="H754" i="16"/>
  <c r="H766" i="16"/>
  <c r="H778" i="16"/>
  <c r="H790" i="16"/>
  <c r="H802" i="16"/>
  <c r="H838" i="16"/>
  <c r="H850" i="16"/>
  <c r="H874" i="16"/>
  <c r="H897" i="16"/>
  <c r="H907" i="16"/>
  <c r="H926" i="16"/>
  <c r="H949" i="16"/>
  <c r="H961" i="16"/>
  <c r="H973" i="16"/>
  <c r="H985" i="16"/>
  <c r="H997" i="16"/>
  <c r="H1009" i="16"/>
  <c r="H1021" i="16"/>
  <c r="H1033" i="16"/>
  <c r="H1043" i="16"/>
  <c r="H1055" i="16"/>
  <c r="H1067" i="16"/>
  <c r="H1079" i="16"/>
  <c r="H1091" i="16"/>
  <c r="H1115" i="16"/>
  <c r="H1120" i="16"/>
  <c r="H1132" i="16"/>
  <c r="H1144" i="16"/>
  <c r="H1156" i="16"/>
  <c r="H1168" i="16"/>
  <c r="H1190" i="16"/>
  <c r="H1198" i="16"/>
  <c r="H1210" i="16"/>
  <c r="H1219" i="16"/>
  <c r="H1227" i="16"/>
  <c r="H1266" i="16"/>
  <c r="H1284" i="16"/>
  <c r="H1294" i="16"/>
  <c r="H1336" i="16"/>
  <c r="H1367" i="16"/>
  <c r="H1379" i="16"/>
  <c r="H1391" i="16"/>
  <c r="H1403" i="16"/>
  <c r="H1415" i="16"/>
  <c r="H1439" i="16"/>
  <c r="H1451" i="16"/>
  <c r="H1475" i="16"/>
  <c r="H1487" i="16"/>
  <c r="H1499" i="16"/>
  <c r="H1511" i="16"/>
  <c r="H1523" i="16"/>
  <c r="H1547" i="16"/>
  <c r="H1559" i="16"/>
  <c r="H1571" i="16"/>
  <c r="H1583" i="16"/>
  <c r="H1595" i="16"/>
  <c r="H1614" i="16"/>
  <c r="H1626" i="16"/>
  <c r="H1638" i="16"/>
  <c r="H1650" i="16"/>
  <c r="H1661" i="16"/>
  <c r="H1673" i="16"/>
  <c r="H1685" i="16"/>
  <c r="H1697" i="16"/>
  <c r="H1721" i="16"/>
  <c r="H1733" i="16"/>
  <c r="H1745" i="16"/>
  <c r="H1757" i="16"/>
  <c r="I1765" i="16"/>
  <c r="I1764" i="16"/>
  <c r="I1763" i="16"/>
  <c r="I1762" i="16"/>
  <c r="I1761" i="16"/>
  <c r="I1759" i="16"/>
  <c r="I1758" i="16"/>
  <c r="I1757" i="16"/>
  <c r="I1756" i="16"/>
  <c r="I1755" i="16"/>
  <c r="I1754" i="16"/>
  <c r="I1752" i="16"/>
  <c r="I1751" i="16"/>
  <c r="I1750" i="16"/>
  <c r="I1749" i="16"/>
  <c r="I1748" i="16"/>
  <c r="I1747" i="16"/>
  <c r="I1745" i="16"/>
  <c r="I1744" i="16"/>
  <c r="I1743" i="16"/>
  <c r="I1742" i="16"/>
  <c r="I1741" i="16"/>
  <c r="I1740" i="16"/>
  <c r="I1738" i="16"/>
  <c r="I1737" i="16"/>
  <c r="I1736" i="16"/>
  <c r="I1735" i="16"/>
  <c r="I1734" i="16"/>
  <c r="I1733" i="16"/>
  <c r="I1731" i="16"/>
  <c r="I1730" i="16"/>
  <c r="I1729" i="16"/>
  <c r="I1728" i="16"/>
  <c r="I1727" i="16"/>
  <c r="I1726" i="16"/>
  <c r="I1724" i="16"/>
  <c r="I1723" i="16"/>
  <c r="I1722" i="16"/>
  <c r="I1721" i="16"/>
  <c r="I1720" i="16"/>
  <c r="I1719" i="16"/>
  <c r="I1716" i="16"/>
  <c r="I1715" i="16"/>
  <c r="I1714" i="16"/>
  <c r="I1713" i="16"/>
  <c r="I1712" i="16"/>
  <c r="E1711" i="16"/>
  <c r="I1710" i="16"/>
  <c r="E1709" i="16"/>
  <c r="I1708" i="16"/>
  <c r="I1707" i="16"/>
  <c r="I1706" i="16"/>
  <c r="E1705" i="16"/>
  <c r="I1704" i="16"/>
  <c r="I1703" i="16"/>
  <c r="I1702" i="16"/>
  <c r="I1701" i="16"/>
  <c r="I1700" i="16"/>
  <c r="E1699" i="16"/>
  <c r="I1698" i="16"/>
  <c r="I1697" i="16"/>
  <c r="I1696" i="16"/>
  <c r="E1695" i="16"/>
  <c r="I1694" i="16"/>
  <c r="I1693" i="16"/>
  <c r="E1692" i="16"/>
  <c r="I1691" i="16"/>
  <c r="I1690" i="16"/>
  <c r="I1689" i="16"/>
  <c r="E1688" i="16"/>
  <c r="I1687" i="16"/>
  <c r="E1686" i="16"/>
  <c r="I1685" i="16"/>
  <c r="I1684" i="16"/>
  <c r="I1683" i="16"/>
  <c r="I1682" i="16"/>
  <c r="I1680" i="16"/>
  <c r="I1679" i="16"/>
  <c r="I1678" i="16"/>
  <c r="I1677" i="16"/>
  <c r="I1676" i="16"/>
  <c r="E1675" i="16"/>
  <c r="E1674" i="16"/>
  <c r="I1673" i="16"/>
  <c r="I1672" i="16"/>
  <c r="I1671" i="16"/>
  <c r="E1670" i="16"/>
  <c r="I1669" i="16"/>
  <c r="E1668" i="16"/>
  <c r="I1667" i="16"/>
  <c r="I1666" i="16"/>
  <c r="I1665" i="16"/>
  <c r="E1664" i="16"/>
  <c r="I1663" i="16"/>
  <c r="I1662" i="16"/>
  <c r="I1661" i="16"/>
  <c r="I1660" i="16"/>
  <c r="I1659" i="16"/>
  <c r="E1658" i="16"/>
  <c r="E1657" i="16"/>
  <c r="I1656" i="16"/>
  <c r="E1655" i="16"/>
  <c r="I1654" i="16"/>
  <c r="I1653" i="16"/>
  <c r="I1652" i="16"/>
  <c r="I1651" i="16"/>
  <c r="I1650" i="16"/>
  <c r="E1649" i="16"/>
  <c r="I1648" i="16"/>
  <c r="I1647" i="16"/>
  <c r="I1646" i="16"/>
  <c r="I1645" i="16"/>
  <c r="I1644" i="16"/>
  <c r="E1643" i="16"/>
  <c r="I1642" i="16"/>
  <c r="I1641" i="16"/>
  <c r="I1640" i="16"/>
  <c r="I1639" i="16"/>
  <c r="I1638" i="16"/>
  <c r="I1637" i="16"/>
  <c r="E1636" i="16"/>
  <c r="I1635" i="16"/>
  <c r="I1634" i="16"/>
  <c r="I1633" i="16"/>
  <c r="I1632" i="16"/>
  <c r="E1631" i="16"/>
  <c r="I1630" i="16"/>
  <c r="I1629" i="16"/>
  <c r="I1628" i="16"/>
  <c r="I1627" i="16"/>
  <c r="I1626" i="16"/>
  <c r="I1625" i="16"/>
  <c r="I1624" i="16"/>
  <c r="I1623" i="16"/>
  <c r="I1622" i="16"/>
  <c r="E1621" i="16"/>
  <c r="I1620" i="16"/>
  <c r="I1619" i="16"/>
  <c r="I1618" i="16"/>
  <c r="I1617" i="16"/>
  <c r="I1616" i="16"/>
  <c r="E1615" i="16"/>
  <c r="I1614" i="16"/>
  <c r="I1613" i="16"/>
  <c r="I1612" i="16"/>
  <c r="I1611" i="16"/>
  <c r="I1610" i="16"/>
  <c r="I1609" i="16"/>
  <c r="I1608" i="16"/>
  <c r="E1607" i="16"/>
  <c r="E1606" i="16"/>
  <c r="I1604" i="16"/>
  <c r="I1603" i="16"/>
  <c r="I1602" i="16"/>
  <c r="I1601" i="16"/>
  <c r="I1600" i="16"/>
  <c r="I1599" i="16"/>
  <c r="E1598" i="16"/>
  <c r="I1597" i="16"/>
  <c r="I1596" i="16"/>
  <c r="I1595" i="16"/>
  <c r="I1594" i="16"/>
  <c r="I1593" i="16"/>
  <c r="I1592" i="16"/>
  <c r="E1591" i="16"/>
  <c r="I1590" i="16"/>
  <c r="I1589" i="16"/>
  <c r="I1588" i="16"/>
  <c r="I1587" i="16"/>
  <c r="I1586" i="16"/>
  <c r="I1585" i="16"/>
  <c r="E1584" i="16"/>
  <c r="I1583" i="16"/>
  <c r="I1582" i="16"/>
  <c r="I1581" i="16"/>
  <c r="I1580" i="16"/>
  <c r="I1579" i="16"/>
  <c r="I1578" i="16"/>
  <c r="E1577" i="16"/>
  <c r="I1576" i="16"/>
  <c r="I1575" i="16"/>
  <c r="I1574" i="16"/>
  <c r="I1573" i="16"/>
  <c r="I1572" i="16"/>
  <c r="I1571" i="16"/>
  <c r="E1570" i="16"/>
  <c r="I1569" i="16"/>
  <c r="I1568" i="16"/>
  <c r="I1567" i="16"/>
  <c r="I1566" i="16"/>
  <c r="I1565" i="16"/>
  <c r="I1564" i="16"/>
  <c r="E1563" i="16"/>
  <c r="I1562" i="16"/>
  <c r="I1561" i="16"/>
  <c r="I1560" i="16"/>
  <c r="I1559" i="16"/>
  <c r="I1558" i="16"/>
  <c r="I1557" i="16"/>
  <c r="E1556" i="16"/>
  <c r="I1555" i="16"/>
  <c r="I1554" i="16"/>
  <c r="I1553" i="16"/>
  <c r="I1552" i="16"/>
  <c r="I1551" i="16"/>
  <c r="I1550" i="16"/>
  <c r="E1549" i="16"/>
  <c r="I1548" i="16"/>
  <c r="I1547" i="16"/>
  <c r="I1546" i="16"/>
  <c r="I1545" i="16"/>
  <c r="I1544" i="16"/>
  <c r="I1543" i="16"/>
  <c r="E1542" i="16"/>
  <c r="I1541" i="16"/>
  <c r="I1540" i="16"/>
  <c r="I1539" i="16"/>
  <c r="I1538" i="16"/>
  <c r="I1537" i="16"/>
  <c r="I1536" i="16"/>
  <c r="E1535" i="16"/>
  <c r="I1534" i="16"/>
  <c r="I1533" i="16"/>
  <c r="I1532" i="16"/>
  <c r="I1531" i="16"/>
  <c r="I1530" i="16"/>
  <c r="I1529" i="16"/>
  <c r="E1528" i="16"/>
  <c r="I1527" i="16"/>
  <c r="I1526" i="16"/>
  <c r="I1525" i="16"/>
  <c r="I1524" i="16"/>
  <c r="I1523" i="16"/>
  <c r="I1522" i="16"/>
  <c r="E1521" i="16"/>
  <c r="I1520" i="16"/>
  <c r="I1519" i="16"/>
  <c r="I1518" i="16"/>
  <c r="I1517" i="16"/>
  <c r="I1516" i="16"/>
  <c r="I1515" i="16"/>
  <c r="E1514" i="16"/>
  <c r="I1513" i="16"/>
  <c r="I1512" i="16"/>
  <c r="I1511" i="16"/>
  <c r="I1510" i="16"/>
  <c r="I1509" i="16"/>
  <c r="I1508" i="16"/>
  <c r="E1507" i="16"/>
  <c r="I1506" i="16"/>
  <c r="I1505" i="16"/>
  <c r="I1504" i="16"/>
  <c r="I1503" i="16"/>
  <c r="I1502" i="16"/>
  <c r="I1501" i="16"/>
  <c r="E1500" i="16"/>
  <c r="I1499" i="16"/>
  <c r="I1498" i="16"/>
  <c r="I1497" i="16"/>
  <c r="I1496" i="16"/>
  <c r="I1495" i="16"/>
  <c r="I1494" i="16"/>
  <c r="E1493" i="16"/>
  <c r="F1493" i="16" s="1"/>
  <c r="I1492" i="16"/>
  <c r="I1491" i="16"/>
  <c r="I1490" i="16"/>
  <c r="I1489" i="16"/>
  <c r="I1488" i="16"/>
  <c r="I1487" i="16"/>
  <c r="E1486" i="16"/>
  <c r="I1485" i="16"/>
  <c r="I1484" i="16"/>
  <c r="I1483" i="16"/>
  <c r="I1482" i="16"/>
  <c r="I1481" i="16"/>
  <c r="I1480" i="16"/>
  <c r="E1479" i="16"/>
  <c r="I1478" i="16"/>
  <c r="I1477" i="16"/>
  <c r="I1476" i="16"/>
  <c r="I1475" i="16"/>
  <c r="I1474" i="16"/>
  <c r="I1473" i="16"/>
  <c r="E1472" i="16"/>
  <c r="I1471" i="16"/>
  <c r="I1470" i="16"/>
  <c r="I1469" i="16"/>
  <c r="I1468" i="16"/>
  <c r="I1467" i="16"/>
  <c r="I1466" i="16"/>
  <c r="E1465" i="16"/>
  <c r="I1462" i="16"/>
  <c r="I1461" i="16"/>
  <c r="I1460" i="16"/>
  <c r="I1458" i="16"/>
  <c r="I1457" i="16"/>
  <c r="I1456" i="16"/>
  <c r="I1454" i="16"/>
  <c r="I1453" i="16"/>
  <c r="I1452" i="16"/>
  <c r="I1451" i="16"/>
  <c r="I1450" i="16"/>
  <c r="I1449" i="16"/>
  <c r="I1447" i="16"/>
  <c r="I1446" i="16"/>
  <c r="I1445" i="16"/>
  <c r="I1444" i="16"/>
  <c r="I1443" i="16"/>
  <c r="I1442" i="16"/>
  <c r="I1440" i="16"/>
  <c r="I1439" i="16"/>
  <c r="I1438" i="16"/>
  <c r="I1437" i="16"/>
  <c r="I1436" i="16"/>
  <c r="I1435" i="16"/>
  <c r="I1433" i="16"/>
  <c r="I1432" i="16"/>
  <c r="I1431" i="16"/>
  <c r="I1430" i="16"/>
  <c r="I1429" i="16"/>
  <c r="I1428" i="16"/>
  <c r="I1426" i="16"/>
  <c r="I1425" i="16"/>
  <c r="I1424" i="16"/>
  <c r="I1423" i="16"/>
  <c r="I1422" i="16"/>
  <c r="I1421" i="16"/>
  <c r="I1419" i="16"/>
  <c r="I1418" i="16"/>
  <c r="I1417" i="16"/>
  <c r="I1416" i="16"/>
  <c r="I1415" i="16"/>
  <c r="I1414" i="16"/>
  <c r="I1411" i="16"/>
  <c r="I1410" i="16"/>
  <c r="I1408" i="16"/>
  <c r="I1406" i="16"/>
  <c r="I1405" i="16"/>
  <c r="I1403" i="16"/>
  <c r="I1402" i="16"/>
  <c r="I1401" i="16"/>
  <c r="I1400" i="16"/>
  <c r="I1399" i="16"/>
  <c r="I1398" i="16"/>
  <c r="I1396" i="16"/>
  <c r="I1395" i="16"/>
  <c r="I1394" i="16"/>
  <c r="I1393" i="16"/>
  <c r="I1392" i="16"/>
  <c r="I1391" i="16"/>
  <c r="I1389" i="16"/>
  <c r="I1388" i="16"/>
  <c r="I1387" i="16"/>
  <c r="I1386" i="16"/>
  <c r="I1385" i="16"/>
  <c r="I1384" i="16"/>
  <c r="I1382" i="16"/>
  <c r="I1381" i="16"/>
  <c r="I1380" i="16"/>
  <c r="I1379" i="16"/>
  <c r="I1378" i="16"/>
  <c r="I1377" i="16"/>
  <c r="I1375" i="16"/>
  <c r="I1374" i="16"/>
  <c r="I1373" i="16"/>
  <c r="I1372" i="16"/>
  <c r="I1371" i="16"/>
  <c r="I1370" i="16"/>
  <c r="I1368" i="16"/>
  <c r="I1367" i="16"/>
  <c r="I1366" i="16"/>
  <c r="I1365" i="16"/>
  <c r="I1364" i="16"/>
  <c r="I1363" i="16"/>
  <c r="I1360" i="16"/>
  <c r="I1359" i="16"/>
  <c r="I1357" i="16"/>
  <c r="I1356" i="16"/>
  <c r="I1354" i="16"/>
  <c r="I1353" i="16"/>
  <c r="I1352" i="16"/>
  <c r="I1350" i="16"/>
  <c r="I1349" i="16"/>
  <c r="I1348" i="16"/>
  <c r="I1344" i="16"/>
  <c r="I1343" i="16"/>
  <c r="I1342" i="16"/>
  <c r="I1340" i="16"/>
  <c r="I1338" i="16"/>
  <c r="I1337" i="16"/>
  <c r="I1336" i="16"/>
  <c r="I1333" i="16"/>
  <c r="I1331" i="16"/>
  <c r="I1330" i="16"/>
  <c r="I1329" i="16"/>
  <c r="I1328" i="16"/>
  <c r="I1326" i="16"/>
  <c r="I1325" i="16"/>
  <c r="I1324" i="16"/>
  <c r="I1322" i="16"/>
  <c r="I1321" i="16"/>
  <c r="I1320" i="16"/>
  <c r="I1319" i="16"/>
  <c r="I1318" i="16"/>
  <c r="I1316" i="16"/>
  <c r="I1315" i="16"/>
  <c r="I1314" i="16"/>
  <c r="I1313" i="16"/>
  <c r="I1308" i="16"/>
  <c r="I1307" i="16"/>
  <c r="I1306" i="16"/>
  <c r="I1304" i="16"/>
  <c r="I1303" i="16"/>
  <c r="I1302" i="16"/>
  <c r="I1301" i="16"/>
  <c r="I1300" i="16"/>
  <c r="I1299" i="16"/>
  <c r="I1296" i="16"/>
  <c r="E1295" i="16"/>
  <c r="I1294" i="16"/>
  <c r="I1293" i="16"/>
  <c r="I1292" i="16"/>
  <c r="I1291" i="16"/>
  <c r="I1290" i="16"/>
  <c r="E1289" i="16"/>
  <c r="I1288" i="16"/>
  <c r="I1287" i="16"/>
  <c r="E1286" i="16"/>
  <c r="I1285" i="16"/>
  <c r="I1284" i="16"/>
  <c r="I1283" i="16"/>
  <c r="I1282" i="16"/>
  <c r="E1281" i="16"/>
  <c r="I1280" i="16"/>
  <c r="I1279" i="16"/>
  <c r="I1278" i="16"/>
  <c r="E1277" i="16"/>
  <c r="I1276" i="16"/>
  <c r="I1275" i="16"/>
  <c r="I1274" i="16"/>
  <c r="I1273" i="16"/>
  <c r="E1272" i="16"/>
  <c r="I1271" i="16"/>
  <c r="E1270" i="16"/>
  <c r="I1269" i="16"/>
  <c r="I1268" i="16"/>
  <c r="I1267" i="16"/>
  <c r="I1266" i="16"/>
  <c r="I1265" i="16"/>
  <c r="E1264" i="16"/>
  <c r="I1263" i="16"/>
  <c r="I1262" i="16"/>
  <c r="E1261" i="16"/>
  <c r="I1260" i="16"/>
  <c r="I1259" i="16"/>
  <c r="I1258" i="16"/>
  <c r="I1257" i="16"/>
  <c r="E1256" i="16"/>
  <c r="I1255" i="16"/>
  <c r="I1254" i="16"/>
  <c r="I1253" i="16"/>
  <c r="E1252" i="16"/>
  <c r="I1251" i="16"/>
  <c r="I1250" i="16"/>
  <c r="I1249" i="16"/>
  <c r="I1248" i="16"/>
  <c r="E1247" i="16"/>
  <c r="I1245" i="16"/>
  <c r="E1244" i="16"/>
  <c r="I1243" i="16"/>
  <c r="I1242" i="16"/>
  <c r="I1241" i="16"/>
  <c r="I1240" i="16"/>
  <c r="I1239" i="16"/>
  <c r="E1238" i="16"/>
  <c r="I1237" i="16"/>
  <c r="I1236" i="16"/>
  <c r="E1235" i="16"/>
  <c r="I1234" i="16"/>
  <c r="I1233" i="16"/>
  <c r="I1232" i="16"/>
  <c r="I1231" i="16"/>
  <c r="E1230" i="16"/>
  <c r="I1229" i="16"/>
  <c r="I1228" i="16"/>
  <c r="I1227" i="16"/>
  <c r="E1226" i="16"/>
  <c r="I1225" i="16"/>
  <c r="I1224" i="16"/>
  <c r="I1223" i="16"/>
  <c r="I1222" i="16"/>
  <c r="E1221" i="16"/>
  <c r="I1219" i="16"/>
  <c r="E1218" i="16"/>
  <c r="I1217" i="16"/>
  <c r="I1216" i="16"/>
  <c r="I1215" i="16"/>
  <c r="I1214" i="16"/>
  <c r="I1213" i="16"/>
  <c r="E1212" i="16"/>
  <c r="I1211" i="16"/>
  <c r="I1210" i="16"/>
  <c r="E1209" i="16"/>
  <c r="I1208" i="16"/>
  <c r="I1207" i="16"/>
  <c r="I1206" i="16"/>
  <c r="I1205" i="16"/>
  <c r="E1204" i="16"/>
  <c r="I1203" i="16"/>
  <c r="I1202" i="16"/>
  <c r="I1201" i="16"/>
  <c r="E1200" i="16"/>
  <c r="I1199" i="16"/>
  <c r="I1198" i="16"/>
  <c r="I1197" i="16"/>
  <c r="I1196" i="16"/>
  <c r="E1195" i="16"/>
  <c r="I1193" i="16"/>
  <c r="I1192" i="16"/>
  <c r="E1191" i="16"/>
  <c r="I1190" i="16"/>
  <c r="I1189" i="16"/>
  <c r="I1188" i="16"/>
  <c r="I1187" i="16"/>
  <c r="I1186" i="16"/>
  <c r="I1185" i="16"/>
  <c r="I1184" i="16"/>
  <c r="E1183" i="16"/>
  <c r="I1182" i="16"/>
  <c r="I1181" i="16"/>
  <c r="E1180" i="16"/>
  <c r="I1179" i="16"/>
  <c r="I1178" i="16"/>
  <c r="I1177" i="16"/>
  <c r="I1176" i="16"/>
  <c r="E1175" i="16"/>
  <c r="I1174" i="16"/>
  <c r="I1173" i="16"/>
  <c r="I1172" i="16"/>
  <c r="E1171" i="16"/>
  <c r="I1170" i="16"/>
  <c r="I1169" i="16"/>
  <c r="I1168" i="16"/>
  <c r="I1167" i="16"/>
  <c r="E1166" i="16"/>
  <c r="I1162" i="16"/>
  <c r="I1161" i="16"/>
  <c r="I1160" i="16"/>
  <c r="I1159" i="16"/>
  <c r="I1158" i="16"/>
  <c r="I1157" i="16"/>
  <c r="I1156" i="16"/>
  <c r="I1155" i="16"/>
  <c r="I1153" i="16"/>
  <c r="I1152" i="16"/>
  <c r="I1151" i="16"/>
  <c r="I1150" i="16"/>
  <c r="I1149" i="16"/>
  <c r="I1148" i="16"/>
  <c r="I1147" i="16"/>
  <c r="I1146" i="16"/>
  <c r="I1144" i="16"/>
  <c r="I1143" i="16"/>
  <c r="I1142" i="16"/>
  <c r="I1141" i="16"/>
  <c r="I1140" i="16"/>
  <c r="I1139" i="16"/>
  <c r="I1138" i="16"/>
  <c r="I1137" i="16"/>
  <c r="I1135" i="16"/>
  <c r="I1134" i="16"/>
  <c r="I1133" i="16"/>
  <c r="I1132" i="16"/>
  <c r="I1131" i="16"/>
  <c r="I1130" i="16"/>
  <c r="I1129" i="16"/>
  <c r="I1128" i="16"/>
  <c r="I1126" i="16"/>
  <c r="I1125" i="16"/>
  <c r="I1124" i="16"/>
  <c r="I1123" i="16"/>
  <c r="I1122" i="16"/>
  <c r="I1121" i="16"/>
  <c r="I1120" i="16"/>
  <c r="I1119" i="16"/>
  <c r="I1116" i="16"/>
  <c r="I1115" i="16"/>
  <c r="I1114" i="16"/>
  <c r="I1113" i="16"/>
  <c r="I1112" i="16"/>
  <c r="I1111" i="16"/>
  <c r="I1108" i="16"/>
  <c r="E1107" i="16"/>
  <c r="I1106" i="16"/>
  <c r="E1105" i="16"/>
  <c r="I1104" i="16"/>
  <c r="E1103" i="16"/>
  <c r="I1102" i="16"/>
  <c r="E1101" i="16"/>
  <c r="I1100" i="16"/>
  <c r="E1099" i="16"/>
  <c r="I1098" i="16"/>
  <c r="E1097" i="16"/>
  <c r="I1096" i="16"/>
  <c r="E1095" i="16"/>
  <c r="I1094" i="16"/>
  <c r="I1093" i="16"/>
  <c r="I1092" i="16"/>
  <c r="I1091" i="16"/>
  <c r="I1090" i="16"/>
  <c r="I1089" i="16"/>
  <c r="E1088" i="16"/>
  <c r="I1087" i="16"/>
  <c r="I1086" i="16"/>
  <c r="I1085" i="16"/>
  <c r="I1084" i="16"/>
  <c r="I1083" i="16"/>
  <c r="I1082" i="16"/>
  <c r="E1081" i="16"/>
  <c r="I1080" i="16"/>
  <c r="I1079" i="16"/>
  <c r="I1078" i="16"/>
  <c r="I1077" i="16"/>
  <c r="I1076" i="16"/>
  <c r="I1075" i="16"/>
  <c r="E1074" i="16"/>
  <c r="I1071" i="16"/>
  <c r="I1069" i="16"/>
  <c r="I1067" i="16"/>
  <c r="I1065" i="16"/>
  <c r="I1063" i="16"/>
  <c r="I1061" i="16"/>
  <c r="I1059" i="16"/>
  <c r="I1058" i="16"/>
  <c r="I1057" i="16"/>
  <c r="I1056" i="16"/>
  <c r="I1055" i="16"/>
  <c r="I1054" i="16"/>
  <c r="I1052" i="16"/>
  <c r="I1051" i="16"/>
  <c r="I1050" i="16"/>
  <c r="I1049" i="16"/>
  <c r="I1048" i="16"/>
  <c r="I1047" i="16"/>
  <c r="I1045" i="16"/>
  <c r="I1044" i="16"/>
  <c r="I1043" i="16"/>
  <c r="I1042" i="16"/>
  <c r="I1041" i="16"/>
  <c r="I1040" i="16"/>
  <c r="I1037" i="16"/>
  <c r="I1035" i="16"/>
  <c r="I1033" i="16"/>
  <c r="I1031" i="16"/>
  <c r="I1029" i="16"/>
  <c r="I1027" i="16"/>
  <c r="I1025" i="16"/>
  <c r="I1023" i="16"/>
  <c r="I1021" i="16"/>
  <c r="I1019" i="16"/>
  <c r="I1018" i="16"/>
  <c r="I1017" i="16"/>
  <c r="I1016" i="16"/>
  <c r="I1015" i="16"/>
  <c r="I1014" i="16"/>
  <c r="I1012" i="16"/>
  <c r="I1011" i="16"/>
  <c r="I1010" i="16"/>
  <c r="I1009" i="16"/>
  <c r="I1008" i="16"/>
  <c r="I1007" i="16"/>
  <c r="I1005" i="16"/>
  <c r="I1004" i="16"/>
  <c r="I1003" i="16"/>
  <c r="I1002" i="16"/>
  <c r="I1001" i="16"/>
  <c r="I1000" i="16"/>
  <c r="I997" i="16"/>
  <c r="I996" i="16"/>
  <c r="I994" i="16"/>
  <c r="I993" i="16"/>
  <c r="I991" i="16"/>
  <c r="I990" i="16"/>
  <c r="I989" i="16"/>
  <c r="I987" i="16"/>
  <c r="I986" i="16"/>
  <c r="I985" i="16"/>
  <c r="I982" i="16"/>
  <c r="I981" i="16"/>
  <c r="I980" i="16"/>
  <c r="I978" i="16"/>
  <c r="I977" i="16"/>
  <c r="I976" i="16"/>
  <c r="I974" i="16"/>
  <c r="I973" i="16"/>
  <c r="I972" i="16"/>
  <c r="I970" i="16"/>
  <c r="I969" i="16"/>
  <c r="I968" i="16"/>
  <c r="I966" i="16"/>
  <c r="I965" i="16"/>
  <c r="I964" i="16"/>
  <c r="I962" i="16"/>
  <c r="I961" i="16"/>
  <c r="I959" i="16"/>
  <c r="I958" i="16"/>
  <c r="I957" i="16"/>
  <c r="I956" i="16"/>
  <c r="I954" i="16"/>
  <c r="I953" i="16"/>
  <c r="I952" i="16"/>
  <c r="I951" i="16"/>
  <c r="I949" i="16"/>
  <c r="I948" i="16"/>
  <c r="I947" i="16"/>
  <c r="I946" i="16"/>
  <c r="I945" i="16"/>
  <c r="I944" i="16"/>
  <c r="I942" i="16"/>
  <c r="I941" i="16"/>
  <c r="I940" i="16"/>
  <c r="I939" i="16"/>
  <c r="I936" i="16"/>
  <c r="I935" i="16"/>
  <c r="I934" i="16"/>
  <c r="I933" i="16"/>
  <c r="I931" i="16"/>
  <c r="I930" i="16"/>
  <c r="I929" i="16"/>
  <c r="I927" i="16"/>
  <c r="I926" i="16"/>
  <c r="I925" i="16"/>
  <c r="I923" i="16"/>
  <c r="I922" i="16"/>
  <c r="I921" i="16"/>
  <c r="I920" i="16"/>
  <c r="I919" i="16"/>
  <c r="I918" i="16"/>
  <c r="I917" i="16"/>
  <c r="I916" i="16"/>
  <c r="I913" i="16"/>
  <c r="I912" i="16"/>
  <c r="E911" i="16"/>
  <c r="I910" i="16"/>
  <c r="I909" i="16"/>
  <c r="I908" i="16"/>
  <c r="I907" i="16"/>
  <c r="I906" i="16"/>
  <c r="I905" i="16"/>
  <c r="I904" i="16"/>
  <c r="E903" i="16"/>
  <c r="I902" i="16"/>
  <c r="I901" i="16"/>
  <c r="E900" i="16"/>
  <c r="I899" i="16"/>
  <c r="I898" i="16"/>
  <c r="I897" i="16"/>
  <c r="I896" i="16"/>
  <c r="E895" i="16"/>
  <c r="I894" i="16"/>
  <c r="I893" i="16"/>
  <c r="I892" i="16"/>
  <c r="E891" i="16"/>
  <c r="I890" i="16"/>
  <c r="I889" i="16"/>
  <c r="I888" i="16"/>
  <c r="I887" i="16"/>
  <c r="E886" i="16"/>
  <c r="I885" i="16"/>
  <c r="I884" i="16"/>
  <c r="I883" i="16"/>
  <c r="I882" i="16"/>
  <c r="E881" i="16"/>
  <c r="I880" i="16"/>
  <c r="I879" i="16"/>
  <c r="I878" i="16"/>
  <c r="E877" i="16"/>
  <c r="I876" i="16"/>
  <c r="I875" i="16"/>
  <c r="I874" i="16"/>
  <c r="I873" i="16"/>
  <c r="E872" i="16"/>
  <c r="E871" i="16"/>
  <c r="I870" i="16"/>
  <c r="I869" i="16"/>
  <c r="I868" i="16"/>
  <c r="I867" i="16"/>
  <c r="E866" i="16"/>
  <c r="I865" i="16"/>
  <c r="I864" i="16"/>
  <c r="I863" i="16"/>
  <c r="E862" i="16"/>
  <c r="I861" i="16"/>
  <c r="I860" i="16"/>
  <c r="I859" i="16"/>
  <c r="I858" i="16"/>
  <c r="E857" i="16"/>
  <c r="E856" i="16"/>
  <c r="I855" i="16"/>
  <c r="I854" i="16"/>
  <c r="I853" i="16"/>
  <c r="E852" i="16"/>
  <c r="I851" i="16"/>
  <c r="I850" i="16"/>
  <c r="I849" i="16"/>
  <c r="E848" i="16"/>
  <c r="I847" i="16"/>
  <c r="I846" i="16"/>
  <c r="E845" i="16"/>
  <c r="I844" i="16"/>
  <c r="I843" i="16"/>
  <c r="I842" i="16"/>
  <c r="I841" i="16"/>
  <c r="I840" i="16"/>
  <c r="I839" i="16"/>
  <c r="I838" i="16"/>
  <c r="E837" i="16"/>
  <c r="I836" i="16"/>
  <c r="I835" i="16"/>
  <c r="I834" i="16"/>
  <c r="I833" i="16"/>
  <c r="I832" i="16"/>
  <c r="E831" i="16"/>
  <c r="I830" i="16"/>
  <c r="I829" i="16"/>
  <c r="I828" i="16"/>
  <c r="I827" i="16"/>
  <c r="E826" i="16"/>
  <c r="I825" i="16"/>
  <c r="I824" i="16"/>
  <c r="I823" i="16"/>
  <c r="E822" i="16"/>
  <c r="I821" i="16"/>
  <c r="I820" i="16"/>
  <c r="I819" i="16"/>
  <c r="I818" i="16"/>
  <c r="E817" i="16"/>
  <c r="E816" i="16"/>
  <c r="I811" i="16"/>
  <c r="I810" i="16"/>
  <c r="I809" i="16"/>
  <c r="E808" i="16"/>
  <c r="I807" i="16"/>
  <c r="I806" i="16"/>
  <c r="I805" i="16"/>
  <c r="E804" i="16"/>
  <c r="I802" i="16"/>
  <c r="I801" i="16"/>
  <c r="I800" i="16"/>
  <c r="E799" i="16"/>
  <c r="I798" i="16"/>
  <c r="I797" i="16"/>
  <c r="I796" i="16"/>
  <c r="E795" i="16"/>
  <c r="I794" i="16"/>
  <c r="I793" i="16"/>
  <c r="I792" i="16"/>
  <c r="E791" i="16"/>
  <c r="I790" i="16"/>
  <c r="I789" i="16"/>
  <c r="I788" i="16"/>
  <c r="E787" i="16"/>
  <c r="I786" i="16"/>
  <c r="I785" i="16"/>
  <c r="I784" i="16"/>
  <c r="E783" i="16"/>
  <c r="I782" i="16"/>
  <c r="I781" i="16"/>
  <c r="I780" i="16"/>
  <c r="E779" i="16"/>
  <c r="I778" i="16"/>
  <c r="I777" i="16"/>
  <c r="I776" i="16"/>
  <c r="E775" i="16"/>
  <c r="I774" i="16"/>
  <c r="I773" i="16"/>
  <c r="I772" i="16"/>
  <c r="E771" i="16"/>
  <c r="I770" i="16"/>
  <c r="I769" i="16"/>
  <c r="I768" i="16"/>
  <c r="E767" i="16"/>
  <c r="I766" i="16"/>
  <c r="I765" i="16"/>
  <c r="I764" i="16"/>
  <c r="E763" i="16"/>
  <c r="I762" i="16"/>
  <c r="I761" i="16"/>
  <c r="I760" i="16"/>
  <c r="E759" i="16"/>
  <c r="I758" i="16"/>
  <c r="I757" i="16"/>
  <c r="I756" i="16"/>
  <c r="E755" i="16"/>
  <c r="I754" i="16"/>
  <c r="I753" i="16"/>
  <c r="I752" i="16"/>
  <c r="E751" i="16"/>
  <c r="I750" i="16"/>
  <c r="I749" i="16"/>
  <c r="I748" i="16"/>
  <c r="E747" i="16"/>
  <c r="I746" i="16"/>
  <c r="I745" i="16"/>
  <c r="I744" i="16"/>
  <c r="E743" i="16"/>
  <c r="I742" i="16"/>
  <c r="I741" i="16"/>
  <c r="I740" i="16"/>
  <c r="E739" i="16"/>
  <c r="I738" i="16"/>
  <c r="I737" i="16"/>
  <c r="I736" i="16"/>
  <c r="E735" i="16"/>
  <c r="I734" i="16"/>
  <c r="I733" i="16"/>
  <c r="I732" i="16"/>
  <c r="E731" i="16"/>
  <c r="I730" i="16"/>
  <c r="I729" i="16"/>
  <c r="I728" i="16"/>
  <c r="E727" i="16"/>
  <c r="I725" i="16"/>
  <c r="I724" i="16"/>
  <c r="I723" i="16"/>
  <c r="E722" i="16"/>
  <c r="I721" i="16"/>
  <c r="I720" i="16"/>
  <c r="I719" i="16"/>
  <c r="E718" i="16"/>
  <c r="I715" i="16"/>
  <c r="I714" i="16"/>
  <c r="I713" i="16"/>
  <c r="I711" i="16"/>
  <c r="I710" i="16"/>
  <c r="I709" i="16"/>
  <c r="I707" i="16"/>
  <c r="I706" i="16"/>
  <c r="I705" i="16"/>
  <c r="I702" i="16"/>
  <c r="I701" i="16"/>
  <c r="I700" i="16"/>
  <c r="I698" i="16"/>
  <c r="I697" i="16"/>
  <c r="I696" i="16"/>
  <c r="I693" i="16"/>
  <c r="I692" i="16"/>
  <c r="I691" i="16"/>
  <c r="I689" i="16"/>
  <c r="I688" i="16"/>
  <c r="I687" i="16"/>
  <c r="I685" i="16"/>
  <c r="I684" i="16"/>
  <c r="I683" i="16"/>
  <c r="I680" i="16"/>
  <c r="I679" i="16"/>
  <c r="I678" i="16"/>
  <c r="I676" i="16"/>
  <c r="I675" i="16"/>
  <c r="I674" i="16"/>
  <c r="I672" i="16"/>
  <c r="I671" i="16"/>
  <c r="I670" i="16"/>
  <c r="I667" i="16"/>
  <c r="I666" i="16"/>
  <c r="I665" i="16"/>
  <c r="I663" i="16"/>
  <c r="I662" i="16"/>
  <c r="I661" i="16"/>
  <c r="I659" i="16"/>
  <c r="I658" i="16"/>
  <c r="I657" i="16"/>
  <c r="I655" i="16"/>
  <c r="I654" i="16"/>
  <c r="I653" i="16"/>
  <c r="I651" i="16"/>
  <c r="I650" i="16"/>
  <c r="I649" i="16"/>
  <c r="I647" i="16"/>
  <c r="I646" i="16"/>
  <c r="I645" i="16"/>
  <c r="I643" i="16"/>
  <c r="I642" i="16"/>
  <c r="I641" i="16"/>
  <c r="I639" i="16"/>
  <c r="I638" i="16"/>
  <c r="I637" i="16"/>
  <c r="I633" i="16"/>
  <c r="I632" i="16"/>
  <c r="I631" i="16"/>
  <c r="I628" i="16"/>
  <c r="I627" i="16"/>
  <c r="I626" i="16"/>
  <c r="I624" i="16"/>
  <c r="I623" i="16"/>
  <c r="I622" i="16"/>
  <c r="I620" i="16"/>
  <c r="I619" i="16"/>
  <c r="I618" i="16"/>
  <c r="I616" i="16"/>
  <c r="I615" i="16"/>
  <c r="I614" i="16"/>
  <c r="I611" i="16"/>
  <c r="I610" i="16"/>
  <c r="I609" i="16"/>
  <c r="I607" i="16"/>
  <c r="I606" i="16"/>
  <c r="I604" i="16"/>
  <c r="I603" i="16"/>
  <c r="I602" i="16"/>
  <c r="I600" i="16"/>
  <c r="I599" i="16"/>
  <c r="I598" i="16"/>
  <c r="I596" i="16"/>
  <c r="I595" i="16"/>
  <c r="I593" i="16"/>
  <c r="I592" i="16"/>
  <c r="I590" i="16"/>
  <c r="I589" i="16"/>
  <c r="I588" i="16"/>
  <c r="I586" i="16"/>
  <c r="I585" i="16"/>
  <c r="I583" i="16"/>
  <c r="I582" i="16"/>
  <c r="I580" i="16"/>
  <c r="I579" i="16"/>
  <c r="I578" i="16"/>
  <c r="I573" i="16"/>
  <c r="I572" i="16"/>
  <c r="E571" i="16"/>
  <c r="I570" i="16"/>
  <c r="I569" i="16"/>
  <c r="E568" i="16"/>
  <c r="E567" i="16"/>
  <c r="I566" i="16"/>
  <c r="I565" i="16"/>
  <c r="E564" i="16"/>
  <c r="I563" i="16"/>
  <c r="I562" i="16"/>
  <c r="E561" i="16"/>
  <c r="I560" i="16"/>
  <c r="I559" i="16"/>
  <c r="E558" i="16"/>
  <c r="I557" i="16"/>
  <c r="I556" i="16"/>
  <c r="E555" i="16"/>
  <c r="I554" i="16"/>
  <c r="I553" i="16"/>
  <c r="E552" i="16"/>
  <c r="I551" i="16"/>
  <c r="I550" i="16"/>
  <c r="E549" i="16"/>
  <c r="I548" i="16"/>
  <c r="I547" i="16"/>
  <c r="E546" i="16"/>
  <c r="I545" i="16"/>
  <c r="I544" i="16"/>
  <c r="E543" i="16"/>
  <c r="I542" i="16"/>
  <c r="I541" i="16"/>
  <c r="E540" i="16"/>
  <c r="I539" i="16"/>
  <c r="I538" i="16"/>
  <c r="E537" i="16"/>
  <c r="I536" i="16"/>
  <c r="I535" i="16"/>
  <c r="E534" i="16"/>
  <c r="I533" i="16"/>
  <c r="I532" i="16"/>
  <c r="E531" i="16"/>
  <c r="I530" i="16"/>
  <c r="I529" i="16"/>
  <c r="E528" i="16"/>
  <c r="I527" i="16"/>
  <c r="I526" i="16"/>
  <c r="E525" i="16"/>
  <c r="I524" i="16"/>
  <c r="I523" i="16"/>
  <c r="E522" i="16"/>
  <c r="I521" i="16"/>
  <c r="I520" i="16"/>
  <c r="E519" i="16"/>
  <c r="I518" i="16"/>
  <c r="I517" i="16"/>
  <c r="E516" i="16"/>
  <c r="I515" i="16"/>
  <c r="I514" i="16"/>
  <c r="E513" i="16"/>
  <c r="I512" i="16"/>
  <c r="I511" i="16"/>
  <c r="E510" i="16"/>
  <c r="E509" i="16"/>
  <c r="I508" i="16"/>
  <c r="I507" i="16"/>
  <c r="E506" i="16"/>
  <c r="I505" i="16"/>
  <c r="I504" i="16"/>
  <c r="E503" i="16"/>
  <c r="I502" i="16"/>
  <c r="I501" i="16"/>
  <c r="E500" i="16"/>
  <c r="E499" i="16"/>
  <c r="I497" i="16"/>
  <c r="I496" i="16"/>
  <c r="E495" i="16"/>
  <c r="I494" i="16"/>
  <c r="I493" i="16"/>
  <c r="E492" i="16"/>
  <c r="I491" i="16"/>
  <c r="I490" i="16"/>
  <c r="E489" i="16"/>
  <c r="I488" i="16"/>
  <c r="I487" i="16"/>
  <c r="E486" i="16"/>
  <c r="I484" i="16"/>
  <c r="I483" i="16"/>
  <c r="E482" i="16"/>
  <c r="I481" i="16"/>
  <c r="I480" i="16"/>
  <c r="E479" i="16"/>
  <c r="I477" i="16"/>
  <c r="I476" i="16"/>
  <c r="E475" i="16"/>
  <c r="I474" i="16"/>
  <c r="I473" i="16"/>
  <c r="E472" i="16"/>
  <c r="I471" i="16"/>
  <c r="I470" i="16"/>
  <c r="E469" i="16"/>
  <c r="I467" i="16"/>
  <c r="I466" i="16"/>
  <c r="E465" i="16"/>
  <c r="I464" i="16"/>
  <c r="I463" i="16"/>
  <c r="E462" i="16"/>
  <c r="I461" i="16"/>
  <c r="I460" i="16"/>
  <c r="E459" i="16"/>
  <c r="I457" i="16"/>
  <c r="I456" i="16"/>
  <c r="E455" i="16"/>
  <c r="I454" i="16"/>
  <c r="I453" i="16"/>
  <c r="E452" i="16"/>
  <c r="I451" i="16"/>
  <c r="I450" i="16"/>
  <c r="E449" i="16"/>
  <c r="I448" i="16"/>
  <c r="I447" i="16"/>
  <c r="E446" i="16"/>
  <c r="I445" i="16"/>
  <c r="I444" i="16"/>
  <c r="E443" i="16"/>
  <c r="I442" i="16"/>
  <c r="I441" i="16"/>
  <c r="E440" i="16"/>
  <c r="I439" i="16"/>
  <c r="I438" i="16"/>
  <c r="E437" i="16"/>
  <c r="I436" i="16"/>
  <c r="I435" i="16"/>
  <c r="E434" i="16"/>
  <c r="I433" i="16"/>
  <c r="I432" i="16"/>
  <c r="E431" i="16"/>
  <c r="I430" i="16"/>
  <c r="I429" i="16"/>
  <c r="E428" i="16"/>
  <c r="I426" i="16"/>
  <c r="E425" i="16"/>
  <c r="I424" i="16"/>
  <c r="I423" i="16"/>
  <c r="E422" i="16"/>
  <c r="I421" i="16"/>
  <c r="I420" i="16"/>
  <c r="E419" i="16"/>
  <c r="I417" i="16"/>
  <c r="I416" i="16"/>
  <c r="E415" i="16"/>
  <c r="I414" i="16"/>
  <c r="I413" i="16"/>
  <c r="E412" i="16"/>
  <c r="I411" i="16"/>
  <c r="I410" i="16"/>
  <c r="E409" i="16"/>
  <c r="I408" i="16"/>
  <c r="I407" i="16"/>
  <c r="E406" i="16"/>
  <c r="I405" i="16"/>
  <c r="I404" i="16"/>
  <c r="E403" i="16"/>
  <c r="I402" i="16"/>
  <c r="I401" i="16"/>
  <c r="E400" i="16"/>
  <c r="I399" i="16"/>
  <c r="I398" i="16"/>
  <c r="E397" i="16"/>
  <c r="I396" i="16"/>
  <c r="I395" i="16"/>
  <c r="E394" i="16"/>
  <c r="I393" i="16"/>
  <c r="I392" i="16"/>
  <c r="E391" i="16"/>
  <c r="I390" i="16"/>
  <c r="I389" i="16"/>
  <c r="E388" i="16"/>
  <c r="I385" i="16"/>
  <c r="I384" i="16"/>
  <c r="E383" i="16"/>
  <c r="I382" i="16"/>
  <c r="I381" i="16"/>
  <c r="E380" i="16"/>
  <c r="E379" i="16"/>
  <c r="I378" i="16"/>
  <c r="I377" i="16"/>
  <c r="E376" i="16"/>
  <c r="I375" i="16"/>
  <c r="I374" i="16"/>
  <c r="E373" i="16"/>
  <c r="I372" i="16"/>
  <c r="I371" i="16"/>
  <c r="E370" i="16"/>
  <c r="I369" i="16"/>
  <c r="I368" i="16"/>
  <c r="E367" i="16"/>
  <c r="I366" i="16"/>
  <c r="I365" i="16"/>
  <c r="E364" i="16"/>
  <c r="I363" i="16"/>
  <c r="I362" i="16"/>
  <c r="E361" i="16"/>
  <c r="I360" i="16"/>
  <c r="I359" i="16"/>
  <c r="E358" i="16"/>
  <c r="I357" i="16"/>
  <c r="I356" i="16"/>
  <c r="E355" i="16"/>
  <c r="I354" i="16"/>
  <c r="I353" i="16"/>
  <c r="E352" i="16"/>
  <c r="I351" i="16"/>
  <c r="I350" i="16"/>
  <c r="E349" i="16"/>
  <c r="I348" i="16"/>
  <c r="I347" i="16"/>
  <c r="E346" i="16"/>
  <c r="I345" i="16"/>
  <c r="I344" i="16"/>
  <c r="E343" i="16"/>
  <c r="I342" i="16"/>
  <c r="I341" i="16"/>
  <c r="E340" i="16"/>
  <c r="I339" i="16"/>
  <c r="I338" i="16"/>
  <c r="E337" i="16"/>
  <c r="I336" i="16"/>
  <c r="I335" i="16"/>
  <c r="E334" i="16"/>
  <c r="I333" i="16"/>
  <c r="I332" i="16"/>
  <c r="E331" i="16"/>
  <c r="I330" i="16"/>
  <c r="I329" i="16"/>
  <c r="E328" i="16"/>
  <c r="I327" i="16"/>
  <c r="I326" i="16"/>
  <c r="E325" i="16"/>
  <c r="I324" i="16"/>
  <c r="I323" i="16"/>
  <c r="E322" i="16"/>
  <c r="E321" i="16"/>
  <c r="I320" i="16"/>
  <c r="I319" i="16"/>
  <c r="E318" i="16"/>
  <c r="I317" i="16"/>
  <c r="I316" i="16"/>
  <c r="E315" i="16"/>
  <c r="I314" i="16"/>
  <c r="I313" i="16"/>
  <c r="E312" i="16"/>
  <c r="E311" i="16"/>
  <c r="I309" i="16"/>
  <c r="I308" i="16"/>
  <c r="E307" i="16"/>
  <c r="I306" i="16"/>
  <c r="I305" i="16"/>
  <c r="E304" i="16"/>
  <c r="I303" i="16"/>
  <c r="I302" i="16"/>
  <c r="E301" i="16"/>
  <c r="I300" i="16"/>
  <c r="I299" i="16"/>
  <c r="E298" i="16"/>
  <c r="I296" i="16"/>
  <c r="I295" i="16"/>
  <c r="E294" i="16"/>
  <c r="I293" i="16"/>
  <c r="I292" i="16"/>
  <c r="E291" i="16"/>
  <c r="I289" i="16"/>
  <c r="I288" i="16"/>
  <c r="E287" i="16"/>
  <c r="I286" i="16"/>
  <c r="I285" i="16"/>
  <c r="E284" i="16"/>
  <c r="I283" i="16"/>
  <c r="I282" i="16"/>
  <c r="E281" i="16"/>
  <c r="I279" i="16"/>
  <c r="I278" i="16"/>
  <c r="E277" i="16"/>
  <c r="I276" i="16"/>
  <c r="I275" i="16"/>
  <c r="E274" i="16"/>
  <c r="I273" i="16"/>
  <c r="I272" i="16"/>
  <c r="E271" i="16"/>
  <c r="I269" i="16"/>
  <c r="I268" i="16"/>
  <c r="E267" i="16"/>
  <c r="I266" i="16"/>
  <c r="I265" i="16"/>
  <c r="E264" i="16"/>
  <c r="I263" i="16"/>
  <c r="I262" i="16"/>
  <c r="E261" i="16"/>
  <c r="I260" i="16"/>
  <c r="I259" i="16"/>
  <c r="E258" i="16"/>
  <c r="I257" i="16"/>
  <c r="I256" i="16"/>
  <c r="E255" i="16"/>
  <c r="I254" i="16"/>
  <c r="I253" i="16"/>
  <c r="E252" i="16"/>
  <c r="I251" i="16"/>
  <c r="I250" i="16"/>
  <c r="E249" i="16"/>
  <c r="I248" i="16"/>
  <c r="I247" i="16"/>
  <c r="E246" i="16"/>
  <c r="I245" i="16"/>
  <c r="I244" i="16"/>
  <c r="E243" i="16"/>
  <c r="I242" i="16"/>
  <c r="I241" i="16"/>
  <c r="E240" i="16"/>
  <c r="I239" i="16"/>
  <c r="I238" i="16"/>
  <c r="E237" i="16"/>
  <c r="I236" i="16"/>
  <c r="I235" i="16"/>
  <c r="E234" i="16"/>
  <c r="I233" i="16"/>
  <c r="I232" i="16"/>
  <c r="E231" i="16"/>
  <c r="I229" i="16"/>
  <c r="I228" i="16"/>
  <c r="E227" i="16"/>
  <c r="I226" i="16"/>
  <c r="I225" i="16"/>
  <c r="E224" i="16"/>
  <c r="I223" i="16"/>
  <c r="I222" i="16"/>
  <c r="E221" i="16"/>
  <c r="I220" i="16"/>
  <c r="I219" i="16"/>
  <c r="E218" i="16"/>
  <c r="I217" i="16"/>
  <c r="I216" i="16"/>
  <c r="E215" i="16"/>
  <c r="I214" i="16"/>
  <c r="I213" i="16"/>
  <c r="E212" i="16"/>
  <c r="I211" i="16"/>
  <c r="I210" i="16"/>
  <c r="E209" i="16"/>
  <c r="I208" i="16"/>
  <c r="I207" i="16"/>
  <c r="E206" i="16"/>
  <c r="I205" i="16"/>
  <c r="I204" i="16"/>
  <c r="E203" i="16"/>
  <c r="I202" i="16"/>
  <c r="I201" i="16"/>
  <c r="E200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1" i="16"/>
  <c r="I160" i="16"/>
  <c r="I159" i="16"/>
  <c r="I158" i="16"/>
  <c r="I157" i="16"/>
  <c r="I156" i="16"/>
  <c r="I155" i="16"/>
  <c r="I153" i="16"/>
  <c r="I152" i="16"/>
  <c r="I151" i="16"/>
  <c r="I149" i="16"/>
  <c r="I148" i="16"/>
  <c r="I147" i="16"/>
  <c r="I145" i="16"/>
  <c r="I144" i="16"/>
  <c r="I143" i="16"/>
  <c r="I141" i="16"/>
  <c r="I140" i="16"/>
  <c r="I139" i="16"/>
  <c r="I137" i="16"/>
  <c r="I136" i="16"/>
  <c r="I135" i="16"/>
  <c r="I133" i="16"/>
  <c r="I132" i="16"/>
  <c r="I131" i="16"/>
  <c r="I130" i="16"/>
  <c r="I129" i="16"/>
  <c r="I128" i="16"/>
  <c r="I127" i="16"/>
  <c r="I126" i="16"/>
  <c r="I125" i="16"/>
  <c r="I122" i="16"/>
  <c r="I121" i="16"/>
  <c r="I120" i="16"/>
  <c r="I119" i="16"/>
  <c r="I118" i="16"/>
  <c r="I117" i="16"/>
  <c r="I116" i="16"/>
  <c r="I114" i="16"/>
  <c r="I113" i="16"/>
  <c r="I112" i="16"/>
  <c r="I110" i="16"/>
  <c r="I109" i="16"/>
  <c r="I108" i="16"/>
  <c r="I106" i="16"/>
  <c r="I105" i="16"/>
  <c r="I104" i="16"/>
  <c r="I102" i="16"/>
  <c r="I101" i="16"/>
  <c r="I100" i="16"/>
  <c r="I98" i="16"/>
  <c r="I97" i="16"/>
  <c r="I96" i="16"/>
  <c r="I94" i="16"/>
  <c r="I93" i="16"/>
  <c r="I92" i="16"/>
  <c r="I91" i="16"/>
  <c r="I90" i="16"/>
  <c r="I89" i="16"/>
  <c r="I88" i="16"/>
  <c r="I87" i="16"/>
  <c r="I86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0" i="16"/>
  <c r="I38" i="16"/>
  <c r="I36" i="16"/>
  <c r="I35" i="16"/>
  <c r="I34" i="16"/>
  <c r="I33" i="16"/>
  <c r="I32" i="16"/>
  <c r="I31" i="16"/>
  <c r="I30" i="16"/>
  <c r="I29" i="16"/>
  <c r="I28" i="16"/>
  <c r="I27" i="16"/>
  <c r="I26" i="16"/>
  <c r="I23" i="16"/>
  <c r="I22" i="16"/>
  <c r="I21" i="16"/>
  <c r="I20" i="16"/>
  <c r="I19" i="16"/>
  <c r="I18" i="16"/>
  <c r="I16" i="16"/>
  <c r="I15" i="16"/>
  <c r="I13" i="16"/>
  <c r="I12" i="16"/>
  <c r="I10" i="16"/>
  <c r="I9" i="16"/>
  <c r="I6" i="16"/>
  <c r="I5" i="16"/>
  <c r="F307" i="16" l="1"/>
  <c r="I307" i="16" s="1"/>
  <c r="F340" i="16"/>
  <c r="I340" i="16" s="1"/>
  <c r="F364" i="16"/>
  <c r="I364" i="16" s="1"/>
  <c r="F428" i="16"/>
  <c r="I428" i="16" s="1"/>
  <c r="F465" i="16"/>
  <c r="I465" i="16" s="1"/>
  <c r="F822" i="16"/>
  <c r="I822" i="16" s="1"/>
  <c r="F215" i="16"/>
  <c r="I215" i="16" s="1"/>
  <c r="F240" i="16"/>
  <c r="I240" i="16" s="1"/>
  <c r="F264" i="16"/>
  <c r="I264" i="16" s="1"/>
  <c r="F304" i="16"/>
  <c r="I304" i="16" s="1"/>
  <c r="F871" i="16"/>
  <c r="I871" i="16" s="1"/>
  <c r="F895" i="16"/>
  <c r="I895" i="16" s="1"/>
  <c r="F1088" i="16"/>
  <c r="I1088" i="16" s="1"/>
  <c r="F1226" i="16"/>
  <c r="I1226" i="16" s="1"/>
  <c r="F1256" i="16"/>
  <c r="I1256" i="16" s="1"/>
  <c r="F1542" i="16"/>
  <c r="I1542" i="16" s="1"/>
  <c r="F1658" i="16"/>
  <c r="I1658" i="16" s="1"/>
  <c r="F331" i="16"/>
  <c r="I331" i="16" s="1"/>
  <c r="F343" i="16"/>
  <c r="I343" i="16" s="1"/>
  <c r="F355" i="16"/>
  <c r="I355" i="16" s="1"/>
  <c r="F367" i="16"/>
  <c r="I367" i="16" s="1"/>
  <c r="F379" i="16"/>
  <c r="I379" i="16" s="1"/>
  <c r="F431" i="16"/>
  <c r="I431" i="16" s="1"/>
  <c r="F443" i="16"/>
  <c r="I443" i="16" s="1"/>
  <c r="F455" i="16"/>
  <c r="I455" i="16" s="1"/>
  <c r="F469" i="16"/>
  <c r="I469" i="16" s="1"/>
  <c r="F482" i="16"/>
  <c r="I482" i="16" s="1"/>
  <c r="F495" i="16"/>
  <c r="I495" i="16" s="1"/>
  <c r="F568" i="16"/>
  <c r="I568" i="16" s="1"/>
  <c r="F837" i="16"/>
  <c r="I837" i="16" s="1"/>
  <c r="F1238" i="16"/>
  <c r="I1238" i="16" s="1"/>
  <c r="F1472" i="16"/>
  <c r="I1472" i="16" s="1"/>
  <c r="F1556" i="16"/>
  <c r="I1556" i="16" s="1"/>
  <c r="F1636" i="16"/>
  <c r="I1636" i="16" s="1"/>
  <c r="F294" i="16"/>
  <c r="I294" i="16" s="1"/>
  <c r="F380" i="16"/>
  <c r="I380" i="16" s="1"/>
  <c r="F394" i="16"/>
  <c r="I394" i="16" s="1"/>
  <c r="F406" i="16"/>
  <c r="I406" i="16" s="1"/>
  <c r="F419" i="16"/>
  <c r="I419" i="16" s="1"/>
  <c r="F509" i="16"/>
  <c r="I509" i="16" s="1"/>
  <c r="F826" i="16"/>
  <c r="I826" i="16" s="1"/>
  <c r="F862" i="16"/>
  <c r="I862" i="16" s="1"/>
  <c r="F886" i="16"/>
  <c r="I886" i="16" s="1"/>
  <c r="F1103" i="16"/>
  <c r="I1103" i="16" s="1"/>
  <c r="F1180" i="16"/>
  <c r="I1180" i="16" s="1"/>
  <c r="F1247" i="16"/>
  <c r="I1247" i="16" s="1"/>
  <c r="F1521" i="16"/>
  <c r="I1521" i="16" s="1"/>
  <c r="F1606" i="16"/>
  <c r="I1606" i="16" s="1"/>
  <c r="F1649" i="16"/>
  <c r="I1649" i="16" s="1"/>
  <c r="F1709" i="16"/>
  <c r="I1709" i="16" s="1"/>
  <c r="F510" i="16"/>
  <c r="I510" i="16" s="1"/>
  <c r="F546" i="16"/>
  <c r="I546" i="16" s="1"/>
  <c r="F558" i="16"/>
  <c r="I558" i="16" s="1"/>
  <c r="F1191" i="16"/>
  <c r="I1191" i="16" s="1"/>
  <c r="F1200" i="16"/>
  <c r="I1200" i="16" s="1"/>
  <c r="F1230" i="16"/>
  <c r="I1230" i="16" s="1"/>
  <c r="F1277" i="16"/>
  <c r="I1277" i="16" s="1"/>
  <c r="F1486" i="16"/>
  <c r="I1486" i="16" s="1"/>
  <c r="F1570" i="16"/>
  <c r="I1570" i="16" s="1"/>
  <c r="F1686" i="16"/>
  <c r="I1686" i="16" s="1"/>
  <c r="F243" i="16"/>
  <c r="I243" i="16" s="1"/>
  <c r="F322" i="16"/>
  <c r="I322" i="16" s="1"/>
  <c r="F472" i="16"/>
  <c r="I472" i="16" s="1"/>
  <c r="F751" i="16"/>
  <c r="I751" i="16" s="1"/>
  <c r="F816" i="16"/>
  <c r="I816" i="16" s="1"/>
  <c r="F1105" i="16"/>
  <c r="I1105" i="16" s="1"/>
  <c r="F1261" i="16"/>
  <c r="I1261" i="16" s="1"/>
  <c r="F1270" i="16"/>
  <c r="I1270" i="16" s="1"/>
  <c r="F1535" i="16"/>
  <c r="I1535" i="16" s="1"/>
  <c r="F1615" i="16"/>
  <c r="I1615" i="16" s="1"/>
  <c r="F1674" i="16"/>
  <c r="I1674" i="16" s="1"/>
  <c r="F1699" i="16"/>
  <c r="I1699" i="16" s="1"/>
  <c r="F1711" i="16"/>
  <c r="I1711" i="16" s="1"/>
  <c r="F255" i="16"/>
  <c r="I255" i="16" s="1"/>
  <c r="F358" i="16"/>
  <c r="I358" i="16" s="1"/>
  <c r="F434" i="16"/>
  <c r="I434" i="16" s="1"/>
  <c r="F787" i="16"/>
  <c r="I787" i="16" s="1"/>
  <c r="F281" i="16"/>
  <c r="I281" i="16" s="1"/>
  <c r="F522" i="16"/>
  <c r="I522" i="16" s="1"/>
  <c r="F346" i="16"/>
  <c r="I346" i="16" s="1"/>
  <c r="F370" i="16"/>
  <c r="I370" i="16" s="1"/>
  <c r="F446" i="16"/>
  <c r="I446" i="16" s="1"/>
  <c r="F486" i="16"/>
  <c r="I486" i="16" s="1"/>
  <c r="F727" i="16"/>
  <c r="I727" i="16" s="1"/>
  <c r="F739" i="16"/>
  <c r="I739" i="16" s="1"/>
  <c r="F775" i="16"/>
  <c r="I775" i="16" s="1"/>
  <c r="F799" i="16"/>
  <c r="I799" i="16" s="1"/>
  <c r="F852" i="16"/>
  <c r="I852" i="16" s="1"/>
  <c r="F900" i="16"/>
  <c r="I900" i="16" s="1"/>
  <c r="F1081" i="16"/>
  <c r="I1081" i="16" s="1"/>
  <c r="F221" i="16"/>
  <c r="I221" i="16" s="1"/>
  <c r="F246" i="16"/>
  <c r="I246" i="16" s="1"/>
  <c r="F271" i="16"/>
  <c r="I271" i="16" s="1"/>
  <c r="F284" i="16"/>
  <c r="I284" i="16" s="1"/>
  <c r="F298" i="16"/>
  <c r="I298" i="16" s="1"/>
  <c r="F383" i="16"/>
  <c r="I383" i="16" s="1"/>
  <c r="F397" i="16"/>
  <c r="I397" i="16" s="1"/>
  <c r="F409" i="16"/>
  <c r="I409" i="16" s="1"/>
  <c r="F422" i="16"/>
  <c r="I422" i="16" s="1"/>
  <c r="F500" i="16"/>
  <c r="I500" i="16" s="1"/>
  <c r="F312" i="16"/>
  <c r="I312" i="16" s="1"/>
  <c r="F513" i="16"/>
  <c r="I513" i="16" s="1"/>
  <c r="F525" i="16"/>
  <c r="I525" i="16" s="1"/>
  <c r="F537" i="16"/>
  <c r="I537" i="16" s="1"/>
  <c r="F549" i="16"/>
  <c r="I549" i="16" s="1"/>
  <c r="F561" i="16"/>
  <c r="I561" i="16" s="1"/>
  <c r="F866" i="16"/>
  <c r="I866" i="16" s="1"/>
  <c r="F1095" i="16"/>
  <c r="I1095" i="16" s="1"/>
  <c r="F1107" i="16"/>
  <c r="I1107" i="16" s="1"/>
  <c r="F1221" i="16"/>
  <c r="I1221" i="16" s="1"/>
  <c r="F1465" i="16"/>
  <c r="I1465" i="16" s="1"/>
  <c r="F1549" i="16"/>
  <c r="I1549" i="16" s="1"/>
  <c r="F1664" i="16"/>
  <c r="I1664" i="16" s="1"/>
  <c r="F231" i="16"/>
  <c r="I231" i="16" s="1"/>
  <c r="F534" i="16"/>
  <c r="I534" i="16" s="1"/>
  <c r="F334" i="16"/>
  <c r="I334" i="16" s="1"/>
  <c r="F459" i="16"/>
  <c r="I459" i="16" s="1"/>
  <c r="F499" i="16"/>
  <c r="I499" i="16" s="1"/>
  <c r="F571" i="16"/>
  <c r="I571" i="16" s="1"/>
  <c r="F763" i="16"/>
  <c r="I763" i="16" s="1"/>
  <c r="F209" i="16"/>
  <c r="I209" i="16" s="1"/>
  <c r="F234" i="16"/>
  <c r="I234" i="16" s="1"/>
  <c r="F258" i="16"/>
  <c r="I258" i="16" s="1"/>
  <c r="F311" i="16"/>
  <c r="I311" i="16" s="1"/>
  <c r="F817" i="16"/>
  <c r="I817" i="16" s="1"/>
  <c r="F877" i="16"/>
  <c r="I877" i="16" s="1"/>
  <c r="F911" i="16"/>
  <c r="I911" i="16" s="1"/>
  <c r="F1171" i="16"/>
  <c r="I1171" i="16" s="1"/>
  <c r="F1212" i="16"/>
  <c r="I1212" i="16" s="1"/>
  <c r="F1289" i="16"/>
  <c r="I1289" i="16" s="1"/>
  <c r="F1500" i="16"/>
  <c r="I1500" i="16" s="1"/>
  <c r="F1584" i="16"/>
  <c r="I1584" i="16" s="1"/>
  <c r="F1675" i="16"/>
  <c r="I1675" i="16" s="1"/>
  <c r="F1688" i="16"/>
  <c r="I1688" i="16" s="1"/>
  <c r="F325" i="16"/>
  <c r="I325" i="16" s="1"/>
  <c r="F337" i="16"/>
  <c r="I337" i="16" s="1"/>
  <c r="F349" i="16"/>
  <c r="I349" i="16" s="1"/>
  <c r="F361" i="16"/>
  <c r="I361" i="16" s="1"/>
  <c r="F373" i="16"/>
  <c r="I373" i="16" s="1"/>
  <c r="F437" i="16"/>
  <c r="I437" i="16" s="1"/>
  <c r="F449" i="16"/>
  <c r="I449" i="16" s="1"/>
  <c r="F462" i="16"/>
  <c r="I462" i="16" s="1"/>
  <c r="F475" i="16"/>
  <c r="I475" i="16" s="1"/>
  <c r="F489" i="16"/>
  <c r="I489" i="16" s="1"/>
  <c r="F831" i="16"/>
  <c r="I831" i="16" s="1"/>
  <c r="F891" i="16"/>
  <c r="I891" i="16" s="1"/>
  <c r="F1183" i="16"/>
  <c r="I1183" i="16" s="1"/>
  <c r="F1204" i="16"/>
  <c r="I1204" i="16" s="1"/>
  <c r="F1252" i="16"/>
  <c r="I1252" i="16" s="1"/>
  <c r="F1281" i="16"/>
  <c r="I1281" i="16" s="1"/>
  <c r="F1514" i="16"/>
  <c r="I1514" i="16" s="1"/>
  <c r="F1598" i="16"/>
  <c r="I1598" i="16" s="1"/>
  <c r="F200" i="16"/>
  <c r="I200" i="16" s="1"/>
  <c r="F212" i="16"/>
  <c r="I212" i="16" s="1"/>
  <c r="F224" i="16"/>
  <c r="I224" i="16" s="1"/>
  <c r="F237" i="16"/>
  <c r="I237" i="16" s="1"/>
  <c r="F249" i="16"/>
  <c r="I249" i="16" s="1"/>
  <c r="F261" i="16"/>
  <c r="I261" i="16" s="1"/>
  <c r="F274" i="16"/>
  <c r="I274" i="16" s="1"/>
  <c r="F287" i="16"/>
  <c r="I287" i="16" s="1"/>
  <c r="F301" i="16"/>
  <c r="I301" i="16" s="1"/>
  <c r="F388" i="16"/>
  <c r="I388" i="16" s="1"/>
  <c r="F400" i="16"/>
  <c r="I400" i="16" s="1"/>
  <c r="F412" i="16"/>
  <c r="I412" i="16" s="1"/>
  <c r="F425" i="16"/>
  <c r="I425" i="16" s="1"/>
  <c r="F503" i="16"/>
  <c r="I503" i="16" s="1"/>
  <c r="F718" i="16"/>
  <c r="I718" i="16" s="1"/>
  <c r="F731" i="16"/>
  <c r="I731" i="16" s="1"/>
  <c r="F743" i="16"/>
  <c r="I743" i="16" s="1"/>
  <c r="F755" i="16"/>
  <c r="I755" i="16" s="1"/>
  <c r="F767" i="16"/>
  <c r="I767" i="16" s="1"/>
  <c r="F779" i="16"/>
  <c r="I779" i="16" s="1"/>
  <c r="F791" i="16"/>
  <c r="I791" i="16" s="1"/>
  <c r="F804" i="16"/>
  <c r="I804" i="16" s="1"/>
  <c r="F856" i="16"/>
  <c r="I856" i="16" s="1"/>
  <c r="F1097" i="16"/>
  <c r="I1097" i="16" s="1"/>
  <c r="F1235" i="16"/>
  <c r="I1235" i="16" s="1"/>
  <c r="F1244" i="16"/>
  <c r="I1244" i="16" s="1"/>
  <c r="F1479" i="16"/>
  <c r="I1479" i="16" s="1"/>
  <c r="F1563" i="16"/>
  <c r="I1563" i="16" s="1"/>
  <c r="F1607" i="16"/>
  <c r="I1607" i="16" s="1"/>
  <c r="F1631" i="16"/>
  <c r="I1631" i="16" s="1"/>
  <c r="F1643" i="16"/>
  <c r="I1643" i="16" s="1"/>
  <c r="F1655" i="16"/>
  <c r="I1655" i="16" s="1"/>
  <c r="F218" i="16"/>
  <c r="I218" i="16" s="1"/>
  <c r="F516" i="16"/>
  <c r="I516" i="16" s="1"/>
  <c r="F528" i="16"/>
  <c r="I528" i="16" s="1"/>
  <c r="F540" i="16"/>
  <c r="I540" i="16" s="1"/>
  <c r="F552" i="16"/>
  <c r="I552" i="16" s="1"/>
  <c r="F564" i="16"/>
  <c r="I564" i="16" s="1"/>
  <c r="F845" i="16"/>
  <c r="I845" i="16" s="1"/>
  <c r="F857" i="16"/>
  <c r="I857" i="16" s="1"/>
  <c r="F881" i="16"/>
  <c r="I881" i="16" s="1"/>
  <c r="F903" i="16"/>
  <c r="I903" i="16" s="1"/>
  <c r="F1074" i="16"/>
  <c r="I1074" i="16" s="1"/>
  <c r="F1175" i="16"/>
  <c r="I1175" i="16" s="1"/>
  <c r="F1264" i="16"/>
  <c r="I1264" i="16" s="1"/>
  <c r="F1528" i="16"/>
  <c r="I1528" i="16" s="1"/>
  <c r="F1692" i="16"/>
  <c r="I1692" i="16" s="1"/>
  <c r="F267" i="16"/>
  <c r="I267" i="16" s="1"/>
  <c r="F321" i="16"/>
  <c r="I321" i="16" s="1"/>
  <c r="F315" i="16"/>
  <c r="I315" i="16" s="1"/>
  <c r="F492" i="16"/>
  <c r="I492" i="16" s="1"/>
  <c r="F1099" i="16"/>
  <c r="I1099" i="16" s="1"/>
  <c r="F1195" i="16"/>
  <c r="I1195" i="16" s="1"/>
  <c r="I1493" i="16"/>
  <c r="F1577" i="16"/>
  <c r="I1577" i="16" s="1"/>
  <c r="F1621" i="16"/>
  <c r="I1621" i="16" s="1"/>
  <c r="F1657" i="16"/>
  <c r="I1657" i="16" s="1"/>
  <c r="F1668" i="16"/>
  <c r="I1668" i="16" s="1"/>
  <c r="F1705" i="16"/>
  <c r="I1705" i="16" s="1"/>
  <c r="F206" i="16"/>
  <c r="I206" i="16" s="1"/>
  <c r="F328" i="16"/>
  <c r="I328" i="16" s="1"/>
  <c r="F440" i="16"/>
  <c r="I440" i="16" s="1"/>
  <c r="F352" i="16"/>
  <c r="I352" i="16" s="1"/>
  <c r="F376" i="16"/>
  <c r="I376" i="16" s="1"/>
  <c r="F452" i="16"/>
  <c r="I452" i="16" s="1"/>
  <c r="F479" i="16"/>
  <c r="I479" i="16" s="1"/>
  <c r="F1272" i="16"/>
  <c r="I1272" i="16" s="1"/>
  <c r="F203" i="16"/>
  <c r="I203" i="16" s="1"/>
  <c r="F227" i="16"/>
  <c r="I227" i="16" s="1"/>
  <c r="F252" i="16"/>
  <c r="I252" i="16" s="1"/>
  <c r="F277" i="16"/>
  <c r="I277" i="16" s="1"/>
  <c r="F291" i="16"/>
  <c r="I291" i="16" s="1"/>
  <c r="F391" i="16"/>
  <c r="I391" i="16" s="1"/>
  <c r="F403" i="16"/>
  <c r="I403" i="16" s="1"/>
  <c r="F415" i="16"/>
  <c r="I415" i="16" s="1"/>
  <c r="F506" i="16"/>
  <c r="I506" i="16" s="1"/>
  <c r="F318" i="16"/>
  <c r="I318" i="16" s="1"/>
  <c r="F519" i="16"/>
  <c r="I519" i="16" s="1"/>
  <c r="F531" i="16"/>
  <c r="I531" i="16" s="1"/>
  <c r="F543" i="16"/>
  <c r="I543" i="16" s="1"/>
  <c r="F555" i="16"/>
  <c r="I555" i="16" s="1"/>
  <c r="F567" i="16"/>
  <c r="I567" i="16" s="1"/>
  <c r="F722" i="16"/>
  <c r="I722" i="16" s="1"/>
  <c r="F735" i="16"/>
  <c r="I735" i="16" s="1"/>
  <c r="F747" i="16"/>
  <c r="I747" i="16" s="1"/>
  <c r="F759" i="16"/>
  <c r="I759" i="16" s="1"/>
  <c r="F771" i="16"/>
  <c r="I771" i="16" s="1"/>
  <c r="F783" i="16"/>
  <c r="I783" i="16" s="1"/>
  <c r="F795" i="16"/>
  <c r="I795" i="16" s="1"/>
  <c r="F808" i="16"/>
  <c r="I808" i="16" s="1"/>
  <c r="F848" i="16"/>
  <c r="I848" i="16" s="1"/>
  <c r="F872" i="16"/>
  <c r="I872" i="16" s="1"/>
  <c r="F1101" i="16"/>
  <c r="I1101" i="16" s="1"/>
  <c r="F1166" i="16"/>
  <c r="I1166" i="16" s="1"/>
  <c r="F1209" i="16"/>
  <c r="I1209" i="16" s="1"/>
  <c r="F1218" i="16"/>
  <c r="I1218" i="16" s="1"/>
  <c r="F1286" i="16"/>
  <c r="I1286" i="16" s="1"/>
  <c r="F1295" i="16"/>
  <c r="I1295" i="16" s="1"/>
  <c r="F1507" i="16"/>
  <c r="I1507" i="16" s="1"/>
  <c r="F1591" i="16"/>
  <c r="I1591" i="16" s="1"/>
  <c r="F1670" i="16"/>
  <c r="I1670" i="16" s="1"/>
  <c r="F1695" i="16"/>
  <c r="I1695" i="16" s="1"/>
</calcChain>
</file>

<file path=xl/sharedStrings.xml><?xml version="1.0" encoding="utf-8"?>
<sst xmlns="http://schemas.openxmlformats.org/spreadsheetml/2006/main" count="10657" uniqueCount="4136">
  <si>
    <t>Activity ID</t>
  </si>
  <si>
    <t>Activity Name</t>
  </si>
  <si>
    <t>BL Project Total Cost</t>
  </si>
  <si>
    <t>Performance % Complete</t>
  </si>
  <si>
    <t>Activity % Complete</t>
  </si>
  <si>
    <t>Infrastructure Development for Madinah Industrial city Phase 1-A</t>
  </si>
  <si>
    <t xml:space="preserve">    Contractual Milestone</t>
  </si>
  <si>
    <t xml:space="preserve">      Construction</t>
  </si>
  <si>
    <t xml:space="preserve">    Site Facilities &amp; Offices</t>
  </si>
  <si>
    <t>Site Layout Plan</t>
  </si>
  <si>
    <t>Clear &amp; Grub for Offices &amp; Access Road</t>
  </si>
  <si>
    <t>Construct Site Access Roads</t>
  </si>
  <si>
    <t>Construct Temporary Fence</t>
  </si>
  <si>
    <t>Construct Site Offices &amp; Storage</t>
  </si>
  <si>
    <t>Install Site Facilities</t>
  </si>
  <si>
    <t>Construct Parking Sheds</t>
  </si>
  <si>
    <t>Install Project Signs</t>
  </si>
  <si>
    <t>Mobilization of Manpower</t>
  </si>
  <si>
    <t>Electrical Works &amp; Connections</t>
  </si>
  <si>
    <t>Mobilization of Equipment</t>
  </si>
  <si>
    <t xml:space="preserve">    Topographic Survey</t>
  </si>
  <si>
    <t xml:space="preserve">    Permit's and Authority Approvals</t>
  </si>
  <si>
    <t xml:space="preserve">    Preliminary Submittals</t>
  </si>
  <si>
    <t>Preparation and Submittal of Project Execution Plan</t>
  </si>
  <si>
    <t>Preparation and Submittal of Quality Management Plan</t>
  </si>
  <si>
    <t>Preparation and Submittal of Safety Management Plan</t>
  </si>
  <si>
    <t>Preparation and Submittal of Organization Chart</t>
  </si>
  <si>
    <t>Preparation and Submittal of Communication Plan</t>
  </si>
  <si>
    <t>Preparation and Submittal of Detailed Work Order Programme (baseline schedule)</t>
  </si>
  <si>
    <t>Approval of Project Execution Plan</t>
  </si>
  <si>
    <t>Approval of Quality Management Plan</t>
  </si>
  <si>
    <t>Approval of Safety Management Plan</t>
  </si>
  <si>
    <t>Approval of Organization Chart</t>
  </si>
  <si>
    <t>Approval of Comminumcation Plan</t>
  </si>
  <si>
    <t>Approval of Detailed Work Order Programme (baseline schedule)</t>
  </si>
  <si>
    <t xml:space="preserve">  Engineering</t>
  </si>
  <si>
    <t xml:space="preserve">    Shop Drawings</t>
  </si>
  <si>
    <t xml:space="preserve">      Shop Drawings Submittal</t>
  </si>
  <si>
    <t xml:space="preserve">        Shop Drawings Submittal for Road Works</t>
  </si>
  <si>
    <t>Shop DWG Submittal for Topographic Survey</t>
  </si>
  <si>
    <t>Shop DWG Submittal for Road Layout Plan</t>
  </si>
  <si>
    <t>Shop DWG Submittal for Typical Cross Section</t>
  </si>
  <si>
    <t>Shop DWG Submittal for Road Setting Out</t>
  </si>
  <si>
    <t>Shop DWG Submittal for Road Profiles</t>
  </si>
  <si>
    <t>Shop DWG Submittal for Grading Layout Plan</t>
  </si>
  <si>
    <t>Shop DWG Submittal for Curb Setting Out Points</t>
  </si>
  <si>
    <t>Shop DWG Submittal for Standards Details</t>
  </si>
  <si>
    <t>Shop DWG Submittal for Signing &amp; Marking Layout Plan</t>
  </si>
  <si>
    <t xml:space="preserve">        Shop Drawings Submittal for Electrical Network</t>
  </si>
  <si>
    <t>Shop DWG Submittal for Medium Voltage Network</t>
  </si>
  <si>
    <t>Shop DWG Submittal for Street Lighting</t>
  </si>
  <si>
    <t>Shop DWG Submittal for Potable Water Profiles</t>
  </si>
  <si>
    <t>Shop DWG Submittal for Potable Water Standard Details</t>
  </si>
  <si>
    <t xml:space="preserve">      Shop Drawings Approval</t>
  </si>
  <si>
    <t xml:space="preserve">        Shop Drawings Approval for Road Works</t>
  </si>
  <si>
    <t>Shop DWG Approval for Topographic Survey</t>
  </si>
  <si>
    <t>Shop DWG Approval for Road Profiles</t>
  </si>
  <si>
    <t>Shop DWG Approval for Grading Layout Plan</t>
  </si>
  <si>
    <t>Shop DWG Approval for Road Layout Plan</t>
  </si>
  <si>
    <t>Shop DWG Approval for Curb Setting Out Points</t>
  </si>
  <si>
    <t>Shop DWG Approval for Typical Cross Section</t>
  </si>
  <si>
    <t>Shop DWG Approval for Road Setting Out</t>
  </si>
  <si>
    <t>Shop DWG Approval for Standards Details</t>
  </si>
  <si>
    <t>Shop DWG Approval for Signing &amp; Marking Layout Plan</t>
  </si>
  <si>
    <t xml:space="preserve">        Shop Drawings Approval for Electrical Network</t>
  </si>
  <si>
    <t>Shop DWG Approval for Potable Water Profiles</t>
  </si>
  <si>
    <t>Shop DWG Approval for Potable Water Standard Details</t>
  </si>
  <si>
    <t xml:space="preserve">        Shop Drawings Approval for Storm Network</t>
  </si>
  <si>
    <t xml:space="preserve">    Method Statements</t>
  </si>
  <si>
    <t xml:space="preserve">      Method Statements Submittal</t>
  </si>
  <si>
    <t>Preparation &amp; Submission of Method Statement for Concrete Works</t>
  </si>
  <si>
    <t>Preparation &amp; Submission of Method Statement for Waterproofing Works</t>
  </si>
  <si>
    <t xml:space="preserve">      Method Statements Approval</t>
  </si>
  <si>
    <t>Approval of Method Statement for Concrete Works</t>
  </si>
  <si>
    <t>Approval of Method Statement for Waterproofing Works</t>
  </si>
  <si>
    <t xml:space="preserve">    Pre-qualification and Material</t>
  </si>
  <si>
    <t xml:space="preserve">        Road Works - Civil</t>
  </si>
  <si>
    <t xml:space="preserve">          Steel Reinforcement</t>
  </si>
  <si>
    <t>Pre-Qualification Submittal for Steel Reinforcement</t>
  </si>
  <si>
    <t>Material Submittal for Steel Reinforcement</t>
  </si>
  <si>
    <t xml:space="preserve">          Ready Mixed Concrete</t>
  </si>
  <si>
    <t>Pre-Qualification Submittal for Ready Mixed Concrete</t>
  </si>
  <si>
    <t>Material Submittal for Ready Mixed Concrete</t>
  </si>
  <si>
    <t xml:space="preserve">          Water Proofing</t>
  </si>
  <si>
    <t>Pre-Qualification Submittal for Water Proofing</t>
  </si>
  <si>
    <t>Material Submittal for Water Proofing</t>
  </si>
  <si>
    <t xml:space="preserve">          Aggregate Base Course</t>
  </si>
  <si>
    <t>Pre-Qualification Submittal for Aggregate Base Cource</t>
  </si>
  <si>
    <t>Material Submittal for Aggregate Base Cource</t>
  </si>
  <si>
    <t xml:space="preserve">          Bituminous Base &amp; Wearing Course</t>
  </si>
  <si>
    <t>Pre-Qualification Submittal for Bituminous Base &amp; Wearing Cource</t>
  </si>
  <si>
    <t>Material Submittal for Bituminous Base &amp; Wearing Cource</t>
  </si>
  <si>
    <t xml:space="preserve">          Precast Concrete Kerb</t>
  </si>
  <si>
    <t>Pre-Qualification Submittal for Precast Concrete Kerb</t>
  </si>
  <si>
    <t>Material Submittal for Precast Concrete Kerb</t>
  </si>
  <si>
    <t xml:space="preserve">          Interlocking Block Pavers</t>
  </si>
  <si>
    <t>Pre-Qualification Submittal for Interlocking Block Pavers</t>
  </si>
  <si>
    <t>Material Submittal for Interlocking Block Pavers</t>
  </si>
  <si>
    <t xml:space="preserve">          Pavement Markings</t>
  </si>
  <si>
    <t>Pre-Qualification Submittal for Pavement Markings</t>
  </si>
  <si>
    <t>Material Submittal for Pavement Markings</t>
  </si>
  <si>
    <t xml:space="preserve">          Traffic Signs</t>
  </si>
  <si>
    <t>Pre-Qualification Submittal for Traffic Signs</t>
  </si>
  <si>
    <t>Material Submittal for Traffic Signs</t>
  </si>
  <si>
    <t xml:space="preserve">        Electrical Network</t>
  </si>
  <si>
    <t xml:space="preserve">          Low Voltage Cables</t>
  </si>
  <si>
    <t>Pre-Qualification Submittal for Low Voltage Cables</t>
  </si>
  <si>
    <t>Material Submittal for Low Voltage Cables</t>
  </si>
  <si>
    <t xml:space="preserve">          Earthing System</t>
  </si>
  <si>
    <t>Pre-Qualification Submittal for Earthing System</t>
  </si>
  <si>
    <t>Material Submittal for Earthing System</t>
  </si>
  <si>
    <t xml:space="preserve">          Medium Voltage Cable</t>
  </si>
  <si>
    <t>Pre-Qualification Submittal for Medium Voltage Cable</t>
  </si>
  <si>
    <t>Material Submittal for Medium Voltage Cable</t>
  </si>
  <si>
    <t xml:space="preserve">          Lighting poles</t>
  </si>
  <si>
    <t>Pre-Qualification Submittal for Lighting poles</t>
  </si>
  <si>
    <t>Material Submittal for Lighting poles</t>
  </si>
  <si>
    <t xml:space="preserve">          Street Lighting Luminaire</t>
  </si>
  <si>
    <t>Pre-Qualification Submittal for Street Lighting Luminaire</t>
  </si>
  <si>
    <t>Material Submittal for Street Lighting Luminaire</t>
  </si>
  <si>
    <t xml:space="preserve">        Potable Network</t>
  </si>
  <si>
    <t xml:space="preserve">          HDPE Pipe (PN 16)</t>
  </si>
  <si>
    <t>Pre-Qualification Submittal for HDPE Pipe (PN 16)</t>
  </si>
  <si>
    <t>Material Submittal for HDPE Pipe (PN 16)</t>
  </si>
  <si>
    <t xml:space="preserve">          Fire Hydrant</t>
  </si>
  <si>
    <t>Pre-Qualification Submittal for Fire Hydrant</t>
  </si>
  <si>
    <t>Material Submittal for Fire Hydrant</t>
  </si>
  <si>
    <t xml:space="preserve">          Valves</t>
  </si>
  <si>
    <t xml:space="preserve">          GRP Pipes</t>
  </si>
  <si>
    <t>Pre-Qualification Submittal for GRP Pipe</t>
  </si>
  <si>
    <t>Material Submittal for GRP Pipe</t>
  </si>
  <si>
    <t xml:space="preserve">        Storm Network</t>
  </si>
  <si>
    <t>Pre-Qualification Approval for Steel Reinforcement</t>
  </si>
  <si>
    <t>Material Approval for Steel Reinforcement</t>
  </si>
  <si>
    <t>Pre-Qualification Approval for Ready Mixed Concrete</t>
  </si>
  <si>
    <t>Material Approval for Ready Mixed Concrete</t>
  </si>
  <si>
    <t>Pre-Qualification Approval for Water Proofing</t>
  </si>
  <si>
    <t>Material Approval for Water Proofing</t>
  </si>
  <si>
    <t>Pre-Qualification Approval for Aggregate Base Cource</t>
  </si>
  <si>
    <t>Material Approval for Aggregate Base Cource</t>
  </si>
  <si>
    <t>Pre-Qualification Approval for Bituminous &amp; Wearing Cource</t>
  </si>
  <si>
    <t>Pre-Qualification Approval for Precast Concrete Kerb</t>
  </si>
  <si>
    <t>Material Approval for Precast Concrete Kerb</t>
  </si>
  <si>
    <t>Pre-Qualification Approval for Interlocking Block Pavers</t>
  </si>
  <si>
    <t>Material Approval for Interlocking Block Pavers</t>
  </si>
  <si>
    <t>Pre-Qualification Approval for Pavement Markings</t>
  </si>
  <si>
    <t>Material Approval for Pavement Markings</t>
  </si>
  <si>
    <t>Pre-Qualification Approval for Traffic Signs</t>
  </si>
  <si>
    <t>Material Approval for Traffic Signs</t>
  </si>
  <si>
    <t>Pre-Qualification Approval for Low Voltage Cables</t>
  </si>
  <si>
    <t>Pre-Qualification Approval for Earthing System</t>
  </si>
  <si>
    <t>Pre-Qualification Approval for Medium Voltage Cable</t>
  </si>
  <si>
    <t>Pre-Qualification Approval for Lighting poles</t>
  </si>
  <si>
    <t>Pre-Qualification Approval for Street Lighting Luminaire</t>
  </si>
  <si>
    <t>Pre-Qualification Approval for HDPE Pipe (PN 16)</t>
  </si>
  <si>
    <t>Material Approval for HDPE Pipe (PN 16)</t>
  </si>
  <si>
    <t>Pre-Qualification Approval for Fire Hydrant</t>
  </si>
  <si>
    <t>Material Approval for Fire Hydrant</t>
  </si>
  <si>
    <t>Pre-Qualification Approval for GRP Pipe</t>
  </si>
  <si>
    <t>Material Approval for GRP Pipe</t>
  </si>
  <si>
    <t xml:space="preserve">    Short Lead Item</t>
  </si>
  <si>
    <t xml:space="preserve">      Road Works - Civil</t>
  </si>
  <si>
    <t xml:space="preserve">        Steel Reinforcement</t>
  </si>
  <si>
    <t>PO for Steel Reinforcement</t>
  </si>
  <si>
    <t>Material Fabrication for Steel Reinforcement</t>
  </si>
  <si>
    <t xml:space="preserve">        Ready Mixed Concrete</t>
  </si>
  <si>
    <t>PO for Ready Mixed Concrete</t>
  </si>
  <si>
    <t>Material Delivery for Ready Mixed Concrete</t>
  </si>
  <si>
    <t xml:space="preserve">        Water Proofing</t>
  </si>
  <si>
    <t>PO for Water Proofing</t>
  </si>
  <si>
    <t>Material Delivery for Water Proofing</t>
  </si>
  <si>
    <t xml:space="preserve">        Aggregate Base Course</t>
  </si>
  <si>
    <t xml:space="preserve">        Bituminous Base &amp; Wearing Course</t>
  </si>
  <si>
    <t>PO for Bituminous Base &amp; Wearing Cource</t>
  </si>
  <si>
    <t>Material Delivery to the Site</t>
  </si>
  <si>
    <t xml:space="preserve">        Precast Concrete Kerb</t>
  </si>
  <si>
    <t>PO for Precast Concrete Kerb</t>
  </si>
  <si>
    <t>Material Fabrication for Precast Concrete Kerb</t>
  </si>
  <si>
    <t>Material Delivery for Precast Concrete Kerb</t>
  </si>
  <si>
    <t xml:space="preserve">        Interlocking Block Pavers</t>
  </si>
  <si>
    <t>PO for Interlocking Block Pavers</t>
  </si>
  <si>
    <t>Material Fabrication for Interlocking Block Pavers</t>
  </si>
  <si>
    <t>Material Delivery for Interlocking Block Pavers</t>
  </si>
  <si>
    <t xml:space="preserve">        Pavement Markings</t>
  </si>
  <si>
    <t>PO for Pavement Markings</t>
  </si>
  <si>
    <t>Material Delivery for Pavement Markings</t>
  </si>
  <si>
    <t xml:space="preserve">        Traffic Signs</t>
  </si>
  <si>
    <t>PO for Traffic Signs</t>
  </si>
  <si>
    <t>Material Fabrication for Traffic Signs</t>
  </si>
  <si>
    <t>Material Delivery for Traffic Signs</t>
  </si>
  <si>
    <t xml:space="preserve">      Electrical Network</t>
  </si>
  <si>
    <t xml:space="preserve">        Earthing System</t>
  </si>
  <si>
    <t>PO for Earthing System</t>
  </si>
  <si>
    <t>Material Fabrication for Earthing System</t>
  </si>
  <si>
    <t>Material Delivery for Earthing System</t>
  </si>
  <si>
    <t xml:space="preserve">    Long Lead Item</t>
  </si>
  <si>
    <t xml:space="preserve">        Medium Voltage Cable</t>
  </si>
  <si>
    <t>PO for Medium Voltage Cable</t>
  </si>
  <si>
    <t>Material Delivery for Medium Voltage Cable</t>
  </si>
  <si>
    <t xml:space="preserve">        Ring Main Unit</t>
  </si>
  <si>
    <t>PO for Ring Main Unit</t>
  </si>
  <si>
    <t>Material Delivery for Ring Main Unit</t>
  </si>
  <si>
    <t xml:space="preserve">        Low Voltage Cables</t>
  </si>
  <si>
    <t>PO for Low Voltage Cables</t>
  </si>
  <si>
    <t>Material Delivery for Low Voltage Cables</t>
  </si>
  <si>
    <t xml:space="preserve">        Lighting poles</t>
  </si>
  <si>
    <t>PO for Lighting poles</t>
  </si>
  <si>
    <t>Material Delivery for Lighting poles</t>
  </si>
  <si>
    <t xml:space="preserve">        Street Lighting Luminaire</t>
  </si>
  <si>
    <t>PO for Street Lighting Luminaire</t>
  </si>
  <si>
    <t>Material Delivery for Street Lighting Luminaire</t>
  </si>
  <si>
    <t xml:space="preserve">        HDPE Pipe (PN 16)</t>
  </si>
  <si>
    <t>PO for HDPE Pipe (PN 16)</t>
  </si>
  <si>
    <t>Material Fabrication for HDPE Pipe (PN 16)</t>
  </si>
  <si>
    <t>Material Delivery for HDPE Pipe (PN 16)</t>
  </si>
  <si>
    <t>PO for Fire Hydrant</t>
  </si>
  <si>
    <t>Material Delivery for Fire Hydrant</t>
  </si>
  <si>
    <t xml:space="preserve">        GRP Pipes</t>
  </si>
  <si>
    <t xml:space="preserve">          Low-Voltage Electrical Power Conductors and Cables</t>
  </si>
  <si>
    <t xml:space="preserve">      Telecommunications</t>
  </si>
  <si>
    <t>Backfilling</t>
  </si>
  <si>
    <t xml:space="preserve">        Sewerage Network</t>
  </si>
  <si>
    <t xml:space="preserve">            Low Voltage Cable</t>
  </si>
  <si>
    <t xml:space="preserve">  Testing &amp; Commissioning</t>
  </si>
  <si>
    <t xml:space="preserve">    As-Built DWGs</t>
  </si>
  <si>
    <t xml:space="preserve">      As-Built DWGs Submittal</t>
  </si>
  <si>
    <t>As-Built DWGs Submittal for Potable Water Network</t>
  </si>
  <si>
    <t xml:space="preserve">      As-Built DWGs Approval</t>
  </si>
  <si>
    <t>Demobilization of Manpower</t>
  </si>
  <si>
    <t>Removal of Site Offices and Structures</t>
  </si>
  <si>
    <t>Previous Percentage ( % )</t>
  </si>
  <si>
    <t>Total Progress %</t>
  </si>
  <si>
    <t>Cumulative Amount</t>
  </si>
  <si>
    <t>Curent Amount</t>
  </si>
  <si>
    <t>Progress Variance ( % )</t>
  </si>
  <si>
    <t>ActivityID</t>
  </si>
  <si>
    <t>Budgeted Total Cost</t>
  </si>
  <si>
    <t>Earned Value Cost</t>
  </si>
  <si>
    <t>Test for Potable Water Network</t>
  </si>
  <si>
    <t>JDH4-02-007 - Land Development of Jeddah Oasis</t>
  </si>
  <si>
    <t xml:space="preserve">  Key Milestones</t>
  </si>
  <si>
    <t xml:space="preserve">    General Milestone</t>
  </si>
  <si>
    <t xml:space="preserve">      JDH4-02-007-MS-1000</t>
  </si>
  <si>
    <t>Project Commencement Date</t>
  </si>
  <si>
    <t xml:space="preserve">      JDH4-02-007-MS-1010</t>
  </si>
  <si>
    <t>Project Completion Date</t>
  </si>
  <si>
    <t xml:space="preserve">      Engineering &amp; Mobilization</t>
  </si>
  <si>
    <t xml:space="preserve">        JDH4-02-007-MS-1020</t>
  </si>
  <si>
    <t>Completion of Mobilization</t>
  </si>
  <si>
    <t xml:space="preserve">        JDH4-02-007-MS-1030</t>
  </si>
  <si>
    <t>Submission of the Work Plan (Baseline Programme)</t>
  </si>
  <si>
    <t xml:space="preserve">        JDH4-02-007-MS-1040</t>
  </si>
  <si>
    <t>Submission and Approval of Drawings and Materials</t>
  </si>
  <si>
    <t xml:space="preserve">        JDH4-02-007-MS-1050</t>
  </si>
  <si>
    <t>Completion of Earthworks &amp; Site Grading For Plots</t>
  </si>
  <si>
    <t xml:space="preserve">        JDH4-02-007-MS-1060</t>
  </si>
  <si>
    <t>Completion of Sewerage networks</t>
  </si>
  <si>
    <t xml:space="preserve">        JDH4-02-007-MS-1070</t>
  </si>
  <si>
    <t>Completion of Road Works</t>
  </si>
  <si>
    <t xml:space="preserve">        JDH4-02-007-MS-1080</t>
  </si>
  <si>
    <t>Completion of Potable Water Network</t>
  </si>
  <si>
    <t xml:space="preserve">        JDH4-02-007-MS-1090</t>
  </si>
  <si>
    <t>Completion of TSE Network</t>
  </si>
  <si>
    <t xml:space="preserve">        JDH4-02-007-MS-1100</t>
  </si>
  <si>
    <t>Completion of Electrical Networks</t>
  </si>
  <si>
    <t xml:space="preserve">        JDH4-02-007-MS-1110</t>
  </si>
  <si>
    <t>Completion of Entire Project</t>
  </si>
  <si>
    <t xml:space="preserve">    Monitoring &amp; Controlling Milestone</t>
  </si>
  <si>
    <t xml:space="preserve">      JDH4-02-007-MS-1130</t>
  </si>
  <si>
    <t>Approval of Electrical Network Materials By SEC</t>
  </si>
  <si>
    <t xml:space="preserve">      JDH4-02-007-MS-1120</t>
  </si>
  <si>
    <t>Approval of Electrical Network Shop DWGs By SEC</t>
  </si>
  <si>
    <t xml:space="preserve">  Mobilization</t>
  </si>
  <si>
    <t xml:space="preserve">      JDH4-02-007-MB-1000</t>
  </si>
  <si>
    <t xml:space="preserve">      JDH4-02-007-MB-1010</t>
  </si>
  <si>
    <t xml:space="preserve">      JDH4-02-007-MB-1020</t>
  </si>
  <si>
    <t xml:space="preserve">      JDH4-02-007-MB-1040</t>
  </si>
  <si>
    <t xml:space="preserve">      JDH4-02-007-MB-1030</t>
  </si>
  <si>
    <t xml:space="preserve">      JDH4-02-007-MB-1060</t>
  </si>
  <si>
    <t xml:space="preserve">      JDH4-02-007-MB-1070</t>
  </si>
  <si>
    <t xml:space="preserve">      JDH4-02-007-MB-1090</t>
  </si>
  <si>
    <t xml:space="preserve">      JDH4-02-007-MB-1100</t>
  </si>
  <si>
    <t xml:space="preserve">      JDH4-02-007-MB-1080</t>
  </si>
  <si>
    <t xml:space="preserve">      JDH4-02-007-MB-1050</t>
  </si>
  <si>
    <t xml:space="preserve">      JDH4-02-007-TP-1000</t>
  </si>
  <si>
    <t>Site Survey Works</t>
  </si>
  <si>
    <t xml:space="preserve">      JDH4-02-007-PA-1000</t>
  </si>
  <si>
    <t>Excavation &amp; Backfilling Permit Permit</t>
  </si>
  <si>
    <t xml:space="preserve">      JDH4-02-007-PA-1010</t>
  </si>
  <si>
    <t>Saudi Electricity Company Permit</t>
  </si>
  <si>
    <t xml:space="preserve">      Preparation and Submittal by Contractor's</t>
  </si>
  <si>
    <t xml:space="preserve">        JDH4-02-007-PS-1020</t>
  </si>
  <si>
    <t xml:space="preserve">        JDH4-02-007-PS-1030</t>
  </si>
  <si>
    <t xml:space="preserve">        JDH4-02-007-PS-1040</t>
  </si>
  <si>
    <t xml:space="preserve">        JDH4-02-007-PS-1050</t>
  </si>
  <si>
    <t xml:space="preserve">        JDH4-02-007-PS-1000</t>
  </si>
  <si>
    <t xml:space="preserve">        JDH4-02-007-PS-1010</t>
  </si>
  <si>
    <t xml:space="preserve">      Approval by the Employer's</t>
  </si>
  <si>
    <t xml:space="preserve">        JDH4-02-007-PS-1100</t>
  </si>
  <si>
    <t xml:space="preserve">        JDH4-02-007-PS-1110</t>
  </si>
  <si>
    <t xml:space="preserve">        JDH4-02-007-PS-1060</t>
  </si>
  <si>
    <t xml:space="preserve">        JDH4-02-007-PS-1080</t>
  </si>
  <si>
    <t xml:space="preserve">        JDH4-02-007-PS-1090</t>
  </si>
  <si>
    <t xml:space="preserve">        JDH4-02-007-PS-1070</t>
  </si>
  <si>
    <t xml:space="preserve">          JDH4-02-007-EN-1040</t>
  </si>
  <si>
    <t xml:space="preserve">          JDH4-02-007-EN-1050</t>
  </si>
  <si>
    <t xml:space="preserve">          JDH4-02-007-EN-1070</t>
  </si>
  <si>
    <t xml:space="preserve">          JDH4-02-007-EN-1080</t>
  </si>
  <si>
    <t xml:space="preserve">          JDH4-02-007-EN-1090</t>
  </si>
  <si>
    <t xml:space="preserve">          JDH4-02-007-EN-1100</t>
  </si>
  <si>
    <t xml:space="preserve">          JDH4-02-007-EN-1120</t>
  </si>
  <si>
    <t xml:space="preserve">          JDH4-02-007-EN-1060</t>
  </si>
  <si>
    <t xml:space="preserve">          JDH4-02-007-EN-1110</t>
  </si>
  <si>
    <t xml:space="preserve">        Shop Drawings Submittal for Stormwater Network</t>
  </si>
  <si>
    <t xml:space="preserve">          JDH4-02-007-EN-1250</t>
  </si>
  <si>
    <t>Shop DWG Submittal for Stormwater Plans</t>
  </si>
  <si>
    <t xml:space="preserve">          JDH4-02-007-EN-1260</t>
  </si>
  <si>
    <t>Shop DWG Submittal for Stormwater Profiles</t>
  </si>
  <si>
    <t xml:space="preserve">          JDH4-02-007-EN-1270</t>
  </si>
  <si>
    <t>Shop DWG Submittal for Stormwater Standard Details</t>
  </si>
  <si>
    <t xml:space="preserve">        Shop Drawings Submittal for Sanitary Sewerage</t>
  </si>
  <si>
    <t xml:space="preserve">          JDH4-02-007-EN-1220</t>
  </si>
  <si>
    <t>Shop DWG Submittal for Sanitary Sewerage Plans</t>
  </si>
  <si>
    <t xml:space="preserve">          JDH4-02-007-EN-1230</t>
  </si>
  <si>
    <t>Shop DWG Submittal for Sanitary Sewerage Profiles</t>
  </si>
  <si>
    <t xml:space="preserve">          JDH4-02-007-EN-1240</t>
  </si>
  <si>
    <t>Shop DWG Submittal for Sanitary Sewerage Standard Details</t>
  </si>
  <si>
    <t xml:space="preserve">        Shop Drawings Submittal for TSE Network</t>
  </si>
  <si>
    <t xml:space="preserve">          JDH4-02-007-EN-1190</t>
  </si>
  <si>
    <t>Shop DWG Submittal for TSE Network Plans</t>
  </si>
  <si>
    <t xml:space="preserve">          JDH4-02-007-EN-1200</t>
  </si>
  <si>
    <t>Shop DWG Submittal for TSE Profiles</t>
  </si>
  <si>
    <t xml:space="preserve">          JDH4-02-007-EN-1210</t>
  </si>
  <si>
    <t>Shop DWG Submittal for TSE Standard Details</t>
  </si>
  <si>
    <t xml:space="preserve">        Shop Drawings Submittal for Potable Water Network</t>
  </si>
  <si>
    <t xml:space="preserve">          JDH4-02-007-EN-1160</t>
  </si>
  <si>
    <t>Shop DWG Submittal for Potable Water Plans</t>
  </si>
  <si>
    <t xml:space="preserve">          JDH4-02-007-EN-1170</t>
  </si>
  <si>
    <t xml:space="preserve">          JDH4-02-007-EN-1180</t>
  </si>
  <si>
    <t xml:space="preserve">          JDH4-02-007-EN-1130</t>
  </si>
  <si>
    <t xml:space="preserve">          JDH4-02-007-EN-1140</t>
  </si>
  <si>
    <t xml:space="preserve">          JDH4-02-007-EN-1150</t>
  </si>
  <si>
    <t>Shop DWG Submittal for Low Voltage Network</t>
  </si>
  <si>
    <t xml:space="preserve">        Shop Drawings Submittal for Telecommunications</t>
  </si>
  <si>
    <t xml:space="preserve">          JDH4-02-007-EN-1600</t>
  </si>
  <si>
    <t>Shop DWG Submittal for Telecommunications Works</t>
  </si>
  <si>
    <t xml:space="preserve">        Shop Drawings Submittal for Earthing System</t>
  </si>
  <si>
    <t xml:space="preserve">          JDH4-02-007-EN-1610</t>
  </si>
  <si>
    <t>Shop DWG Submittal for Earthing System</t>
  </si>
  <si>
    <t xml:space="preserve">        Shop Drawings Submittal for Road Lighting</t>
  </si>
  <si>
    <t xml:space="preserve">          JDH4-02-007-EN-1000</t>
  </si>
  <si>
    <t>Shop DWG Submittal for Street Lighting General Arrangement</t>
  </si>
  <si>
    <t xml:space="preserve">          JDH4-02-007-EN-1010</t>
  </si>
  <si>
    <t>Shop DWG Submittal for Street Lighting Network Layout</t>
  </si>
  <si>
    <t xml:space="preserve">          JDH4-02-007-EN-1020</t>
  </si>
  <si>
    <t>Shop DWG Submittal for Street Lighting  Details</t>
  </si>
  <si>
    <t xml:space="preserve">          JDH4-02-007-EN-1030</t>
  </si>
  <si>
    <t>Shop DWG Submittal for Street Lighting Single Line Diagram</t>
  </si>
  <si>
    <t xml:space="preserve">        Shop Drawings Submittal for Sewage Lift Station</t>
  </si>
  <si>
    <t xml:space="preserve">          JDH4-02-007-EN-1280</t>
  </si>
  <si>
    <t>Shop DWG Submittal for the Sewage Lift Station - Civil Works</t>
  </si>
  <si>
    <t xml:space="preserve">          JDH4-02-007-EN-1290</t>
  </si>
  <si>
    <t>Shop DWG Submittal for the Sewage Lift Station - Mechanical Works</t>
  </si>
  <si>
    <t xml:space="preserve">          JDH4-02-007-EN-1310</t>
  </si>
  <si>
    <t>Shop DWG Submittal for the Sewage Lift Station - Finishing Works</t>
  </si>
  <si>
    <t xml:space="preserve">          JDH4-02-007-EN-1300</t>
  </si>
  <si>
    <t>Shop DWG Submittal for the Sewage Lift Station - Electrical Works</t>
  </si>
  <si>
    <t xml:space="preserve">          JDH4-02-007-EN-1320</t>
  </si>
  <si>
    <t xml:space="preserve">          JDH4-02-007-EN-1330</t>
  </si>
  <si>
    <t xml:space="preserve">          JDH4-02-007-EN-1350</t>
  </si>
  <si>
    <t xml:space="preserve">          JDH4-02-007-EN-1360</t>
  </si>
  <si>
    <t xml:space="preserve">          JDH4-02-007-EN-1370</t>
  </si>
  <si>
    <t xml:space="preserve">          JDH4-02-007-EN-1380</t>
  </si>
  <si>
    <t xml:space="preserve">          JDH4-02-007-EN-1340</t>
  </si>
  <si>
    <t xml:space="preserve">          JDH4-02-007-EN-1390</t>
  </si>
  <si>
    <t xml:space="preserve">          JDH4-02-007-EN-1400</t>
  </si>
  <si>
    <t xml:space="preserve">          JDH4-02-007-EN-1530</t>
  </si>
  <si>
    <t>Shop DWG Approval for Stormwater Plans</t>
  </si>
  <si>
    <t xml:space="preserve">          JDH4-02-007-EN-1540</t>
  </si>
  <si>
    <t>Shop DWG Approval for Stormwater Profiles</t>
  </si>
  <si>
    <t xml:space="preserve">          JDH4-02-007-EN-1550</t>
  </si>
  <si>
    <t>Shop DWG Approval for Stormwater Standard Details</t>
  </si>
  <si>
    <t xml:space="preserve">        Shop Drawings Approval for Sanitary Sewerage</t>
  </si>
  <si>
    <t xml:space="preserve">          JDH4-02-007-EN-1510</t>
  </si>
  <si>
    <t>Shop DWG Approval for Sanitary Sewerage Profiles</t>
  </si>
  <si>
    <t xml:space="preserve">          JDH4-02-007-EN-1520</t>
  </si>
  <si>
    <t>Shop DWG Approval for Sanitary Sewerage Standard Details</t>
  </si>
  <si>
    <t xml:space="preserve">          JDH4-02-007-EN-1500</t>
  </si>
  <si>
    <t>Shop DWG Approval for Sanitary Sewerage Plans</t>
  </si>
  <si>
    <t xml:space="preserve">        Shop Drawings Approval for TSE Network</t>
  </si>
  <si>
    <t xml:space="preserve">          JDH4-02-007-EN-1470</t>
  </si>
  <si>
    <t>Shop DWG Approval for TSE Network Plans</t>
  </si>
  <si>
    <t xml:space="preserve">          JDH4-02-007-EN-1480</t>
  </si>
  <si>
    <t>Shop DWG Approval for TSE Profiles</t>
  </si>
  <si>
    <t xml:space="preserve">          JDH4-02-007-EN-1490</t>
  </si>
  <si>
    <t>Shop DWG Approval for TSE Standard Details</t>
  </si>
  <si>
    <t xml:space="preserve">        Shop Drawings Approval for Potable Water Network</t>
  </si>
  <si>
    <t xml:space="preserve">          JDH4-02-007-EN-1440</t>
  </si>
  <si>
    <t>Shop DWG Approval for Potable Water Plans</t>
  </si>
  <si>
    <t xml:space="preserve">          JDH4-02-007-EN-1450</t>
  </si>
  <si>
    <t xml:space="preserve">          JDH4-02-007-EN-1460</t>
  </si>
  <si>
    <t xml:space="preserve">          JDH4-02-007-EN-1410</t>
  </si>
  <si>
    <t>Shop DWG Approval for Medium Voltage Network By SEC</t>
  </si>
  <si>
    <t xml:space="preserve">          JDH4-02-007-EN-1420</t>
  </si>
  <si>
    <t>Shop DWG Approval for Street Lighting by By SEC</t>
  </si>
  <si>
    <t xml:space="preserve">          JDH4-02-007-EN-1430</t>
  </si>
  <si>
    <t>Shop DWG Approval for Low Voltage Network By SEC</t>
  </si>
  <si>
    <t xml:space="preserve">        Shop Drawings Approval for Telecommunications</t>
  </si>
  <si>
    <t xml:space="preserve">          JDH4-02-007-EN-1620</t>
  </si>
  <si>
    <t>Shop DWG Approval for Telecommunications Works</t>
  </si>
  <si>
    <t xml:space="preserve">        Shop Drawings Approval for Earthing System</t>
  </si>
  <si>
    <t xml:space="preserve">          JDH4-02-007-EN-1630</t>
  </si>
  <si>
    <t>Shop DWG Approval for Earthing System By SEC</t>
  </si>
  <si>
    <t xml:space="preserve">        Shop Drawings Approval for Road Lighting</t>
  </si>
  <si>
    <t xml:space="preserve">          JDH4-02-007-EN-1640</t>
  </si>
  <si>
    <t>Shop DWG Approval for Street Lighting General Arrangement By SEC</t>
  </si>
  <si>
    <t xml:space="preserve">          JDH4-02-007-EN-1650</t>
  </si>
  <si>
    <t>Shop DWG Approval for Street Lighting Network Layout By SEC</t>
  </si>
  <si>
    <t xml:space="preserve">          JDH4-02-007-EN-1660</t>
  </si>
  <si>
    <t>Shop DWG Approval for Street Lighting  Details By SEC</t>
  </si>
  <si>
    <t xml:space="preserve">          JDH4-02-007-EN-1670</t>
  </si>
  <si>
    <t>Shop DWG Approval for Street Lighting Single Line Diagram By SEC</t>
  </si>
  <si>
    <t xml:space="preserve">        Shop Drawings Approval for Sewage Lift Station</t>
  </si>
  <si>
    <t xml:space="preserve">          JDH4-02-007-EN-1700</t>
  </si>
  <si>
    <t>Shop DWG Approval for the Sewage Lift Station - Electrical Works</t>
  </si>
  <si>
    <t xml:space="preserve">          JDH4-02-007-EN-1680</t>
  </si>
  <si>
    <t>Shop DWG Approval for the Sewage Lift Station - Civil Works</t>
  </si>
  <si>
    <t xml:space="preserve">          JDH4-02-007-EN-1690</t>
  </si>
  <si>
    <t>Shop DWG Approval for the Sewage Lift Station - Mechanical Works</t>
  </si>
  <si>
    <t xml:space="preserve">          JDH4-02-007-EN-1710</t>
  </si>
  <si>
    <t>Shop DWG Approval for the Sewage Lift Station - Finishing Works</t>
  </si>
  <si>
    <t xml:space="preserve">        JDH4-02-007-EN-1560</t>
  </si>
  <si>
    <t>Preparation &amp; Submission of Method Statement for Earthworks</t>
  </si>
  <si>
    <t xml:space="preserve">        JDH4-02-007-EN-1570</t>
  </si>
  <si>
    <t xml:space="preserve">        JDH4-02-007-EN-1580</t>
  </si>
  <si>
    <t xml:space="preserve">        JDH4-02-007-EN-1590</t>
  </si>
  <si>
    <t>Preparation &amp; Submission of Method Statement for Asphalt</t>
  </si>
  <si>
    <t xml:space="preserve">        JDH4-02-007-EN-1720</t>
  </si>
  <si>
    <t>Approval of Method Statement for Earthworks</t>
  </si>
  <si>
    <t xml:space="preserve">        JDH4-02-007-EN-1730</t>
  </si>
  <si>
    <t xml:space="preserve">        JDH4-02-007-EN-1740</t>
  </si>
  <si>
    <t xml:space="preserve">        JDH4-02-007-EN-1750</t>
  </si>
  <si>
    <t>Approval of Method Statement for Asphalt</t>
  </si>
  <si>
    <t xml:space="preserve">      Method Statements Staging Time</t>
  </si>
  <si>
    <t xml:space="preserve">        JDH4-02-007-EN-1760</t>
  </si>
  <si>
    <t>Staging Time of Method Statement for Earthworks</t>
  </si>
  <si>
    <t xml:space="preserve">        JDH4-02-007-EN-1770</t>
  </si>
  <si>
    <t>Staging Time of Method Statement for Concrete Works</t>
  </si>
  <si>
    <t xml:space="preserve">        JDH4-02-007-EN-1780</t>
  </si>
  <si>
    <t>Staging Time of Method Statement for Waterproofing Works</t>
  </si>
  <si>
    <t xml:space="preserve">        JDH4-02-007-EN-1790</t>
  </si>
  <si>
    <t>Staging Time of Method Statement for Asphalt</t>
  </si>
  <si>
    <t xml:space="preserve">      Pre-qualification</t>
  </si>
  <si>
    <t xml:space="preserve">            JDH4-02-007-SB-1580</t>
  </si>
  <si>
    <t xml:space="preserve">            JDH4-02-007-SB-1590</t>
  </si>
  <si>
    <t xml:space="preserve">            JDH4-02-007-SB-1600</t>
  </si>
  <si>
    <t xml:space="preserve">            JDH4-02-007-SB-1610</t>
  </si>
  <si>
    <t xml:space="preserve">            JDH4-02-007-SB-1620</t>
  </si>
  <si>
    <t xml:space="preserve">            JDH4-02-007-SB-1630</t>
  </si>
  <si>
    <t xml:space="preserve">            JDH4-02-007-SB-1000</t>
  </si>
  <si>
    <t xml:space="preserve">            JDH4-02-007-SB-1010</t>
  </si>
  <si>
    <t xml:space="preserve">            JDH4-02-007-SB-1020</t>
  </si>
  <si>
    <t xml:space="preserve">            JDH4-02-007-SB-1030</t>
  </si>
  <si>
    <t xml:space="preserve">            JDH4-02-007-SB-1050</t>
  </si>
  <si>
    <t xml:space="preserve">            JDH4-02-007-SB-1040</t>
  </si>
  <si>
    <t xml:space="preserve">            JDH4-02-007-SB-1060</t>
  </si>
  <si>
    <t xml:space="preserve">            JDH4-02-007-SB-1070</t>
  </si>
  <si>
    <t xml:space="preserve">            JDH4-02-007-SB-1080</t>
  </si>
  <si>
    <t xml:space="preserve">            JDH4-02-007-SB-1090</t>
  </si>
  <si>
    <t xml:space="preserve">            JDH4-02-007-SB-1100</t>
  </si>
  <si>
    <t xml:space="preserve">            JDH4-02-007-SB-1110</t>
  </si>
  <si>
    <t xml:space="preserve">            JDH4-02-007-SB-1260</t>
  </si>
  <si>
    <t xml:space="preserve">            JDH4-02-007-SB-1270</t>
  </si>
  <si>
    <t xml:space="preserve">          Catch Basin</t>
  </si>
  <si>
    <t xml:space="preserve">            JDH4-02-007-SB-1640</t>
  </si>
  <si>
    <t>Pre-Qualification Submittal for Catch Basin</t>
  </si>
  <si>
    <t xml:space="preserve">            JDH4-02-007-SB-1650</t>
  </si>
  <si>
    <t>Pre-Qualification Approval for Catch Basin</t>
  </si>
  <si>
    <t xml:space="preserve">          Inlet Manholes</t>
  </si>
  <si>
    <t xml:space="preserve">            JDH4-02-007-SB-1280</t>
  </si>
  <si>
    <t>Pre-Qualification Submittal for Inlet Manholes</t>
  </si>
  <si>
    <t xml:space="preserve">            JDH4-02-007-SB-1290</t>
  </si>
  <si>
    <t>Pre-Qualification Approval for Inlet Manholes</t>
  </si>
  <si>
    <t xml:space="preserve">        Sanitary Sewerage</t>
  </si>
  <si>
    <t xml:space="preserve">            JDH4-02-007-SB-1220</t>
  </si>
  <si>
    <t xml:space="preserve">            JDH4-02-007-SB-1230</t>
  </si>
  <si>
    <t xml:space="preserve">          Manholes</t>
  </si>
  <si>
    <t xml:space="preserve">            JDH4-02-007-SB-1240</t>
  </si>
  <si>
    <t>Pre-Qualification Submittal for Manholes</t>
  </si>
  <si>
    <t xml:space="preserve">            JDH4-02-007-SB-1250</t>
  </si>
  <si>
    <t>Pre-Qualification Approval for Manholes</t>
  </si>
  <si>
    <t xml:space="preserve">        TSE Network</t>
  </si>
  <si>
    <t xml:space="preserve">            JDH4-02-007-SB-1200</t>
  </si>
  <si>
    <t xml:space="preserve">            JDH4-02-007-SB-1210</t>
  </si>
  <si>
    <t xml:space="preserve">          Valves / Chambers</t>
  </si>
  <si>
    <t xml:space="preserve">            JDH4-02-007-SB-1440</t>
  </si>
  <si>
    <t>Pre-Qualification Submittal for Valves / Chambers</t>
  </si>
  <si>
    <t xml:space="preserve">            JDH4-02-007-SB-1450</t>
  </si>
  <si>
    <t>Pre-Qualification Approval for Valves / Chambers</t>
  </si>
  <si>
    <t xml:space="preserve">          Risers</t>
  </si>
  <si>
    <t xml:space="preserve">            JDH4-02-007-SB-1460</t>
  </si>
  <si>
    <t>Pre-Qualification Submittal for Risers</t>
  </si>
  <si>
    <t xml:space="preserve">            JDH4-02-007-SB-1470</t>
  </si>
  <si>
    <t>Pre-Qualification Approval for Risers</t>
  </si>
  <si>
    <t xml:space="preserve">        Potable Water Network</t>
  </si>
  <si>
    <t xml:space="preserve">            JDH4-02-007-SB-1180</t>
  </si>
  <si>
    <t xml:space="preserve">            JDH4-02-007-SB-1190</t>
  </si>
  <si>
    <t xml:space="preserve">            JDH4-02-007-SB-1420</t>
  </si>
  <si>
    <t xml:space="preserve">            JDH4-02-007-SB-1430</t>
  </si>
  <si>
    <t xml:space="preserve">            JDH4-02-007-SB-1660</t>
  </si>
  <si>
    <t xml:space="preserve">            JDH4-02-007-SB-1670</t>
  </si>
  <si>
    <t xml:space="preserve">          Pipe for the Duct</t>
  </si>
  <si>
    <t xml:space="preserve">            JDH4-02-007-SB-1120</t>
  </si>
  <si>
    <t>Pre-Qualification Submittal for Pipe for the Duct</t>
  </si>
  <si>
    <t xml:space="preserve">            JDH4-02-007-SB-1130</t>
  </si>
  <si>
    <t>Pre-Qualification Approval for Pipe for the Duct</t>
  </si>
  <si>
    <t xml:space="preserve">            JDH4-02-007-SB-1320</t>
  </si>
  <si>
    <t xml:space="preserve">            JDH4-02-007-SB-1330</t>
  </si>
  <si>
    <t xml:space="preserve">            JDH4-02-007-SB-1160</t>
  </si>
  <si>
    <t xml:space="preserve">            JDH4-02-007-SB-1170</t>
  </si>
  <si>
    <t xml:space="preserve">            JDH4-02-007-SB-1300</t>
  </si>
  <si>
    <t xml:space="preserve">            JDH4-02-007-SB-1310</t>
  </si>
  <si>
    <t xml:space="preserve">          Low Voltage Distribution Panel</t>
  </si>
  <si>
    <t xml:space="preserve">            JDH4-02-007-SB-1140</t>
  </si>
  <si>
    <t>Pre-Qualification Submittal for Low Voltage Distribution Panel</t>
  </si>
  <si>
    <t xml:space="preserve">            JDH4-02-007-SB-1150</t>
  </si>
  <si>
    <t>Pre-Qualification Approval for Low Voltage Distribution Panel</t>
  </si>
  <si>
    <t xml:space="preserve">          Unit Sub Station</t>
  </si>
  <si>
    <t xml:space="preserve">            JDH4-02-007-SB-1380</t>
  </si>
  <si>
    <t>Pre-Qualification Submittal for Unit Sub Station</t>
  </si>
  <si>
    <t xml:space="preserve">            JDH4-02-007-SB-1390</t>
  </si>
  <si>
    <t>Pre-Qualification Approval for Unit Sub Station</t>
  </si>
  <si>
    <t xml:space="preserve">          Ring Main Unit (RMU)</t>
  </si>
  <si>
    <t xml:space="preserve">            JDH4-02-007-SB-1400</t>
  </si>
  <si>
    <t>Pre-Qualification Submittal for Ring main Unit (RMU)</t>
  </si>
  <si>
    <t xml:space="preserve">            JDH4-02-007-SB-1410</t>
  </si>
  <si>
    <t>Pre-Qualification Approval for Ring main Unit (RMU)</t>
  </si>
  <si>
    <t xml:space="preserve">            JDH4-02-007-SB-1340</t>
  </si>
  <si>
    <t xml:space="preserve">            JDH4-02-007-SB-1350</t>
  </si>
  <si>
    <t xml:space="preserve">          Lighting panels/Feeder Pillers</t>
  </si>
  <si>
    <t xml:space="preserve">            JDH4-02-007-SB-1520</t>
  </si>
  <si>
    <t>Pre-Qualification Submittal for Lighting panels/Feeder Pillers</t>
  </si>
  <si>
    <t xml:space="preserve">            JDH4-02-007-SB-1530</t>
  </si>
  <si>
    <t>Pre-Qualification Approval for Lighting panels/Feeder Pillers</t>
  </si>
  <si>
    <t xml:space="preserve">            JDH4-02-007-SB-1360</t>
  </si>
  <si>
    <t xml:space="preserve">            JDH4-02-007-SB-1370</t>
  </si>
  <si>
    <t xml:space="preserve">        Telecommunications</t>
  </si>
  <si>
    <t xml:space="preserve">            JDH4-02-007-SB-1550</t>
  </si>
  <si>
    <t xml:space="preserve">            JDH4-02-007-SB-1540</t>
  </si>
  <si>
    <t xml:space="preserve">        Sewage Lift Station</t>
  </si>
  <si>
    <t xml:space="preserve">          Thermal &amp; Moisture Protection</t>
  </si>
  <si>
    <t xml:space="preserve">            JDH4-02-007-SB-1490</t>
  </si>
  <si>
    <t>Pre-Qualification Submittal for Thermal &amp; Moisture Protection</t>
  </si>
  <si>
    <t xml:space="preserve">            JDH4-02-007-SB-1510</t>
  </si>
  <si>
    <t>Pre-Qualification Approval for Thermal &amp; Moisture Protection</t>
  </si>
  <si>
    <t xml:space="preserve">          Metals</t>
  </si>
  <si>
    <t xml:space="preserve">            JDH4-02-007-SB-1480</t>
  </si>
  <si>
    <t>Pre-Qualification Submittal for Metal</t>
  </si>
  <si>
    <t xml:space="preserve">            JDH4-02-007-SB-1500</t>
  </si>
  <si>
    <t>Pre-Qualification Approval for Metal</t>
  </si>
  <si>
    <t xml:space="preserve">          Pumps</t>
  </si>
  <si>
    <t xml:space="preserve">            JDH4-02-007-SB-1560</t>
  </si>
  <si>
    <t>Pre-Qualification Submittal for pumps</t>
  </si>
  <si>
    <t xml:space="preserve">            JDH4-02-007-SB-1570</t>
  </si>
  <si>
    <t>Pre-Qualification Approval for pumps</t>
  </si>
  <si>
    <t xml:space="preserve">          Pipes,Fittings &amp; Valves</t>
  </si>
  <si>
    <t xml:space="preserve">            JDH4-02-007-SB-1680</t>
  </si>
  <si>
    <t>Pre-Qualification Submittal for Pipes,Fittings &amp; Valves</t>
  </si>
  <si>
    <t xml:space="preserve">            JDH4-02-007-SB-1700</t>
  </si>
  <si>
    <t>Pre-Qualification Approval for Pipes,Fittings &amp; Valves</t>
  </si>
  <si>
    <t xml:space="preserve">          Odours scrubbing system</t>
  </si>
  <si>
    <t xml:space="preserve">            JDH4-02-007-SB-1690</t>
  </si>
  <si>
    <t>Pre-Qualification Submittal for Odours Scrubbing System</t>
  </si>
  <si>
    <t xml:space="preserve">            JDH4-02-007-SB-1710</t>
  </si>
  <si>
    <t>Pre-Qualification Approval for Odours Scrubbing System</t>
  </si>
  <si>
    <t xml:space="preserve">          Crane</t>
  </si>
  <si>
    <t xml:space="preserve">            JDH4-02-007-SB-1720</t>
  </si>
  <si>
    <t>Pre-Qualification Submittal for Crane</t>
  </si>
  <si>
    <t xml:space="preserve">            JDH4-02-007-SB-1730</t>
  </si>
  <si>
    <t>Pre-Qualification Approval for Crane</t>
  </si>
  <si>
    <t xml:space="preserve">          Air Vents</t>
  </si>
  <si>
    <t xml:space="preserve">            JDH4-02-007-SB-1800</t>
  </si>
  <si>
    <t>Pre-Qualification Submittal for Air Vents</t>
  </si>
  <si>
    <t xml:space="preserve">            JDH4-02-007-SB-1820</t>
  </si>
  <si>
    <t>Pre-Qualification Approval for Air Vents</t>
  </si>
  <si>
    <t xml:space="preserve">          Screening Container</t>
  </si>
  <si>
    <t xml:space="preserve">            JDH4-02-007-SB-1740</t>
  </si>
  <si>
    <t>Pre-Qualification Submittal for Screening Container</t>
  </si>
  <si>
    <t xml:space="preserve">            JDH4-02-007-SB-1760</t>
  </si>
  <si>
    <t>Pre-Qualification Approval for Screening Container</t>
  </si>
  <si>
    <t xml:space="preserve">          Baffle Plates</t>
  </si>
  <si>
    <t xml:space="preserve">            JDH4-02-007-SB-1810</t>
  </si>
  <si>
    <t>Pre-Qualification Submittal for Baffle plates</t>
  </si>
  <si>
    <t xml:space="preserve">            JDH4-02-007-SB-1830</t>
  </si>
  <si>
    <t>Pre-Qualification Approval for Baffle plates</t>
  </si>
  <si>
    <t xml:space="preserve">          Anti-Water Hammer Equipment</t>
  </si>
  <si>
    <t xml:space="preserve">            JDH4-02-007-SB-1840</t>
  </si>
  <si>
    <t>Pre-Qualification Submittal for Anti-Water Hammer Equipment</t>
  </si>
  <si>
    <t xml:space="preserve">            JDH4-02-007-SB-1850</t>
  </si>
  <si>
    <t>Pre-Qualification Approval for Anti-Water Hammer Equipment</t>
  </si>
  <si>
    <t xml:space="preserve">          Air Conditioning and Ventilation</t>
  </si>
  <si>
    <t xml:space="preserve">            JDH4-02-007-SB-1750</t>
  </si>
  <si>
    <t>Pre-Qualification Submittal for Air Conditioning and Ventilation</t>
  </si>
  <si>
    <t xml:space="preserve">            JDH4-02-007-SB-1770</t>
  </si>
  <si>
    <t>Pre-Qualification Approval for Air Conditioning and Ventilation</t>
  </si>
  <si>
    <t xml:space="preserve">          Fuel System</t>
  </si>
  <si>
    <t xml:space="preserve">            JDH4-02-007-SB-1780</t>
  </si>
  <si>
    <t>Pre-Qualification Submittal for Fuel System</t>
  </si>
  <si>
    <t xml:space="preserve">            JDH4-02-007-SB-1790</t>
  </si>
  <si>
    <t>Pre-Qualification Approval for Fuel System</t>
  </si>
  <si>
    <t xml:space="preserve">          Fire Fighting System</t>
  </si>
  <si>
    <t xml:space="preserve">            JDH4-02-007-SB-1920</t>
  </si>
  <si>
    <t>Pre-Qualification Submittal for Fire Fighting System</t>
  </si>
  <si>
    <t xml:space="preserve">            JDH4-02-007-SB-1930</t>
  </si>
  <si>
    <t>Pre-Qualification Approval for Fire Fighting System</t>
  </si>
  <si>
    <t xml:space="preserve">          Main Distribution Board /MCC panels</t>
  </si>
  <si>
    <t xml:space="preserve">            JDH4-02-007-SB-1860</t>
  </si>
  <si>
    <t>Pre-Qualification Submittal for Main Distribution Board/MCC Panels</t>
  </si>
  <si>
    <t xml:space="preserve">            JDH4-02-007-SB-1870</t>
  </si>
  <si>
    <t>Pre-Qualification Approval for Main Distribution Board/MCC Panels</t>
  </si>
  <si>
    <t xml:space="preserve">          Final Panel boards</t>
  </si>
  <si>
    <t xml:space="preserve">            JDH4-02-007-SB-1880</t>
  </si>
  <si>
    <t>Pre-Qualification Submittal for Final Panel Boards</t>
  </si>
  <si>
    <t xml:space="preserve">            JDH4-02-007-SB-1890</t>
  </si>
  <si>
    <t>Pre-Qualification Approval for Final Panel Boards</t>
  </si>
  <si>
    <t xml:space="preserve">          Local Control Panel/ Monitoring Control Panel</t>
  </si>
  <si>
    <t xml:space="preserve">            JDH4-02-007-SB-1900</t>
  </si>
  <si>
    <t>Pre-Qualification Submittal for Local Control Panel / Monitoring Control Panel</t>
  </si>
  <si>
    <t xml:space="preserve">            JDH4-02-007-SB-1910</t>
  </si>
  <si>
    <t>Pre-Qualification Approval for Local Control Panel / Monitoring Control Panel</t>
  </si>
  <si>
    <t xml:space="preserve">          Engine Generators</t>
  </si>
  <si>
    <t xml:space="preserve">            JDH4-02-007-SB-2060</t>
  </si>
  <si>
    <t>Pre-Qualification Submittal for Engine Generators</t>
  </si>
  <si>
    <t xml:space="preserve">            JDH4-02-007-SB-2070</t>
  </si>
  <si>
    <t>Pre-Qualification Approval for Engine Generators</t>
  </si>
  <si>
    <t xml:space="preserve">          Standby Diesel Generator</t>
  </si>
  <si>
    <t xml:space="preserve">            JDH4-02-007-SB-2040</t>
  </si>
  <si>
    <t>Pre-Qualification Submittal for Standby Diesel Generator</t>
  </si>
  <si>
    <t xml:space="preserve">            JDH4-02-007-SB-2050</t>
  </si>
  <si>
    <t>Pre-Qualification Approval for Standby Diesel Generator</t>
  </si>
  <si>
    <t xml:space="preserve">          Power Factor Correction Capacitor Bank</t>
  </si>
  <si>
    <t xml:space="preserve">            JDH4-02-007-SB-2000</t>
  </si>
  <si>
    <t>Pre-Qualification Submittal for Power Factor correction Capacitor Bank</t>
  </si>
  <si>
    <t xml:space="preserve">            JDH4-02-007-SB-2010</t>
  </si>
  <si>
    <t>Pre-Qualification Approval for Power Factor correction Capacitor Bank</t>
  </si>
  <si>
    <t xml:space="preserve">            JDH4-02-007-SB-2020</t>
  </si>
  <si>
    <t>Pre-Qualification Submittal for Low Voltage Electrical Power Conductors &amp; Cables</t>
  </si>
  <si>
    <t xml:space="preserve">            JDH4-02-007-SB-2030</t>
  </si>
  <si>
    <t>Pre-Qualification Approval for Low Voltage Electrical Power Conductors &amp; Cables</t>
  </si>
  <si>
    <t xml:space="preserve">          Low Voltage Feeder Cable</t>
  </si>
  <si>
    <t xml:space="preserve">            JDH4-02-007-SB-1980</t>
  </si>
  <si>
    <t>Pre-Qualification Submittal for Low Voltage Feeder Cable</t>
  </si>
  <si>
    <t xml:space="preserve">            JDH4-02-007-SB-1990</t>
  </si>
  <si>
    <t>Pre-Qualification Approval for Low Voltage Feeder Cable</t>
  </si>
  <si>
    <t xml:space="preserve">          Wiring Devices</t>
  </si>
  <si>
    <t xml:space="preserve">            JDH4-02-007-SB-1940</t>
  </si>
  <si>
    <t>Pre-Qualification Submittal for Wiring Devices</t>
  </si>
  <si>
    <t xml:space="preserve">            JDH4-02-007-SB-1950</t>
  </si>
  <si>
    <t>Pre-Qualification Approval for Wiring Devices</t>
  </si>
  <si>
    <t xml:space="preserve">          Enclosed Switches and Circuit Breakers</t>
  </si>
  <si>
    <t xml:space="preserve">            JDH4-02-007-SB-1960</t>
  </si>
  <si>
    <t>Pre-Qualification Submittal for Enclosed Switches and Circuit Breakers</t>
  </si>
  <si>
    <t xml:space="preserve">            JDH4-02-007-SB-1970</t>
  </si>
  <si>
    <t>Pre-Qualification Approval for Enclosed Switches and Circuit Breakers</t>
  </si>
  <si>
    <t xml:space="preserve">          Raceways for Electrical Systems</t>
  </si>
  <si>
    <t xml:space="preserve">            JDH4-02-007-SB-2100</t>
  </si>
  <si>
    <t>Pre-Qualification Submittal for Raceways for Electrical System</t>
  </si>
  <si>
    <t xml:space="preserve">            JDH4-02-007-SB-2110</t>
  </si>
  <si>
    <t>Pre-Qualification Approval for Raceways for Electrical System</t>
  </si>
  <si>
    <t xml:space="preserve">          Electrical Manholes</t>
  </si>
  <si>
    <t xml:space="preserve">            JDH4-02-007-SB-2140</t>
  </si>
  <si>
    <t>Pre-Qualification Submittal for Electrical Manholes</t>
  </si>
  <si>
    <t xml:space="preserve">            JDH4-02-007-SB-2150</t>
  </si>
  <si>
    <t>Pre-Qualification Approval for Electrical Manholes</t>
  </si>
  <si>
    <t xml:space="preserve">          Security System (CCTV System)</t>
  </si>
  <si>
    <t xml:space="preserve">            JDH4-02-007-SB-2080</t>
  </si>
  <si>
    <t>Pre-Qualification Submittal for Security System (CCTV System)</t>
  </si>
  <si>
    <t xml:space="preserve">            JDH4-02-007-SB-2090</t>
  </si>
  <si>
    <t>Pre-Qualification Approval for Security System (CCTV System)</t>
  </si>
  <si>
    <t xml:space="preserve">          ICT (Data&amp; telephone System)</t>
  </si>
  <si>
    <t xml:space="preserve">            JDH4-02-007-SB-2120</t>
  </si>
  <si>
    <t>Pre-Qualification Submittal for ICT (Data &amp; Telephone System)</t>
  </si>
  <si>
    <t xml:space="preserve">            JDH4-02-007-SB-2130</t>
  </si>
  <si>
    <t>Pre-Qualification Approval for ICT (Data &amp; Telephone System)</t>
  </si>
  <si>
    <t xml:space="preserve">          Programmable Logic Controllers</t>
  </si>
  <si>
    <t xml:space="preserve">            JDH4-02-007-SB-2200</t>
  </si>
  <si>
    <t>Pre-Qualification Submittal for Programmable Logic Controllers</t>
  </si>
  <si>
    <t xml:space="preserve">            JDH4-02-007-SB-2210</t>
  </si>
  <si>
    <t>Pre-Qualification Approval for Programmable Logic Controllers</t>
  </si>
  <si>
    <t xml:space="preserve">          Process Control Wiring</t>
  </si>
  <si>
    <t xml:space="preserve">            JDH4-02-007-SB-2180</t>
  </si>
  <si>
    <t>Pre-Qualification Submittal for Process Control Wiring</t>
  </si>
  <si>
    <t xml:space="preserve">            JDH4-02-007-SB-2190</t>
  </si>
  <si>
    <t>Pre-Qualification Approval for Process Control Wiring</t>
  </si>
  <si>
    <t xml:space="preserve">          Instrumentation for Process Systems</t>
  </si>
  <si>
    <t xml:space="preserve">            JDH4-02-007-SB-2160</t>
  </si>
  <si>
    <t>Pre-Qualification Submittal for Instrumentation Control Wiring</t>
  </si>
  <si>
    <t xml:space="preserve">            JDH4-02-007-SB-2170</t>
  </si>
  <si>
    <t>Pre-Qualification Approval for Instrumentation Control Wiring</t>
  </si>
  <si>
    <t xml:space="preserve">      Material Submittal</t>
  </si>
  <si>
    <t xml:space="preserve">            JDH4-02-007-MA-1580</t>
  </si>
  <si>
    <t xml:space="preserve">            JDH4-02-007-MA-1590</t>
  </si>
  <si>
    <t xml:space="preserve">            JDH4-02-007-MA-1600</t>
  </si>
  <si>
    <t xml:space="preserve">            JDH4-02-007-MA-1610</t>
  </si>
  <si>
    <t xml:space="preserve">            JDH4-02-007-MA-1620</t>
  </si>
  <si>
    <t xml:space="preserve">            JDH4-02-007-MA-1630</t>
  </si>
  <si>
    <t xml:space="preserve">            JDH4-02-007-MA-1000</t>
  </si>
  <si>
    <t xml:space="preserve">            JDH4-02-007-MA-1010</t>
  </si>
  <si>
    <t xml:space="preserve">            JDH4-02-007-MA-1020</t>
  </si>
  <si>
    <t xml:space="preserve">            JDH4-02-007-MA-1030</t>
  </si>
  <si>
    <t>Material Approval for Bituminous &amp; Wearing Cource</t>
  </si>
  <si>
    <t xml:space="preserve">            JDH4-02-007-MA-1040</t>
  </si>
  <si>
    <t xml:space="preserve">            JDH4-02-007-MA-1050</t>
  </si>
  <si>
    <t xml:space="preserve">            JDH4-02-007-MA-1060</t>
  </si>
  <si>
    <t xml:space="preserve">            JDH4-02-007-MA-1070</t>
  </si>
  <si>
    <t xml:space="preserve">            JDH4-02-007-MA-1080</t>
  </si>
  <si>
    <t xml:space="preserve">            JDH4-02-007-MA-1090</t>
  </si>
  <si>
    <t xml:space="preserve">            JDH4-02-007-MA-1100</t>
  </si>
  <si>
    <t xml:space="preserve">            JDH4-02-007-MA-1110</t>
  </si>
  <si>
    <t xml:space="preserve">            JDH4-02-007-MA-1250</t>
  </si>
  <si>
    <t xml:space="preserve">            JDH4-02-007-MA-1270</t>
  </si>
  <si>
    <t xml:space="preserve">            JDH4-02-007-MA-1640</t>
  </si>
  <si>
    <t>Material Submittal for Catch Basin</t>
  </si>
  <si>
    <t xml:space="preserve">            JDH4-02-007-MA-1650</t>
  </si>
  <si>
    <t>Material Approval for Catch Basin</t>
  </si>
  <si>
    <t xml:space="preserve">            JDH4-02-007-MA-1280</t>
  </si>
  <si>
    <t>Material Submittal for Inlet Manholes</t>
  </si>
  <si>
    <t xml:space="preserve">            JDH4-02-007-MA-1290</t>
  </si>
  <si>
    <t>Material Approval for Inlet Manholes</t>
  </si>
  <si>
    <t xml:space="preserve">            JDH4-02-007-MA-1220</t>
  </si>
  <si>
    <t xml:space="preserve">            JDH4-02-007-MA-1230</t>
  </si>
  <si>
    <t xml:space="preserve">            JDH4-02-007-MA-1240</t>
  </si>
  <si>
    <t>Material Submittal for Manholes</t>
  </si>
  <si>
    <t xml:space="preserve">            JDH4-02-007-MA-1260</t>
  </si>
  <si>
    <t>Material Approval for Manholes</t>
  </si>
  <si>
    <t xml:space="preserve">            JDH4-02-007-MA-1200</t>
  </si>
  <si>
    <t xml:space="preserve">            JDH4-02-007-MA-1210</t>
  </si>
  <si>
    <t xml:space="preserve">            JDH4-02-007-MA-1440</t>
  </si>
  <si>
    <t>Material Submittal for Valves / Chambers</t>
  </si>
  <si>
    <t xml:space="preserve">            JDH4-02-007-MA-1450</t>
  </si>
  <si>
    <t>Material Approval for Valves / Chambers</t>
  </si>
  <si>
    <t xml:space="preserve">            JDH4-02-007-MA-1460</t>
  </si>
  <si>
    <t>Material Submittal for Risers</t>
  </si>
  <si>
    <t xml:space="preserve">            JDH4-02-007-MA-1470</t>
  </si>
  <si>
    <t>Material Approval for Risers</t>
  </si>
  <si>
    <t xml:space="preserve">            JDH4-02-007-MA-1180</t>
  </si>
  <si>
    <t xml:space="preserve">            JDH4-02-007-MA-1190</t>
  </si>
  <si>
    <t xml:space="preserve">            JDH4-02-007-MA-1420</t>
  </si>
  <si>
    <t xml:space="preserve">            JDH4-02-007-MA-1430</t>
  </si>
  <si>
    <t xml:space="preserve">            JDH4-02-007-MA-1660</t>
  </si>
  <si>
    <t xml:space="preserve">            JDH4-02-007-MA-1670</t>
  </si>
  <si>
    <t xml:space="preserve">            JDH4-02-007-MA-1120</t>
  </si>
  <si>
    <t>Material Submittal for Pipe for the Duct</t>
  </si>
  <si>
    <t xml:space="preserve">            JDH4-02-007-MA-1130</t>
  </si>
  <si>
    <t>Material Approval for Pipe for the Duct By SEC</t>
  </si>
  <si>
    <t xml:space="preserve">            JDH4-02-007-MA-1320</t>
  </si>
  <si>
    <t xml:space="preserve">            JDH4-02-007-MA-1330</t>
  </si>
  <si>
    <t>Material Approval for Low Voltage Cables By SEC</t>
  </si>
  <si>
    <t xml:space="preserve">            JDH4-02-007-MA-1160</t>
  </si>
  <si>
    <t xml:space="preserve">            JDH4-02-007-MA-1170</t>
  </si>
  <si>
    <t>Material Approval for Earthing System By SEC</t>
  </si>
  <si>
    <t xml:space="preserve">            JDH4-02-007-MA-1300</t>
  </si>
  <si>
    <t xml:space="preserve">            JDH4-02-007-MA-1310</t>
  </si>
  <si>
    <t>Material Approval for Medium Voltage Cable By SEC</t>
  </si>
  <si>
    <t xml:space="preserve">            JDH4-02-007-MA-1140</t>
  </si>
  <si>
    <t>Material Submittal for Low Voltage Distribution Panel</t>
  </si>
  <si>
    <t xml:space="preserve">            JDH4-02-007-MA-1150</t>
  </si>
  <si>
    <t>Material Approval for Low Voltage Distribution Panel By SEC</t>
  </si>
  <si>
    <t xml:space="preserve">            JDH4-02-007-MA-1380</t>
  </si>
  <si>
    <t>Material Submittal for Unit Sub Station</t>
  </si>
  <si>
    <t xml:space="preserve">            JDH4-02-007-MA-1390</t>
  </si>
  <si>
    <t>Material Approval for Unit Sub Station By SEC</t>
  </si>
  <si>
    <t xml:space="preserve">            JDH4-02-007-MA-1400</t>
  </si>
  <si>
    <t>Material Submittal for Ring main Unit (RMU)</t>
  </si>
  <si>
    <t xml:space="preserve">            JDH4-02-007-MA-1410</t>
  </si>
  <si>
    <t>Material Approval for Ring main Unit (RMU) By SEC</t>
  </si>
  <si>
    <t xml:space="preserve">            JDH4-02-007-MA-1340</t>
  </si>
  <si>
    <t xml:space="preserve">            JDH4-02-007-MA-1350</t>
  </si>
  <si>
    <t>Material Approval for Lighting poles By SEC</t>
  </si>
  <si>
    <t xml:space="preserve">            JDH4-02-007-MA-1515</t>
  </si>
  <si>
    <t>Material Submittal for Lighting panels/Feeder Pillers By SEC</t>
  </si>
  <si>
    <t xml:space="preserve">            JDH4-02-007-MA-1520</t>
  </si>
  <si>
    <t>Material Approval for Lighting panels/Feeder Pillers</t>
  </si>
  <si>
    <t xml:space="preserve">            JDH4-02-007-MA-1360</t>
  </si>
  <si>
    <t xml:space="preserve">            JDH4-02-007-MA-1370</t>
  </si>
  <si>
    <t>Material Approval for Street Lighting Luminaire By SEC</t>
  </si>
  <si>
    <t xml:space="preserve">            JDH4-02-007-MA-1540</t>
  </si>
  <si>
    <t xml:space="preserve">            JDH4-02-007-MA-1550</t>
  </si>
  <si>
    <t>Material Approval for Pipe for the Duct</t>
  </si>
  <si>
    <t xml:space="preserve">            JDH4-02-007-MA-1490</t>
  </si>
  <si>
    <t>Material Submittal for Thermal &amp; Moisture Protection</t>
  </si>
  <si>
    <t xml:space="preserve">            JDH4-02-007-MA-1510</t>
  </si>
  <si>
    <t>Material Approval for Thermal &amp; Moisture Protection</t>
  </si>
  <si>
    <t xml:space="preserve">            JDH4-02-007-MA-1480</t>
  </si>
  <si>
    <t>Material Submittal for Metal</t>
  </si>
  <si>
    <t xml:space="preserve">            JDH4-02-007-MA-1500</t>
  </si>
  <si>
    <t>Material Approval for Metal</t>
  </si>
  <si>
    <t xml:space="preserve">            JDH4-02-007-MA-1560</t>
  </si>
  <si>
    <t>Material Submittal for pumps</t>
  </si>
  <si>
    <t xml:space="preserve">            JDH4-02-007-MA-1570</t>
  </si>
  <si>
    <t>Material Approval for pumps</t>
  </si>
  <si>
    <t xml:space="preserve">            JDH4-02-007-MA-1680</t>
  </si>
  <si>
    <t>Material Submittal for Pipes,Fittings &amp; Valves</t>
  </si>
  <si>
    <t xml:space="preserve">            JDH4-02-007-MA-1700</t>
  </si>
  <si>
    <t>Material Approval for Pipes,Fittings &amp; Valves</t>
  </si>
  <si>
    <t xml:space="preserve">            JDH4-02-007-MA-1690</t>
  </si>
  <si>
    <t>Material Submittal for Odours Scrubbing System</t>
  </si>
  <si>
    <t xml:space="preserve">            JDH4-02-007-MA-1710</t>
  </si>
  <si>
    <t>Material Approval for Odours Scrubbing System</t>
  </si>
  <si>
    <t xml:space="preserve">            JDH4-02-007-MA-1720</t>
  </si>
  <si>
    <t>Material Submittal for Crane</t>
  </si>
  <si>
    <t xml:space="preserve">            JDH4-02-007-MA-1730</t>
  </si>
  <si>
    <t>Material Approval for Crane</t>
  </si>
  <si>
    <t xml:space="preserve">            JDH4-02-007-MA-1800</t>
  </si>
  <si>
    <t>Material Submittal for Air Vents</t>
  </si>
  <si>
    <t xml:space="preserve">            JDH4-02-007-MA-1820</t>
  </si>
  <si>
    <t>Material Approval for Air Vents</t>
  </si>
  <si>
    <t xml:space="preserve">            JDH4-02-007-MA-1740</t>
  </si>
  <si>
    <t>Material Submittal for Screening Container</t>
  </si>
  <si>
    <t xml:space="preserve">            JDH4-02-007-MA-1760</t>
  </si>
  <si>
    <t>Material Approval for Screening Container</t>
  </si>
  <si>
    <t xml:space="preserve">            JDH4-02-007-MA-1810</t>
  </si>
  <si>
    <t>Material Submittal for Baffle plates</t>
  </si>
  <si>
    <t xml:space="preserve">            JDH4-02-007-MA-1830</t>
  </si>
  <si>
    <t>Material Approval for Baffle plates</t>
  </si>
  <si>
    <t xml:space="preserve">            JDH4-02-007-MA-1840</t>
  </si>
  <si>
    <t>Material Submittal for Anti-Water Hammer Equipment</t>
  </si>
  <si>
    <t xml:space="preserve">            JDH4-02-007-MA-1850</t>
  </si>
  <si>
    <t>Material Approval for Anti-Water Hammer Equipment</t>
  </si>
  <si>
    <t xml:space="preserve">            JDH4-02-007-MA-1750</t>
  </si>
  <si>
    <t>Material Submittal for Air Conditioning and Ventilation</t>
  </si>
  <si>
    <t xml:space="preserve">            JDH4-02-007-MA-1770</t>
  </si>
  <si>
    <t>Material Approval for Air Conditioning and Ventilation</t>
  </si>
  <si>
    <t xml:space="preserve">            JDH4-02-007-MA-1780</t>
  </si>
  <si>
    <t>Material Submittal for Fuel System</t>
  </si>
  <si>
    <t xml:space="preserve">            JDH4-02-007-MA-1790</t>
  </si>
  <si>
    <t>Material Approval for Fuel System</t>
  </si>
  <si>
    <t xml:space="preserve">            JDH4-02-007-MA-1920</t>
  </si>
  <si>
    <t>Material Submittal for Fire Fighting System</t>
  </si>
  <si>
    <t xml:space="preserve">            JDH4-02-007-MA-1930</t>
  </si>
  <si>
    <t>Material Approval for Fire Fighting System</t>
  </si>
  <si>
    <t xml:space="preserve">            JDH4-02-007-MA-1860</t>
  </si>
  <si>
    <t>Material Submittal for Main Distribution Board/MCC Panels</t>
  </si>
  <si>
    <t xml:space="preserve">            JDH4-02-007-MA-1870</t>
  </si>
  <si>
    <t>Material Approval for Main Distribution Board/MCC Panels</t>
  </si>
  <si>
    <t xml:space="preserve">            JDH4-02-007-MA-1880</t>
  </si>
  <si>
    <t>Material Submittal for Final Panel Boards</t>
  </si>
  <si>
    <t xml:space="preserve">            JDH4-02-007-MA-1890</t>
  </si>
  <si>
    <t>Material Approval for Final Panel Boards</t>
  </si>
  <si>
    <t xml:space="preserve">            JDH4-02-007-MA-1900</t>
  </si>
  <si>
    <t>Material Submittal for Local Control Panel / Monitoring Control Panel</t>
  </si>
  <si>
    <t xml:space="preserve">            JDH4-02-007-MA-1910</t>
  </si>
  <si>
    <t>Material Approval for Local Control Panel / Monitoring Control Panel</t>
  </si>
  <si>
    <t xml:space="preserve">            JDH4-02-007-MA-2060</t>
  </si>
  <si>
    <t>Material Submittal for Engine Generators</t>
  </si>
  <si>
    <t xml:space="preserve">            JDH4-02-007-MA-2070</t>
  </si>
  <si>
    <t>Material Approval for Engine Generators</t>
  </si>
  <si>
    <t xml:space="preserve">            JDH4-02-007-MA-2040</t>
  </si>
  <si>
    <t>Material Submittal for Standby Diesel Generator</t>
  </si>
  <si>
    <t xml:space="preserve">            JDH4-02-007-MA-2050</t>
  </si>
  <si>
    <t>Material Approval for Standby Diesel Generator</t>
  </si>
  <si>
    <t xml:space="preserve">            JDH4-02-007-MA-2000</t>
  </si>
  <si>
    <t>Material Submittal for Power Factor correction Capacitor Bank</t>
  </si>
  <si>
    <t xml:space="preserve">            JDH4-02-007-MA-2010</t>
  </si>
  <si>
    <t>Material Approval for Power Factor correction Capacitor Bank</t>
  </si>
  <si>
    <t xml:space="preserve">            JDH4-02-007-MA-2020</t>
  </si>
  <si>
    <t>Material Submittal for Low Voltage Electrical Power Conductors &amp; Cables</t>
  </si>
  <si>
    <t xml:space="preserve">            JDH4-02-007-MA-2030</t>
  </si>
  <si>
    <t>Material Approval for Low Voltage Electrical Power Conductors &amp; Cables</t>
  </si>
  <si>
    <t xml:space="preserve">            JDH4-02-007-MA-1980</t>
  </si>
  <si>
    <t>Material Submittal for Low Voltage Feeder Cable</t>
  </si>
  <si>
    <t xml:space="preserve">            JDH4-02-007-MA-1990</t>
  </si>
  <si>
    <t>Material Approval for Low Voltage Feeder Cable</t>
  </si>
  <si>
    <t xml:space="preserve">            JDH4-02-007-MA-1940</t>
  </si>
  <si>
    <t>Material Submittal for Wiring Devices</t>
  </si>
  <si>
    <t xml:space="preserve">            JDH4-02-007-MA-1950</t>
  </si>
  <si>
    <t>Material Approval for Wiring Devices</t>
  </si>
  <si>
    <t xml:space="preserve">            JDH4-02-007-MA-1960</t>
  </si>
  <si>
    <t>Material Submittal for Enclosed Switches and Circuit Breakers</t>
  </si>
  <si>
    <t xml:space="preserve">            JDH4-02-007-MA-1970</t>
  </si>
  <si>
    <t>Material Approval for Enclosed Switches and Circuit Breakers</t>
  </si>
  <si>
    <t xml:space="preserve">            JDH4-02-007-MA-2100</t>
  </si>
  <si>
    <t>Material Submittal for Raceways for Electrical System</t>
  </si>
  <si>
    <t xml:space="preserve">            JDH4-02-007-MA-2110</t>
  </si>
  <si>
    <t>Material Approval for Raceways for Electrical System</t>
  </si>
  <si>
    <t xml:space="preserve">            JDH4-02-007-MA-2140</t>
  </si>
  <si>
    <t>Material Submittal for Electrical Manholes</t>
  </si>
  <si>
    <t xml:space="preserve">            JDH4-02-007-MA-2150</t>
  </si>
  <si>
    <t>Material Approval for Electrical Manholes</t>
  </si>
  <si>
    <t xml:space="preserve">            JDH4-02-007-MA-2080</t>
  </si>
  <si>
    <t>Material Submittal for Security System (CCTV System)</t>
  </si>
  <si>
    <t xml:space="preserve">            JDH4-02-007-MA-2090</t>
  </si>
  <si>
    <t>Material Approval for Security System (CCTV System)</t>
  </si>
  <si>
    <t xml:space="preserve">            JDH4-02-007-MA-2120</t>
  </si>
  <si>
    <t>Material Submittal for ICT (Data &amp; Telephone System)</t>
  </si>
  <si>
    <t xml:space="preserve">            JDH4-02-007-MA-2130</t>
  </si>
  <si>
    <t>Material Approval for ICT (Data &amp; Telephone System)</t>
  </si>
  <si>
    <t xml:space="preserve">            JDH4-02-007-MA-2200</t>
  </si>
  <si>
    <t>Material Submittal for Programmable Logic Controllers</t>
  </si>
  <si>
    <t xml:space="preserve">            JDH4-02-007-MA-2210</t>
  </si>
  <si>
    <t>Material Approval for Programmable Logic Controllers</t>
  </si>
  <si>
    <t xml:space="preserve">            JDH4-02-007-MA-2180</t>
  </si>
  <si>
    <t>Material Submittal for Process Control Wiring</t>
  </si>
  <si>
    <t xml:space="preserve">            JDH4-02-007-MA-2190</t>
  </si>
  <si>
    <t>Material Approval for Process Control Wiring</t>
  </si>
  <si>
    <t xml:space="preserve">            JDH4-02-007-MA-2160</t>
  </si>
  <si>
    <t>Material Submittal for Instrumentation Control Wiring</t>
  </si>
  <si>
    <t xml:space="preserve">            JDH4-02-007-MA-2170</t>
  </si>
  <si>
    <t>Material Approval for Instrumentation Control Wiring</t>
  </si>
  <si>
    <t xml:space="preserve">  Procurement</t>
  </si>
  <si>
    <t xml:space="preserve">          JDH4-02-007-PR-1300</t>
  </si>
  <si>
    <t xml:space="preserve">          JDH4-02-007-PR-1310</t>
  </si>
  <si>
    <t xml:space="preserve">          JDH4-02-007-PR-1319</t>
  </si>
  <si>
    <t>Material Delivery for Steel Reinforcement  - Stage 1</t>
  </si>
  <si>
    <t xml:space="preserve">          JDH4-02-007-PR-1320</t>
  </si>
  <si>
    <t>Material Delivery for Steel Reinforcement  - Stage 2</t>
  </si>
  <si>
    <t xml:space="preserve">          JDH4-02-007-PR-1330</t>
  </si>
  <si>
    <t xml:space="preserve">          JDH4-02-007-PR-1340</t>
  </si>
  <si>
    <t xml:space="preserve">          JDH4-02-007-PR-1350</t>
  </si>
  <si>
    <t xml:space="preserve">          JDH4-02-007-PR-1360</t>
  </si>
  <si>
    <t>Material Fabrication for Water Proofing</t>
  </si>
  <si>
    <t xml:space="preserve">          JDH4-02-007-PR-1370</t>
  </si>
  <si>
    <t xml:space="preserve">          JDH4-02-007-PR-1380</t>
  </si>
  <si>
    <t>PO for Aggregate Base Course</t>
  </si>
  <si>
    <t xml:space="preserve">          JDH4-02-007-PR-1389</t>
  </si>
  <si>
    <t>Material Delivery for Aggregate Base Course  - Stage 1</t>
  </si>
  <si>
    <t xml:space="preserve">          JDH4-02-007-PR-1390</t>
  </si>
  <si>
    <t>Material Delivery for Aggregate Base Course  - Stage 2</t>
  </si>
  <si>
    <t xml:space="preserve">          JDH4-02-007-PR-1400</t>
  </si>
  <si>
    <t xml:space="preserve">          JDH4-02-007-PR-1410</t>
  </si>
  <si>
    <t xml:space="preserve">          JDH4-02-007-PR-1420</t>
  </si>
  <si>
    <t xml:space="preserve">          JDH4-02-007-PR-1430</t>
  </si>
  <si>
    <t xml:space="preserve">          JDH4-02-007-PR-1440</t>
  </si>
  <si>
    <t xml:space="preserve">          JDH4-02-007-PR-1450</t>
  </si>
  <si>
    <t xml:space="preserve">          JDH4-02-007-PR-1460</t>
  </si>
  <si>
    <t xml:space="preserve">          JDH4-02-007-PR-1470</t>
  </si>
  <si>
    <t xml:space="preserve">          JDH4-02-007-PR-1480</t>
  </si>
  <si>
    <t xml:space="preserve">          JDH4-02-007-PR-1490</t>
  </si>
  <si>
    <t>Material Fabrication for Pavement Markings</t>
  </si>
  <si>
    <t xml:space="preserve">          JDH4-02-007-PR-1500</t>
  </si>
  <si>
    <t xml:space="preserve">          JDH4-02-007-PR-1510</t>
  </si>
  <si>
    <t xml:space="preserve">          JDH4-02-007-PR-1520</t>
  </si>
  <si>
    <t xml:space="preserve">          JDH4-02-007-PR-1530</t>
  </si>
  <si>
    <t xml:space="preserve">      Stormwater Utilities</t>
  </si>
  <si>
    <t xml:space="preserve">        Catch Basins</t>
  </si>
  <si>
    <t xml:space="preserve">          JDH4-02-007-PR-1720</t>
  </si>
  <si>
    <t>PO for Catch Basins</t>
  </si>
  <si>
    <t xml:space="preserve">          JDH4-02-007-PR-1729</t>
  </si>
  <si>
    <t>Material Fabrication for Catch Basins  - Stage 1</t>
  </si>
  <si>
    <t xml:space="preserve">          JDH4-02-007-PR-1730</t>
  </si>
  <si>
    <t>Material Fabrication for Catch Basins  - Stage 2</t>
  </si>
  <si>
    <t xml:space="preserve">          JDH4-02-007-PR-1740</t>
  </si>
  <si>
    <t>Material Delivery for Catch Basins</t>
  </si>
  <si>
    <t xml:space="preserve">          JDH4-02-007-PR-1830</t>
  </si>
  <si>
    <t>Staging Time for Catch Basins</t>
  </si>
  <si>
    <t xml:space="preserve">          JDH4-02-007-PR-1660</t>
  </si>
  <si>
    <t>PO for GRP Pipes</t>
  </si>
  <si>
    <t xml:space="preserve">          JDH4-02-007-PR-1670</t>
  </si>
  <si>
    <t>Material Fabrication for GRP Pipes</t>
  </si>
  <si>
    <t xml:space="preserve">          JDH4-02-007-PR-1680</t>
  </si>
  <si>
    <t>Material Delivery for GRP Pipes</t>
  </si>
  <si>
    <t xml:space="preserve">        Inlet Manholes</t>
  </si>
  <si>
    <t xml:space="preserve">          JDH4-02-007-PR-1690</t>
  </si>
  <si>
    <t>PO for Inlet Manholes</t>
  </si>
  <si>
    <t xml:space="preserve">          JDH4-02-007-PR-1700</t>
  </si>
  <si>
    <t>Material Fabrication for Inlet Manholes</t>
  </si>
  <si>
    <t xml:space="preserve">          JDH4-02-007-PR-1710</t>
  </si>
  <si>
    <t>Material Delivery for Inlet Manholes</t>
  </si>
  <si>
    <t xml:space="preserve">      Sanitary Sewerage</t>
  </si>
  <si>
    <t xml:space="preserve">          JDH4-02-007-PR-1600</t>
  </si>
  <si>
    <t xml:space="preserve">          JDH4-02-007-PR-1610</t>
  </si>
  <si>
    <t xml:space="preserve">          JDH4-02-007-PR-1620</t>
  </si>
  <si>
    <t xml:space="preserve">        Manholes</t>
  </si>
  <si>
    <t xml:space="preserve">          JDH4-02-007-PR-1630</t>
  </si>
  <si>
    <t>PO for Manholes</t>
  </si>
  <si>
    <t xml:space="preserve">          JDH4-02-007-PR-1638</t>
  </si>
  <si>
    <t>Material Fabrication for Manholes  - Stage 1</t>
  </si>
  <si>
    <t xml:space="preserve">          JDH4-02-007-PR-1639</t>
  </si>
  <si>
    <t>Material Fabrication for Manholes  - Stage 2</t>
  </si>
  <si>
    <t xml:space="preserve">          JDH4-02-007-PR-1640</t>
  </si>
  <si>
    <t>Material Fabrication for Manholes  - Stage 3</t>
  </si>
  <si>
    <t xml:space="preserve">          JDH4-02-007-PR-1650</t>
  </si>
  <si>
    <t>Material Delivery for Manholes</t>
  </si>
  <si>
    <t xml:space="preserve">      TSE Network</t>
  </si>
  <si>
    <t xml:space="preserve">          JDH4-02-007-PR-1570</t>
  </si>
  <si>
    <t xml:space="preserve">          JDH4-02-007-PR-1580</t>
  </si>
  <si>
    <t xml:space="preserve">          JDH4-02-007-PR-1590</t>
  </si>
  <si>
    <t xml:space="preserve">      Potable Water Network</t>
  </si>
  <si>
    <t xml:space="preserve">          JDH4-02-007-PR-1540</t>
  </si>
  <si>
    <t xml:space="preserve">          JDH4-02-007-PR-1550</t>
  </si>
  <si>
    <t xml:space="preserve">          JDH4-02-007-PR-1560</t>
  </si>
  <si>
    <t xml:space="preserve">        Pipe for the Duct</t>
  </si>
  <si>
    <t xml:space="preserve">          JDH4-02-007-PR-1190</t>
  </si>
  <si>
    <t>PO for Pipe for Duct</t>
  </si>
  <si>
    <t xml:space="preserve">          JDH4-02-007-PR-1210</t>
  </si>
  <si>
    <t>Material Fabrication for Pipe for Duct</t>
  </si>
  <si>
    <t xml:space="preserve">          JDH4-02-007-PR-1230</t>
  </si>
  <si>
    <t>Material Delivery for Pipe for Duct</t>
  </si>
  <si>
    <t xml:space="preserve">          JDH4-02-007-PR-1180</t>
  </si>
  <si>
    <t xml:space="preserve">          JDH4-02-007-PR-1200</t>
  </si>
  <si>
    <t xml:space="preserve">          JDH4-02-007-PR-1220</t>
  </si>
  <si>
    <t xml:space="preserve">          JDH4-02-007-PR-2260</t>
  </si>
  <si>
    <t xml:space="preserve">          JDH4-02-007-PR-2270</t>
  </si>
  <si>
    <t xml:space="preserve">          JDH4-02-007-PR-2280</t>
  </si>
  <si>
    <t xml:space="preserve">      Sewage Lift Station</t>
  </si>
  <si>
    <t xml:space="preserve">        Thermal &amp; Moisture Protection</t>
  </si>
  <si>
    <t xml:space="preserve">          JDH4-02-007-PR-2350</t>
  </si>
  <si>
    <t>PO for Thermal &amp; Moisture Protection</t>
  </si>
  <si>
    <t xml:space="preserve">          JDH4-02-007-PR-2358</t>
  </si>
  <si>
    <t>Material Fabrication for Thermal &amp; Moisture Protection  - Stage 1</t>
  </si>
  <si>
    <t xml:space="preserve">          JDH4-02-007-PR-2359</t>
  </si>
  <si>
    <t>Material Fabrication for Thermal &amp; Moisture Protection  - Stage 2</t>
  </si>
  <si>
    <t xml:space="preserve">          JDH4-02-007-PR-2360</t>
  </si>
  <si>
    <t>Material Fabrication for Thermal &amp; Moisture Protection  - Stage 3</t>
  </si>
  <si>
    <t xml:space="preserve">          JDH4-02-007-PR-2369</t>
  </si>
  <si>
    <t>Material Delivery for Thermal &amp; Moisture Protection  - Stage 1</t>
  </si>
  <si>
    <t xml:space="preserve">          JDH4-02-007-PR-2370</t>
  </si>
  <si>
    <t>Material Delivery for Thermal &amp; Moisture Protection  - Stage 2</t>
  </si>
  <si>
    <t xml:space="preserve">        Metals</t>
  </si>
  <si>
    <t xml:space="preserve">          JDH4-02-007-PR-1840</t>
  </si>
  <si>
    <t>PO for Metal</t>
  </si>
  <si>
    <t xml:space="preserve">          JDH4-02-007-PR-1848</t>
  </si>
  <si>
    <t>Material Fabrication for Metal  - Stage 1</t>
  </si>
  <si>
    <t xml:space="preserve">          JDH4-02-007-PR-1849</t>
  </si>
  <si>
    <t>Material Fabrication for Metal  - Stage 2</t>
  </si>
  <si>
    <t xml:space="preserve">          JDH4-02-007-PR-1850</t>
  </si>
  <si>
    <t>Material Fabrication for Metal  - Stage 3</t>
  </si>
  <si>
    <t xml:space="preserve">          JDH4-02-007-PR-1859</t>
  </si>
  <si>
    <t>Material Delivery for Metal  - Stage 1</t>
  </si>
  <si>
    <t xml:space="preserve">          JDH4-02-007-PR-1860</t>
  </si>
  <si>
    <t>Material Delivery for Metal  - Stage 2</t>
  </si>
  <si>
    <t xml:space="preserve">        Pipes</t>
  </si>
  <si>
    <t xml:space="preserve">          JDH4-02-007-PR-2290</t>
  </si>
  <si>
    <t>PO for Pipes</t>
  </si>
  <si>
    <t xml:space="preserve">          JDH4-02-007-PR-2300</t>
  </si>
  <si>
    <t>Material Fabrication for Pipes</t>
  </si>
  <si>
    <t xml:space="preserve">          JDH4-02-007-PR-2310</t>
  </si>
  <si>
    <t>Material Delivery for Pipes</t>
  </si>
  <si>
    <t xml:space="preserve">        Air Conditioning and Ventilation</t>
  </si>
  <si>
    <t xml:space="preserve">          JDH4-02-007-PR-2380</t>
  </si>
  <si>
    <t>PO for Air Conditioning and Ventilation</t>
  </si>
  <si>
    <t xml:space="preserve">          JDH4-02-007-PR-2390</t>
  </si>
  <si>
    <t>Material Fabrication for Air Conditioning and Ventilation</t>
  </si>
  <si>
    <t xml:space="preserve">          JDH4-02-007-PR-2400</t>
  </si>
  <si>
    <t>Material Delivery for Air Conditioning and Ventilation</t>
  </si>
  <si>
    <t xml:space="preserve">        Fuel System</t>
  </si>
  <si>
    <t xml:space="preserve">          JDH4-02-007-PR-1870</t>
  </si>
  <si>
    <t>PO for Fuel System</t>
  </si>
  <si>
    <t xml:space="preserve">          JDH4-02-007-PR-1880</t>
  </si>
  <si>
    <t>Material Fabrication for Fuel System</t>
  </si>
  <si>
    <t xml:space="preserve">          JDH4-02-007-PR-1890</t>
  </si>
  <si>
    <t>Material Delivery for Fuel System</t>
  </si>
  <si>
    <t xml:space="preserve">        Fire Fighting System</t>
  </si>
  <si>
    <t xml:space="preserve">          JDH4-02-007-PR-2320</t>
  </si>
  <si>
    <t>PO for Fire Fighting System</t>
  </si>
  <si>
    <t xml:space="preserve">          JDH4-02-007-PR-2330</t>
  </si>
  <si>
    <t>Material Fabrication for Fire Fighting System</t>
  </si>
  <si>
    <t xml:space="preserve">          JDH4-02-007-PR-2340</t>
  </si>
  <si>
    <t>Material Delivery for Fire Fighting System</t>
  </si>
  <si>
    <t xml:space="preserve">        Security System (CCTV System)</t>
  </si>
  <si>
    <t xml:space="preserve">          JDH4-02-007-PR-2410</t>
  </si>
  <si>
    <t>PO for Security System (CCTV System)</t>
  </si>
  <si>
    <t xml:space="preserve">          JDH4-02-007-PR-2420</t>
  </si>
  <si>
    <t>Material Fabrication for Security System (CCTV System)</t>
  </si>
  <si>
    <t xml:space="preserve">          JDH4-02-007-PR-2430</t>
  </si>
  <si>
    <t>Material Delivery for Security System (CCTV System)</t>
  </si>
  <si>
    <t xml:space="preserve">        Valves / Chambers</t>
  </si>
  <si>
    <t xml:space="preserve">          JDH4-02-007-PR-1270</t>
  </si>
  <si>
    <t>PO for Valves / Chambers</t>
  </si>
  <si>
    <t xml:space="preserve">          JDH4-02-007-PR-1277</t>
  </si>
  <si>
    <t>Material Fabrication for Valves / Chambers  - Stage 1</t>
  </si>
  <si>
    <t xml:space="preserve">          JDH4-02-007-PR-1278</t>
  </si>
  <si>
    <t>Material Fabrication for Valves / Chambers  - Stage 2</t>
  </si>
  <si>
    <t xml:space="preserve">          JDH4-02-007-PR-1279</t>
  </si>
  <si>
    <t>Material Fabrication for Valves / Chambers  - Stage 3</t>
  </si>
  <si>
    <t xml:space="preserve">          JDH4-02-007-PR-1280</t>
  </si>
  <si>
    <t>Material Fabrication for Valves / Chambers  - Stage 4</t>
  </si>
  <si>
    <t xml:space="preserve">          JDH4-02-007-PR-1290</t>
  </si>
  <si>
    <t>Material Delivery for Valves / Chambers</t>
  </si>
  <si>
    <t xml:space="preserve">          JDH4-02-007-PR-1820</t>
  </si>
  <si>
    <t>Staging Time for Valves / Chambers</t>
  </si>
  <si>
    <t xml:space="preserve">        Risers</t>
  </si>
  <si>
    <t xml:space="preserve">          JDH4-02-007-PR-1900</t>
  </si>
  <si>
    <t>PO for Risers</t>
  </si>
  <si>
    <t xml:space="preserve">          JDH4-02-007-PR-1907</t>
  </si>
  <si>
    <t>Material Fabrication for Risers  - Stage 1</t>
  </si>
  <si>
    <t xml:space="preserve">          JDH4-02-007-PR-1908</t>
  </si>
  <si>
    <t>Material Fabrication for Risers  - Stage 2</t>
  </si>
  <si>
    <t xml:space="preserve">          JDH4-02-007-PR-1909</t>
  </si>
  <si>
    <t>Material Fabrication for Risers  - Stage 3</t>
  </si>
  <si>
    <t xml:space="preserve">          JDH4-02-007-PR-1910</t>
  </si>
  <si>
    <t>Material Fabrication for Risers  - Stage 4</t>
  </si>
  <si>
    <t xml:space="preserve">          JDH4-02-007-PR-1920</t>
  </si>
  <si>
    <t>Material Delivery for Risers</t>
  </si>
  <si>
    <t xml:space="preserve">          JDH4-02-007-PR-1930</t>
  </si>
  <si>
    <t>Staging Time for Risers</t>
  </si>
  <si>
    <t xml:space="preserve">          JDH4-02-007-PR-1240</t>
  </si>
  <si>
    <t xml:space="preserve">          JDH4-02-007-PR-1248</t>
  </si>
  <si>
    <t xml:space="preserve">          JDH4-02-007-PR-1249</t>
  </si>
  <si>
    <t xml:space="preserve">          JDH4-02-007-PR-1250</t>
  </si>
  <si>
    <t xml:space="preserve">          JDH4-02-007-PR-1260</t>
  </si>
  <si>
    <t xml:space="preserve">          JDH4-02-007-PR-1810</t>
  </si>
  <si>
    <t xml:space="preserve">        Fire Hydrants</t>
  </si>
  <si>
    <t xml:space="preserve">          JDH4-02-007-PR-2440</t>
  </si>
  <si>
    <t xml:space="preserve">          JDH4-02-007-PR-2447</t>
  </si>
  <si>
    <t>Material Fabrication for Fire Hydrant  - Stage 1</t>
  </si>
  <si>
    <t xml:space="preserve">          JDH4-02-007-PR-2448</t>
  </si>
  <si>
    <t>Material Fabrication for Fire Hydrant  - Stage 2</t>
  </si>
  <si>
    <t xml:space="preserve">          JDH4-02-007-PR-2449</t>
  </si>
  <si>
    <t>Material Fabrication for Fire Hydrant  - Stage 3</t>
  </si>
  <si>
    <t xml:space="preserve">          JDH4-02-007-PR-2450</t>
  </si>
  <si>
    <t>Material Fabrication for Fire Hydrant  - Stage 4</t>
  </si>
  <si>
    <t xml:space="preserve">          JDH4-02-007-PR-2460</t>
  </si>
  <si>
    <t xml:space="preserve">          JDH4-02-007-PR-2470</t>
  </si>
  <si>
    <t>Staging Time for Fire Hydrant</t>
  </si>
  <si>
    <t xml:space="preserve">          JDH4-02-007-PR-1000</t>
  </si>
  <si>
    <t xml:space="preserve">          JDH4-02-007-PR-1059</t>
  </si>
  <si>
    <t>Material Fabrication for Medium Voltage Cable  - Stage 1</t>
  </si>
  <si>
    <t xml:space="preserve">          JDH4-02-007-PR-1060</t>
  </si>
  <si>
    <t>Material Fabrication for Medium Voltage Cable  - Stage 2</t>
  </si>
  <si>
    <t xml:space="preserve">          JDH4-02-007-PR-1120</t>
  </si>
  <si>
    <t xml:space="preserve">          JDH4-02-007-PR-1750</t>
  </si>
  <si>
    <t>Staging Time for Medium Voltage Cable</t>
  </si>
  <si>
    <t xml:space="preserve">        Unit Sub Station</t>
  </si>
  <si>
    <t xml:space="preserve">          JDH4-02-007-PR-1010</t>
  </si>
  <si>
    <t>PO for Unit Sub-station</t>
  </si>
  <si>
    <t xml:space="preserve">          JDH4-02-007-PR-1067</t>
  </si>
  <si>
    <t>Material Fabrication for Unit Sub-station  - Stage 1</t>
  </si>
  <si>
    <t xml:space="preserve">          JDH4-02-007-PR-1068</t>
  </si>
  <si>
    <t>Material Fabrication for Unit Sub-station  - Stage 2</t>
  </si>
  <si>
    <t xml:space="preserve">          JDH4-02-007-PR-1069</t>
  </si>
  <si>
    <t>Material Fabrication for Unit Sub-station  - Stage 3</t>
  </si>
  <si>
    <t xml:space="preserve">          JDH4-02-007-PR-1070</t>
  </si>
  <si>
    <t>Material Fabrication for Unit Sub-station  - Stage 4</t>
  </si>
  <si>
    <t xml:space="preserve">          JDH4-02-007-PR-1130</t>
  </si>
  <si>
    <t>Material Delivery for Unit Sub-station</t>
  </si>
  <si>
    <t xml:space="preserve">          JDH4-02-007-PR-1760</t>
  </si>
  <si>
    <t>Staging Time for Unit Sub-station</t>
  </si>
  <si>
    <t xml:space="preserve">          JDH4-02-007-PR-1020</t>
  </si>
  <si>
    <t xml:space="preserve">          JDH4-02-007-PR-1078</t>
  </si>
  <si>
    <t>Material Fabrication for Low Voltage Cables  - Stage 1</t>
  </si>
  <si>
    <t xml:space="preserve">          JDH4-02-007-PR-1079</t>
  </si>
  <si>
    <t>Material Fabrication for Low Voltage Cables  - Stage 2</t>
  </si>
  <si>
    <t xml:space="preserve">          JDH4-02-007-PR-1080</t>
  </si>
  <si>
    <t>Material Fabrication for Low Voltage Cables  - Stage 3</t>
  </si>
  <si>
    <t xml:space="preserve">          JDH4-02-007-PR-1140</t>
  </si>
  <si>
    <t xml:space="preserve">          JDH4-02-007-PR-1770</t>
  </si>
  <si>
    <t>Staging Time for Low Voltage Cables</t>
  </si>
  <si>
    <t xml:space="preserve">          JDH4-02-007-PR-1940</t>
  </si>
  <si>
    <t xml:space="preserve">          JDH4-02-007-PR-1948</t>
  </si>
  <si>
    <t>Material Fabrication for Ring Main Unit  - Stage 1</t>
  </si>
  <si>
    <t xml:space="preserve">          JDH4-02-007-PR-1949</t>
  </si>
  <si>
    <t>Material Fabrication for Ring Main Unit  - Stage 2</t>
  </si>
  <si>
    <t xml:space="preserve">          JDH4-02-007-PR-1950</t>
  </si>
  <si>
    <t>Material Fabrication for Ring Main Unit  - Stage 3</t>
  </si>
  <si>
    <t xml:space="preserve">          JDH4-02-007-PR-1960</t>
  </si>
  <si>
    <t xml:space="preserve">          JDH4-02-007-PR-1970</t>
  </si>
  <si>
    <t>Staging Time for Ring Main Unit</t>
  </si>
  <si>
    <t xml:space="preserve">          JDH4-02-007-PR-1030</t>
  </si>
  <si>
    <t xml:space="preserve">          JDH4-02-007-PR-1088</t>
  </si>
  <si>
    <t>Material Fabrication for Lighting poles  - Stage 1</t>
  </si>
  <si>
    <t xml:space="preserve">          JDH4-02-007-PR-1089</t>
  </si>
  <si>
    <t>Material Fabrication for Lighting poles  - Stage 2</t>
  </si>
  <si>
    <t xml:space="preserve">          JDH4-02-007-PR-1090</t>
  </si>
  <si>
    <t>Material Fabrication for Lighting poles  - Stage 3</t>
  </si>
  <si>
    <t xml:space="preserve">          JDH4-02-007-PR-1150</t>
  </si>
  <si>
    <t xml:space="preserve">          JDH4-02-007-PR-1780</t>
  </si>
  <si>
    <t>Staging Time for Lighting poles</t>
  </si>
  <si>
    <t xml:space="preserve">          JDH4-02-007-PR-1040</t>
  </si>
  <si>
    <t xml:space="preserve">          JDH4-02-007-PR-1098</t>
  </si>
  <si>
    <t>Material Fabrication for Street Lighting Luminaire  - Stage 1</t>
  </si>
  <si>
    <t xml:space="preserve">          JDH4-02-007-PR-1099</t>
  </si>
  <si>
    <t>Material Fabrication for Street Lighting Luminaire  - Stage 2</t>
  </si>
  <si>
    <t xml:space="preserve">          JDH4-02-007-PR-1100</t>
  </si>
  <si>
    <t>Material Fabrication for Street Lighting Luminaire  - Stage 3</t>
  </si>
  <si>
    <t xml:space="preserve">          JDH4-02-007-PR-1160</t>
  </si>
  <si>
    <t xml:space="preserve">          JDH4-02-007-PR-1790</t>
  </si>
  <si>
    <t>Staging Time for Street Lighting Luminaire</t>
  </si>
  <si>
    <t xml:space="preserve">        Lighting panels/Feeder Pillers</t>
  </si>
  <si>
    <t xml:space="preserve">          JDH4-02-007-PR-1050</t>
  </si>
  <si>
    <t>PO for Lighting Panels/Feeder Pillers</t>
  </si>
  <si>
    <t xml:space="preserve">          JDH4-02-007-PR-1108</t>
  </si>
  <si>
    <t>Material Fabrication for Lighting Panels/Feeder Pillers  - Stage 1</t>
  </si>
  <si>
    <t xml:space="preserve">          JDH4-02-007-PR-1109</t>
  </si>
  <si>
    <t>Material Fabrication for Lighting Panels/Feeder Pillers  - Stage 2</t>
  </si>
  <si>
    <t xml:space="preserve">          JDH4-02-007-PR-1110</t>
  </si>
  <si>
    <t>Material Fabrication for Lighting Panels/Feeder Pillers  - Stage 3</t>
  </si>
  <si>
    <t xml:space="preserve">          JDH4-02-007-PR-1170</t>
  </si>
  <si>
    <t>Material Delivery for Lighting Panels/Feeder Pillers</t>
  </si>
  <si>
    <t xml:space="preserve">          JDH4-02-007-PR-1800</t>
  </si>
  <si>
    <t>Staging Time for Lighting Panels/Feeder Pillers</t>
  </si>
  <si>
    <t xml:space="preserve">        Low Voltage Distribution Panels</t>
  </si>
  <si>
    <t xml:space="preserve">          JDH4-02-007-PR-2480</t>
  </si>
  <si>
    <t>PO for Low Voltage Distribution Panels</t>
  </si>
  <si>
    <t xml:space="preserve">          JDH4-02-007-PR-2488</t>
  </si>
  <si>
    <t>Material Fabrication for Low Voltage Distribution Panels  - Stage 1</t>
  </si>
  <si>
    <t xml:space="preserve">          JDH4-02-007-PR-2489</t>
  </si>
  <si>
    <t>Material Fabrication for Low Voltage Distribution Panels  - Stage 2</t>
  </si>
  <si>
    <t xml:space="preserve">          JDH4-02-007-PR-2490</t>
  </si>
  <si>
    <t>Material Fabrication for Low Voltage Distribution Panels  - Stage 3</t>
  </si>
  <si>
    <t xml:space="preserve">          JDH4-02-007-PR-2500</t>
  </si>
  <si>
    <t>Material Delivery for Low Voltage Distribution Panels</t>
  </si>
  <si>
    <t xml:space="preserve">          JDH4-02-007-PR-2510</t>
  </si>
  <si>
    <t>Staging Time for Low Voltage Distribution Panels</t>
  </si>
  <si>
    <t xml:space="preserve">        Odours scrubbing system</t>
  </si>
  <si>
    <t xml:space="preserve">          JDH4-02-007-PR-1990</t>
  </si>
  <si>
    <t>PO for Odours scrubbing system</t>
  </si>
  <si>
    <t xml:space="preserve">          JDH4-02-007-PR-2037</t>
  </si>
  <si>
    <t>Material Fabrication for Odours scrubbing system  - Stage 1</t>
  </si>
  <si>
    <t xml:space="preserve">          JDH4-02-007-PR-2038</t>
  </si>
  <si>
    <t>Material Fabrication for Odours scrubbing system  - Stage 2</t>
  </si>
  <si>
    <t xml:space="preserve">          JDH4-02-007-PR-2039</t>
  </si>
  <si>
    <t>Material Fabrication for Odours scrubbing system  - Stage 3</t>
  </si>
  <si>
    <t xml:space="preserve">          JDH4-02-007-PR-2040</t>
  </si>
  <si>
    <t>Material Fabrication for Odours scrubbing system  - Stage 4</t>
  </si>
  <si>
    <t xml:space="preserve">          JDH4-02-007-PR-2090</t>
  </si>
  <si>
    <t>Material Delivery for Odours scrubbing system</t>
  </si>
  <si>
    <t xml:space="preserve">          JDH4-02-007-PR-2140</t>
  </si>
  <si>
    <t>Staging Time for Odours scrubbing system</t>
  </si>
  <si>
    <t xml:space="preserve">        Crane</t>
  </si>
  <si>
    <t xml:space="preserve">          JDH4-02-007-PR-2180</t>
  </si>
  <si>
    <t>PO for Crane</t>
  </si>
  <si>
    <t xml:space="preserve">          JDH4-02-007-PR-2187</t>
  </si>
  <si>
    <t>Material Fabrication for Crane  - Stage 1</t>
  </si>
  <si>
    <t xml:space="preserve">          JDH4-02-007-PR-2188</t>
  </si>
  <si>
    <t>Material Fabrication for Crane  - Stage 2</t>
  </si>
  <si>
    <t xml:space="preserve">          JDH4-02-007-PR-2189</t>
  </si>
  <si>
    <t>Material Fabrication for Crane  - Stage 3</t>
  </si>
  <si>
    <t xml:space="preserve">          JDH4-02-007-PR-2190</t>
  </si>
  <si>
    <t>Material Fabrication for Crane  - Stage 4</t>
  </si>
  <si>
    <t xml:space="preserve">          JDH4-02-007-PR-2200</t>
  </si>
  <si>
    <t>Material Delivery for Crane</t>
  </si>
  <si>
    <t xml:space="preserve">          JDH4-02-007-PR-2210</t>
  </si>
  <si>
    <t>Staging Time for Crane</t>
  </si>
  <si>
    <t xml:space="preserve">        Air Vents</t>
  </si>
  <si>
    <t xml:space="preserve">          JDH4-02-007-PR-2000</t>
  </si>
  <si>
    <t>PO for Air Vents</t>
  </si>
  <si>
    <t xml:space="preserve">          JDH4-02-007-PR-2045</t>
  </si>
  <si>
    <t>Material Fabrication for Air Vents  - Stage 1</t>
  </si>
  <si>
    <t xml:space="preserve">          JDH4-02-007-PR-2046</t>
  </si>
  <si>
    <t>Material Fabrication for Air Vents  - Stage 2</t>
  </si>
  <si>
    <t xml:space="preserve">          JDH4-02-007-PR-2047</t>
  </si>
  <si>
    <t>Material Fabrication for Air Vents  - Stage 3</t>
  </si>
  <si>
    <t xml:space="preserve">          JDH4-02-007-PR-2048</t>
  </si>
  <si>
    <t>Material Fabrication for Air Vents  - Stage 4</t>
  </si>
  <si>
    <t xml:space="preserve">          JDH4-02-007-PR-2049</t>
  </si>
  <si>
    <t>Material Fabrication for Air Vents  - Stage 5</t>
  </si>
  <si>
    <t xml:space="preserve">          JDH4-02-007-PR-2050</t>
  </si>
  <si>
    <t>Material Fabrication for Air Vents  - Stage 6</t>
  </si>
  <si>
    <t xml:space="preserve">          JDH4-02-007-PR-2100</t>
  </si>
  <si>
    <t>Material Delivery for Air Vents</t>
  </si>
  <si>
    <t xml:space="preserve">          JDH4-02-007-PR-2150</t>
  </si>
  <si>
    <t>Staging Time for Air Vents</t>
  </si>
  <si>
    <t xml:space="preserve">        Screening Container</t>
  </si>
  <si>
    <t xml:space="preserve">          JDH4-02-007-PR-2220</t>
  </si>
  <si>
    <t>PO for Screening Container</t>
  </si>
  <si>
    <t xml:space="preserve">          JDH4-02-007-PR-2225</t>
  </si>
  <si>
    <t>Material Fabrication for Screening Container  - Stage 1</t>
  </si>
  <si>
    <t xml:space="preserve">          JDH4-02-007-PR-2226</t>
  </si>
  <si>
    <t>Material Fabrication for Screening Container  - Stage 2</t>
  </si>
  <si>
    <t xml:space="preserve">          JDH4-02-007-PR-2227</t>
  </si>
  <si>
    <t>Material Fabrication for Screening Container  - Stage 3</t>
  </si>
  <si>
    <t xml:space="preserve">          JDH4-02-007-PR-2228</t>
  </si>
  <si>
    <t>Material Fabrication for Screening Container  - Stage 4</t>
  </si>
  <si>
    <t xml:space="preserve">          JDH4-02-007-PR-2229</t>
  </si>
  <si>
    <t>Material Fabrication for Screening Container  - Stage 5</t>
  </si>
  <si>
    <t xml:space="preserve">          JDH4-02-007-PR-2230</t>
  </si>
  <si>
    <t>Material Fabrication for Screening Container  - Stage 6</t>
  </si>
  <si>
    <t xml:space="preserve">          JDH4-02-007-PR-2240</t>
  </si>
  <si>
    <t>Material Delivery for Screening Container</t>
  </si>
  <si>
    <t xml:space="preserve">          JDH4-02-007-PR-2250</t>
  </si>
  <si>
    <t>Staging Time for Screening Container</t>
  </si>
  <si>
    <t xml:space="preserve">        Baffle Plates</t>
  </si>
  <si>
    <t xml:space="preserve">          JDH4-02-007-PR-2010</t>
  </si>
  <si>
    <t>PO for Baffle Plates</t>
  </si>
  <si>
    <t xml:space="preserve">          JDH4-02-007-PR-2057</t>
  </si>
  <si>
    <t>Material Fabrication for Baffle Plates  - Stage 1</t>
  </si>
  <si>
    <t xml:space="preserve">          JDH4-02-007-PR-2058</t>
  </si>
  <si>
    <t>Material Fabrication for Baffle Plates  - Stage 2</t>
  </si>
  <si>
    <t xml:space="preserve">          JDH4-02-007-PR-2059</t>
  </si>
  <si>
    <t>Material Fabrication for Baffle Plates  - Stage 3</t>
  </si>
  <si>
    <t xml:space="preserve">          JDH4-02-007-PR-2060</t>
  </si>
  <si>
    <t>Material Fabrication for Baffle Plates  - Stage 4</t>
  </si>
  <si>
    <t xml:space="preserve">          JDH4-02-007-PR-2110</t>
  </si>
  <si>
    <t>Material Delivery for Baffle Plates</t>
  </si>
  <si>
    <t xml:space="preserve">          JDH4-02-007-PR-2160</t>
  </si>
  <si>
    <t>Staging Time for Baffle Plates</t>
  </si>
  <si>
    <t xml:space="preserve">        Anti-Water Hammer Equipment</t>
  </si>
  <si>
    <t xml:space="preserve">          JDH4-02-007-PR-2020</t>
  </si>
  <si>
    <t>PO for Anti-Water Hammer Equipment</t>
  </si>
  <si>
    <t xml:space="preserve">          JDH4-02-007-PR-2065</t>
  </si>
  <si>
    <t>Material Fabrication for Anti-Water Hammer Equipment  - Stage 1</t>
  </si>
  <si>
    <t xml:space="preserve">          JDH4-02-007-PR-2066</t>
  </si>
  <si>
    <t>Material Fabrication for Anti-Water Hammer Equipment  - Stage 2</t>
  </si>
  <si>
    <t xml:space="preserve">          JDH4-02-007-PR-2067</t>
  </si>
  <si>
    <t>Material Fabrication for Anti-Water Hammer Equipment  - Stage 3</t>
  </si>
  <si>
    <t xml:space="preserve">          JDH4-02-007-PR-2068</t>
  </si>
  <si>
    <t>Material Fabrication for Anti-Water Hammer Equipment  - Stage 4</t>
  </si>
  <si>
    <t xml:space="preserve">          JDH4-02-007-PR-2069</t>
  </si>
  <si>
    <t>Material Fabrication for Anti-Water Hammer Equipment  - Stage 5</t>
  </si>
  <si>
    <t xml:space="preserve">          JDH4-02-007-PR-2070</t>
  </si>
  <si>
    <t>Material Fabrication for Anti-Water Hammer Equipment  - Stage 6</t>
  </si>
  <si>
    <t xml:space="preserve">          JDH4-02-007-PR-2120</t>
  </si>
  <si>
    <t>Material Delivery for Anti-Water Hammer Equipment</t>
  </si>
  <si>
    <t xml:space="preserve">          JDH4-02-007-PR-2170</t>
  </si>
  <si>
    <t>Staging Time for Anti-Water Hammer Equipment</t>
  </si>
  <si>
    <t xml:space="preserve">        Pumps</t>
  </si>
  <si>
    <t xml:space="preserve">          JDH4-02-007-PR-1980</t>
  </si>
  <si>
    <t>PO for Pumps</t>
  </si>
  <si>
    <t xml:space="preserve">          JDH4-02-007-PR-2026</t>
  </si>
  <si>
    <t>Material Fabrication for Pumps  - Stage 1</t>
  </si>
  <si>
    <t xml:space="preserve">          JDH4-02-007-PR-2027</t>
  </si>
  <si>
    <t>Material Fabrication for Pumps  - Stage 2</t>
  </si>
  <si>
    <t xml:space="preserve">          JDH4-02-007-PR-2028</t>
  </si>
  <si>
    <t>Material Fabrication for Pumps  - Stage 3</t>
  </si>
  <si>
    <t xml:space="preserve">          JDH4-02-007-PR-2029</t>
  </si>
  <si>
    <t>Material Fabrication for Pumps  - Stage 4</t>
  </si>
  <si>
    <t xml:space="preserve">          JDH4-02-007-PR-2030</t>
  </si>
  <si>
    <t>Material Fabrication for Pumps  - Stage 5</t>
  </si>
  <si>
    <t xml:space="preserve">          JDH4-02-007-PR-2080</t>
  </si>
  <si>
    <t>Material Delivery for Pumps</t>
  </si>
  <si>
    <t xml:space="preserve">          JDH4-02-007-PR-2130</t>
  </si>
  <si>
    <t>Staging Time for Pumps</t>
  </si>
  <si>
    <t xml:space="preserve">        Main Distribution Board /MCC panels</t>
  </si>
  <si>
    <t xml:space="preserve">          JDH4-02-007-PR-2530</t>
  </si>
  <si>
    <t>PO for Main Distribution Board / MCC panels</t>
  </si>
  <si>
    <t xml:space="preserve">          JDH4-02-007-PR-2567</t>
  </si>
  <si>
    <t>Material Fabrication for Main Distribution Board / MCC panels  - Stage 1</t>
  </si>
  <si>
    <t xml:space="preserve">          JDH4-02-007-PR-2568</t>
  </si>
  <si>
    <t>Material Fabrication for Main Distribution Board / MCC panels  - Stage 2</t>
  </si>
  <si>
    <t xml:space="preserve">          JDH4-02-007-PR-2569</t>
  </si>
  <si>
    <t>Material Fabrication for Main Distribution Board / MCC panels  - Stage 3</t>
  </si>
  <si>
    <t xml:space="preserve">          JDH4-02-007-PR-2570</t>
  </si>
  <si>
    <t>Material Fabrication for Main Distribution Board / MCC panels  - Stage 4</t>
  </si>
  <si>
    <t xml:space="preserve">          JDH4-02-007-PR-2610</t>
  </si>
  <si>
    <t>Material Delivery for Main Distribution Board / MCC panels</t>
  </si>
  <si>
    <t xml:space="preserve">          JDH4-02-007-PR-2650</t>
  </si>
  <si>
    <t>Staging Time for Main Distribution Board / MCC panels</t>
  </si>
  <si>
    <t xml:space="preserve">        Final Panel boards</t>
  </si>
  <si>
    <t xml:space="preserve">          JDH4-02-007-PR-2680</t>
  </si>
  <si>
    <t>PO for Final Panel Boards</t>
  </si>
  <si>
    <t xml:space="preserve">          JDH4-02-007-PR-2687</t>
  </si>
  <si>
    <t>Material Fabrication for Final Panel Boards  - Stage 1</t>
  </si>
  <si>
    <t xml:space="preserve">          JDH4-02-007-PR-2688</t>
  </si>
  <si>
    <t>Material Fabrication for Final Panel Boards  - Stage 2</t>
  </si>
  <si>
    <t xml:space="preserve">          JDH4-02-007-PR-2689</t>
  </si>
  <si>
    <t>Material Fabrication for Final Panel Boards  - Stage 3</t>
  </si>
  <si>
    <t xml:space="preserve">          JDH4-02-007-PR-2690</t>
  </si>
  <si>
    <t>Material Fabrication for Final Panel Boards  - Stage 4</t>
  </si>
  <si>
    <t xml:space="preserve">          JDH4-02-007-PR-2700</t>
  </si>
  <si>
    <t>Material Delivery for Final Panel Boards</t>
  </si>
  <si>
    <t xml:space="preserve">          JDH4-02-007-PR-2710</t>
  </si>
  <si>
    <t>Staging Time for Final Panel Boards</t>
  </si>
  <si>
    <t xml:space="preserve">        Local Control Panel/ Monitoring Control Panel</t>
  </si>
  <si>
    <t xml:space="preserve">          JDH4-02-007-PR-2540</t>
  </si>
  <si>
    <t>PO for Local Control Panel/ Monitoring Control Panel</t>
  </si>
  <si>
    <t xml:space="preserve">          JDH4-02-007-PR-2576</t>
  </si>
  <si>
    <t>Material Fabrication for Local Control Panel/ Monitoring Control Panel  - Stage 1</t>
  </si>
  <si>
    <t xml:space="preserve">          JDH4-02-007-PR-2577</t>
  </si>
  <si>
    <t>Material Fabrication for Local Control Panel/ Monitoring Control Panel  - Stage 2</t>
  </si>
  <si>
    <t xml:space="preserve">          JDH4-02-007-PR-2578</t>
  </si>
  <si>
    <t>Material Fabrication for Local Control Panel/ Monitoring Control Panel  - Stage 3</t>
  </si>
  <si>
    <t xml:space="preserve">          JDH4-02-007-PR-2579</t>
  </si>
  <si>
    <t>Material Fabrication for Local Control Panel/ Monitoring Control Panel  - Stage 4</t>
  </si>
  <si>
    <t xml:space="preserve">          JDH4-02-007-PR-2580</t>
  </si>
  <si>
    <t>Material Fabrication for Local Control Panel/ Monitoring Control Panel  - Stage 5</t>
  </si>
  <si>
    <t xml:space="preserve">          JDH4-02-007-PR-2620</t>
  </si>
  <si>
    <t>Material Delivery for Local Control Panel/ Monitoring Control Panel</t>
  </si>
  <si>
    <t xml:space="preserve">          JDH4-02-007-PR-2660</t>
  </si>
  <si>
    <t>Staging Time for Local Control Panel/ Monitoring Control Panel</t>
  </si>
  <si>
    <t xml:space="preserve">        Engine Generators</t>
  </si>
  <si>
    <t xml:space="preserve">          JDH4-02-007-PR-2720</t>
  </si>
  <si>
    <t>PO for Engine Generators</t>
  </si>
  <si>
    <t xml:space="preserve">          JDH4-02-007-PR-2726</t>
  </si>
  <si>
    <t>Material Fabrication for Engine Generators - Stage 1</t>
  </si>
  <si>
    <t xml:space="preserve">          JDH4-02-007-PR-2727</t>
  </si>
  <si>
    <t>Material Fabrication for Engine Generators - Stage 2</t>
  </si>
  <si>
    <t xml:space="preserve">          JDH4-02-007-PR-2728</t>
  </si>
  <si>
    <t>Material Fabrication for Engine Generators - Stage 3</t>
  </si>
  <si>
    <t xml:space="preserve">          JDH4-02-007-PR-2729</t>
  </si>
  <si>
    <t>Material Fabrication for Engine Generators - Stage 4</t>
  </si>
  <si>
    <t xml:space="preserve">          JDH4-02-007-PR-2730</t>
  </si>
  <si>
    <t>Material Fabrication for Engine Generators - Stage 5</t>
  </si>
  <si>
    <t xml:space="preserve">          JDH4-02-007-PR-2740</t>
  </si>
  <si>
    <t>Material Delivery for Engine Generators</t>
  </si>
  <si>
    <t xml:space="preserve">          JDH4-02-007-PR-2750</t>
  </si>
  <si>
    <t>Staging Time for Engine Generators</t>
  </si>
  <si>
    <t xml:space="preserve">        Standby Diesel Generator</t>
  </si>
  <si>
    <t xml:space="preserve">          JDH4-02-007-PR-2550</t>
  </si>
  <si>
    <t>PO for Standby Diesel Generator</t>
  </si>
  <si>
    <t xml:space="preserve">          JDH4-02-007-PR-2587</t>
  </si>
  <si>
    <t>Material Fabrication for Standby Diesel Generator  - Stage 1</t>
  </si>
  <si>
    <t xml:space="preserve">          JDH4-02-007-PR-2588</t>
  </si>
  <si>
    <t>Material Fabrication for Standby Diesel Generator  - Stage 2</t>
  </si>
  <si>
    <t xml:space="preserve">          JDH4-02-007-PR-2589</t>
  </si>
  <si>
    <t>Material Fabrication for Standby Diesel Generator  - Stage 3</t>
  </si>
  <si>
    <t xml:space="preserve">          JDH4-02-007-PR-2590</t>
  </si>
  <si>
    <t>Material Fabrication for Standby Diesel Generator  - Stage 4</t>
  </si>
  <si>
    <t xml:space="preserve">          JDH4-02-007-PR-2630</t>
  </si>
  <si>
    <t>Material Delivery for Standby Diesel Generator</t>
  </si>
  <si>
    <t xml:space="preserve">          JDH4-02-007-PR-2670</t>
  </si>
  <si>
    <t>Staging Time for Standby Diesel Generator</t>
  </si>
  <si>
    <t xml:space="preserve">        Power Factor Correction Capacitor Bank</t>
  </si>
  <si>
    <t xml:space="preserve">          JDH4-02-007-PR-2760</t>
  </si>
  <si>
    <t>PO for Power Factor Correction Capacitor Bank</t>
  </si>
  <si>
    <t xml:space="preserve">          JDH4-02-007-PR-2795</t>
  </si>
  <si>
    <t>Material Fabrication for Power Factor Correction Capacitor Bank - Stage 1</t>
  </si>
  <si>
    <t xml:space="preserve">          JDH4-02-007-PR-2796</t>
  </si>
  <si>
    <t>Material Fabrication for Power Factor Correction Capacitor Bank - Stage 2</t>
  </si>
  <si>
    <t xml:space="preserve">          JDH4-02-007-PR-2797</t>
  </si>
  <si>
    <t>Material Fabrication for Power Factor Correction Capacitor Bank - Stage 3</t>
  </si>
  <si>
    <t xml:space="preserve">          JDH4-02-007-PR-2798</t>
  </si>
  <si>
    <t>Material Fabrication for Power Factor Correction Capacitor Bank - Stage 4</t>
  </si>
  <si>
    <t xml:space="preserve">          JDH4-02-007-PR-2799</t>
  </si>
  <si>
    <t>Material Fabrication for Power Factor Correction Capacitor Bank - Stage 5</t>
  </si>
  <si>
    <t xml:space="preserve">          JDH4-02-007-PR-2800</t>
  </si>
  <si>
    <t>Material Fabrication for Power Factor Correction Capacitor Bank - Stage 6</t>
  </si>
  <si>
    <t xml:space="preserve">          JDH4-02-007-PR-2840</t>
  </si>
  <si>
    <t>Material Delivery for Power Factor Correction Capacitor Bank</t>
  </si>
  <si>
    <t xml:space="preserve">          JDH4-02-007-PR-2880</t>
  </si>
  <si>
    <t>Staging Time for Power Factor Correction Capacitor Bank</t>
  </si>
  <si>
    <t xml:space="preserve">        Low-Voltage Electrical Power Conductors and Cables</t>
  </si>
  <si>
    <t xml:space="preserve">          JDH4-02-007-PR-2770</t>
  </si>
  <si>
    <t>PO for  Low-Voltage Electrical Power Conductors and Cables</t>
  </si>
  <si>
    <t xml:space="preserve">          JDH4-02-007-PR-2807</t>
  </si>
  <si>
    <t>Material Fabrication for  Low-Voltage Electrical Power Conductors and Cables  - Stage 1</t>
  </si>
  <si>
    <t xml:space="preserve">          JDH4-02-007-PR-2808</t>
  </si>
  <si>
    <t>Material Fabrication for  Low-Voltage Electrical Power Conductors and Cables  - Stage 2</t>
  </si>
  <si>
    <t xml:space="preserve">          JDH4-02-007-PR-2809</t>
  </si>
  <si>
    <t>Material Fabrication for  Low-Voltage Electrical Power Conductors and Cables  - Stage 3</t>
  </si>
  <si>
    <t xml:space="preserve">          JDH4-02-007-PR-2810</t>
  </si>
  <si>
    <t>Material Fabrication for  Low-Voltage Electrical Power Conductors and Cables  - Stage 4</t>
  </si>
  <si>
    <t xml:space="preserve">          JDH4-02-007-PR-2850</t>
  </si>
  <si>
    <t>Material Delivery for  Low-Voltage Electrical Power Conductors and Cables</t>
  </si>
  <si>
    <t xml:space="preserve">          JDH4-02-007-PR-2890</t>
  </si>
  <si>
    <t>Staging Time for  Low-Voltage Electrical Power Conductors and Cables</t>
  </si>
  <si>
    <t xml:space="preserve">        Low Voltage Feeder Cable</t>
  </si>
  <si>
    <t xml:space="preserve">          JDH4-02-007-PR-2920</t>
  </si>
  <si>
    <t>PO for Low Voltage Feeder Cable</t>
  </si>
  <si>
    <t xml:space="preserve">          JDH4-02-007-PR-2927</t>
  </si>
  <si>
    <t>Material Fabrication for Low Voltage Feeder Cable - Stage 1</t>
  </si>
  <si>
    <t xml:space="preserve">          JDH4-02-007-PR-2928</t>
  </si>
  <si>
    <t>Material Fabrication for Low Voltage Feeder Cable - Stage 2</t>
  </si>
  <si>
    <t xml:space="preserve">          JDH4-02-007-PR-2929</t>
  </si>
  <si>
    <t>Material Fabrication for Low Voltage Feeder Cable - Stage 3</t>
  </si>
  <si>
    <t xml:space="preserve">          JDH4-02-007-PR-2930</t>
  </si>
  <si>
    <t>Material Fabrication for Low Voltage Feeder Cable - Stage 4</t>
  </si>
  <si>
    <t xml:space="preserve">          JDH4-02-007-PR-2940</t>
  </si>
  <si>
    <t>Material Delivery for Low Voltage Feeder Cable</t>
  </si>
  <si>
    <t xml:space="preserve">          JDH4-02-007-PR-2950</t>
  </si>
  <si>
    <t>Staging Time for Low Voltage Feeder Cable</t>
  </si>
  <si>
    <t xml:space="preserve">        Wiring Devices</t>
  </si>
  <si>
    <t xml:space="preserve">          JDH4-02-007-PR-2780</t>
  </si>
  <si>
    <t>PO for Wiring Devices</t>
  </si>
  <si>
    <t xml:space="preserve">          JDH4-02-007-PR-2815</t>
  </si>
  <si>
    <t>Material Fabrication for Wiring Devices - Stage 1</t>
  </si>
  <si>
    <t xml:space="preserve">          JDH4-02-007-PR-2816</t>
  </si>
  <si>
    <t>Material Fabrication for Wiring Devices - Stage 2</t>
  </si>
  <si>
    <t xml:space="preserve">          JDH4-02-007-PR-2817</t>
  </si>
  <si>
    <t>Material Fabrication for Wiring Devices - Stage 3</t>
  </si>
  <si>
    <t xml:space="preserve">          JDH4-02-007-PR-2818</t>
  </si>
  <si>
    <t>Material Fabrication for Wiring Devices - Stage 4</t>
  </si>
  <si>
    <t xml:space="preserve">          JDH4-02-007-PR-2819</t>
  </si>
  <si>
    <t>Material Fabrication for Wiring Devices - Stage 5</t>
  </si>
  <si>
    <t xml:space="preserve">          JDH4-02-007-PR-2820</t>
  </si>
  <si>
    <t>Material Fabrication for Wiring Devices - Stage 6</t>
  </si>
  <si>
    <t xml:space="preserve">          JDH4-02-007-PR-2860</t>
  </si>
  <si>
    <t>Material Delivery for Wiring Devices</t>
  </si>
  <si>
    <t xml:space="preserve">          JDH4-02-007-PR-2900</t>
  </si>
  <si>
    <t>Staging Time for Wiring Devices</t>
  </si>
  <si>
    <t xml:space="preserve">        Enclosed Switches and Circuit Breakers</t>
  </si>
  <si>
    <t xml:space="preserve">          JDH4-02-007-PR-2960</t>
  </si>
  <si>
    <t>PO for Enclosed Switches and Circuit Breakers</t>
  </si>
  <si>
    <t xml:space="preserve">          JDH4-02-007-PR-2965</t>
  </si>
  <si>
    <t>Material Fabrication for Enclosed Switches and Circuit Breakers - Stage 1</t>
  </si>
  <si>
    <t xml:space="preserve">          JDH4-02-007-PR-2966</t>
  </si>
  <si>
    <t>Material Fabrication for Enclosed Switches and Circuit Breakers - Stage 2</t>
  </si>
  <si>
    <t xml:space="preserve">          JDH4-02-007-PR-2967</t>
  </si>
  <si>
    <t>Material Fabrication for Enclosed Switches and Circuit Breakers - Stage 3</t>
  </si>
  <si>
    <t xml:space="preserve">          JDH4-02-007-PR-2968</t>
  </si>
  <si>
    <t>Material Fabrication for Enclosed Switches and Circuit Breakers - Stage 4</t>
  </si>
  <si>
    <t xml:space="preserve">          JDH4-02-007-PR-2969</t>
  </si>
  <si>
    <t>Material Fabrication for Enclosed Switches and Circuit Breakers - Stage 5</t>
  </si>
  <si>
    <t xml:space="preserve">          JDH4-02-007-PR-2970</t>
  </si>
  <si>
    <t>Material Fabrication for Enclosed Switches and Circuit Breakers - Stage 6</t>
  </si>
  <si>
    <t xml:space="preserve">          JDH4-02-007-PR-2980</t>
  </si>
  <si>
    <t>Material Delivery for Enclosed Switches and Circuit Breakers</t>
  </si>
  <si>
    <t xml:space="preserve">          JDH4-02-007-PR-2990</t>
  </si>
  <si>
    <t>Staging Time for Enclosed Switches and Circuit Breakers</t>
  </si>
  <si>
    <t xml:space="preserve">        Raceways for Electrical Systems</t>
  </si>
  <si>
    <t xml:space="preserve">          JDH4-02-007-PR-2790</t>
  </si>
  <si>
    <t>PO for Raceways for Electrical Systems</t>
  </si>
  <si>
    <t xml:space="preserve">          JDH4-02-007-PR-2827</t>
  </si>
  <si>
    <t>Material Fabrication for Raceways for Electrical Systems - Stage 1</t>
  </si>
  <si>
    <t xml:space="preserve">          JDH4-02-007-PR-2828</t>
  </si>
  <si>
    <t>Material Fabrication for Raceways for Electrical Systems - Stage 2</t>
  </si>
  <si>
    <t xml:space="preserve">          JDH4-02-007-PR-2829</t>
  </si>
  <si>
    <t>Material Fabrication for Raceways for Electrical Systems - Stage 3</t>
  </si>
  <si>
    <t xml:space="preserve">          JDH4-02-007-PR-2830</t>
  </si>
  <si>
    <t>Material Fabrication for Raceways for Electrical Systems - Stage 4</t>
  </si>
  <si>
    <t xml:space="preserve">          JDH4-02-007-PR-2870</t>
  </si>
  <si>
    <t>Material Delivery for Raceways for Electrical Systems</t>
  </si>
  <si>
    <t xml:space="preserve">          JDH4-02-007-PR-2910</t>
  </si>
  <si>
    <t>Staging Time for Raceways for Electrical Systems</t>
  </si>
  <si>
    <t xml:space="preserve">        Electrical Manholes</t>
  </si>
  <si>
    <t xml:space="preserve">          JDH4-02-007-PR-2520</t>
  </si>
  <si>
    <t>PO for Electrical Manholes</t>
  </si>
  <si>
    <t xml:space="preserve">          JDH4-02-007-PR-2555</t>
  </si>
  <si>
    <t>Material Fabrication for Electrical Manholes  - Stage 1</t>
  </si>
  <si>
    <t xml:space="preserve">          JDH4-02-007-PR-2556</t>
  </si>
  <si>
    <t>Material Fabrication for Electrical Manholes  - Stage 2</t>
  </si>
  <si>
    <t xml:space="preserve">          JDH4-02-007-PR-2557</t>
  </si>
  <si>
    <t>Material Fabrication for Electrical Manholes  - Stage 3</t>
  </si>
  <si>
    <t xml:space="preserve">          JDH4-02-007-PR-2558</t>
  </si>
  <si>
    <t>Material Fabrication for Electrical Manholes  - Stage 4</t>
  </si>
  <si>
    <t xml:space="preserve">          JDH4-02-007-PR-2559</t>
  </si>
  <si>
    <t>Material Fabrication for Electrical Manholes  - Stage 5</t>
  </si>
  <si>
    <t xml:space="preserve">          JDH4-02-007-PR-2560</t>
  </si>
  <si>
    <t>Material Fabrication for Electrical Manholes  - Stage 6</t>
  </si>
  <si>
    <t xml:space="preserve">          JDH4-02-007-PR-2600</t>
  </si>
  <si>
    <t>Material Delivery for Electrical Manholes</t>
  </si>
  <si>
    <t xml:space="preserve">          JDH4-02-007-PR-2640</t>
  </si>
  <si>
    <t>Staging Time for Electrical Manholes</t>
  </si>
  <si>
    <t xml:space="preserve">        ICT (Data&amp; telephone System)</t>
  </si>
  <si>
    <t xml:space="preserve">          JDH4-02-007-PR-3040</t>
  </si>
  <si>
    <t>PO for ICT (Data&amp; telephone System)</t>
  </si>
  <si>
    <t xml:space="preserve">          JDH4-02-007-PR-3055</t>
  </si>
  <si>
    <t>Material Fabrication for ICT (Data&amp; telephone System) - Stage 1</t>
  </si>
  <si>
    <t xml:space="preserve">          JDH4-02-007-PR-3056</t>
  </si>
  <si>
    <t>Material Fabrication for ICT (Data&amp; telephone System) - Stage 2</t>
  </si>
  <si>
    <t xml:space="preserve">          JDH4-02-007-PR-3057</t>
  </si>
  <si>
    <t>Material Fabrication for ICT (Data&amp; telephone System) - Stage 3</t>
  </si>
  <si>
    <t xml:space="preserve">          JDH4-02-007-PR-3058</t>
  </si>
  <si>
    <t>Material Fabrication for ICT (Data&amp; telephone System) - Stage 4</t>
  </si>
  <si>
    <t xml:space="preserve">          JDH4-02-007-PR-3059</t>
  </si>
  <si>
    <t>Material Fabrication for ICT (Data&amp; telephone System) - Stage 5</t>
  </si>
  <si>
    <t xml:space="preserve">          JDH4-02-007-PR-3060</t>
  </si>
  <si>
    <t>Material Fabrication for ICT (Data&amp; telephone System) - Stage 6</t>
  </si>
  <si>
    <t xml:space="preserve">          JDH4-02-007-PR-3080</t>
  </si>
  <si>
    <t>Material Delivery for ICT (Data&amp; telephone System)</t>
  </si>
  <si>
    <t xml:space="preserve">          JDH4-02-007-PR-3100</t>
  </si>
  <si>
    <t>Staging Time for ICT (Data&amp; telephone System)</t>
  </si>
  <si>
    <t xml:space="preserve">        Programmable Logic Controllers</t>
  </si>
  <si>
    <t xml:space="preserve">          JDH4-02-007-PR-3120</t>
  </si>
  <si>
    <t>PO for Programmable Logic Controllers</t>
  </si>
  <si>
    <t xml:space="preserve">          JDH4-02-007-PR-3125</t>
  </si>
  <si>
    <t>Material Fabrication for Programmable Logic Controllers - Stage 1</t>
  </si>
  <si>
    <t xml:space="preserve">          JDH4-02-007-PR-3126</t>
  </si>
  <si>
    <t>Material Fabrication for Programmable Logic Controllers - Stage 2</t>
  </si>
  <si>
    <t xml:space="preserve">          JDH4-02-007-PR-3127</t>
  </si>
  <si>
    <t>Material Fabrication for Programmable Logic Controllers - Stage 3</t>
  </si>
  <si>
    <t xml:space="preserve">          JDH4-02-007-PR-3128</t>
  </si>
  <si>
    <t>Material Fabrication for Programmable Logic Controllers - Stage 4</t>
  </si>
  <si>
    <t xml:space="preserve">          JDH4-02-007-PR-3129</t>
  </si>
  <si>
    <t>Material Fabrication for Programmable Logic Controllers - Stage 5</t>
  </si>
  <si>
    <t xml:space="preserve">          JDH4-02-007-PR-3130</t>
  </si>
  <si>
    <t>Material Fabrication for Programmable Logic Controllers - Stage 6</t>
  </si>
  <si>
    <t xml:space="preserve">          JDH4-02-007-PR-3140</t>
  </si>
  <si>
    <t>Material Delivery for Programmable Logic Controllers</t>
  </si>
  <si>
    <t xml:space="preserve">          JDH4-02-007-PR-3150</t>
  </si>
  <si>
    <t>Staging Time for Programmable Logic Controllers</t>
  </si>
  <si>
    <t xml:space="preserve">        Process Control Wiring</t>
  </si>
  <si>
    <t xml:space="preserve">          JDH4-02-007-PR-3050</t>
  </si>
  <si>
    <t>PO for Process Control Wiring</t>
  </si>
  <si>
    <t xml:space="preserve">          JDH4-02-007-PR-3067</t>
  </si>
  <si>
    <t>Material Fabrication for Process Control Wiring - Stage 1</t>
  </si>
  <si>
    <t xml:space="preserve">          JDH4-02-007-PR-3068</t>
  </si>
  <si>
    <t>Material Fabrication for Process Control Wiring - Stage 2</t>
  </si>
  <si>
    <t xml:space="preserve">          JDH4-02-007-PR-3069</t>
  </si>
  <si>
    <t>Material Fabrication for Process Control Wiring - Stage 3</t>
  </si>
  <si>
    <t xml:space="preserve">          JDH4-02-007-PR-3070</t>
  </si>
  <si>
    <t>Material Fabrication for Process Control Wiring - Stage 4</t>
  </si>
  <si>
    <t xml:space="preserve">          JDH4-02-007-PR-3090</t>
  </si>
  <si>
    <t>Material Delivery for Process Control Wiring</t>
  </si>
  <si>
    <t xml:space="preserve">          JDH4-02-007-PR-3110</t>
  </si>
  <si>
    <t>Staging Time for Process Control Wiring</t>
  </si>
  <si>
    <t xml:space="preserve">        Instrumentation for Process Systems</t>
  </si>
  <si>
    <t xml:space="preserve">          JDH4-02-007-PR-3000</t>
  </si>
  <si>
    <t>PO for  Instrumentation for Process Systems</t>
  </si>
  <si>
    <t xml:space="preserve">          JDH4-02-007-PR-3005</t>
  </si>
  <si>
    <t>Material Fabrication for  Instrumentation for Process Systems - Stage 1</t>
  </si>
  <si>
    <t xml:space="preserve">          JDH4-02-007-PR-3006</t>
  </si>
  <si>
    <t>Material Fabrication for  Instrumentation for Process Systems - Stage 2</t>
  </si>
  <si>
    <t xml:space="preserve">          JDH4-02-007-PR-3007</t>
  </si>
  <si>
    <t>Material Fabrication for  Instrumentation for Process Systems - Stage 3</t>
  </si>
  <si>
    <t xml:space="preserve">          JDH4-02-007-PR-3008</t>
  </si>
  <si>
    <t>Material Fabrication for  Instrumentation for Process Systems - Stage 4</t>
  </si>
  <si>
    <t xml:space="preserve">          JDH4-02-007-PR-3009</t>
  </si>
  <si>
    <t>Material Fabrication for  Instrumentation for Process Systems - Stage 5</t>
  </si>
  <si>
    <t xml:space="preserve">          JDH4-02-007-PR-3010</t>
  </si>
  <si>
    <t>Material Fabrication for  Instrumentation for Process Systems - Stage 6</t>
  </si>
  <si>
    <t xml:space="preserve">          JDH4-02-007-PR-3020</t>
  </si>
  <si>
    <t>Material Delivery for  Instrumentation for Process Systems</t>
  </si>
  <si>
    <t xml:space="preserve">          JDH4-02-007-PR-3030</t>
  </si>
  <si>
    <t>Staging Time for  Instrumentation for Process Systems</t>
  </si>
  <si>
    <t xml:space="preserve">  Construction</t>
  </si>
  <si>
    <t xml:space="preserve">    Demolition Works</t>
  </si>
  <si>
    <t xml:space="preserve">      Demolition in Road network</t>
  </si>
  <si>
    <t xml:space="preserve">        JDH4-02-007-CN-1000</t>
  </si>
  <si>
    <t>Concrete demolition works at the existing Underpass  [Demolition Works ]</t>
  </si>
  <si>
    <t xml:space="preserve">        JDH4-02-007-CN-1080</t>
  </si>
  <si>
    <t>Removal of the existing asphalt layers (up to base course layer) [Demolition Works ]</t>
  </si>
  <si>
    <t xml:space="preserve">        JDH4-02-007-CN-1110</t>
  </si>
  <si>
    <t>Milling of the existing asphalt layer  [Demolition Works ]</t>
  </si>
  <si>
    <t xml:space="preserve">        JDH4-02-007-CN-1170</t>
  </si>
  <si>
    <t>Re-use and compaction of the existing aggregate base course layer</t>
  </si>
  <si>
    <t xml:space="preserve">      Demolition in TSE network</t>
  </si>
  <si>
    <t xml:space="preserve">        JDH4-02-007-CN-1480</t>
  </si>
  <si>
    <t>Pipe with diameter 63 mm pipe [Demolition Works ]</t>
  </si>
  <si>
    <t xml:space="preserve">        JDH4-02-007-CN-1560</t>
  </si>
  <si>
    <t>Pipe with diameter 200 mm pipe [Demolition Works ]</t>
  </si>
  <si>
    <t xml:space="preserve">        JDH4-02-007-CN-1590</t>
  </si>
  <si>
    <t>Pipe with diameter 250 mm pipe [Demolition Works ]</t>
  </si>
  <si>
    <t xml:space="preserve">        JDH4-02-007-CN-1610</t>
  </si>
  <si>
    <t>Wash out valve with chamber; on 200 mm dia pipeline Depth 1.5 - 4.0m [Demolition Works ]</t>
  </si>
  <si>
    <t xml:space="preserve">        JDH4-02-007-CN-1620</t>
  </si>
  <si>
    <t>Gate valves on 200 mm pipeline [Demolition Works ]</t>
  </si>
  <si>
    <t xml:space="preserve">      Demolition in Storm water network</t>
  </si>
  <si>
    <t xml:space="preserve">        JDH4-02-007-CN-1670</t>
  </si>
  <si>
    <t>Manhole [Demolition Works ]</t>
  </si>
  <si>
    <t xml:space="preserve">        JDH4-02-007-CN-1680</t>
  </si>
  <si>
    <t>Baffle box with dimentions 3.04x7.80m [Demolition Works ]</t>
  </si>
  <si>
    <t xml:space="preserve">        JDH4-02-007-CN-1690</t>
  </si>
  <si>
    <t>Pipe with diameter 600 mm pipe  [Demolition Works ]</t>
  </si>
  <si>
    <t xml:space="preserve">        JDH4-02-007-CN-1700</t>
  </si>
  <si>
    <t>Pipe with diameter 800 mm pipe  [Demolition Works ]</t>
  </si>
  <si>
    <t xml:space="preserve">      Demolition in Sewerage network</t>
  </si>
  <si>
    <t xml:space="preserve">        JDH4-02-007-CN-1630</t>
  </si>
  <si>
    <t>Pipe with diameter 200 mm pipe with depth 2.50 - 3.50m [Demolition Works ]</t>
  </si>
  <si>
    <t xml:space="preserve">        JDH4-02-007-CN-1640</t>
  </si>
  <si>
    <t>Pipe with diameter 250 mm pipe with depth 3.50 - 4.50m [Demolition Works ]</t>
  </si>
  <si>
    <t xml:space="preserve">        JDH4-02-007-CN-1650</t>
  </si>
  <si>
    <t>Manhole with depth 1.50m - 2.50m [Demolition Works ]</t>
  </si>
  <si>
    <t xml:space="preserve">        JDH4-02-007-CN-1660</t>
  </si>
  <si>
    <t>Manhole with depth 4.50m - 5.50m [Demolition Works ]</t>
  </si>
  <si>
    <t xml:space="preserve">      Demolition in Potable water network</t>
  </si>
  <si>
    <t xml:space="preserve">        JDH4-02-007-CN-1340</t>
  </si>
  <si>
    <t>Single house connection dia 63 mm  [Demolition Works ]</t>
  </si>
  <si>
    <t xml:space="preserve">        JDH4-02-007-CN-1400</t>
  </si>
  <si>
    <t>Pipe with diameter 200 mm  [Demolition Works ]</t>
  </si>
  <si>
    <t xml:space="preserve">        JDH4-02-007-CN-1430</t>
  </si>
  <si>
    <t>Wash out valve with chamber; on 200 mm dia pipeline [Demolition Works ]</t>
  </si>
  <si>
    <t xml:space="preserve">      Demolition in Electrical works</t>
  </si>
  <si>
    <t xml:space="preserve">        JDH4-02-007-CN-1250</t>
  </si>
  <si>
    <t>Demolishing of existing Lighting Pole [Demolition Works ]</t>
  </si>
  <si>
    <t xml:space="preserve">        JDH4-02-007-CN-3020</t>
  </si>
  <si>
    <t>Relocating of existing Lighting Pole [Road 02 ]</t>
  </si>
  <si>
    <t xml:space="preserve">        JDH4-02-007-CN-3030</t>
  </si>
  <si>
    <t>Relocating of existing Lighting Pole [Road 08 ]</t>
  </si>
  <si>
    <t xml:space="preserve">        JDH4-02-007-CN-3040</t>
  </si>
  <si>
    <t>Relocating of existing Lighting Pole [Road 04-R ]</t>
  </si>
  <si>
    <t xml:space="preserve">        JDH4-02-007-CN-3050</t>
  </si>
  <si>
    <t>Relocating of existing Lighting Pole [Road 10 ]</t>
  </si>
  <si>
    <t xml:space="preserve">    Plots</t>
  </si>
  <si>
    <t xml:space="preserve">      Excavation</t>
  </si>
  <si>
    <t xml:space="preserve">        JDH4-02-007-CN-1760</t>
  </si>
  <si>
    <t>Plots excavation [Plots ]</t>
  </si>
  <si>
    <t xml:space="preserve">      Backfilling</t>
  </si>
  <si>
    <t xml:space="preserve">        JDH4-02-007-CN-1820</t>
  </si>
  <si>
    <t>Plots backfilling Stage 1 [Plots ]</t>
  </si>
  <si>
    <t xml:space="preserve">        JDH4-02-007-CN-1830</t>
  </si>
  <si>
    <t>Plots backfilling Stage 2 [Plots ]</t>
  </si>
  <si>
    <t xml:space="preserve">        JDH4-02-007-CN-1840</t>
  </si>
  <si>
    <t>Plots backfilling Stage 3 [Plots ]</t>
  </si>
  <si>
    <t xml:space="preserve">        JDH4-02-007-CN-1850</t>
  </si>
  <si>
    <t>Plots backfilling Stage 4 [Plots ]</t>
  </si>
  <si>
    <t xml:space="preserve">        JDH4-02-007-CN-1860</t>
  </si>
  <si>
    <t>Plots backfilling Stage 5 [Plots ]</t>
  </si>
  <si>
    <t xml:space="preserve">        JDH4-02-007-CN-1870</t>
  </si>
  <si>
    <t>Plots backfilling Stage 6 [Plots ]</t>
  </si>
  <si>
    <t xml:space="preserve">        JDH4-02-007-CN-1880</t>
  </si>
  <si>
    <t>Plots backfilling Stage 7 [Plots ]</t>
  </si>
  <si>
    <t xml:space="preserve">    Roads</t>
  </si>
  <si>
    <t xml:space="preserve">      Road 04-R</t>
  </si>
  <si>
    <t xml:space="preserve">        Box Culvert</t>
  </si>
  <si>
    <t xml:space="preserve">          JDH4-02-007-CN-5580</t>
  </si>
  <si>
    <t>Excavation For Box Culvert [Road 04-R ]</t>
  </si>
  <si>
    <t xml:space="preserve">          JDH4-02-007-CN-5590</t>
  </si>
  <si>
    <t>Backfilling For Box Culvert [Road 04-R ]</t>
  </si>
  <si>
    <t xml:space="preserve">          JDH4-02-007-CN-5600</t>
  </si>
  <si>
    <t>Plain Concrete for box culvert [Road 04-R ]</t>
  </si>
  <si>
    <t xml:space="preserve">          JDH4-02-007-CN-5610</t>
  </si>
  <si>
    <t>Steel Reinforcement for box culverts  [Road 04-R ]</t>
  </si>
  <si>
    <t xml:space="preserve">          JDH4-02-007-CN-5620</t>
  </si>
  <si>
    <t>Reinforced Concrete for box culvert  [Road 04-R ]</t>
  </si>
  <si>
    <t xml:space="preserve">        Road Works + Roundabout</t>
  </si>
  <si>
    <t xml:space="preserve">          Eartworks &amp; Site grading</t>
  </si>
  <si>
    <t xml:space="preserve">            JDH4-02-007-CN-1750</t>
  </si>
  <si>
    <t>Road excavation [Road 04-R ]</t>
  </si>
  <si>
    <t xml:space="preserve">            JDH4-02-007-CN-1810</t>
  </si>
  <si>
    <t>Road backfilling [Road 04-R ]</t>
  </si>
  <si>
    <t xml:space="preserve">            JDH4-02-007-CN-1930</t>
  </si>
  <si>
    <t>Subgrade [Road 04-R ]</t>
  </si>
  <si>
    <t xml:space="preserve">          Asphalt Works</t>
  </si>
  <si>
    <t xml:space="preserve">            JDH4-02-007-CN-1990</t>
  </si>
  <si>
    <t>Aggregate base course [Road 04-R ]</t>
  </si>
  <si>
    <t xml:space="preserve">            JDH4-02-007-CN-2040</t>
  </si>
  <si>
    <t>Prime Coat (MC1) [Road 04-R ]</t>
  </si>
  <si>
    <t xml:space="preserve">            JDH4-02-007-CN-2090</t>
  </si>
  <si>
    <t>Bituminous base course [Road 04-R ]</t>
  </si>
  <si>
    <t xml:space="preserve">          Finishing Works</t>
  </si>
  <si>
    <t xml:space="preserve">            Asphalt Wearing Course</t>
  </si>
  <si>
    <t xml:space="preserve">              JDH4-02-007-CN-2140</t>
  </si>
  <si>
    <t>Tack Coat (RC2) [Road 04-R ]</t>
  </si>
  <si>
    <t xml:space="preserve">              JDH4-02-007-CN-2190</t>
  </si>
  <si>
    <t>Bituminous concrete wearing course [Road 04-R ]</t>
  </si>
  <si>
    <t xml:space="preserve">            Precast Concrete Curb</t>
  </si>
  <si>
    <t xml:space="preserve">              JDH4-02-007-CN-2240</t>
  </si>
  <si>
    <t>Installation of Precast Concrete curb [Road 04-R ]</t>
  </si>
  <si>
    <t xml:space="preserve">            Precast Interlocking block pavers</t>
  </si>
  <si>
    <t xml:space="preserve">              JDH4-02-007-CN-2290</t>
  </si>
  <si>
    <t>Installation of Interlocking block pavers for sidewalk/footpath [Road 04-R ]</t>
  </si>
  <si>
    <t xml:space="preserve">            Pavement Markings</t>
  </si>
  <si>
    <t xml:space="preserve">              JDH4-02-007-CN-2340</t>
  </si>
  <si>
    <t>Pavement markings [Road 04-R ]</t>
  </si>
  <si>
    <t xml:space="preserve">            Traffic Signage</t>
  </si>
  <si>
    <t xml:space="preserve">              JDH4-02-007-CN-2390</t>
  </si>
  <si>
    <t>Installation of Traffic Signs [Road 04-R ]</t>
  </si>
  <si>
    <t xml:space="preserve">            Guardrail</t>
  </si>
  <si>
    <t xml:space="preserve">              JDH4-02-007-CN-2400</t>
  </si>
  <si>
    <t>Installation of Guard rails [Road 04-R ]</t>
  </si>
  <si>
    <t xml:space="preserve">        Storm Water Drainage</t>
  </si>
  <si>
    <t xml:space="preserve">          Pipe Works</t>
  </si>
  <si>
    <t xml:space="preserve">            JDH4-02-007-CN-5370</t>
  </si>
  <si>
    <t>Excavation and Compaction (FDT) [Road 04-R ]</t>
  </si>
  <si>
    <t xml:space="preserve">            JDH4-02-007-CN-5420</t>
  </si>
  <si>
    <t>Sand Bedding  [Road 04-R ]</t>
  </si>
  <si>
    <t xml:space="preserve">            JDH4-02-007-CN-5470</t>
  </si>
  <si>
    <t>Installation of GRP Pipe  [Road 04-R ]</t>
  </si>
  <si>
    <t xml:space="preserve">            JDH4-02-007-CN-5520</t>
  </si>
  <si>
    <t>Sand Cover &amp; Warning Tape [Road 04-R ]</t>
  </si>
  <si>
    <t xml:space="preserve">            JDH4-02-007-CN-5570</t>
  </si>
  <si>
    <t>Backfilling &amp; Compaction [Road 04-R ]</t>
  </si>
  <si>
    <t xml:space="preserve">          Pipe Encasement</t>
  </si>
  <si>
    <t xml:space="preserve">            JDH4-02-007-CN-5840</t>
  </si>
  <si>
    <t>Pipe Encasement Works [Road 04-R ]</t>
  </si>
  <si>
    <t xml:space="preserve">            JDH4-02-007-CN-5670</t>
  </si>
  <si>
    <t>Installation of Precast Manhole Ring [Road 04-R ]</t>
  </si>
  <si>
    <t xml:space="preserve">          Precast Acces Openinig</t>
  </si>
  <si>
    <t xml:space="preserve">            JDH4-02-007-CN-5720</t>
  </si>
  <si>
    <t>Installation of Precast Access Opening [Road 04-R ]</t>
  </si>
  <si>
    <t xml:space="preserve">          Catch Basins</t>
  </si>
  <si>
    <t xml:space="preserve">            JDH4-02-007-CN-5760</t>
  </si>
  <si>
    <t>Construction of Catch basins [Road 04-R ]</t>
  </si>
  <si>
    <t xml:space="preserve">          Concrete Outfalls</t>
  </si>
  <si>
    <t xml:space="preserve">            JDH4-02-007-CN-5790</t>
  </si>
  <si>
    <t>Construction of Concrete outfall structure [Road 04-R ]</t>
  </si>
  <si>
    <t xml:space="preserve">            JDH4-02-007-CN-4820</t>
  </si>
  <si>
    <t>Excavation &amp; Compaction (FDT) [Road 04-R ]</t>
  </si>
  <si>
    <t xml:space="preserve">            JDH4-02-007-CN-4890</t>
  </si>
  <si>
    <t xml:space="preserve">            JDH4-02-007-CN-4960</t>
  </si>
  <si>
    <t>Installation of GRP Pipe [Road 04-R ]</t>
  </si>
  <si>
    <t xml:space="preserve">            JDH4-02-007-CN-5030</t>
  </si>
  <si>
    <t>Gravity Test [Road 04-R ]</t>
  </si>
  <si>
    <t xml:space="preserve">            JDH4-02-007-CN-5100</t>
  </si>
  <si>
    <t xml:space="preserve">            JDH4-02-007-CN-5170</t>
  </si>
  <si>
    <t xml:space="preserve">            JDH4-02-007-CN-5310</t>
  </si>
  <si>
    <t xml:space="preserve">            JDH4-02-007-CN-5240</t>
  </si>
  <si>
    <t>Installation of Manholes [Road 04-R ]</t>
  </si>
  <si>
    <t xml:space="preserve">            JDH4-02-007-CN-4040</t>
  </si>
  <si>
    <t xml:space="preserve">            JDH4-02-007-CN-4110</t>
  </si>
  <si>
    <t xml:space="preserve">            JDH4-02-007-CN-4180</t>
  </si>
  <si>
    <t>Installation of HDPE Pipe  [Road 04-R ]</t>
  </si>
  <si>
    <t xml:space="preserve">            JDH4-02-007-CN-4250</t>
  </si>
  <si>
    <t>Initial Pressure Test [Road 04-R ]</t>
  </si>
  <si>
    <t xml:space="preserve">            JDH4-02-007-CN-4700</t>
  </si>
  <si>
    <t>Point of Connection [Road 04-R ]</t>
  </si>
  <si>
    <t xml:space="preserve">            JDH4-02-007-CN-4320</t>
  </si>
  <si>
    <t>Sand Cover &amp; Warning  [Road 04-R ]</t>
  </si>
  <si>
    <t xml:space="preserve">            JDH4-02-007-CN-4390</t>
  </si>
  <si>
    <t xml:space="preserve">            JDH4-02-007-CN-4460</t>
  </si>
  <si>
    <t>Encasement for Pipes [Road 04-R ]</t>
  </si>
  <si>
    <t xml:space="preserve">            JDH4-02-007-CN-4530</t>
  </si>
  <si>
    <t>Installation of Gate Valves [Road 04-R ]</t>
  </si>
  <si>
    <t xml:space="preserve">            JDH4-02-007-CN-3360</t>
  </si>
  <si>
    <t xml:space="preserve">            JDH4-02-007-CN-3430</t>
  </si>
  <si>
    <t xml:space="preserve">            JDH4-02-007-CN-3500</t>
  </si>
  <si>
    <t xml:space="preserve">            JDH4-02-007-CN-3570</t>
  </si>
  <si>
    <t xml:space="preserve">            JDH4-02-007-CN-3640</t>
  </si>
  <si>
    <t xml:space="preserve">            JDH4-02-007-CN-3710</t>
  </si>
  <si>
    <t>Backfilling  [Road 04-R ]</t>
  </si>
  <si>
    <t xml:space="preserve">            JDH4-02-007-CN-3780</t>
  </si>
  <si>
    <t xml:space="preserve">            JDH4-02-007-CN-3850</t>
  </si>
  <si>
    <t xml:space="preserve">            JDH4-02-007-CN-3940</t>
  </si>
  <si>
    <t>Installation of 3-outlet fire hydrant [Road 04-R ]</t>
  </si>
  <si>
    <t xml:space="preserve">        Electrical Works</t>
  </si>
  <si>
    <t xml:space="preserve">          Street Lighting</t>
  </si>
  <si>
    <t xml:space="preserve">            JDH4-02-007-CN-2820</t>
  </si>
  <si>
    <t>Excavation for Low Voltage Cable [Road 04-R ]</t>
  </si>
  <si>
    <t xml:space="preserve">            JDH4-02-007-CN-2830</t>
  </si>
  <si>
    <t>Installation of Road Crossing Ducts [Road 04-R ]</t>
  </si>
  <si>
    <t xml:space="preserve">            JDH4-02-007-CN-2880</t>
  </si>
  <si>
    <t>Installation of Low Voltage Cables [Road 04-R ]</t>
  </si>
  <si>
    <t xml:space="preserve">            JDH4-02-007-CN-2920</t>
  </si>
  <si>
    <t>Installation of Lighting Poles [Road 04-R ]</t>
  </si>
  <si>
    <t xml:space="preserve">            JDH4-02-007-CN-2960</t>
  </si>
  <si>
    <t>Installation of Lighting Luminaires [Road 04-R ]</t>
  </si>
  <si>
    <t xml:space="preserve">            JDH4-02-007-CN-2990</t>
  </si>
  <si>
    <t>Installation of Earthing System [Road 04-R ]</t>
  </si>
  <si>
    <t xml:space="preserve">          Telecommunication</t>
  </si>
  <si>
    <t xml:space="preserve">            JDH4-02-007-CN-3110</t>
  </si>
  <si>
    <t>Installation Road Crossing R/F 6 way 50mm HDPE Pipe  [Road 04-R ]</t>
  </si>
  <si>
    <t xml:space="preserve">            JDH4-02-007-CN-3180</t>
  </si>
  <si>
    <t>Installation Road Crossing Un R/F 6 way 50mm HDPE Pipe  [Road 04-R ]</t>
  </si>
  <si>
    <t xml:space="preserve">            JDH4-02-007-CN-3290</t>
  </si>
  <si>
    <t xml:space="preserve">      Road 08</t>
  </si>
  <si>
    <t xml:space="preserve">            JDH4-02-007-CN-1770</t>
  </si>
  <si>
    <t>Road backfilling [Road 08 ]</t>
  </si>
  <si>
    <t xml:space="preserve">            JDH4-02-007-CN-1710</t>
  </si>
  <si>
    <t>Road excavation [Road 08 ]</t>
  </si>
  <si>
    <t xml:space="preserve">            JDH4-02-007-CN-1890</t>
  </si>
  <si>
    <t>Subgrade [Road 08 ]</t>
  </si>
  <si>
    <t xml:space="preserve">            JDH4-02-007-CN-1950</t>
  </si>
  <si>
    <t>Aggregate base course [Road 08 ]</t>
  </si>
  <si>
    <t xml:space="preserve">            JDH4-02-007-CN-2000</t>
  </si>
  <si>
    <t>Prime Coat (MC1) [Road 08 ]</t>
  </si>
  <si>
    <t xml:space="preserve">            JDH4-02-007-CN-2050</t>
  </si>
  <si>
    <t>Bituminous base course [Road 08 ]</t>
  </si>
  <si>
    <t xml:space="preserve">              JDH4-02-007-CN-2100</t>
  </si>
  <si>
    <t>Tack Coat (RC2) [Road 08 ]</t>
  </si>
  <si>
    <t xml:space="preserve">              JDH4-02-007-CN-2150</t>
  </si>
  <si>
    <t>Bituminous concrete wearing course [Road 08 ]</t>
  </si>
  <si>
    <t xml:space="preserve">              JDH4-02-007-CN-2200</t>
  </si>
  <si>
    <t>Installation of Precast Concrete curb [Road 08 ]</t>
  </si>
  <si>
    <t xml:space="preserve">              JDH4-02-007-CN-2250</t>
  </si>
  <si>
    <t>Installation of Interlocking block pavers for sidewalk/footpath [Road 08 ]</t>
  </si>
  <si>
    <t xml:space="preserve">              JDH4-02-007-CN-2300</t>
  </si>
  <si>
    <t>Pavement markings [Road 08 ]</t>
  </si>
  <si>
    <t xml:space="preserve">              JDH4-02-007-CN-2350</t>
  </si>
  <si>
    <t>Installation of Traffic Signs [Road 08 ]</t>
  </si>
  <si>
    <t xml:space="preserve">            JDH4-02-007-CN-5330</t>
  </si>
  <si>
    <t>Excavation and Compaction (FDT) [Road 08 ]</t>
  </si>
  <si>
    <t xml:space="preserve">            JDH4-02-007-CN-5380</t>
  </si>
  <si>
    <t>Sand Bedding  [Road 08 ]</t>
  </si>
  <si>
    <t xml:space="preserve">            JDH4-02-007-CN-5430</t>
  </si>
  <si>
    <t>Installation of GRP Pipe  [Road 08 ]</t>
  </si>
  <si>
    <t xml:space="preserve">            JDH4-02-007-CN-5480</t>
  </si>
  <si>
    <t>Sand Cover &amp; Warning Tape [Road 08 ]</t>
  </si>
  <si>
    <t xml:space="preserve">            JDH4-02-007-CN-5530</t>
  </si>
  <si>
    <t>Backfilling &amp; Compaction [Road 08 ]</t>
  </si>
  <si>
    <t xml:space="preserve">            JDH4-02-007-CN-5800</t>
  </si>
  <si>
    <t>Pipe Encasement Works [Road 08 ]</t>
  </si>
  <si>
    <t xml:space="preserve">            JDH4-02-007-CN-5630</t>
  </si>
  <si>
    <t>Installation of Precast Manhole Ring [Road 08 ]</t>
  </si>
  <si>
    <t xml:space="preserve">            JDH4-02-007-CN-5680</t>
  </si>
  <si>
    <t>Installation of Precast Access Opening [Road 08 ]</t>
  </si>
  <si>
    <t xml:space="preserve">            JDH4-02-007-CN-5730</t>
  </si>
  <si>
    <t>Construction of Catch basins [Road 08 ]</t>
  </si>
  <si>
    <t xml:space="preserve">            JDH4-02-007-CN-4780</t>
  </si>
  <si>
    <t>Excavation &amp; Compaction (FDT) [Road 08 ]</t>
  </si>
  <si>
    <t xml:space="preserve">            JDH4-02-007-CN-4850</t>
  </si>
  <si>
    <t xml:space="preserve">            JDH4-02-007-CN-4920</t>
  </si>
  <si>
    <t>Installation of GRP Pipe [Road 08 ]</t>
  </si>
  <si>
    <t xml:space="preserve">            JDH4-02-007-CN-4990</t>
  </si>
  <si>
    <t>Gravity Test [Road 08 ]</t>
  </si>
  <si>
    <t xml:space="preserve">            JDH4-02-007-CN-5060</t>
  </si>
  <si>
    <t xml:space="preserve">            JDH4-02-007-CN-5130</t>
  </si>
  <si>
    <t xml:space="preserve">            JDH4-02-007-CN-5270</t>
  </si>
  <si>
    <t xml:space="preserve">            JDH4-02-007-CN-5200</t>
  </si>
  <si>
    <t>Installation of Manholes [Road 08 ]</t>
  </si>
  <si>
    <t xml:space="preserve">            JDH4-02-007-CN-4000</t>
  </si>
  <si>
    <t xml:space="preserve">            JDH4-02-007-CN-4070</t>
  </si>
  <si>
    <t xml:space="preserve">            JDH4-02-007-CN-4140</t>
  </si>
  <si>
    <t>Installation of HDPE Pipe  [Road 08 ]</t>
  </si>
  <si>
    <t xml:space="preserve">            JDH4-02-007-CN-4210</t>
  </si>
  <si>
    <t>Initial Pressure Test [Road 08 ]</t>
  </si>
  <si>
    <t xml:space="preserve">            JDH4-02-007-CN-4660</t>
  </si>
  <si>
    <t>Point of Connection [Road 08 ]</t>
  </si>
  <si>
    <t xml:space="preserve">            JDH4-02-007-CN-4280</t>
  </si>
  <si>
    <t>Sand Cover &amp; Warning  [Road 08 ]</t>
  </si>
  <si>
    <t xml:space="preserve">            JDH4-02-007-CN-4350</t>
  </si>
  <si>
    <t xml:space="preserve">            JDH4-02-007-CN-4420</t>
  </si>
  <si>
    <t>Encasement for Pipes [Road 08 ]</t>
  </si>
  <si>
    <t xml:space="preserve">            JDH4-02-007-CN-4490</t>
  </si>
  <si>
    <t>Installation of Gate Valves [Road 08 ]</t>
  </si>
  <si>
    <t xml:space="preserve">            JDH4-02-007-CN-4730</t>
  </si>
  <si>
    <t>Installation of Irrigation Riser with  [Road 08 ]</t>
  </si>
  <si>
    <t xml:space="preserve">            JDH4-02-007-CN-3320</t>
  </si>
  <si>
    <t xml:space="preserve">            JDH4-02-007-CN-3390</t>
  </si>
  <si>
    <t xml:space="preserve">            JDH4-02-007-CN-3460</t>
  </si>
  <si>
    <t xml:space="preserve">            JDH4-02-007-CN-3530</t>
  </si>
  <si>
    <t xml:space="preserve">            JDH4-02-007-CN-3600</t>
  </si>
  <si>
    <t xml:space="preserve">            JDH4-02-007-CN-3670</t>
  </si>
  <si>
    <t>Backfilling  [Road 08 ]</t>
  </si>
  <si>
    <t xml:space="preserve">            JDH4-02-007-CN-3740</t>
  </si>
  <si>
    <t xml:space="preserve">            JDH4-02-007-CN-3810</t>
  </si>
  <si>
    <t xml:space="preserve">            JDH4-02-007-CN-3900</t>
  </si>
  <si>
    <t>Installation of 3-outlet fire hydrant [Road 08 ]</t>
  </si>
  <si>
    <t xml:space="preserve">          MV &amp; LV Cables</t>
  </si>
  <si>
    <t xml:space="preserve">            Medium Voltage Cable</t>
  </si>
  <si>
    <t xml:space="preserve">              JDH4-02-007-CN-2420</t>
  </si>
  <si>
    <t>Excavation for Trench [Road 08 ]</t>
  </si>
  <si>
    <t xml:space="preserve">              JDH4-02-007-CN-2480</t>
  </si>
  <si>
    <t>Installation of Duct banks [Road 08 ]</t>
  </si>
  <si>
    <t xml:space="preserve">              JDH4-02-007-CN-2540</t>
  </si>
  <si>
    <t>Installation of Medium Voltage Cables [Road 08 ]</t>
  </si>
  <si>
    <t xml:space="preserve">              JDH4-02-007-CN-2595</t>
  </si>
  <si>
    <t>Excavation for Low Voltage Cable [Road 08 ]</t>
  </si>
  <si>
    <t xml:space="preserve">              JDH4-02-007-CN-2600</t>
  </si>
  <si>
    <t>Installation of Low Voltage Cables [Road 08 ]</t>
  </si>
  <si>
    <t xml:space="preserve">              JDH4-02-007-CN-2710</t>
  </si>
  <si>
    <t>Installation of Low Voltage Distribution Panel (Main: 100A, MCCB, 5-50A, MCCB) [Road 08 ]</t>
  </si>
  <si>
    <t xml:space="preserve">              JDH4-02-007-CN-2730</t>
  </si>
  <si>
    <t>Installation of Unit Substation , 13.8/0.4 kV, 500kVA with RMU [Road 08 ]</t>
  </si>
  <si>
    <t xml:space="preserve">              JDH4-02-007-CN-2740</t>
  </si>
  <si>
    <t>Installation of Ring Main Unit (RMU) 3-way, 13.8kV [Road 08 ]</t>
  </si>
  <si>
    <t xml:space="preserve">            JDH4-02-007-CN-2750</t>
  </si>
  <si>
    <t xml:space="preserve">            JDH4-02-007-CN-2760</t>
  </si>
  <si>
    <t>Installation of Road Crossing Ducts [Road 08 ]</t>
  </si>
  <si>
    <t xml:space="preserve">            JDH4-02-007-CN-2840</t>
  </si>
  <si>
    <t xml:space="preserve">            JDH4-02-007-CN-2890</t>
  </si>
  <si>
    <t>Installation of Lighting Poles [Road 08 ]</t>
  </si>
  <si>
    <t xml:space="preserve">            JDH4-02-007-CN-2930</t>
  </si>
  <si>
    <t>Installation of Lighting Luminaires [Road 08 ]</t>
  </si>
  <si>
    <t xml:space="preserve">            JDH4-02-007-CN-2970</t>
  </si>
  <si>
    <t>Installation of Earthing System [Road 08 ]</t>
  </si>
  <si>
    <t xml:space="preserve">            JDH4-02-007-CN-3070</t>
  </si>
  <si>
    <t>Installation Road Crossing R/F 6 way 50mm HDPE Pipe  [Road 08 ]</t>
  </si>
  <si>
    <t xml:space="preserve">            JDH4-02-007-CN-3140</t>
  </si>
  <si>
    <t>Installation Road Crossing Un R/F 6 way 50mm HDPE Pipe  [Road 08 ]</t>
  </si>
  <si>
    <t xml:space="preserve">            JDH4-02-007-CN-3200</t>
  </si>
  <si>
    <t>Installation of 2 x 32 mm diameter HDPE ducts [Road 08 ]</t>
  </si>
  <si>
    <t xml:space="preserve">            JDH4-02-007-CN-3250</t>
  </si>
  <si>
    <t xml:space="preserve">      Road 01</t>
  </si>
  <si>
    <t xml:space="preserve">        Road Works (Roundabout)</t>
  </si>
  <si>
    <t xml:space="preserve">            JDH4-02-007-CN-1720</t>
  </si>
  <si>
    <t>Road excavation [Road 01 ]</t>
  </si>
  <si>
    <t xml:space="preserve">            JDH4-02-007-CN-1780</t>
  </si>
  <si>
    <t>Road backfilling [Road 01 ]</t>
  </si>
  <si>
    <t xml:space="preserve">            JDH4-02-007-CN-1900</t>
  </si>
  <si>
    <t>Subgrade [Road 01 ]</t>
  </si>
  <si>
    <t xml:space="preserve">            JDH4-02-007-CN-1960</t>
  </si>
  <si>
    <t>Aggregate base course [Road 01 ]</t>
  </si>
  <si>
    <t xml:space="preserve">            JDH4-02-007-CN-2010</t>
  </si>
  <si>
    <t>Prime Coat (MC1) [Road 01 ]</t>
  </si>
  <si>
    <t xml:space="preserve">            JDH4-02-007-CN-2060</t>
  </si>
  <si>
    <t>Bituminous base course [Road 01 ]</t>
  </si>
  <si>
    <t xml:space="preserve">              JDH4-02-007-CN-2110</t>
  </si>
  <si>
    <t>Tack Coat (RC2) [Road 01 ]</t>
  </si>
  <si>
    <t xml:space="preserve">              JDH4-02-007-CN-2160</t>
  </si>
  <si>
    <t>Bituminous concrete wearing course [Road 01 ]</t>
  </si>
  <si>
    <t xml:space="preserve">              JDH4-02-007-CN-2210</t>
  </si>
  <si>
    <t>Installation of Precast Concrete curb [Road 01 ]</t>
  </si>
  <si>
    <t xml:space="preserve">              JDH4-02-007-CN-2260</t>
  </si>
  <si>
    <t>Installation of Interlocking block pavers for sidewalk/footpath [Road 01 ]</t>
  </si>
  <si>
    <t xml:space="preserve">              JDH4-02-007-CN-2310</t>
  </si>
  <si>
    <t>Pavement markings [Road 01 ]</t>
  </si>
  <si>
    <t xml:space="preserve">              JDH4-02-007-CN-2360</t>
  </si>
  <si>
    <t>Installation of Traffic Signs [Road 01 ]</t>
  </si>
  <si>
    <t xml:space="preserve">            JDH4-02-007-CN-5340</t>
  </si>
  <si>
    <t>Excavation and Compaction (FDT) [Road 01 ]</t>
  </si>
  <si>
    <t xml:space="preserve">            JDH4-02-007-CN-5390</t>
  </si>
  <si>
    <t>Sand Bedding  [Road 01 ]</t>
  </si>
  <si>
    <t xml:space="preserve">            JDH4-02-007-CN-5440</t>
  </si>
  <si>
    <t>Installation of GRP Pipe  [Road 01 ]</t>
  </si>
  <si>
    <t xml:space="preserve">            JDH4-02-007-CN-5490</t>
  </si>
  <si>
    <t>Sand Cover &amp; Warning Tape [Road 01 ]</t>
  </si>
  <si>
    <t xml:space="preserve">            JDH4-02-007-CN-5540</t>
  </si>
  <si>
    <t>Backfilling &amp; Compaction [Road 01 ]</t>
  </si>
  <si>
    <t xml:space="preserve">            JDH4-02-007-CN-5810</t>
  </si>
  <si>
    <t>Pipe Encasement Works [Road 01 ]</t>
  </si>
  <si>
    <t xml:space="preserve">            JDH4-02-007-CN-5640</t>
  </si>
  <si>
    <t>Installation of Precast Manhole Ring [Road 01 ]</t>
  </si>
  <si>
    <t xml:space="preserve">            JDH4-02-007-CN-5690</t>
  </si>
  <si>
    <t>Installation of Precast Access Opening [Road 01 ]</t>
  </si>
  <si>
    <t xml:space="preserve">            JDH4-02-007-CN-5780</t>
  </si>
  <si>
    <t>Construction of Concrete outfall structure [Road 01 ]</t>
  </si>
  <si>
    <t xml:space="preserve">            JDH4-02-007-CN-4790</t>
  </si>
  <si>
    <t>Excavation &amp; Compaction (FDT) [Road 01 ]</t>
  </si>
  <si>
    <t xml:space="preserve">            JDH4-02-007-CN-4860</t>
  </si>
  <si>
    <t xml:space="preserve">            JDH4-02-007-CN-4930</t>
  </si>
  <si>
    <t>Installation of GRP Pipe [Road 01 ]</t>
  </si>
  <si>
    <t xml:space="preserve">            JDH4-02-007-CN-5000</t>
  </si>
  <si>
    <t>Gravity Test [Road 01 ]</t>
  </si>
  <si>
    <t xml:space="preserve">            JDH4-02-007-CN-5070</t>
  </si>
  <si>
    <t xml:space="preserve">            JDH4-02-007-CN-5140</t>
  </si>
  <si>
    <t xml:space="preserve">            JDH4-02-007-CN-5280</t>
  </si>
  <si>
    <t xml:space="preserve">            JDH4-02-007-CN-5210</t>
  </si>
  <si>
    <t>Installation of Manholes [Road 01 ]</t>
  </si>
  <si>
    <t xml:space="preserve">            JDH4-02-007-CN-4010</t>
  </si>
  <si>
    <t xml:space="preserve">            JDH4-02-007-CN-4080</t>
  </si>
  <si>
    <t xml:space="preserve">            JDH4-02-007-CN-4150</t>
  </si>
  <si>
    <t>Installation of HDPE Pipe  [Road 01 ]</t>
  </si>
  <si>
    <t xml:space="preserve">            JDH4-02-007-CN-4220</t>
  </si>
  <si>
    <t>Initial Pressure Test [Road 01 ]</t>
  </si>
  <si>
    <t xml:space="preserve">            JDH4-02-007-CN-4290</t>
  </si>
  <si>
    <t>Sand Cover &amp; Warning  [Road 01 ]</t>
  </si>
  <si>
    <t xml:space="preserve">            JDH4-02-007-CN-4360</t>
  </si>
  <si>
    <t xml:space="preserve">            JDH4-02-007-CN-4670</t>
  </si>
  <si>
    <t>Point of Connection [Road 01 ]</t>
  </si>
  <si>
    <t xml:space="preserve">            JDH4-02-007-CN-4430</t>
  </si>
  <si>
    <t>Encasement for Pipes [Road 01 ]</t>
  </si>
  <si>
    <t xml:space="preserve">            JDH4-02-007-CN-4500</t>
  </si>
  <si>
    <t>Installation of Gate Valves [Road 01 ]</t>
  </si>
  <si>
    <t xml:space="preserve">            JDH4-02-007-CN-4550</t>
  </si>
  <si>
    <t>Installation of Butterfly Valves [Road 01 ]</t>
  </si>
  <si>
    <t xml:space="preserve">            JDH4-02-007-CN-4560</t>
  </si>
  <si>
    <t>Installation of Washout Valves [Road 01 ]</t>
  </si>
  <si>
    <t xml:space="preserve">            JDH4-02-007-CN-4580</t>
  </si>
  <si>
    <t>Installation of Air Valves [Road 01 ]</t>
  </si>
  <si>
    <t xml:space="preserve">            JDH4-02-007-CN-4740</t>
  </si>
  <si>
    <t>Installation of Irrigation Riser with  [Road 01 ]</t>
  </si>
  <si>
    <t xml:space="preserve">            JDH4-02-007-CN-3330</t>
  </si>
  <si>
    <t xml:space="preserve">            JDH4-02-007-CN-3400</t>
  </si>
  <si>
    <t xml:space="preserve">            JDH4-02-007-CN-3470</t>
  </si>
  <si>
    <t xml:space="preserve">            JDH4-02-007-CN-3540</t>
  </si>
  <si>
    <t xml:space="preserve">            JDH4-02-007-CN-3610</t>
  </si>
  <si>
    <t xml:space="preserve">            JDH4-02-007-CN-3680</t>
  </si>
  <si>
    <t>Backfilling  [Road 01 ]</t>
  </si>
  <si>
    <t xml:space="preserve">            JDH4-02-007-CN-3750</t>
  </si>
  <si>
    <t xml:space="preserve">            JDH4-02-007-CN-3820</t>
  </si>
  <si>
    <t xml:space="preserve">            JDH4-02-007-CN-3870</t>
  </si>
  <si>
    <t>Installation of Butterfly valves  [Road 01 ]</t>
  </si>
  <si>
    <t xml:space="preserve">            JDH4-02-007-CN-3880</t>
  </si>
  <si>
    <t>Installation of Washout valves  [Road 01 ]</t>
  </si>
  <si>
    <t xml:space="preserve">            JDH4-02-007-CN-3890</t>
  </si>
  <si>
    <t>Installation of Air valves  [Road 01 ]</t>
  </si>
  <si>
    <t xml:space="preserve">            JDH4-02-007-CN-3910</t>
  </si>
  <si>
    <t>Installation of 3-outlet fire hydrant [Road 01 ]</t>
  </si>
  <si>
    <t xml:space="preserve">          Valve Chambers</t>
  </si>
  <si>
    <t xml:space="preserve">            JDH4-02-007-CN-3950</t>
  </si>
  <si>
    <t>Construction of Valve Chambers [Road 01 ]</t>
  </si>
  <si>
    <t xml:space="preserve">            JDH4-02-007-CN-3960</t>
  </si>
  <si>
    <t>Construction of Wash out Chambers [Road 01 ]</t>
  </si>
  <si>
    <t xml:space="preserve">            JDH4-02-007-CN-3970</t>
  </si>
  <si>
    <t>Construction of Air Valve Chambers [Road 01 ]</t>
  </si>
  <si>
    <t xml:space="preserve">            JDH4-02-007-CN-4600</t>
  </si>
  <si>
    <t xml:space="preserve">            JDH4-02-007-CN-4610</t>
  </si>
  <si>
    <t>Construction of Wash Out Valve Chambers [Road 01 ]</t>
  </si>
  <si>
    <t xml:space="preserve">            JDH4-02-007-CN-4630</t>
  </si>
  <si>
    <t xml:space="preserve">          Road Crossings</t>
  </si>
  <si>
    <t xml:space="preserve">            JDH4-02-007-CN-3980</t>
  </si>
  <si>
    <t>Installation of HDPE road croosing  [Road 01 ]</t>
  </si>
  <si>
    <t xml:space="preserve">              JDH4-02-007-CN-2430</t>
  </si>
  <si>
    <t>Excavation for Trench [Road 01 ]</t>
  </si>
  <si>
    <t xml:space="preserve">              JDH4-02-007-CN-2490</t>
  </si>
  <si>
    <t>Installation of Duct banks [Road 01 ]</t>
  </si>
  <si>
    <t xml:space="preserve">              JDH4-02-007-CN-2550</t>
  </si>
  <si>
    <t>Installation of Medium Voltage Cables [Road 01 ]</t>
  </si>
  <si>
    <t xml:space="preserve">              JDH4-02-007-CN-2610</t>
  </si>
  <si>
    <t>Excavation for Low Voltage Cable [Road 01 ]</t>
  </si>
  <si>
    <t xml:space="preserve">              JDH4-02-007-CN-2620</t>
  </si>
  <si>
    <t>Installation of Low Voltage Cables [Road 01 ]</t>
  </si>
  <si>
    <t xml:space="preserve">            JDH4-02-007-CN-2770</t>
  </si>
  <si>
    <t xml:space="preserve">            JDH4-02-007-CN-2850</t>
  </si>
  <si>
    <t xml:space="preserve">            JDH4-02-007-CN-3080</t>
  </si>
  <si>
    <t>Installation Road Crossing R/F 6 way 50mm HDPE Pipe  [Road 01 ]</t>
  </si>
  <si>
    <t xml:space="preserve">            JDH4-02-007-CN-3150</t>
  </si>
  <si>
    <t>Installation Road Crossing Un R/F 6 way 50mm HDPE Pipe  [Road 01 ]</t>
  </si>
  <si>
    <t xml:space="preserve">            JDH4-02-007-CN-3260</t>
  </si>
  <si>
    <t xml:space="preserve">        Open Drain Channel</t>
  </si>
  <si>
    <t xml:space="preserve">          JDH4-02-007-CN-5850</t>
  </si>
  <si>
    <t>Channel excavation [Road 01 ]</t>
  </si>
  <si>
    <t xml:space="preserve">          JDH4-02-007-CN-5860</t>
  </si>
  <si>
    <t>Backfill of the existing channel [Road 01 ]</t>
  </si>
  <si>
    <t xml:space="preserve">          JDH4-02-007-CN-5870</t>
  </si>
  <si>
    <t>Compaction  [Road 01 ]</t>
  </si>
  <si>
    <t xml:space="preserve">          JDH4-02-007-CN-5880</t>
  </si>
  <si>
    <t>Finished grouted riprap for side ditches  [Road 01 ]</t>
  </si>
  <si>
    <t xml:space="preserve">      Road 02</t>
  </si>
  <si>
    <t xml:space="preserve">        Under Pass</t>
  </si>
  <si>
    <t xml:space="preserve">          JDH4-02-007-CN-1940</t>
  </si>
  <si>
    <t>Compacted structural backfill for closing the underpass [Road 02 ]</t>
  </si>
  <si>
    <t xml:space="preserve">          JDH4-02-007-CN-2410</t>
  </si>
  <si>
    <t>RC wall and the foundation at face of underpass  [Road 02 ]</t>
  </si>
  <si>
    <t xml:space="preserve">            JDH4-02-007-CN-4770</t>
  </si>
  <si>
    <t>Excavation &amp; Compaction (FDT) [Road 02 ]</t>
  </si>
  <si>
    <t xml:space="preserve">            JDH4-02-007-CN-4840</t>
  </si>
  <si>
    <t>Sand Bedding  [Road 02 ]</t>
  </si>
  <si>
    <t xml:space="preserve">            JDH4-02-007-CN-4910</t>
  </si>
  <si>
    <t>Installation of GRP Pipe [Road 02 ]</t>
  </si>
  <si>
    <t xml:space="preserve">            JDH4-02-007-CN-4980</t>
  </si>
  <si>
    <t>Gravity Test [Road 02 ]</t>
  </si>
  <si>
    <t xml:space="preserve">            JDH4-02-007-CN-5050</t>
  </si>
  <si>
    <t>Sand Cover &amp; Warning Tape [Road 02 ]</t>
  </si>
  <si>
    <t xml:space="preserve">            JDH4-02-007-CN-5120</t>
  </si>
  <si>
    <t>Backfilling &amp; Compaction [Road 02 ]</t>
  </si>
  <si>
    <t xml:space="preserve">            JDH4-02-007-CN-5260</t>
  </si>
  <si>
    <t>Pipe Encasement Works [Road 02 ]</t>
  </si>
  <si>
    <t xml:space="preserve">            JDH4-02-007-CN-5190</t>
  </si>
  <si>
    <t>Installation of Manholes [Road 02 ]</t>
  </si>
  <si>
    <t xml:space="preserve">            JDH4-02-007-CN-3990</t>
  </si>
  <si>
    <t>Excavation and Compaction (FDT) [Road 02 ]</t>
  </si>
  <si>
    <t xml:space="preserve">            JDH4-02-007-CN-4060</t>
  </si>
  <si>
    <t xml:space="preserve">            JDH4-02-007-CN-4130</t>
  </si>
  <si>
    <t>Installation of HDPE Pipe  [Road 02 ]</t>
  </si>
  <si>
    <t xml:space="preserve">            JDH4-02-007-CN-4200</t>
  </si>
  <si>
    <t>Initial Pressure Test [Road 02 ]</t>
  </si>
  <si>
    <t xml:space="preserve">            JDH4-02-007-CN-4270</t>
  </si>
  <si>
    <t>Sand Cover &amp; Warning  [Road 02 ]</t>
  </si>
  <si>
    <t xml:space="preserve">            JDH4-02-007-CN-4340</t>
  </si>
  <si>
    <t xml:space="preserve">            JDH4-02-007-CN-4650</t>
  </si>
  <si>
    <t>Point of Connection [Road 02 ]</t>
  </si>
  <si>
    <t xml:space="preserve">            JDH4-02-007-CN-4410</t>
  </si>
  <si>
    <t>Encasement for Pipes [Road 02 ]</t>
  </si>
  <si>
    <t xml:space="preserve">            JDH4-02-007-CN-4480</t>
  </si>
  <si>
    <t>Installation of Gate Valves [Road 02 ]</t>
  </si>
  <si>
    <t xml:space="preserve">            JDH4-02-007-CN-4570</t>
  </si>
  <si>
    <t>Installation of Air Valves [Road 02 ]</t>
  </si>
  <si>
    <t xml:space="preserve">            JDH4-02-007-CN-4720</t>
  </si>
  <si>
    <t>Installation of Irrigation Riser with  [Road 02 ]</t>
  </si>
  <si>
    <t xml:space="preserve">            JDH4-02-007-CN-3310</t>
  </si>
  <si>
    <t xml:space="preserve">            JDH4-02-007-CN-3380</t>
  </si>
  <si>
    <t xml:space="preserve">            JDH4-02-007-CN-3450</t>
  </si>
  <si>
    <t xml:space="preserve">            JDH4-02-007-CN-3520</t>
  </si>
  <si>
    <t xml:space="preserve">            JDH4-02-007-CN-3590</t>
  </si>
  <si>
    <t xml:space="preserve">            JDH4-02-007-CN-3660</t>
  </si>
  <si>
    <t>Backfilling  [Road 02 ]</t>
  </si>
  <si>
    <t xml:space="preserve">            JDH4-02-007-CN-3730</t>
  </si>
  <si>
    <t xml:space="preserve">            JDH4-02-007-CN-3800</t>
  </si>
  <si>
    <t xml:space="preserve">            JDH4-02-007-CN-4620</t>
  </si>
  <si>
    <t>Construction of Air Valve Chambers [Road 02 ]</t>
  </si>
  <si>
    <t xml:space="preserve">            JDH4-02-007-CN-3060</t>
  </si>
  <si>
    <t>Installation Road Crossing R/F 6 way 50mm HDPE Pipe  [Road 02 ]</t>
  </si>
  <si>
    <t xml:space="preserve">            JDH4-02-007-CN-3130</t>
  </si>
  <si>
    <t>Installation Road Crossing Un R/F 6 way 50mm HDPE Pipe  [Road 02 ]</t>
  </si>
  <si>
    <t xml:space="preserve">            JDH4-02-007-CN-3240</t>
  </si>
  <si>
    <t xml:space="preserve">      Road 07-N</t>
  </si>
  <si>
    <t xml:space="preserve">        Road Works</t>
  </si>
  <si>
    <t xml:space="preserve">            JDH4-02-007-CN-1790</t>
  </si>
  <si>
    <t>Road backfilling [Road 07-N ]</t>
  </si>
  <si>
    <t xml:space="preserve">            JDH4-02-007-CN-1730</t>
  </si>
  <si>
    <t>Road excavation [Road 07-N ]</t>
  </si>
  <si>
    <t xml:space="preserve">            JDH4-02-007-CN-1910</t>
  </si>
  <si>
    <t>Subgrade [Road 07-N ]</t>
  </si>
  <si>
    <t xml:space="preserve">            JDH4-02-007-CN-1970</t>
  </si>
  <si>
    <t>Aggregate base course [Road 07-N ]</t>
  </si>
  <si>
    <t xml:space="preserve">            JDH4-02-007-CN-2020</t>
  </si>
  <si>
    <t>Prime Coat (MC1) [Road 07-N ]</t>
  </si>
  <si>
    <t xml:space="preserve">            JDH4-02-007-CN-2070</t>
  </si>
  <si>
    <t>Bituminous base course [Road 07-N ]</t>
  </si>
  <si>
    <t xml:space="preserve">              JDH4-02-007-CN-2120</t>
  </si>
  <si>
    <t>Tack Coat (RC2) [Road 07-N ]</t>
  </si>
  <si>
    <t xml:space="preserve">              JDH4-02-007-CN-2170</t>
  </si>
  <si>
    <t>Bituminous concrete wearing course [Road 07-N ]</t>
  </si>
  <si>
    <t xml:space="preserve">              JDH4-02-007-CN-2220</t>
  </si>
  <si>
    <t>Installation of Precast Concrete curb [Road 07-N ]</t>
  </si>
  <si>
    <t xml:space="preserve">              JDH4-02-007-CN-2270</t>
  </si>
  <si>
    <t>Installation of Interlocking block pavers for sidewalk/footpath [Road 07-N ]</t>
  </si>
  <si>
    <t xml:space="preserve">              JDH4-02-007-CN-2320</t>
  </si>
  <si>
    <t>Pavement markings [Road 07-N ]</t>
  </si>
  <si>
    <t xml:space="preserve">              JDH4-02-007-CN-2370</t>
  </si>
  <si>
    <t>Installation of Traffic Signs [Road 07-N ]</t>
  </si>
  <si>
    <t xml:space="preserve">            JDH4-02-007-CN-5350</t>
  </si>
  <si>
    <t>Excavation and Compaction (FDT) [Road 07-N ]</t>
  </si>
  <si>
    <t xml:space="preserve">            JDH4-02-007-CN-5400</t>
  </si>
  <si>
    <t>Sand Bedding  [Road 07-N ]</t>
  </si>
  <si>
    <t xml:space="preserve">            JDH4-02-007-CN-5450</t>
  </si>
  <si>
    <t>Installation of GRP Pipe  [Road 07-N ]</t>
  </si>
  <si>
    <t xml:space="preserve">            JDH4-02-007-CN-5500</t>
  </si>
  <si>
    <t>Sand Cover &amp; Warning Tape [Road 07-N ]</t>
  </si>
  <si>
    <t xml:space="preserve">            JDH4-02-007-CN-5550</t>
  </si>
  <si>
    <t>Backfilling &amp; Compaction [Road 07-N ]</t>
  </si>
  <si>
    <t xml:space="preserve">            JDH4-02-007-CN-5820</t>
  </si>
  <si>
    <t>Pipe Encasement Works [Road 07-N ]</t>
  </si>
  <si>
    <t xml:space="preserve">            JDH4-02-007-CN-5650</t>
  </si>
  <si>
    <t>Installation of Precast Manhole Ring [Road 07-N ]</t>
  </si>
  <si>
    <t xml:space="preserve">            JDH4-02-007-CN-5700</t>
  </si>
  <si>
    <t>Installation of Precast Access Opening [Road 07-N ]</t>
  </si>
  <si>
    <t xml:space="preserve">            JDH4-02-007-CN-5740</t>
  </si>
  <si>
    <t>Construction of Catch basins [Road 07-N ]</t>
  </si>
  <si>
    <t xml:space="preserve">            JDH4-02-007-CN-5770</t>
  </si>
  <si>
    <t>Construction of Concrete outfall structure [Road 07-N ]</t>
  </si>
  <si>
    <t xml:space="preserve">            JDH4-02-007-CN-4800</t>
  </si>
  <si>
    <t>Excavation &amp; Compaction (FDT) [Road 07-N ]</t>
  </si>
  <si>
    <t xml:space="preserve">            JDH4-02-007-CN-4870</t>
  </si>
  <si>
    <t xml:space="preserve">            JDH4-02-007-CN-4940</t>
  </si>
  <si>
    <t>Installation of GRP Pipe [Road 07-N ]</t>
  </si>
  <si>
    <t xml:space="preserve">            JDH4-02-007-CN-5010</t>
  </si>
  <si>
    <t>Gravity Test [Road 07-N ]</t>
  </si>
  <si>
    <t xml:space="preserve">            JDH4-02-007-CN-5080</t>
  </si>
  <si>
    <t xml:space="preserve">            JDH4-02-007-CN-5150</t>
  </si>
  <si>
    <t xml:space="preserve">            JDH4-02-007-CN-5290</t>
  </si>
  <si>
    <t xml:space="preserve">            JDH4-02-007-CN-5220</t>
  </si>
  <si>
    <t>Installation of Manholes [Road 07-N ]</t>
  </si>
  <si>
    <t xml:space="preserve">            JDH4-02-007-CN-4020</t>
  </si>
  <si>
    <t xml:space="preserve">            JDH4-02-007-CN-4090</t>
  </si>
  <si>
    <t xml:space="preserve">            JDH4-02-007-CN-4160</t>
  </si>
  <si>
    <t>Installation of HDPE Pipe  [Road 07-N ]</t>
  </si>
  <si>
    <t xml:space="preserve">            JDH4-02-007-CN-4230</t>
  </si>
  <si>
    <t>Initial Pressure Test [Road 07-N ]</t>
  </si>
  <si>
    <t xml:space="preserve">            JDH4-02-007-CN-4300</t>
  </si>
  <si>
    <t>Sand Cover &amp; Warning  [Road 07-N ]</t>
  </si>
  <si>
    <t xml:space="preserve">            JDH4-02-007-CN-4370</t>
  </si>
  <si>
    <t xml:space="preserve">            JDH4-02-007-CN-4680</t>
  </si>
  <si>
    <t>Point of Connection [Road 07-N ]</t>
  </si>
  <si>
    <t xml:space="preserve">            JDH4-02-007-CN-4440</t>
  </si>
  <si>
    <t>Encasement for Pipes [Road 07-N ]</t>
  </si>
  <si>
    <t xml:space="preserve">            JDH4-02-007-CN-4510</t>
  </si>
  <si>
    <t>Installation of Gate Valves [Road 07-N ]</t>
  </si>
  <si>
    <t xml:space="preserve">            JDH4-02-007-CN-4750</t>
  </si>
  <si>
    <t>Installation of Irrigation Riser with  [Road 07-N ]</t>
  </si>
  <si>
    <t xml:space="preserve">            JDH4-02-007-CN-3340</t>
  </si>
  <si>
    <t xml:space="preserve">            JDH4-02-007-CN-3410</t>
  </si>
  <si>
    <t xml:space="preserve">            JDH4-02-007-CN-3480</t>
  </si>
  <si>
    <t xml:space="preserve">            JDH4-02-007-CN-3550</t>
  </si>
  <si>
    <t xml:space="preserve">            JDH4-02-007-CN-3620</t>
  </si>
  <si>
    <t xml:space="preserve">            JDH4-02-007-CN-3690</t>
  </si>
  <si>
    <t>Backfilling  [Road 07-N ]</t>
  </si>
  <si>
    <t xml:space="preserve">            JDH4-02-007-CN-3760</t>
  </si>
  <si>
    <t xml:space="preserve">            JDH4-02-007-CN-3830</t>
  </si>
  <si>
    <t xml:space="preserve">            JDH4-02-007-CN-3920</t>
  </si>
  <si>
    <t>Installation of 3-outlet fire hydrant [Road 07-N ]</t>
  </si>
  <si>
    <t xml:space="preserve">              JDH4-02-007-CN-2440</t>
  </si>
  <si>
    <t>Excavation for Trench [Road 07-N ]</t>
  </si>
  <si>
    <t xml:space="preserve">              JDH4-02-007-CN-2500</t>
  </si>
  <si>
    <t>Installation of Duct banks [Road 07-N ]</t>
  </si>
  <si>
    <t xml:space="preserve">              JDH4-02-007-CN-2560</t>
  </si>
  <si>
    <t>Installation of Medium Voltage Cables [Road 07-N ]</t>
  </si>
  <si>
    <t xml:space="preserve">              JDH4-02-007-CN-2630</t>
  </si>
  <si>
    <t>Excavation for Low Voltage Cable [Road 07-N ]</t>
  </si>
  <si>
    <t xml:space="preserve">              JDH4-02-007-CN-2640</t>
  </si>
  <si>
    <t>Installation of Low Voltage Cables [Road 07-N ]</t>
  </si>
  <si>
    <t xml:space="preserve">            JDH4-02-007-CN-2780</t>
  </si>
  <si>
    <t xml:space="preserve">            JDH4-02-007-CN-2790</t>
  </si>
  <si>
    <t>Installation of Road Crossing Ducts [Road 07-N ]</t>
  </si>
  <si>
    <t xml:space="preserve">            JDH4-02-007-CN-2860</t>
  </si>
  <si>
    <t xml:space="preserve">            JDH4-02-007-CN-2900</t>
  </si>
  <si>
    <t>Installation of Lighting Poles [Road 07-N ]</t>
  </si>
  <si>
    <t xml:space="preserve">            JDH4-02-007-CN-2940</t>
  </si>
  <si>
    <t>Installation of Lighting Luminaires [Road 07-N ]</t>
  </si>
  <si>
    <t xml:space="preserve">            JDH4-02-007-CN-3000</t>
  </si>
  <si>
    <t>Installation of Street Lighting Feeder pillars  [Road 07-N ]</t>
  </si>
  <si>
    <t xml:space="preserve">            JDH4-02-007-CN-3010</t>
  </si>
  <si>
    <t>Installation of Earthing System [Road 07-N ]</t>
  </si>
  <si>
    <t xml:space="preserve">            JDH4-02-007-CN-3090</t>
  </si>
  <si>
    <t>Installation Road Crossing R/F 6 way 50mm HDPE Pipe  [Road 07-N ]</t>
  </si>
  <si>
    <t xml:space="preserve">            JDH4-02-007-CN-3160</t>
  </si>
  <si>
    <t>Installation Road Crossing Un R/F 6 way 50mm HDPE Pipe  [Road 07-N ]</t>
  </si>
  <si>
    <t xml:space="preserve">            JDH4-02-007-CN-3210</t>
  </si>
  <si>
    <t>Installation of 2 x 32 mm diameter HDPE ducts [Road 07-N ]</t>
  </si>
  <si>
    <t xml:space="preserve">            JDH4-02-007-CN-3270</t>
  </si>
  <si>
    <t xml:space="preserve">      Road 06</t>
  </si>
  <si>
    <t xml:space="preserve">            JDH4-02-007-CN-1740</t>
  </si>
  <si>
    <t>Road excavation [Road 06 ]</t>
  </si>
  <si>
    <t xml:space="preserve">            JDH4-02-007-CN-1800</t>
  </si>
  <si>
    <t>Road backfilling [Road 06 ]</t>
  </si>
  <si>
    <t xml:space="preserve">            JDH4-02-007-CN-1920</t>
  </si>
  <si>
    <t>Subgrade [Road 06 ]</t>
  </si>
  <si>
    <t xml:space="preserve">            JDH4-02-007-CN-1980</t>
  </si>
  <si>
    <t>Aggregate base course [Road 06 ]</t>
  </si>
  <si>
    <t xml:space="preserve">            JDH4-02-007-CN-2030</t>
  </si>
  <si>
    <t>Prime Coat (MC1) [Road 06 ]</t>
  </si>
  <si>
    <t xml:space="preserve">            JDH4-02-007-CN-2080</t>
  </si>
  <si>
    <t>Bituminous base course [Road 06 ]</t>
  </si>
  <si>
    <t xml:space="preserve">              JDH4-02-007-CN-2130</t>
  </si>
  <si>
    <t>Tack Coat (RC2) [Road 06 ]</t>
  </si>
  <si>
    <t xml:space="preserve">              JDH4-02-007-CN-2180</t>
  </si>
  <si>
    <t>Bituminous concrete wearing course [Road 06 ]</t>
  </si>
  <si>
    <t xml:space="preserve">              JDH4-02-007-CN-2230</t>
  </si>
  <si>
    <t>Installation of Precast Concrete curb [Road 06 ]</t>
  </si>
  <si>
    <t xml:space="preserve">              JDH4-02-007-CN-2280</t>
  </si>
  <si>
    <t>Installation of Interlocking block pavers for sidewalk/footpath [Road 06 ]</t>
  </si>
  <si>
    <t xml:space="preserve">              JDH4-02-007-CN-2330</t>
  </si>
  <si>
    <t>Pavement markings [Road 06 ]</t>
  </si>
  <si>
    <t xml:space="preserve">              JDH4-02-007-CN-2380</t>
  </si>
  <si>
    <t>Installation of Traffic Signs [Road 06 ]</t>
  </si>
  <si>
    <t xml:space="preserve">            JDH4-02-007-CN-5360</t>
  </si>
  <si>
    <t>Excavation and Compaction (FDT) [Road 06 ]</t>
  </si>
  <si>
    <t xml:space="preserve">            JDH4-02-007-CN-5410</t>
  </si>
  <si>
    <t>Sand Bedding  [Road 06 ]</t>
  </si>
  <si>
    <t xml:space="preserve">            JDH4-02-007-CN-5460</t>
  </si>
  <si>
    <t>Installation of GRP Pipe  [Road 06 ]</t>
  </si>
  <si>
    <t xml:space="preserve">            JDH4-02-007-CN-5510</t>
  </si>
  <si>
    <t>Sand Cover &amp; Warning Tape [Road 06 ]</t>
  </si>
  <si>
    <t xml:space="preserve">            JDH4-02-007-CN-5560</t>
  </si>
  <si>
    <t>Backfilling &amp; Compaction [Road 06 ]</t>
  </si>
  <si>
    <t xml:space="preserve">            JDH4-02-007-CN-5830</t>
  </si>
  <si>
    <t>Pipe Encasement Works [Road 06 ]</t>
  </si>
  <si>
    <t xml:space="preserve">            JDH4-02-007-CN-5660</t>
  </si>
  <si>
    <t>Installation of Precast Manhole Ring [Road 06 ]</t>
  </si>
  <si>
    <t xml:space="preserve">            JDH4-02-007-CN-5710</t>
  </si>
  <si>
    <t>Installation of Precast Access Opening [Road 06 ]</t>
  </si>
  <si>
    <t xml:space="preserve">            JDH4-02-007-CN-5750</t>
  </si>
  <si>
    <t>Construction of Catch basins [Road 06 ]</t>
  </si>
  <si>
    <t xml:space="preserve">            JDH4-02-007-CN-4810</t>
  </si>
  <si>
    <t>Excavation &amp; Compaction (FDT) [Road 06 ]</t>
  </si>
  <si>
    <t xml:space="preserve">            JDH4-02-007-CN-4880</t>
  </si>
  <si>
    <t xml:space="preserve">            JDH4-02-007-CN-4950</t>
  </si>
  <si>
    <t>Installation of GRP Pipe [Road 06 ]</t>
  </si>
  <si>
    <t xml:space="preserve">            JDH4-02-007-CN-5020</t>
  </si>
  <si>
    <t>Gravity Test [Road 06 ]</t>
  </si>
  <si>
    <t xml:space="preserve">            JDH4-02-007-CN-5090</t>
  </si>
  <si>
    <t xml:space="preserve">            JDH4-02-007-CN-5160</t>
  </si>
  <si>
    <t xml:space="preserve">            JDH4-02-007-CN-5300</t>
  </si>
  <si>
    <t xml:space="preserve">            JDH4-02-007-CN-5230</t>
  </si>
  <si>
    <t>Installation of Manholes [Road 06 ]</t>
  </si>
  <si>
    <t xml:space="preserve">            JDH4-02-007-CN-4030</t>
  </si>
  <si>
    <t xml:space="preserve">            JDH4-02-007-CN-4100</t>
  </si>
  <si>
    <t xml:space="preserve">            JDH4-02-007-CN-4170</t>
  </si>
  <si>
    <t>Installation of HDPE Pipe  [Road 06 ]</t>
  </si>
  <si>
    <t xml:space="preserve">            JDH4-02-007-CN-4240</t>
  </si>
  <si>
    <t>Initial Pressure Test [Road 06 ]</t>
  </si>
  <si>
    <t xml:space="preserve">            JDH4-02-007-CN-4690</t>
  </si>
  <si>
    <t>Point of Connection [Road 06 ]</t>
  </si>
  <si>
    <t xml:space="preserve">            JDH4-02-007-CN-4310</t>
  </si>
  <si>
    <t>Sand Cover &amp; Warning  [Road 06 ]</t>
  </si>
  <si>
    <t xml:space="preserve">            JDH4-02-007-CN-4380</t>
  </si>
  <si>
    <t xml:space="preserve">            JDH4-02-007-CN-4450</t>
  </si>
  <si>
    <t>Encasement for Pipes [Road 06 ]</t>
  </si>
  <si>
    <t xml:space="preserve">            JDH4-02-007-CN-4520</t>
  </si>
  <si>
    <t>Installation of Gate Valves [Road 06 ]</t>
  </si>
  <si>
    <t xml:space="preserve">            JDH4-02-007-CN-4760</t>
  </si>
  <si>
    <t>Installation of Irrigation Riser with  [Road 06 ]</t>
  </si>
  <si>
    <t xml:space="preserve">            JDH4-02-007-CN-3350</t>
  </si>
  <si>
    <t xml:space="preserve">            JDH4-02-007-CN-3420</t>
  </si>
  <si>
    <t xml:space="preserve">            JDH4-02-007-CN-3490</t>
  </si>
  <si>
    <t xml:space="preserve">            JDH4-02-007-CN-3560</t>
  </si>
  <si>
    <t xml:space="preserve">            JDH4-02-007-CN-3630</t>
  </si>
  <si>
    <t xml:space="preserve">            JDH4-02-007-CN-3700</t>
  </si>
  <si>
    <t>Backfilling  [Road 06 ]</t>
  </si>
  <si>
    <t xml:space="preserve">            JDH4-02-007-CN-3770</t>
  </si>
  <si>
    <t xml:space="preserve">            JDH4-02-007-CN-3840</t>
  </si>
  <si>
    <t xml:space="preserve">            JDH4-02-007-CN-3930</t>
  </si>
  <si>
    <t>Installation of 3-outlet fire hydrant [Road 06 ]</t>
  </si>
  <si>
    <t xml:space="preserve">              JDH4-02-007-CN-2450</t>
  </si>
  <si>
    <t>Excavation for Trench [Road 06 ]</t>
  </si>
  <si>
    <t xml:space="preserve">              JDH4-02-007-CN-2510</t>
  </si>
  <si>
    <t>Installation of Duct banks [Road 06 ]</t>
  </si>
  <si>
    <t xml:space="preserve">              JDH4-02-007-CN-2570</t>
  </si>
  <si>
    <t>Installation of Medium Voltage Cables [Road 06 ]</t>
  </si>
  <si>
    <t xml:space="preserve">              JDH4-02-007-CN-2650</t>
  </si>
  <si>
    <t>Excavation for Low Voltage Cable [Road 06 ]</t>
  </si>
  <si>
    <t xml:space="preserve">              JDH4-02-007-CN-2660</t>
  </si>
  <si>
    <t>Installation of Low Voltage Cables [Road 06 ]</t>
  </si>
  <si>
    <t xml:space="preserve">            JDH4-02-007-CN-2800</t>
  </si>
  <si>
    <t xml:space="preserve">            JDH4-02-007-CN-2810</t>
  </si>
  <si>
    <t>Installation of Road Crossing Ducts [Road 06 ]</t>
  </si>
  <si>
    <t xml:space="preserve">            JDH4-02-007-CN-2870</t>
  </si>
  <si>
    <t xml:space="preserve">            JDH4-02-007-CN-2910</t>
  </si>
  <si>
    <t>Installation of Lighting Poles [Road 06 ]</t>
  </si>
  <si>
    <t xml:space="preserve">            JDH4-02-007-CN-2950</t>
  </si>
  <si>
    <t>Installation of Lighting Luminaires [Road 06 ]</t>
  </si>
  <si>
    <t xml:space="preserve">            JDH4-02-007-CN-2980</t>
  </si>
  <si>
    <t>Installation of Earthing System [Road 06 ]</t>
  </si>
  <si>
    <t xml:space="preserve">            JDH4-02-007-CN-3100</t>
  </si>
  <si>
    <t>Installation Road Crossing R/F 6 way 50mm HDPE Pipe  [Road 06 ]</t>
  </si>
  <si>
    <t xml:space="preserve">            JDH4-02-007-CN-3170</t>
  </si>
  <si>
    <t>Installation Road Crossing Un R/F 6 way 50mm HDPE Pipe  [Road 06 ]</t>
  </si>
  <si>
    <t xml:space="preserve">            JDH4-02-007-CN-3220</t>
  </si>
  <si>
    <t>Installation of 2 x 32 mm diameter HDPE ducts [Road 06 ]</t>
  </si>
  <si>
    <t xml:space="preserve">            JDH4-02-007-CN-3280</t>
  </si>
  <si>
    <t xml:space="preserve">      Road 10</t>
  </si>
  <si>
    <t xml:space="preserve">            JDH4-02-007-CN-4830</t>
  </si>
  <si>
    <t>Excavation &amp; Compaction (FDT) [Road 10 ]</t>
  </si>
  <si>
    <t xml:space="preserve">            JDH4-02-007-CN-4900</t>
  </si>
  <si>
    <t>Sand Bedding  [Road 10 ]</t>
  </si>
  <si>
    <t xml:space="preserve">            JDH4-02-007-CN-4970</t>
  </si>
  <si>
    <t>Installation of GRP Pipe [Road 10 ]</t>
  </si>
  <si>
    <t xml:space="preserve">            JDH4-02-007-CN-5040</t>
  </si>
  <si>
    <t>Gravity Test [Road 10 ]</t>
  </si>
  <si>
    <t xml:space="preserve">            JDH4-02-007-CN-5110</t>
  </si>
  <si>
    <t>Sand Cover &amp; Warning Tape [Road 10 ]</t>
  </si>
  <si>
    <t xml:space="preserve">            JDH4-02-007-CN-5180</t>
  </si>
  <si>
    <t>Backfilling &amp; Compaction [Road 10 ]</t>
  </si>
  <si>
    <t xml:space="preserve">            JDH4-02-007-CN-5320</t>
  </si>
  <si>
    <t>Pipe Encasement Works [Road 10 ]</t>
  </si>
  <si>
    <t xml:space="preserve">            JDH4-02-007-CN-5250</t>
  </si>
  <si>
    <t>Installation of Manholes [Road 10 ]</t>
  </si>
  <si>
    <t xml:space="preserve">            JDH4-02-007-CN-4050</t>
  </si>
  <si>
    <t>Excavation and Compaction (FDT) [Road 10 ]</t>
  </si>
  <si>
    <t xml:space="preserve">            JDH4-02-007-CN-4120</t>
  </si>
  <si>
    <t xml:space="preserve">            JDH4-02-007-CN-4190</t>
  </si>
  <si>
    <t>Installation of HDPE Pipe  [Road 10 ]</t>
  </si>
  <si>
    <t xml:space="preserve">            JDH4-02-007-CN-4260</t>
  </si>
  <si>
    <t>Initial Pressure Test [Road 10 ]</t>
  </si>
  <si>
    <t xml:space="preserve">            JDH4-02-007-CN-4710</t>
  </si>
  <si>
    <t>Point of Connection [Road 10 ]</t>
  </si>
  <si>
    <t xml:space="preserve">            JDH4-02-007-CN-4330</t>
  </si>
  <si>
    <t>Sand Cover &amp; Warning  [Road 10 ]</t>
  </si>
  <si>
    <t xml:space="preserve">            JDH4-02-007-CN-4400</t>
  </si>
  <si>
    <t xml:space="preserve">            JDH4-02-007-CN-4470</t>
  </si>
  <si>
    <t>Encasement for Pipes [Road 10 ]</t>
  </si>
  <si>
    <t xml:space="preserve">            JDH4-02-007-CN-4540</t>
  </si>
  <si>
    <t>Installation of Gate Valves [Road 10 ]</t>
  </si>
  <si>
    <t xml:space="preserve">            JDH4-02-007-CN-4590</t>
  </si>
  <si>
    <t>Installation of Air Valves [Road 10 ]</t>
  </si>
  <si>
    <t xml:space="preserve">            JDH4-02-007-CN-3370</t>
  </si>
  <si>
    <t xml:space="preserve">            JDH4-02-007-CN-3440</t>
  </si>
  <si>
    <t xml:space="preserve">            JDH4-02-007-CN-3510</t>
  </si>
  <si>
    <t xml:space="preserve">            JDH4-02-007-CN-3580</t>
  </si>
  <si>
    <t xml:space="preserve">            JDH4-02-007-CN-3650</t>
  </si>
  <si>
    <t xml:space="preserve">            JDH4-02-007-CN-3720</t>
  </si>
  <si>
    <t>Backfilling  [Road 10 ]</t>
  </si>
  <si>
    <t xml:space="preserve">            JDH4-02-007-CN-3790</t>
  </si>
  <si>
    <t xml:space="preserve">            JDH4-02-007-CN-3860</t>
  </si>
  <si>
    <t xml:space="preserve">            JDH4-02-007-CN-4640</t>
  </si>
  <si>
    <t>Construction of Air Valve Chambers [Road 10 ]</t>
  </si>
  <si>
    <t xml:space="preserve">              JDH4-02-007-CN-2460</t>
  </si>
  <si>
    <t>Excavation for Trench [Road 10 ]</t>
  </si>
  <si>
    <t xml:space="preserve">              JDH4-02-007-CN-2520</t>
  </si>
  <si>
    <t>Installation of Duct banks [Road 10 ]</t>
  </si>
  <si>
    <t xml:space="preserve">              JDH4-02-007-CN-2580</t>
  </si>
  <si>
    <t>Installation of Medium Voltage Cables [Road 10 ]</t>
  </si>
  <si>
    <t xml:space="preserve">              JDH4-02-007-CN-2670</t>
  </si>
  <si>
    <t>Excavation for Low Voltage Cable [Road 10 ]</t>
  </si>
  <si>
    <t xml:space="preserve">              JDH4-02-007-CN-2680</t>
  </si>
  <si>
    <t>Installation of Low Voltage Cables [Road 10 ]</t>
  </si>
  <si>
    <t xml:space="preserve">            JDH4-02-007-CN-3120</t>
  </si>
  <si>
    <t>Installation Road Crossing R/F 6 way 50mm HDPE Pipe  [Road 10 ]</t>
  </si>
  <si>
    <t xml:space="preserve">            JDH4-02-007-CN-3190</t>
  </si>
  <si>
    <t>Installation Road Crossing Un R/F 6 way 50mm HDPE Pipe  [Road 10 ]</t>
  </si>
  <si>
    <t xml:space="preserve">            JDH4-02-007-CN-3230</t>
  </si>
  <si>
    <t>Installation of 2 x 32 mm diameter HDPE ducts [Road 10 ]</t>
  </si>
  <si>
    <t xml:space="preserve">            JDH4-02-007-CN-3300</t>
  </si>
  <si>
    <t xml:space="preserve">      Out of Zone</t>
  </si>
  <si>
    <t xml:space="preserve">              JDH4-02-007-CN-2470</t>
  </si>
  <si>
    <t>Excavation for Trench [Out of Zone ]</t>
  </si>
  <si>
    <t xml:space="preserve">              JDH4-02-007-CN-2530</t>
  </si>
  <si>
    <t>Installation of Duct banks [Out of Zone ]</t>
  </si>
  <si>
    <t xml:space="preserve">              JDH4-02-007-CN-2590</t>
  </si>
  <si>
    <t>Installation of Medium Voltage Cables [Out of Zone ]</t>
  </si>
  <si>
    <t xml:space="preserve">              JDH4-02-007-CN-2690</t>
  </si>
  <si>
    <t>Excavation for Low Voltage Cable [Out of Zone ]</t>
  </si>
  <si>
    <t xml:space="preserve">              JDH4-02-007-CN-2700</t>
  </si>
  <si>
    <t>Installation of Low Voltage Cables [Out of Zone ]</t>
  </si>
  <si>
    <t xml:space="preserve">    Sewage Lift Station</t>
  </si>
  <si>
    <t xml:space="preserve">      Site Works</t>
  </si>
  <si>
    <t xml:space="preserve">        JDH4-02-007-CN-5910</t>
  </si>
  <si>
    <t>Excavation [Sewage Lift Station ]</t>
  </si>
  <si>
    <t xml:space="preserve">        JDH4-02-007-CN-5920</t>
  </si>
  <si>
    <t>Backfilling [Sewage Lift Station ]</t>
  </si>
  <si>
    <t xml:space="preserve">        JDH4-02-007-CN-5930</t>
  </si>
  <si>
    <t>Install gravel beddings [Sewage Lift Station ]</t>
  </si>
  <si>
    <t xml:space="preserve">      Concrete Works</t>
  </si>
  <si>
    <t xml:space="preserve">        JDH4-02-007-CN-1010</t>
  </si>
  <si>
    <t>Lean concrete under the foundations [Sewage Lift Station ]</t>
  </si>
  <si>
    <t xml:space="preserve">        JDH4-02-007-CN-1020</t>
  </si>
  <si>
    <t>Footings For Sewage Lift Station   [Sewage Lift Station ]</t>
  </si>
  <si>
    <t xml:space="preserve">        JDH4-02-007-CN-1030</t>
  </si>
  <si>
    <t>Cast concrete for trench Including Mastic sealant  [Sewage Lift Station ]</t>
  </si>
  <si>
    <t xml:space="preserve">      Thermal &amp; Moisture Protection</t>
  </si>
  <si>
    <t xml:space="preserve">        JDH4-02-007-CN-1050</t>
  </si>
  <si>
    <t>Install 250 micron polyethylene sheet under slab on grade and footings  [Sewage Lift Station ]</t>
  </si>
  <si>
    <t xml:space="preserve">        JDH4-02-007-CN-1060</t>
  </si>
  <si>
    <t>Applying 2 Coats of Bituminous Paint  [Sewage Lift Station ]</t>
  </si>
  <si>
    <t xml:space="preserve">      Metals</t>
  </si>
  <si>
    <t xml:space="preserve">        JDH4-02-007-CN-1040</t>
  </si>
  <si>
    <t>Install Stainless steel   [Sewage Lift Station ]</t>
  </si>
  <si>
    <t xml:space="preserve">      Mechanical Works</t>
  </si>
  <si>
    <t xml:space="preserve">        Pipes &amp; Fittings</t>
  </si>
  <si>
    <t xml:space="preserve">          JDH4-02-007-CN-1090</t>
  </si>
  <si>
    <t>Installation of Pipes &amp; Fittings [Sewage Lift Station ]</t>
  </si>
  <si>
    <t xml:space="preserve">          JDH4-02-007-CN-1100</t>
  </si>
  <si>
    <t>Installation of Gate Valves [Sewage Lift Station ]</t>
  </si>
  <si>
    <t xml:space="preserve">          JDH4-02-007-CN-1120</t>
  </si>
  <si>
    <t>Installation of Dismantling Joints [Sewage Lift Station ]</t>
  </si>
  <si>
    <t xml:space="preserve">          JDH4-02-007-CN-1130</t>
  </si>
  <si>
    <t>Installation of Non Return Valve DN250 [Sewage Lift Station ]</t>
  </si>
  <si>
    <t xml:space="preserve">          JDH4-02-007-CN-1140</t>
  </si>
  <si>
    <t>Installation of Air Valve DN60 [Sewage Lift Station ]</t>
  </si>
  <si>
    <t xml:space="preserve">          JDH4-02-007-CN-1150</t>
  </si>
  <si>
    <t>Installation of Bauer Coupling DN150 [Sewage Lift Station ]</t>
  </si>
  <si>
    <t xml:space="preserve">          JDH4-02-007-CN-1160</t>
  </si>
  <si>
    <t>Installation of Odors scrubbing system  [Sewage Lift Station ]</t>
  </si>
  <si>
    <t xml:space="preserve">        Control Equipment</t>
  </si>
  <si>
    <t xml:space="preserve">          JDH4-02-007-CN-1180</t>
  </si>
  <si>
    <t>Installation of Manually operated davit crane (portable) [Sewage Lift Station ]</t>
  </si>
  <si>
    <t xml:space="preserve">          JDH4-02-007-CN-1190</t>
  </si>
  <si>
    <t>Installation of Air Vents [Sewage Lift Station ]</t>
  </si>
  <si>
    <t xml:space="preserve">          JDH4-02-007-CN-1200</t>
  </si>
  <si>
    <t>Installation of Screening Container [Sewage Lift Station ]</t>
  </si>
  <si>
    <t xml:space="preserve">          JDH4-02-007-CN-1210</t>
  </si>
  <si>
    <t>Installation of Baffle Plates [Sewage Lift Station ]</t>
  </si>
  <si>
    <t xml:space="preserve">        Interface Works</t>
  </si>
  <si>
    <t xml:space="preserve">          JDH4-02-007-CN-1220</t>
  </si>
  <si>
    <t>Interfacing Works [Sewage Lift Station ]</t>
  </si>
  <si>
    <t xml:space="preserve">        Anti Water Hammer Equipment</t>
  </si>
  <si>
    <t xml:space="preserve">          JDH4-02-007-CN-1230</t>
  </si>
  <si>
    <t>Installation of Anti-Water Hammer Equipment [Sewage Lift Station ]</t>
  </si>
  <si>
    <t xml:space="preserve">        Air Conditioning &amp; Ventilation</t>
  </si>
  <si>
    <t xml:space="preserve">          JDH4-02-007-CN-1240</t>
  </si>
  <si>
    <t>Installation of Air Conditioning [Sewage Lift Station ]</t>
  </si>
  <si>
    <t xml:space="preserve">          JDH4-02-007-CN-1260</t>
  </si>
  <si>
    <t>Installation of Bulk Fuel storage tank, 2500 Liter (7 Days of storage) [Sewage Lift Station ]</t>
  </si>
  <si>
    <t xml:space="preserve">          JDH4-02-007-CN-1270</t>
  </si>
  <si>
    <t>Installation of Fuel pump set , 1 duty and 1 standby, Capacity 100 L/h, Head 1 Bar [Sewage Lift Station ]</t>
  </si>
  <si>
    <t xml:space="preserve">          JDH4-02-007-CN-1280</t>
  </si>
  <si>
    <t>Pipes and Fitting Works [Sewage Lift Station ]</t>
  </si>
  <si>
    <t xml:space="preserve">        Fire Fighting</t>
  </si>
  <si>
    <t xml:space="preserve">          JDH4-02-007-CN-1290</t>
  </si>
  <si>
    <t>Installation of Fire fighting for electrical room which has a volume of about 62 m3 [Sewage Lift Station ]</t>
  </si>
  <si>
    <t xml:space="preserve">          JDH4-02-007-CN-1300</t>
  </si>
  <si>
    <t>Installation of Foam type - wheeled type 20 Gallon capacity-ref. FE-01 [Sewage Lift Station ]</t>
  </si>
  <si>
    <t xml:space="preserve">          JDH4-02-007-CN-1070</t>
  </si>
  <si>
    <t>Installation of Submersible pump  [Sewage Lift Station ]</t>
  </si>
  <si>
    <t xml:space="preserve">      Electrical Works</t>
  </si>
  <si>
    <t xml:space="preserve">        Main Distribution Board</t>
  </si>
  <si>
    <t xml:space="preserve">          JDH4-02-007-CN-1310</t>
  </si>
  <si>
    <t>Installation of Main Distribution Board/MCC Panel [Sewage Lift Station ]</t>
  </si>
  <si>
    <t xml:space="preserve">          JDH4-02-007-CN-1320</t>
  </si>
  <si>
    <t>Installation of Panel Board [Sewage Lift Station ]</t>
  </si>
  <si>
    <t xml:space="preserve">        Local Control Panel</t>
  </si>
  <si>
    <t xml:space="preserve">          JDH4-02-007-CN-1330</t>
  </si>
  <si>
    <t>Installation of MCP-LP-01 [Sewage Lift Station ]</t>
  </si>
  <si>
    <t xml:space="preserve">          JDH4-02-007-CN-1350</t>
  </si>
  <si>
    <t>Installation of MCP-LP-02 [Sewage Lift Station ]</t>
  </si>
  <si>
    <t xml:space="preserve">          JDH4-02-007-CN-1360</t>
  </si>
  <si>
    <t>Installation of  OD-CP [Sewage Lift Station ]</t>
  </si>
  <si>
    <t xml:space="preserve">          JDH4-02-007-CN-1370</t>
  </si>
  <si>
    <t>Installation of  FP-CP [Sewage Lift Station ]</t>
  </si>
  <si>
    <t xml:space="preserve">        Diesel Generator</t>
  </si>
  <si>
    <t xml:space="preserve">          JDH4-02-007-CN-1380</t>
  </si>
  <si>
    <t>Installation of Standby Diesel Generator  [Sewage Lift Station ]</t>
  </si>
  <si>
    <t xml:space="preserve">          JDH4-02-007-CN-1390</t>
  </si>
  <si>
    <t>Installation of Power Factor Correction Capacitor Bank [Sewage Lift Station ]</t>
  </si>
  <si>
    <t xml:space="preserve">          JDH4-02-007-CN-1410</t>
  </si>
  <si>
    <t>Installation of Low Voltage Cables [Sewage Lift Station ]</t>
  </si>
  <si>
    <t xml:space="preserve">          JDH4-02-007-CN-1420</t>
  </si>
  <si>
    <t>Installation of Wiring Devices [Sewage Lift Station ]</t>
  </si>
  <si>
    <t xml:space="preserve">          JDH4-02-007-CN-1440</t>
  </si>
  <si>
    <t>Installation of Enclosed Switches and Circuit Breakers [Sewage Lift Station ]</t>
  </si>
  <si>
    <t xml:space="preserve">        Lighting</t>
  </si>
  <si>
    <t xml:space="preserve">          JDH4-02-007-CN-1450</t>
  </si>
  <si>
    <t>Installation of Lightings [Sewage Lift Station ]</t>
  </si>
  <si>
    <t xml:space="preserve">        Grounding and Bonding for Electrical Systems</t>
  </si>
  <si>
    <t xml:space="preserve">          JDH4-02-007-CN-1460</t>
  </si>
  <si>
    <t>Installation of Grounding Links [Sewage Lift Station ]</t>
  </si>
  <si>
    <t xml:space="preserve">          JDH4-02-007-CN-1470</t>
  </si>
  <si>
    <t>Installation of Electrical Manholes [Sewage Lift Station ]</t>
  </si>
  <si>
    <t xml:space="preserve">          JDH4-02-007-CN-1490</t>
  </si>
  <si>
    <t>Installation of IDF Cabinet 9U (for data &amp;Telephone)   [Sewage Lift Station ]</t>
  </si>
  <si>
    <t xml:space="preserve">          JDH4-02-007-CN-1500</t>
  </si>
  <si>
    <t>Installationof Single data/Telephone outlet  [Sewage Lift Station ]</t>
  </si>
  <si>
    <t xml:space="preserve">          JDH4-02-007-CN-1510</t>
  </si>
  <si>
    <t>Installation of Data Switch (24 Port) [Sewage Lift Station ]</t>
  </si>
  <si>
    <t xml:space="preserve">          JDH4-02-007-CN-1520</t>
  </si>
  <si>
    <t>Installation of Fiber optic cable (12 Core single mode). [Sewage Lift Station ]</t>
  </si>
  <si>
    <t xml:space="preserve">          JDH4-02-007-CN-1530</t>
  </si>
  <si>
    <t>Installation of 5.0 Megapixel, Fixed bullet IP CCTV camera [Sewage Lift Station ]</t>
  </si>
  <si>
    <t xml:space="preserve">        Duct Bank and Handhole For Telecom Network</t>
  </si>
  <si>
    <t xml:space="preserve">          JDH4-02-007-CN-1540</t>
  </si>
  <si>
    <t>Installation of 2 x 50mm HDPE ducts Bank [Sewage Lift Station ]</t>
  </si>
  <si>
    <t xml:space="preserve">          JDH4-02-007-CN-1550</t>
  </si>
  <si>
    <t>Installation of Handholes (800x800x800 mm) [Sewage Lift Station ]</t>
  </si>
  <si>
    <t xml:space="preserve">          JDH4-02-007-CN-1570</t>
  </si>
  <si>
    <t>Installation of Programmable Logic Controller [Sewage Lift Station ]</t>
  </si>
  <si>
    <t xml:space="preserve">          JDH4-02-007-CN-1580</t>
  </si>
  <si>
    <t>Installation of Process Control Wiring [Sewage Lift Station ]</t>
  </si>
  <si>
    <t xml:space="preserve">          JDH4-02-007-CN-1600</t>
  </si>
  <si>
    <t>Installation of Process System [Sewage Lift Station ]</t>
  </si>
  <si>
    <t xml:space="preserve">      Fence Work</t>
  </si>
  <si>
    <t xml:space="preserve">        JDH4-02-007-CN-5890</t>
  </si>
  <si>
    <t>Installation of Chain Link Fence [Sewage Lift Station ]</t>
  </si>
  <si>
    <t xml:space="preserve">        JDH4-02-007-CN-5900</t>
  </si>
  <si>
    <t>Installation of Pedestrian Gate [Sewage Lift Station ]</t>
  </si>
  <si>
    <t xml:space="preserve">    JDH4-02-007-TC-1020</t>
  </si>
  <si>
    <t>Test for Sanitary Sewerage</t>
  </si>
  <si>
    <t xml:space="preserve">    JDH4-02-007-TC-1030</t>
  </si>
  <si>
    <t>Test for Stormwater Utilities</t>
  </si>
  <si>
    <t xml:space="preserve">    JDH4-02-007-TC-1000</t>
  </si>
  <si>
    <t xml:space="preserve">    JDH4-02-007-TC-1010</t>
  </si>
  <si>
    <t>Test for TSE Network</t>
  </si>
  <si>
    <t xml:space="preserve">    JDH4-02-007-TC-1040</t>
  </si>
  <si>
    <t>Test for Electrical Network</t>
  </si>
  <si>
    <t xml:space="preserve">    JDH4-02-007-TC-1050</t>
  </si>
  <si>
    <t>Test for Sewage Lift Station</t>
  </si>
  <si>
    <t xml:space="preserve">    JDH4-02-007-TC-1060</t>
  </si>
  <si>
    <t>Test for Road Works</t>
  </si>
  <si>
    <t xml:space="preserve">  Project Hand Over &amp; Close-out</t>
  </si>
  <si>
    <t xml:space="preserve">        JDH4-02-007-AB-1020</t>
  </si>
  <si>
    <t>As-Built DWGs Submittal for Sanitary Sewerage</t>
  </si>
  <si>
    <t xml:space="preserve">        JDH4-02-007-AB-1030</t>
  </si>
  <si>
    <t>As-Built DWGs Submittal for Stormwater Utilities</t>
  </si>
  <si>
    <t xml:space="preserve">        JDH4-02-007-AB-1000</t>
  </si>
  <si>
    <t xml:space="preserve">        JDH4-02-007-AB-1010</t>
  </si>
  <si>
    <t>As-Built DWGs Submittal for TSE Network</t>
  </si>
  <si>
    <t xml:space="preserve">        JDH4-02-007-AB-1040</t>
  </si>
  <si>
    <t>As-Built DWGs Submittal for Electrical Network</t>
  </si>
  <si>
    <t xml:space="preserve">        JDH4-02-007-AB-1050</t>
  </si>
  <si>
    <t>As-Built DWGs Submittal for Sewage Lift Station</t>
  </si>
  <si>
    <t xml:space="preserve">        JDH4-02-007-AB-1060</t>
  </si>
  <si>
    <t>As-Built DWGs Submittal for Road Works</t>
  </si>
  <si>
    <t xml:space="preserve">        JDH4-02-007-AB-1090</t>
  </si>
  <si>
    <t>As- Built DWGs Approval for Sanitary Sewerage</t>
  </si>
  <si>
    <t xml:space="preserve">        JDH4-02-007-AB-1100</t>
  </si>
  <si>
    <t>As- Built DWGs Approval for Stormwater Utilities</t>
  </si>
  <si>
    <t xml:space="preserve">        JDH4-02-007-AB-1070</t>
  </si>
  <si>
    <t>As- Built DWGs Approval for Potable Water Network</t>
  </si>
  <si>
    <t xml:space="preserve">        JDH4-02-007-AB-1080</t>
  </si>
  <si>
    <t>As- Built DWGs Approval for TSE Network</t>
  </si>
  <si>
    <t xml:space="preserve">        JDH4-02-007-AB-1110</t>
  </si>
  <si>
    <t>As- Built DWGs Approval for Electrical Network</t>
  </si>
  <si>
    <t xml:space="preserve">        JDH4-02-007-AB-1120</t>
  </si>
  <si>
    <t>As- Built DWGs Approval for Sewage Lift Station</t>
  </si>
  <si>
    <t xml:space="preserve">        JDH4-02-007-AB-1130</t>
  </si>
  <si>
    <t>As- Built DWGs Approval for Road Works</t>
  </si>
  <si>
    <t xml:space="preserve">    Demobilization</t>
  </si>
  <si>
    <t xml:space="preserve">      JDH4-02-007-DM-1000</t>
  </si>
  <si>
    <t xml:space="preserve">      JDH4-02-007-DM-1010</t>
  </si>
  <si>
    <t>Removal of Equipment from Site</t>
  </si>
  <si>
    <t xml:space="preserve">      JDH4-02-007-DM-1020</t>
  </si>
  <si>
    <t>Site Clean Up</t>
  </si>
  <si>
    <t xml:space="preserve">      JDH4-02-007-DM-1030</t>
  </si>
  <si>
    <t xml:space="preserve">      JDH4-02-007-DM-1040</t>
  </si>
  <si>
    <t>Restoration of Ground Surfaces</t>
  </si>
  <si>
    <t>Key Milestones</t>
  </si>
  <si>
    <t>General Milestone</t>
  </si>
  <si>
    <t>JDH4-02-007-MS-1000</t>
  </si>
  <si>
    <t>JDH4-02-007-MS-1010</t>
  </si>
  <si>
    <t>Contractual Milestone</t>
  </si>
  <si>
    <t>Engineering &amp; Mobilization</t>
  </si>
  <si>
    <t>JDH4-02-007-MS-1020</t>
  </si>
  <si>
    <t>JDH4-02-007-MS-1030</t>
  </si>
  <si>
    <t>JDH4-02-007-MS-1040</t>
  </si>
  <si>
    <t>Construction</t>
  </si>
  <si>
    <t>JDH4-02-007-MS-1050</t>
  </si>
  <si>
    <t>JDH4-02-007-MS-1060</t>
  </si>
  <si>
    <t>JDH4-02-007-MS-1070</t>
  </si>
  <si>
    <t>JDH4-02-007-MS-1080</t>
  </si>
  <si>
    <t>JDH4-02-007-MS-1090</t>
  </si>
  <si>
    <t>JDH4-02-007-MS-1100</t>
  </si>
  <si>
    <t>JDH4-02-007-MS-1110</t>
  </si>
  <si>
    <t>Monitoring &amp; Controlling Milestone</t>
  </si>
  <si>
    <t>JDH4-02-007-MS-1130</t>
  </si>
  <si>
    <t>JDH4-02-007-MS-1120</t>
  </si>
  <si>
    <t>Mobilization</t>
  </si>
  <si>
    <t>Site Facilities &amp; Offices</t>
  </si>
  <si>
    <t>JDH4-02-007-MB-1000</t>
  </si>
  <si>
    <t>JDH4-02-007-MB-1010</t>
  </si>
  <si>
    <t>JDH4-02-007-MB-1020</t>
  </si>
  <si>
    <t>JDH4-02-007-MB-1040</t>
  </si>
  <si>
    <t>JDH4-02-007-MB-1030</t>
  </si>
  <si>
    <t>JDH4-02-007-MB-1060</t>
  </si>
  <si>
    <t>JDH4-02-007-MB-1070</t>
  </si>
  <si>
    <t>JDH4-02-007-MB-1090</t>
  </si>
  <si>
    <t>JDH4-02-007-MB-1100</t>
  </si>
  <si>
    <t>JDH4-02-007-MB-1080</t>
  </si>
  <si>
    <t>JDH4-02-007-MB-1050</t>
  </si>
  <si>
    <t>Topographic Survey</t>
  </si>
  <si>
    <t>JDH4-02-007-TP-1000</t>
  </si>
  <si>
    <t>Permit's and Authority Approvals</t>
  </si>
  <si>
    <t>JDH4-02-007-PA-1000</t>
  </si>
  <si>
    <t>JDH4-02-007-PA-1010</t>
  </si>
  <si>
    <t>Preliminary Submittals</t>
  </si>
  <si>
    <t>Preparation and Submittal by Contractor's</t>
  </si>
  <si>
    <t>JDH4-02-007-PS-1020</t>
  </si>
  <si>
    <t>JDH4-02-007-PS-1030</t>
  </si>
  <si>
    <t>JDH4-02-007-PS-1040</t>
  </si>
  <si>
    <t>JDH4-02-007-PS-1050</t>
  </si>
  <si>
    <t>JDH4-02-007-PS-1000</t>
  </si>
  <si>
    <t>JDH4-02-007-PS-1010</t>
  </si>
  <si>
    <t>Approval by the Employer's</t>
  </si>
  <si>
    <t>JDH4-02-007-PS-1100</t>
  </si>
  <si>
    <t>JDH4-02-007-PS-1110</t>
  </si>
  <si>
    <t>JDH4-02-007-PS-1060</t>
  </si>
  <si>
    <t>JDH4-02-007-PS-1080</t>
  </si>
  <si>
    <t>JDH4-02-007-PS-1090</t>
  </si>
  <si>
    <t>JDH4-02-007-PS-1070</t>
  </si>
  <si>
    <t>Engineering</t>
  </si>
  <si>
    <t>Shop Drawings</t>
  </si>
  <si>
    <t>Shop Drawings Submittal</t>
  </si>
  <si>
    <t>Shop Drawings Submittal for Road Works</t>
  </si>
  <si>
    <t>JDH4-02-007-EN-1040</t>
  </si>
  <si>
    <t>JDH4-02-007-EN-1050</t>
  </si>
  <si>
    <t>JDH4-02-007-EN-1070</t>
  </si>
  <si>
    <t>JDH4-02-007-EN-1080</t>
  </si>
  <si>
    <t>JDH4-02-007-EN-1090</t>
  </si>
  <si>
    <t>JDH4-02-007-EN-1100</t>
  </si>
  <si>
    <t>JDH4-02-007-EN-1120</t>
  </si>
  <si>
    <t>JDH4-02-007-EN-1060</t>
  </si>
  <si>
    <t>JDH4-02-007-EN-1110</t>
  </si>
  <si>
    <t>Shop Drawings Submittal for Stormwater Network</t>
  </si>
  <si>
    <t>JDH4-02-007-EN-1250</t>
  </si>
  <si>
    <t>JDH4-02-007-EN-1260</t>
  </si>
  <si>
    <t>JDH4-02-007-EN-1270</t>
  </si>
  <si>
    <t>Shop Drawings Submittal for Sanitary Sewerage</t>
  </si>
  <si>
    <t>JDH4-02-007-EN-1220</t>
  </si>
  <si>
    <t>JDH4-02-007-EN-1230</t>
  </si>
  <si>
    <t>JDH4-02-007-EN-1240</t>
  </si>
  <si>
    <t>Shop Drawings Submittal for TSE Network</t>
  </si>
  <si>
    <t>JDH4-02-007-EN-1190</t>
  </si>
  <si>
    <t>JDH4-02-007-EN-1200</t>
  </si>
  <si>
    <t>JDH4-02-007-EN-1210</t>
  </si>
  <si>
    <t>Shop Drawings Submittal for Potable Water Network</t>
  </si>
  <si>
    <t>JDH4-02-007-EN-1160</t>
  </si>
  <si>
    <t>JDH4-02-007-EN-1170</t>
  </si>
  <si>
    <t>JDH4-02-007-EN-1180</t>
  </si>
  <si>
    <t>Shop Drawings Submittal for Electrical Network</t>
  </si>
  <si>
    <t>JDH4-02-007-EN-1130</t>
  </si>
  <si>
    <t>JDH4-02-007-EN-1140</t>
  </si>
  <si>
    <t>JDH4-02-007-EN-1150</t>
  </si>
  <si>
    <t>Shop Drawings Submittal for Telecommunications</t>
  </si>
  <si>
    <t>JDH4-02-007-EN-1600</t>
  </si>
  <si>
    <t>Shop Drawings Submittal for Earthing System</t>
  </si>
  <si>
    <t>JDH4-02-007-EN-1610</t>
  </si>
  <si>
    <t>Shop Drawings Submittal for Road Lighting</t>
  </si>
  <si>
    <t>JDH4-02-007-EN-1000</t>
  </si>
  <si>
    <t>JDH4-02-007-EN-1010</t>
  </si>
  <si>
    <t>JDH4-02-007-EN-1020</t>
  </si>
  <si>
    <t>JDH4-02-007-EN-1030</t>
  </si>
  <si>
    <t>Shop Drawings Submittal for Sewage Lift Station</t>
  </si>
  <si>
    <t>JDH4-02-007-EN-1280</t>
  </si>
  <si>
    <t>JDH4-02-007-EN-1290</t>
  </si>
  <si>
    <t>JDH4-02-007-EN-1310</t>
  </si>
  <si>
    <t>JDH4-02-007-EN-1300</t>
  </si>
  <si>
    <t>Shop Drawings Approval</t>
  </si>
  <si>
    <t>Shop Drawings Approval for Road Works</t>
  </si>
  <si>
    <t>JDH4-02-007-EN-1320</t>
  </si>
  <si>
    <t>JDH4-02-007-EN-1330</t>
  </si>
  <si>
    <t>JDH4-02-007-EN-1350</t>
  </si>
  <si>
    <t>JDH4-02-007-EN-1360</t>
  </si>
  <si>
    <t>JDH4-02-007-EN-1370</t>
  </si>
  <si>
    <t>JDH4-02-007-EN-1380</t>
  </si>
  <si>
    <t>JDH4-02-007-EN-1340</t>
  </si>
  <si>
    <t>JDH4-02-007-EN-1390</t>
  </si>
  <si>
    <t>JDH4-02-007-EN-1400</t>
  </si>
  <si>
    <t>Shop Drawings Approval for Storm Network</t>
  </si>
  <si>
    <t>JDH4-02-007-EN-1530</t>
  </si>
  <si>
    <t>JDH4-02-007-EN-1540</t>
  </si>
  <si>
    <t>JDH4-02-007-EN-1550</t>
  </si>
  <si>
    <t>Shop Drawings Approval for Sanitary Sewerage</t>
  </si>
  <si>
    <t>JDH4-02-007-EN-1510</t>
  </si>
  <si>
    <t>JDH4-02-007-EN-1520</t>
  </si>
  <si>
    <t>JDH4-02-007-EN-1500</t>
  </si>
  <si>
    <t>Shop Drawings Approval for TSE Network</t>
  </si>
  <si>
    <t>JDH4-02-007-EN-1470</t>
  </si>
  <si>
    <t>JDH4-02-007-EN-1480</t>
  </si>
  <si>
    <t>JDH4-02-007-EN-1490</t>
  </si>
  <si>
    <t>Shop Drawings Approval for Potable Water Network</t>
  </si>
  <si>
    <t>JDH4-02-007-EN-1440</t>
  </si>
  <si>
    <t>JDH4-02-007-EN-1450</t>
  </si>
  <si>
    <t>JDH4-02-007-EN-1460</t>
  </si>
  <si>
    <t>Shop Drawings Approval for Electrical Network</t>
  </si>
  <si>
    <t>JDH4-02-007-EN-1410</t>
  </si>
  <si>
    <t>JDH4-02-007-EN-1420</t>
  </si>
  <si>
    <t>JDH4-02-007-EN-1430</t>
  </si>
  <si>
    <t>Shop Drawings Approval for Telecommunications</t>
  </si>
  <si>
    <t>JDH4-02-007-EN-1620</t>
  </si>
  <si>
    <t>Shop Drawings Approval for Earthing System</t>
  </si>
  <si>
    <t>JDH4-02-007-EN-1630</t>
  </si>
  <si>
    <t>Shop Drawings Approval for Road Lighting</t>
  </si>
  <si>
    <t>JDH4-02-007-EN-1640</t>
  </si>
  <si>
    <t>JDH4-02-007-EN-1650</t>
  </si>
  <si>
    <t>JDH4-02-007-EN-1660</t>
  </si>
  <si>
    <t>JDH4-02-007-EN-1670</t>
  </si>
  <si>
    <t>Shop Drawings Approval for Sewage Lift Station</t>
  </si>
  <si>
    <t>JDH4-02-007-EN-1700</t>
  </si>
  <si>
    <t>JDH4-02-007-EN-1680</t>
  </si>
  <si>
    <t>JDH4-02-007-EN-1690</t>
  </si>
  <si>
    <t>JDH4-02-007-EN-1710</t>
  </si>
  <si>
    <t>Method Statements</t>
  </si>
  <si>
    <t>Method Statements Submittal</t>
  </si>
  <si>
    <t>JDH4-02-007-EN-1560</t>
  </si>
  <si>
    <t>JDH4-02-007-EN-1570</t>
  </si>
  <si>
    <t>JDH4-02-007-EN-1580</t>
  </si>
  <si>
    <t>JDH4-02-007-EN-1590</t>
  </si>
  <si>
    <t>Method Statements Approval</t>
  </si>
  <si>
    <t>JDH4-02-007-EN-1720</t>
  </si>
  <si>
    <t>JDH4-02-007-EN-1730</t>
  </si>
  <si>
    <t>JDH4-02-007-EN-1740</t>
  </si>
  <si>
    <t>JDH4-02-007-EN-1750</t>
  </si>
  <si>
    <t>Method Statements Staging Time</t>
  </si>
  <si>
    <t>JDH4-02-007-EN-1760</t>
  </si>
  <si>
    <t>JDH4-02-007-EN-1770</t>
  </si>
  <si>
    <t>JDH4-02-007-EN-1780</t>
  </si>
  <si>
    <t>JDH4-02-007-EN-1790</t>
  </si>
  <si>
    <t>Pre-qualification and Material</t>
  </si>
  <si>
    <t>Pre-qualification</t>
  </si>
  <si>
    <t>Road Works - Civil</t>
  </si>
  <si>
    <t>Steel Reinforcement</t>
  </si>
  <si>
    <t>JDH4-02-007-SB-1580</t>
  </si>
  <si>
    <t>JDH4-02-007-SB-1590</t>
  </si>
  <si>
    <t>Ready Mixed Concrete</t>
  </si>
  <si>
    <t>JDH4-02-007-SB-1600</t>
  </si>
  <si>
    <t>JDH4-02-007-SB-1610</t>
  </si>
  <si>
    <t>Water Proofing</t>
  </si>
  <si>
    <t>JDH4-02-007-SB-1620</t>
  </si>
  <si>
    <t>JDH4-02-007-SB-1630</t>
  </si>
  <si>
    <t>Aggregate Base Course</t>
  </si>
  <si>
    <t>JDH4-02-007-SB-1000</t>
  </si>
  <si>
    <t>JDH4-02-007-SB-1010</t>
  </si>
  <si>
    <t>Bituminous Base &amp; Wearing Course</t>
  </si>
  <si>
    <t>JDH4-02-007-SB-1020</t>
  </si>
  <si>
    <t>JDH4-02-007-SB-1030</t>
  </si>
  <si>
    <t>Precast Concrete Kerb</t>
  </si>
  <si>
    <t>JDH4-02-007-SB-1050</t>
  </si>
  <si>
    <t>JDH4-02-007-SB-1040</t>
  </si>
  <si>
    <t>Interlocking Block Pavers</t>
  </si>
  <si>
    <t>JDH4-02-007-SB-1060</t>
  </si>
  <si>
    <t>JDH4-02-007-SB-1070</t>
  </si>
  <si>
    <t>Pavement Markings</t>
  </si>
  <si>
    <t>JDH4-02-007-SB-1080</t>
  </si>
  <si>
    <t>JDH4-02-007-SB-1090</t>
  </si>
  <si>
    <t>Traffic Signs</t>
  </si>
  <si>
    <t>JDH4-02-007-SB-1100</t>
  </si>
  <si>
    <t>JDH4-02-007-SB-1110</t>
  </si>
  <si>
    <t>Storm Network</t>
  </si>
  <si>
    <t>GRP Pipes</t>
  </si>
  <si>
    <t>JDH4-02-007-SB-1260</t>
  </si>
  <si>
    <t>JDH4-02-007-SB-1270</t>
  </si>
  <si>
    <t>Catch Basin</t>
  </si>
  <si>
    <t>JDH4-02-007-SB-1640</t>
  </si>
  <si>
    <t>JDH4-02-007-SB-1650</t>
  </si>
  <si>
    <t>Inlet Manholes</t>
  </si>
  <si>
    <t>JDH4-02-007-SB-1280</t>
  </si>
  <si>
    <t>JDH4-02-007-SB-1290</t>
  </si>
  <si>
    <t>Sanitary Sewerage</t>
  </si>
  <si>
    <t>JDH4-02-007-SB-1220</t>
  </si>
  <si>
    <t>JDH4-02-007-SB-1230</t>
  </si>
  <si>
    <t>Manholes</t>
  </si>
  <si>
    <t>JDH4-02-007-SB-1240</t>
  </si>
  <si>
    <t>JDH4-02-007-SB-1250</t>
  </si>
  <si>
    <t>TSE Network</t>
  </si>
  <si>
    <t>HDPE Pipe (PN 16)</t>
  </si>
  <si>
    <t>JDH4-02-007-SB-1200</t>
  </si>
  <si>
    <t>JDH4-02-007-SB-1210</t>
  </si>
  <si>
    <t>Valves / Chambers</t>
  </si>
  <si>
    <t>JDH4-02-007-SB-1440</t>
  </si>
  <si>
    <t>JDH4-02-007-SB-1450</t>
  </si>
  <si>
    <t>Risers</t>
  </si>
  <si>
    <t>JDH4-02-007-SB-1460</t>
  </si>
  <si>
    <t>JDH4-02-007-SB-1470</t>
  </si>
  <si>
    <t>Potable Water Network</t>
  </si>
  <si>
    <t>JDH4-02-007-SB-1180</t>
  </si>
  <si>
    <t>JDH4-02-007-SB-1190</t>
  </si>
  <si>
    <t>JDH4-02-007-SB-1420</t>
  </si>
  <si>
    <t>JDH4-02-007-SB-1430</t>
  </si>
  <si>
    <t>Fire Hydrant</t>
  </si>
  <si>
    <t>JDH4-02-007-SB-1660</t>
  </si>
  <si>
    <t>JDH4-02-007-SB-1670</t>
  </si>
  <si>
    <t>Electrical Network</t>
  </si>
  <si>
    <t>Pipe for the Duct</t>
  </si>
  <si>
    <t>JDH4-02-007-SB-1120</t>
  </si>
  <si>
    <t>JDH4-02-007-SB-1130</t>
  </si>
  <si>
    <t>Low Voltage Cables</t>
  </si>
  <si>
    <t>JDH4-02-007-SB-1320</t>
  </si>
  <si>
    <t>JDH4-02-007-SB-1330</t>
  </si>
  <si>
    <t>Earthing System</t>
  </si>
  <si>
    <t>JDH4-02-007-SB-1160</t>
  </si>
  <si>
    <t>JDH4-02-007-SB-1170</t>
  </si>
  <si>
    <t>Medium Voltage Cable</t>
  </si>
  <si>
    <t>JDH4-02-007-SB-1300</t>
  </si>
  <si>
    <t>JDH4-02-007-SB-1310</t>
  </si>
  <si>
    <t>Low Voltage Distribution Panel</t>
  </si>
  <si>
    <t>JDH4-02-007-SB-1140</t>
  </si>
  <si>
    <t>JDH4-02-007-SB-1150</t>
  </si>
  <si>
    <t>Unit Sub Station</t>
  </si>
  <si>
    <t>JDH4-02-007-SB-1380</t>
  </si>
  <si>
    <t>JDH4-02-007-SB-1390</t>
  </si>
  <si>
    <t>Ring Main Unit (RMU)</t>
  </si>
  <si>
    <t>JDH4-02-007-SB-1400</t>
  </si>
  <si>
    <t>JDH4-02-007-SB-1410</t>
  </si>
  <si>
    <t>Lighting poles</t>
  </si>
  <si>
    <t>JDH4-02-007-SB-1340</t>
  </si>
  <si>
    <t>JDH4-02-007-SB-1350</t>
  </si>
  <si>
    <t>Lighting panels/Feeder Pillers</t>
  </si>
  <si>
    <t>JDH4-02-007-SB-1520</t>
  </si>
  <si>
    <t>JDH4-02-007-SB-1530</t>
  </si>
  <si>
    <t>Street Lighting Luminaire</t>
  </si>
  <si>
    <t>JDH4-02-007-SB-1360</t>
  </si>
  <si>
    <t>JDH4-02-007-SB-1370</t>
  </si>
  <si>
    <t>Telecommunications</t>
  </si>
  <si>
    <t>JDH4-02-007-SB-1550</t>
  </si>
  <si>
    <t>JDH4-02-007-SB-1540</t>
  </si>
  <si>
    <t>Sewage Lift Station</t>
  </si>
  <si>
    <t>Thermal &amp; Moisture Protection</t>
  </si>
  <si>
    <t>JDH4-02-007-SB-1490</t>
  </si>
  <si>
    <t>JDH4-02-007-SB-1510</t>
  </si>
  <si>
    <t>Metals</t>
  </si>
  <si>
    <t>JDH4-02-007-SB-1480</t>
  </si>
  <si>
    <t>JDH4-02-007-SB-1500</t>
  </si>
  <si>
    <t>Pumps</t>
  </si>
  <si>
    <t>JDH4-02-007-SB-1560</t>
  </si>
  <si>
    <t>JDH4-02-007-SB-1570</t>
  </si>
  <si>
    <t>Pipes,Fittings &amp; Valves</t>
  </si>
  <si>
    <t>JDH4-02-007-SB-1680</t>
  </si>
  <si>
    <t>JDH4-02-007-SB-1700</t>
  </si>
  <si>
    <t>Odours scrubbing system</t>
  </si>
  <si>
    <t>JDH4-02-007-SB-1690</t>
  </si>
  <si>
    <t>JDH4-02-007-SB-1710</t>
  </si>
  <si>
    <t>Crane</t>
  </si>
  <si>
    <t>JDH4-02-007-SB-1720</t>
  </si>
  <si>
    <t>JDH4-02-007-SB-1730</t>
  </si>
  <si>
    <t>Air Vents</t>
  </si>
  <si>
    <t>JDH4-02-007-SB-1800</t>
  </si>
  <si>
    <t>JDH4-02-007-SB-1820</t>
  </si>
  <si>
    <t>Screening Container</t>
  </si>
  <si>
    <t>JDH4-02-007-SB-1740</t>
  </si>
  <si>
    <t>JDH4-02-007-SB-1760</t>
  </si>
  <si>
    <t>Baffle Plates</t>
  </si>
  <si>
    <t>JDH4-02-007-SB-1810</t>
  </si>
  <si>
    <t>JDH4-02-007-SB-1830</t>
  </si>
  <si>
    <t>Anti-Water Hammer Equipment</t>
  </si>
  <si>
    <t>JDH4-02-007-SB-1840</t>
  </si>
  <si>
    <t>JDH4-02-007-SB-1850</t>
  </si>
  <si>
    <t>Air Conditioning and Ventilation</t>
  </si>
  <si>
    <t>JDH4-02-007-SB-1750</t>
  </si>
  <si>
    <t>JDH4-02-007-SB-1770</t>
  </si>
  <si>
    <t>Fuel System</t>
  </si>
  <si>
    <t>JDH4-02-007-SB-1780</t>
  </si>
  <si>
    <t>JDH4-02-007-SB-1790</t>
  </si>
  <si>
    <t>Fire Fighting System</t>
  </si>
  <si>
    <t>JDH4-02-007-SB-1920</t>
  </si>
  <si>
    <t>JDH4-02-007-SB-1930</t>
  </si>
  <si>
    <t>Main Distribution Board /MCC panels</t>
  </si>
  <si>
    <t>JDH4-02-007-SB-1860</t>
  </si>
  <si>
    <t>JDH4-02-007-SB-1870</t>
  </si>
  <si>
    <t>Final Panel boards</t>
  </si>
  <si>
    <t>JDH4-02-007-SB-1880</t>
  </si>
  <si>
    <t>JDH4-02-007-SB-1890</t>
  </si>
  <si>
    <t>Local Control Panel/ Monitoring Control Panel</t>
  </si>
  <si>
    <t>JDH4-02-007-SB-1900</t>
  </si>
  <si>
    <t>JDH4-02-007-SB-1910</t>
  </si>
  <si>
    <t>Engine Generators</t>
  </si>
  <si>
    <t>JDH4-02-007-SB-2060</t>
  </si>
  <si>
    <t>JDH4-02-007-SB-2070</t>
  </si>
  <si>
    <t>Standby Diesel Generator</t>
  </si>
  <si>
    <t>JDH4-02-007-SB-2040</t>
  </si>
  <si>
    <t>JDH4-02-007-SB-2050</t>
  </si>
  <si>
    <t>Power Factor Correction Capacitor Bank</t>
  </si>
  <si>
    <t>JDH4-02-007-SB-2000</t>
  </si>
  <si>
    <t>JDH4-02-007-SB-2010</t>
  </si>
  <si>
    <t>Low-Voltage Electrical Power Conductors and Cables</t>
  </si>
  <si>
    <t>JDH4-02-007-SB-2020</t>
  </si>
  <si>
    <t>JDH4-02-007-SB-2030</t>
  </si>
  <si>
    <t>Low Voltage Feeder Cable</t>
  </si>
  <si>
    <t>JDH4-02-007-SB-1980</t>
  </si>
  <si>
    <t>JDH4-02-007-SB-1990</t>
  </si>
  <si>
    <t>Wiring Devices</t>
  </si>
  <si>
    <t>JDH4-02-007-SB-1940</t>
  </si>
  <si>
    <t>JDH4-02-007-SB-1950</t>
  </si>
  <si>
    <t>Enclosed Switches and Circuit Breakers</t>
  </si>
  <si>
    <t>JDH4-02-007-SB-1960</t>
  </si>
  <si>
    <t>JDH4-02-007-SB-1970</t>
  </si>
  <si>
    <t>Raceways for Electrical Systems</t>
  </si>
  <si>
    <t>JDH4-02-007-SB-2100</t>
  </si>
  <si>
    <t>JDH4-02-007-SB-2110</t>
  </si>
  <si>
    <t>Electrical Manholes</t>
  </si>
  <si>
    <t>JDH4-02-007-SB-2140</t>
  </si>
  <si>
    <t>JDH4-02-007-SB-2150</t>
  </si>
  <si>
    <t>Security System (CCTV System)</t>
  </si>
  <si>
    <t>JDH4-02-007-SB-2080</t>
  </si>
  <si>
    <t>JDH4-02-007-SB-2090</t>
  </si>
  <si>
    <t>ICT (Data&amp; telephone System)</t>
  </si>
  <si>
    <t>JDH4-02-007-SB-2120</t>
  </si>
  <si>
    <t>JDH4-02-007-SB-2130</t>
  </si>
  <si>
    <t>Programmable Logic Controllers</t>
  </si>
  <si>
    <t>JDH4-02-007-SB-2200</t>
  </si>
  <si>
    <t>JDH4-02-007-SB-2210</t>
  </si>
  <si>
    <t>Process Control Wiring</t>
  </si>
  <si>
    <t>JDH4-02-007-SB-2180</t>
  </si>
  <si>
    <t>JDH4-02-007-SB-2190</t>
  </si>
  <si>
    <t>Instrumentation for Process Systems</t>
  </si>
  <si>
    <t>JDH4-02-007-SB-2160</t>
  </si>
  <si>
    <t>JDH4-02-007-SB-2170</t>
  </si>
  <si>
    <t>Material Submittal</t>
  </si>
  <si>
    <t>JDH4-02-007-MA-1580</t>
  </si>
  <si>
    <t>JDH4-02-007-MA-1590</t>
  </si>
  <si>
    <t>JDH4-02-007-MA-1600</t>
  </si>
  <si>
    <t>JDH4-02-007-MA-1610</t>
  </si>
  <si>
    <t>JDH4-02-007-MA-1620</t>
  </si>
  <si>
    <t>JDH4-02-007-MA-1630</t>
  </si>
  <si>
    <t>JDH4-02-007-MA-1000</t>
  </si>
  <si>
    <t>JDH4-02-007-MA-1010</t>
  </si>
  <si>
    <t>JDH4-02-007-MA-1020</t>
  </si>
  <si>
    <t>JDH4-02-007-MA-1030</t>
  </si>
  <si>
    <t>JDH4-02-007-MA-1040</t>
  </si>
  <si>
    <t>JDH4-02-007-MA-1050</t>
  </si>
  <si>
    <t>JDH4-02-007-MA-1060</t>
  </si>
  <si>
    <t>JDH4-02-007-MA-1070</t>
  </si>
  <si>
    <t>JDH4-02-007-MA-1080</t>
  </si>
  <si>
    <t>JDH4-02-007-MA-1090</t>
  </si>
  <si>
    <t>JDH4-02-007-MA-1100</t>
  </si>
  <si>
    <t>JDH4-02-007-MA-1110</t>
  </si>
  <si>
    <t>JDH4-02-007-MA-1250</t>
  </si>
  <si>
    <t>JDH4-02-007-MA-1270</t>
  </si>
  <si>
    <t>JDH4-02-007-MA-1640</t>
  </si>
  <si>
    <t>JDH4-02-007-MA-1650</t>
  </si>
  <si>
    <t>JDH4-02-007-MA-1280</t>
  </si>
  <si>
    <t>JDH4-02-007-MA-1290</t>
  </si>
  <si>
    <t>JDH4-02-007-MA-1220</t>
  </si>
  <si>
    <t>JDH4-02-007-MA-1230</t>
  </si>
  <si>
    <t>JDH4-02-007-MA-1240</t>
  </si>
  <si>
    <t>JDH4-02-007-MA-1260</t>
  </si>
  <si>
    <t>JDH4-02-007-MA-1200</t>
  </si>
  <si>
    <t>JDH4-02-007-MA-1210</t>
  </si>
  <si>
    <t>JDH4-02-007-MA-1440</t>
  </si>
  <si>
    <t>JDH4-02-007-MA-1450</t>
  </si>
  <si>
    <t>JDH4-02-007-MA-1460</t>
  </si>
  <si>
    <t>JDH4-02-007-MA-1470</t>
  </si>
  <si>
    <t>JDH4-02-007-MA-1180</t>
  </si>
  <si>
    <t>JDH4-02-007-MA-1190</t>
  </si>
  <si>
    <t>JDH4-02-007-MA-1420</t>
  </si>
  <si>
    <t>JDH4-02-007-MA-1430</t>
  </si>
  <si>
    <t>JDH4-02-007-MA-1660</t>
  </si>
  <si>
    <t>JDH4-02-007-MA-1670</t>
  </si>
  <si>
    <t>JDH4-02-007-MA-1120</t>
  </si>
  <si>
    <t>JDH4-02-007-MA-1130</t>
  </si>
  <si>
    <t>JDH4-02-007-MA-1320</t>
  </si>
  <si>
    <t>JDH4-02-007-MA-1330</t>
  </si>
  <si>
    <t>JDH4-02-007-MA-1160</t>
  </si>
  <si>
    <t>JDH4-02-007-MA-1170</t>
  </si>
  <si>
    <t>JDH4-02-007-MA-1300</t>
  </si>
  <si>
    <t>JDH4-02-007-MA-1310</t>
  </si>
  <si>
    <t>JDH4-02-007-MA-1140</t>
  </si>
  <si>
    <t>JDH4-02-007-MA-1150</t>
  </si>
  <si>
    <t>JDH4-02-007-MA-1380</t>
  </si>
  <si>
    <t>JDH4-02-007-MA-1390</t>
  </si>
  <si>
    <t>JDH4-02-007-MA-1400</t>
  </si>
  <si>
    <t>JDH4-02-007-MA-1410</t>
  </si>
  <si>
    <t>JDH4-02-007-MA-1340</t>
  </si>
  <si>
    <t>JDH4-02-007-MA-1350</t>
  </si>
  <si>
    <t>JDH4-02-007-MA-1515</t>
  </si>
  <si>
    <t>JDH4-02-007-MA-1520</t>
  </si>
  <si>
    <t>JDH4-02-007-MA-1360</t>
  </si>
  <si>
    <t>JDH4-02-007-MA-1370</t>
  </si>
  <si>
    <t>JDH4-02-007-MA-1540</t>
  </si>
  <si>
    <t>JDH4-02-007-MA-1550</t>
  </si>
  <si>
    <t>JDH4-02-007-MA-1490</t>
  </si>
  <si>
    <t>JDH4-02-007-MA-1510</t>
  </si>
  <si>
    <t>JDH4-02-007-MA-1480</t>
  </si>
  <si>
    <t>JDH4-02-007-MA-1500</t>
  </si>
  <si>
    <t>JDH4-02-007-MA-1560</t>
  </si>
  <si>
    <t>JDH4-02-007-MA-1570</t>
  </si>
  <si>
    <t>JDH4-02-007-MA-1680</t>
  </si>
  <si>
    <t>JDH4-02-007-MA-1700</t>
  </si>
  <si>
    <t>JDH4-02-007-MA-1690</t>
  </si>
  <si>
    <t>JDH4-02-007-MA-1710</t>
  </si>
  <si>
    <t>JDH4-02-007-MA-1720</t>
  </si>
  <si>
    <t>JDH4-02-007-MA-1730</t>
  </si>
  <si>
    <t>JDH4-02-007-MA-1800</t>
  </si>
  <si>
    <t>JDH4-02-007-MA-1820</t>
  </si>
  <si>
    <t>JDH4-02-007-MA-1740</t>
  </si>
  <si>
    <t>JDH4-02-007-MA-1760</t>
  </si>
  <si>
    <t>JDH4-02-007-MA-1810</t>
  </si>
  <si>
    <t>JDH4-02-007-MA-1830</t>
  </si>
  <si>
    <t>JDH4-02-007-MA-1840</t>
  </si>
  <si>
    <t>JDH4-02-007-MA-1850</t>
  </si>
  <si>
    <t>JDH4-02-007-MA-1750</t>
  </si>
  <si>
    <t>JDH4-02-007-MA-1770</t>
  </si>
  <si>
    <t>JDH4-02-007-MA-1780</t>
  </si>
  <si>
    <t>JDH4-02-007-MA-1790</t>
  </si>
  <si>
    <t>JDH4-02-007-MA-1920</t>
  </si>
  <si>
    <t>JDH4-02-007-MA-1930</t>
  </si>
  <si>
    <t>JDH4-02-007-MA-1860</t>
  </si>
  <si>
    <t>JDH4-02-007-MA-1870</t>
  </si>
  <si>
    <t>JDH4-02-007-MA-1880</t>
  </si>
  <si>
    <t>JDH4-02-007-MA-1890</t>
  </si>
  <si>
    <t>JDH4-02-007-MA-1900</t>
  </si>
  <si>
    <t>JDH4-02-007-MA-1910</t>
  </si>
  <si>
    <t>JDH4-02-007-MA-2060</t>
  </si>
  <si>
    <t>JDH4-02-007-MA-2070</t>
  </si>
  <si>
    <t>JDH4-02-007-MA-2040</t>
  </si>
  <si>
    <t>JDH4-02-007-MA-2050</t>
  </si>
  <si>
    <t>JDH4-02-007-MA-2000</t>
  </si>
  <si>
    <t>JDH4-02-007-MA-2010</t>
  </si>
  <si>
    <t>JDH4-02-007-MA-2020</t>
  </si>
  <si>
    <t>JDH4-02-007-MA-2030</t>
  </si>
  <si>
    <t>JDH4-02-007-MA-1980</t>
  </si>
  <si>
    <t>JDH4-02-007-MA-1990</t>
  </si>
  <si>
    <t>JDH4-02-007-MA-1940</t>
  </si>
  <si>
    <t>JDH4-02-007-MA-1950</t>
  </si>
  <si>
    <t>JDH4-02-007-MA-1960</t>
  </si>
  <si>
    <t>JDH4-02-007-MA-1970</t>
  </si>
  <si>
    <t>JDH4-02-007-MA-2100</t>
  </si>
  <si>
    <t>JDH4-02-007-MA-2110</t>
  </si>
  <si>
    <t>JDH4-02-007-MA-2140</t>
  </si>
  <si>
    <t>JDH4-02-007-MA-2150</t>
  </si>
  <si>
    <t>JDH4-02-007-MA-2080</t>
  </si>
  <si>
    <t>JDH4-02-007-MA-2090</t>
  </si>
  <si>
    <t>JDH4-02-007-MA-2120</t>
  </si>
  <si>
    <t>JDH4-02-007-MA-2130</t>
  </si>
  <si>
    <t>JDH4-02-007-MA-2200</t>
  </si>
  <si>
    <t>JDH4-02-007-MA-2210</t>
  </si>
  <si>
    <t>JDH4-02-007-MA-2180</t>
  </si>
  <si>
    <t>JDH4-02-007-MA-2190</t>
  </si>
  <si>
    <t>JDH4-02-007-MA-2160</t>
  </si>
  <si>
    <t>JDH4-02-007-MA-2170</t>
  </si>
  <si>
    <t>Procurement</t>
  </si>
  <si>
    <t>Short Lead Item</t>
  </si>
  <si>
    <t>JDH4-02-007-PR-1300</t>
  </si>
  <si>
    <t>JDH4-02-007-PR-1310</t>
  </si>
  <si>
    <t>JDH4-02-007-PR-1319</t>
  </si>
  <si>
    <t>JDH4-02-007-PR-1320</t>
  </si>
  <si>
    <t>JDH4-02-007-PR-1330</t>
  </si>
  <si>
    <t>JDH4-02-007-PR-1340</t>
  </si>
  <si>
    <t>JDH4-02-007-PR-1350</t>
  </si>
  <si>
    <t>JDH4-02-007-PR-1360</t>
  </si>
  <si>
    <t>JDH4-02-007-PR-1370</t>
  </si>
  <si>
    <t>JDH4-02-007-PR-1380</t>
  </si>
  <si>
    <t>JDH4-02-007-PR-1389</t>
  </si>
  <si>
    <t>JDH4-02-007-PR-1390</t>
  </si>
  <si>
    <t>JDH4-02-007-PR-1400</t>
  </si>
  <si>
    <t>JDH4-02-007-PR-1410</t>
  </si>
  <si>
    <t>JDH4-02-007-PR-1420</t>
  </si>
  <si>
    <t>JDH4-02-007-PR-1430</t>
  </si>
  <si>
    <t>JDH4-02-007-PR-1440</t>
  </si>
  <si>
    <t>JDH4-02-007-PR-1450</t>
  </si>
  <si>
    <t>JDH4-02-007-PR-1460</t>
  </si>
  <si>
    <t>JDH4-02-007-PR-1470</t>
  </si>
  <si>
    <t>JDH4-02-007-PR-1480</t>
  </si>
  <si>
    <t>JDH4-02-007-PR-1490</t>
  </si>
  <si>
    <t>JDH4-02-007-PR-1500</t>
  </si>
  <si>
    <t>JDH4-02-007-PR-1510</t>
  </si>
  <si>
    <t>JDH4-02-007-PR-1520</t>
  </si>
  <si>
    <t>JDH4-02-007-PR-1530</t>
  </si>
  <si>
    <t>Stormwater Utilities</t>
  </si>
  <si>
    <t>Catch Basins</t>
  </si>
  <si>
    <t>JDH4-02-007-PR-1720</t>
  </si>
  <si>
    <t>JDH4-02-007-PR-1729</t>
  </si>
  <si>
    <t>JDH4-02-007-PR-1730</t>
  </si>
  <si>
    <t>JDH4-02-007-PR-1740</t>
  </si>
  <si>
    <t>JDH4-02-007-PR-1830</t>
  </si>
  <si>
    <t>JDH4-02-007-PR-1660</t>
  </si>
  <si>
    <t>JDH4-02-007-PR-1670</t>
  </si>
  <si>
    <t>JDH4-02-007-PR-1680</t>
  </si>
  <si>
    <t>JDH4-02-007-PR-1690</t>
  </si>
  <si>
    <t>JDH4-02-007-PR-1700</t>
  </si>
  <si>
    <t>JDH4-02-007-PR-1710</t>
  </si>
  <si>
    <t>JDH4-02-007-PR-1600</t>
  </si>
  <si>
    <t>JDH4-02-007-PR-1610</t>
  </si>
  <si>
    <t>JDH4-02-007-PR-1620</t>
  </si>
  <si>
    <t>JDH4-02-007-PR-1630</t>
  </si>
  <si>
    <t>JDH4-02-007-PR-1638</t>
  </si>
  <si>
    <t>JDH4-02-007-PR-1639</t>
  </si>
  <si>
    <t>JDH4-02-007-PR-1640</t>
  </si>
  <si>
    <t>JDH4-02-007-PR-1650</t>
  </si>
  <si>
    <t>JDH4-02-007-PR-1570</t>
  </si>
  <si>
    <t>JDH4-02-007-PR-1580</t>
  </si>
  <si>
    <t>JDH4-02-007-PR-1590</t>
  </si>
  <si>
    <t>JDH4-02-007-PR-1540</t>
  </si>
  <si>
    <t>JDH4-02-007-PR-1550</t>
  </si>
  <si>
    <t>JDH4-02-007-PR-1560</t>
  </si>
  <si>
    <t>JDH4-02-007-PR-1190</t>
  </si>
  <si>
    <t>JDH4-02-007-PR-1210</t>
  </si>
  <si>
    <t>JDH4-02-007-PR-1230</t>
  </si>
  <si>
    <t>JDH4-02-007-PR-1180</t>
  </si>
  <si>
    <t>JDH4-02-007-PR-1200</t>
  </si>
  <si>
    <t>JDH4-02-007-PR-1220</t>
  </si>
  <si>
    <t>JDH4-02-007-PR-2260</t>
  </si>
  <si>
    <t>JDH4-02-007-PR-2270</t>
  </si>
  <si>
    <t>JDH4-02-007-PR-2280</t>
  </si>
  <si>
    <t>JDH4-02-007-PR-2350</t>
  </si>
  <si>
    <t>JDH4-02-007-PR-2358</t>
  </si>
  <si>
    <t>JDH4-02-007-PR-2359</t>
  </si>
  <si>
    <t>JDH4-02-007-PR-2360</t>
  </si>
  <si>
    <t>JDH4-02-007-PR-2369</t>
  </si>
  <si>
    <t>JDH4-02-007-PR-2370</t>
  </si>
  <si>
    <t>JDH4-02-007-PR-1840</t>
  </si>
  <si>
    <t>JDH4-02-007-PR-1848</t>
  </si>
  <si>
    <t>JDH4-02-007-PR-1849</t>
  </si>
  <si>
    <t>JDH4-02-007-PR-1850</t>
  </si>
  <si>
    <t>JDH4-02-007-PR-1859</t>
  </si>
  <si>
    <t>JDH4-02-007-PR-1860</t>
  </si>
  <si>
    <t>Pipes</t>
  </si>
  <si>
    <t>JDH4-02-007-PR-2290</t>
  </si>
  <si>
    <t>JDH4-02-007-PR-2300</t>
  </si>
  <si>
    <t>JDH4-02-007-PR-2310</t>
  </si>
  <si>
    <t>JDH4-02-007-PR-2380</t>
  </si>
  <si>
    <t>JDH4-02-007-PR-2390</t>
  </si>
  <si>
    <t>JDH4-02-007-PR-2400</t>
  </si>
  <si>
    <t>JDH4-02-007-PR-1870</t>
  </si>
  <si>
    <t>JDH4-02-007-PR-1880</t>
  </si>
  <si>
    <t>JDH4-02-007-PR-1890</t>
  </si>
  <si>
    <t>JDH4-02-007-PR-2320</t>
  </si>
  <si>
    <t>JDH4-02-007-PR-2330</t>
  </si>
  <si>
    <t>JDH4-02-007-PR-2340</t>
  </si>
  <si>
    <t>JDH4-02-007-PR-2410</t>
  </si>
  <si>
    <t>JDH4-02-007-PR-2420</t>
  </si>
  <si>
    <t>JDH4-02-007-PR-2430</t>
  </si>
  <si>
    <t>Long Lead Item</t>
  </si>
  <si>
    <t>JDH4-02-007-PR-1270</t>
  </si>
  <si>
    <t>JDH4-02-007-PR-1277</t>
  </si>
  <si>
    <t>JDH4-02-007-PR-1278</t>
  </si>
  <si>
    <t>JDH4-02-007-PR-1279</t>
  </si>
  <si>
    <t>JDH4-02-007-PR-1280</t>
  </si>
  <si>
    <t>JDH4-02-007-PR-1290</t>
  </si>
  <si>
    <t>JDH4-02-007-PR-1820</t>
  </si>
  <si>
    <t>JDH4-02-007-PR-1900</t>
  </si>
  <si>
    <t>JDH4-02-007-PR-1907</t>
  </si>
  <si>
    <t>JDH4-02-007-PR-1908</t>
  </si>
  <si>
    <t>JDH4-02-007-PR-1909</t>
  </si>
  <si>
    <t>JDH4-02-007-PR-1910</t>
  </si>
  <si>
    <t>JDH4-02-007-PR-1920</t>
  </si>
  <si>
    <t>JDH4-02-007-PR-1930</t>
  </si>
  <si>
    <t>JDH4-02-007-PR-1240</t>
  </si>
  <si>
    <t>JDH4-02-007-PR-1248</t>
  </si>
  <si>
    <t>JDH4-02-007-PR-1249</t>
  </si>
  <si>
    <t>JDH4-02-007-PR-1250</t>
  </si>
  <si>
    <t>JDH4-02-007-PR-1260</t>
  </si>
  <si>
    <t>JDH4-02-007-PR-1810</t>
  </si>
  <si>
    <t>Fire Hydrants</t>
  </si>
  <si>
    <t>JDH4-02-007-PR-2440</t>
  </si>
  <si>
    <t>JDH4-02-007-PR-2447</t>
  </si>
  <si>
    <t>JDH4-02-007-PR-2448</t>
  </si>
  <si>
    <t>JDH4-02-007-PR-2449</t>
  </si>
  <si>
    <t>JDH4-02-007-PR-2450</t>
  </si>
  <si>
    <t>JDH4-02-007-PR-2460</t>
  </si>
  <si>
    <t>JDH4-02-007-PR-2470</t>
  </si>
  <si>
    <t>JDH4-02-007-PR-1000</t>
  </si>
  <si>
    <t>JDH4-02-007-PR-1059</t>
  </si>
  <si>
    <t>JDH4-02-007-PR-1060</t>
  </si>
  <si>
    <t>JDH4-02-007-PR-1120</t>
  </si>
  <si>
    <t>JDH4-02-007-PR-1750</t>
  </si>
  <si>
    <t>JDH4-02-007-PR-1010</t>
  </si>
  <si>
    <t>JDH4-02-007-PR-1067</t>
  </si>
  <si>
    <t>JDH4-02-007-PR-1068</t>
  </si>
  <si>
    <t>JDH4-02-007-PR-1069</t>
  </si>
  <si>
    <t>JDH4-02-007-PR-1070</t>
  </si>
  <si>
    <t>JDH4-02-007-PR-1130</t>
  </si>
  <si>
    <t>JDH4-02-007-PR-1760</t>
  </si>
  <si>
    <t>JDH4-02-007-PR-1020</t>
  </si>
  <si>
    <t>JDH4-02-007-PR-1078</t>
  </si>
  <si>
    <t>JDH4-02-007-PR-1079</t>
  </si>
  <si>
    <t>JDH4-02-007-PR-1080</t>
  </si>
  <si>
    <t>JDH4-02-007-PR-1140</t>
  </si>
  <si>
    <t>JDH4-02-007-PR-1770</t>
  </si>
  <si>
    <t>Ring Main Unit</t>
  </si>
  <si>
    <t>JDH4-02-007-PR-1940</t>
  </si>
  <si>
    <t>JDH4-02-007-PR-1948</t>
  </si>
  <si>
    <t>JDH4-02-007-PR-1949</t>
  </si>
  <si>
    <t>JDH4-02-007-PR-1950</t>
  </si>
  <si>
    <t>JDH4-02-007-PR-1960</t>
  </si>
  <si>
    <t>JDH4-02-007-PR-1970</t>
  </si>
  <si>
    <t>JDH4-02-007-PR-1030</t>
  </si>
  <si>
    <t>JDH4-02-007-PR-1088</t>
  </si>
  <si>
    <t>JDH4-02-007-PR-1089</t>
  </si>
  <si>
    <t>JDH4-02-007-PR-1090</t>
  </si>
  <si>
    <t>JDH4-02-007-PR-1150</t>
  </si>
  <si>
    <t>JDH4-02-007-PR-1780</t>
  </si>
  <si>
    <t>JDH4-02-007-PR-1040</t>
  </si>
  <si>
    <t>JDH4-02-007-PR-1098</t>
  </si>
  <si>
    <t>JDH4-02-007-PR-1099</t>
  </si>
  <si>
    <t>JDH4-02-007-PR-1100</t>
  </si>
  <si>
    <t>JDH4-02-007-PR-1160</t>
  </si>
  <si>
    <t>JDH4-02-007-PR-1790</t>
  </si>
  <si>
    <t>JDH4-02-007-PR-1050</t>
  </si>
  <si>
    <t>JDH4-02-007-PR-1108</t>
  </si>
  <si>
    <t>JDH4-02-007-PR-1109</t>
  </si>
  <si>
    <t>JDH4-02-007-PR-1110</t>
  </si>
  <si>
    <t>JDH4-02-007-PR-1170</t>
  </si>
  <si>
    <t>JDH4-02-007-PR-1800</t>
  </si>
  <si>
    <t>Low Voltage Distribution Panels</t>
  </si>
  <si>
    <t>JDH4-02-007-PR-2480</t>
  </si>
  <si>
    <t>JDH4-02-007-PR-2488</t>
  </si>
  <si>
    <t>JDH4-02-007-PR-2489</t>
  </si>
  <si>
    <t>JDH4-02-007-PR-2490</t>
  </si>
  <si>
    <t>JDH4-02-007-PR-2500</t>
  </si>
  <si>
    <t>JDH4-02-007-PR-2510</t>
  </si>
  <si>
    <t>JDH4-02-007-PR-1990</t>
  </si>
  <si>
    <t>JDH4-02-007-PR-2037</t>
  </si>
  <si>
    <t>JDH4-02-007-PR-2038</t>
  </si>
  <si>
    <t>JDH4-02-007-PR-2039</t>
  </si>
  <si>
    <t>JDH4-02-007-PR-2040</t>
  </si>
  <si>
    <t>JDH4-02-007-PR-2090</t>
  </si>
  <si>
    <t>JDH4-02-007-PR-2140</t>
  </si>
  <si>
    <t>JDH4-02-007-PR-2180</t>
  </si>
  <si>
    <t>JDH4-02-007-PR-2187</t>
  </si>
  <si>
    <t>JDH4-02-007-PR-2188</t>
  </si>
  <si>
    <t>JDH4-02-007-PR-2189</t>
  </si>
  <si>
    <t>JDH4-02-007-PR-2190</t>
  </si>
  <si>
    <t>JDH4-02-007-PR-2200</t>
  </si>
  <si>
    <t>JDH4-02-007-PR-2210</t>
  </si>
  <si>
    <t>JDH4-02-007-PR-2000</t>
  </si>
  <si>
    <t>JDH4-02-007-PR-2045</t>
  </si>
  <si>
    <t>JDH4-02-007-PR-2046</t>
  </si>
  <si>
    <t>JDH4-02-007-PR-2047</t>
  </si>
  <si>
    <t>JDH4-02-007-PR-2048</t>
  </si>
  <si>
    <t>JDH4-02-007-PR-2049</t>
  </si>
  <si>
    <t>JDH4-02-007-PR-2050</t>
  </si>
  <si>
    <t>JDH4-02-007-PR-2100</t>
  </si>
  <si>
    <t>JDH4-02-007-PR-2150</t>
  </si>
  <si>
    <t>JDH4-02-007-PR-2220</t>
  </si>
  <si>
    <t>JDH4-02-007-PR-2225</t>
  </si>
  <si>
    <t>JDH4-02-007-PR-2226</t>
  </si>
  <si>
    <t>JDH4-02-007-PR-2227</t>
  </si>
  <si>
    <t>JDH4-02-007-PR-2228</t>
  </si>
  <si>
    <t>JDH4-02-007-PR-2229</t>
  </si>
  <si>
    <t>JDH4-02-007-PR-2230</t>
  </si>
  <si>
    <t>JDH4-02-007-PR-2240</t>
  </si>
  <si>
    <t>JDH4-02-007-PR-2250</t>
  </si>
  <si>
    <t>JDH4-02-007-PR-2010</t>
  </si>
  <si>
    <t>JDH4-02-007-PR-2057</t>
  </si>
  <si>
    <t>JDH4-02-007-PR-2058</t>
  </si>
  <si>
    <t>JDH4-02-007-PR-2059</t>
  </si>
  <si>
    <t>JDH4-02-007-PR-2060</t>
  </si>
  <si>
    <t>JDH4-02-007-PR-2110</t>
  </si>
  <si>
    <t>JDH4-02-007-PR-2160</t>
  </si>
  <si>
    <t>JDH4-02-007-PR-2020</t>
  </si>
  <si>
    <t>JDH4-02-007-PR-2065</t>
  </si>
  <si>
    <t>JDH4-02-007-PR-2066</t>
  </si>
  <si>
    <t>JDH4-02-007-PR-2067</t>
  </si>
  <si>
    <t>JDH4-02-007-PR-2068</t>
  </si>
  <si>
    <t>JDH4-02-007-PR-2069</t>
  </si>
  <si>
    <t>JDH4-02-007-PR-2070</t>
  </si>
  <si>
    <t>JDH4-02-007-PR-2120</t>
  </si>
  <si>
    <t>JDH4-02-007-PR-2170</t>
  </si>
  <si>
    <t>JDH4-02-007-PR-1980</t>
  </si>
  <si>
    <t>JDH4-02-007-PR-2026</t>
  </si>
  <si>
    <t>JDH4-02-007-PR-2027</t>
  </si>
  <si>
    <t>JDH4-02-007-PR-2028</t>
  </si>
  <si>
    <t>JDH4-02-007-PR-2029</t>
  </si>
  <si>
    <t>JDH4-02-007-PR-2030</t>
  </si>
  <si>
    <t>JDH4-02-007-PR-2080</t>
  </si>
  <si>
    <t>JDH4-02-007-PR-2130</t>
  </si>
  <si>
    <t>JDH4-02-007-PR-2530</t>
  </si>
  <si>
    <t>JDH4-02-007-PR-2567</t>
  </si>
  <si>
    <t>JDH4-02-007-PR-2568</t>
  </si>
  <si>
    <t>JDH4-02-007-PR-2569</t>
  </si>
  <si>
    <t>JDH4-02-007-PR-2570</t>
  </si>
  <si>
    <t>JDH4-02-007-PR-2610</t>
  </si>
  <si>
    <t>JDH4-02-007-PR-2650</t>
  </si>
  <si>
    <t>JDH4-02-007-PR-2680</t>
  </si>
  <si>
    <t>JDH4-02-007-PR-2687</t>
  </si>
  <si>
    <t>JDH4-02-007-PR-2688</t>
  </si>
  <si>
    <t>JDH4-02-007-PR-2689</t>
  </si>
  <si>
    <t>JDH4-02-007-PR-2690</t>
  </si>
  <si>
    <t>JDH4-02-007-PR-2700</t>
  </si>
  <si>
    <t>JDH4-02-007-PR-2710</t>
  </si>
  <si>
    <t>JDH4-02-007-PR-2540</t>
  </si>
  <si>
    <t>JDH4-02-007-PR-2576</t>
  </si>
  <si>
    <t>JDH4-02-007-PR-2577</t>
  </si>
  <si>
    <t>JDH4-02-007-PR-2578</t>
  </si>
  <si>
    <t>JDH4-02-007-PR-2579</t>
  </si>
  <si>
    <t>JDH4-02-007-PR-2580</t>
  </si>
  <si>
    <t>JDH4-02-007-PR-2620</t>
  </si>
  <si>
    <t>JDH4-02-007-PR-2660</t>
  </si>
  <si>
    <t>JDH4-02-007-PR-2720</t>
  </si>
  <si>
    <t>JDH4-02-007-PR-2726</t>
  </si>
  <si>
    <t>JDH4-02-007-PR-2727</t>
  </si>
  <si>
    <t>JDH4-02-007-PR-2728</t>
  </si>
  <si>
    <t>JDH4-02-007-PR-2729</t>
  </si>
  <si>
    <t>JDH4-02-007-PR-2730</t>
  </si>
  <si>
    <t>JDH4-02-007-PR-2740</t>
  </si>
  <si>
    <t>JDH4-02-007-PR-2750</t>
  </si>
  <si>
    <t>JDH4-02-007-PR-2550</t>
  </si>
  <si>
    <t>JDH4-02-007-PR-2587</t>
  </si>
  <si>
    <t>JDH4-02-007-PR-2588</t>
  </si>
  <si>
    <t>JDH4-02-007-PR-2589</t>
  </si>
  <si>
    <t>JDH4-02-007-PR-2590</t>
  </si>
  <si>
    <t>JDH4-02-007-PR-2630</t>
  </si>
  <si>
    <t>JDH4-02-007-PR-2670</t>
  </si>
  <si>
    <t>JDH4-02-007-PR-2760</t>
  </si>
  <si>
    <t>JDH4-02-007-PR-2795</t>
  </si>
  <si>
    <t>JDH4-02-007-PR-2796</t>
  </si>
  <si>
    <t>JDH4-02-007-PR-2797</t>
  </si>
  <si>
    <t>JDH4-02-007-PR-2798</t>
  </si>
  <si>
    <t>JDH4-02-007-PR-2799</t>
  </si>
  <si>
    <t>JDH4-02-007-PR-2800</t>
  </si>
  <si>
    <t>JDH4-02-007-PR-2840</t>
  </si>
  <si>
    <t>JDH4-02-007-PR-2880</t>
  </si>
  <si>
    <t>JDH4-02-007-PR-2770</t>
  </si>
  <si>
    <t>JDH4-02-007-PR-2807</t>
  </si>
  <si>
    <t>JDH4-02-007-PR-2808</t>
  </si>
  <si>
    <t>JDH4-02-007-PR-2809</t>
  </si>
  <si>
    <t>JDH4-02-007-PR-2810</t>
  </si>
  <si>
    <t>JDH4-02-007-PR-2850</t>
  </si>
  <si>
    <t>JDH4-02-007-PR-2890</t>
  </si>
  <si>
    <t>JDH4-02-007-PR-2920</t>
  </si>
  <si>
    <t>JDH4-02-007-PR-2927</t>
  </si>
  <si>
    <t>JDH4-02-007-PR-2928</t>
  </si>
  <si>
    <t>JDH4-02-007-PR-2929</t>
  </si>
  <si>
    <t>JDH4-02-007-PR-2930</t>
  </si>
  <si>
    <t>JDH4-02-007-PR-2940</t>
  </si>
  <si>
    <t>JDH4-02-007-PR-2950</t>
  </si>
  <si>
    <t>JDH4-02-007-PR-2780</t>
  </si>
  <si>
    <t>JDH4-02-007-PR-2815</t>
  </si>
  <si>
    <t>JDH4-02-007-PR-2816</t>
  </si>
  <si>
    <t>JDH4-02-007-PR-2817</t>
  </si>
  <si>
    <t>JDH4-02-007-PR-2818</t>
  </si>
  <si>
    <t>JDH4-02-007-PR-2819</t>
  </si>
  <si>
    <t>JDH4-02-007-PR-2820</t>
  </si>
  <si>
    <t>JDH4-02-007-PR-2860</t>
  </si>
  <si>
    <t>JDH4-02-007-PR-2900</t>
  </si>
  <si>
    <t>JDH4-02-007-PR-2960</t>
  </si>
  <si>
    <t>JDH4-02-007-PR-2965</t>
  </si>
  <si>
    <t>JDH4-02-007-PR-2966</t>
  </si>
  <si>
    <t>JDH4-02-007-PR-2967</t>
  </si>
  <si>
    <t>JDH4-02-007-PR-2968</t>
  </si>
  <si>
    <t>JDH4-02-007-PR-2969</t>
  </si>
  <si>
    <t>JDH4-02-007-PR-2970</t>
  </si>
  <si>
    <t>JDH4-02-007-PR-2980</t>
  </si>
  <si>
    <t>JDH4-02-007-PR-2990</t>
  </si>
  <si>
    <t>JDH4-02-007-PR-2790</t>
  </si>
  <si>
    <t>JDH4-02-007-PR-2827</t>
  </si>
  <si>
    <t>JDH4-02-007-PR-2828</t>
  </si>
  <si>
    <t>JDH4-02-007-PR-2829</t>
  </si>
  <si>
    <t>JDH4-02-007-PR-2830</t>
  </si>
  <si>
    <t>JDH4-02-007-PR-2870</t>
  </si>
  <si>
    <t>JDH4-02-007-PR-2910</t>
  </si>
  <si>
    <t>JDH4-02-007-PR-2520</t>
  </si>
  <si>
    <t>JDH4-02-007-PR-2555</t>
  </si>
  <si>
    <t>JDH4-02-007-PR-2556</t>
  </si>
  <si>
    <t>JDH4-02-007-PR-2557</t>
  </si>
  <si>
    <t>JDH4-02-007-PR-2558</t>
  </si>
  <si>
    <t>JDH4-02-007-PR-2559</t>
  </si>
  <si>
    <t>JDH4-02-007-PR-2560</t>
  </si>
  <si>
    <t>JDH4-02-007-PR-2600</t>
  </si>
  <si>
    <t>JDH4-02-007-PR-2640</t>
  </si>
  <si>
    <t>JDH4-02-007-PR-3040</t>
  </si>
  <si>
    <t>JDH4-02-007-PR-3055</t>
  </si>
  <si>
    <t>JDH4-02-007-PR-3056</t>
  </si>
  <si>
    <t>JDH4-02-007-PR-3057</t>
  </si>
  <si>
    <t>JDH4-02-007-PR-3058</t>
  </si>
  <si>
    <t>JDH4-02-007-PR-3059</t>
  </si>
  <si>
    <t>JDH4-02-007-PR-3060</t>
  </si>
  <si>
    <t>JDH4-02-007-PR-3080</t>
  </si>
  <si>
    <t>JDH4-02-007-PR-3100</t>
  </si>
  <si>
    <t>JDH4-02-007-PR-3120</t>
  </si>
  <si>
    <t>JDH4-02-007-PR-3125</t>
  </si>
  <si>
    <t>JDH4-02-007-PR-3126</t>
  </si>
  <si>
    <t>JDH4-02-007-PR-3127</t>
  </si>
  <si>
    <t>JDH4-02-007-PR-3128</t>
  </si>
  <si>
    <t>JDH4-02-007-PR-3129</t>
  </si>
  <si>
    <t>JDH4-02-007-PR-3130</t>
  </si>
  <si>
    <t>JDH4-02-007-PR-3140</t>
  </si>
  <si>
    <t>JDH4-02-007-PR-3150</t>
  </si>
  <si>
    <t>JDH4-02-007-PR-3050</t>
  </si>
  <si>
    <t>JDH4-02-007-PR-3067</t>
  </si>
  <si>
    <t>JDH4-02-007-PR-3068</t>
  </si>
  <si>
    <t>JDH4-02-007-PR-3069</t>
  </si>
  <si>
    <t>JDH4-02-007-PR-3070</t>
  </si>
  <si>
    <t>JDH4-02-007-PR-3090</t>
  </si>
  <si>
    <t>JDH4-02-007-PR-3110</t>
  </si>
  <si>
    <t>JDH4-02-007-PR-3000</t>
  </si>
  <si>
    <t>JDH4-02-007-PR-3005</t>
  </si>
  <si>
    <t>JDH4-02-007-PR-3006</t>
  </si>
  <si>
    <t>JDH4-02-007-PR-3007</t>
  </si>
  <si>
    <t>JDH4-02-007-PR-3008</t>
  </si>
  <si>
    <t>JDH4-02-007-PR-3009</t>
  </si>
  <si>
    <t>JDH4-02-007-PR-3010</t>
  </si>
  <si>
    <t>JDH4-02-007-PR-3020</t>
  </si>
  <si>
    <t>JDH4-02-007-PR-3030</t>
  </si>
  <si>
    <t>Demolition Works</t>
  </si>
  <si>
    <t>Demolition in Road network</t>
  </si>
  <si>
    <t>JDH4-02-007-CN-1000</t>
  </si>
  <si>
    <t>JDH4-02-007-CN-1080</t>
  </si>
  <si>
    <t>JDH4-02-007-CN-1110</t>
  </si>
  <si>
    <t>JDH4-02-007-CN-1170</t>
  </si>
  <si>
    <t>Demolition in TSE network</t>
  </si>
  <si>
    <t>JDH4-02-007-CN-1480</t>
  </si>
  <si>
    <t>JDH4-02-007-CN-1560</t>
  </si>
  <si>
    <t>JDH4-02-007-CN-1590</t>
  </si>
  <si>
    <t>JDH4-02-007-CN-1610</t>
  </si>
  <si>
    <t>JDH4-02-007-CN-1620</t>
  </si>
  <si>
    <t>Demolition in Storm water network</t>
  </si>
  <si>
    <t>JDH4-02-007-CN-1670</t>
  </si>
  <si>
    <t>JDH4-02-007-CN-1680</t>
  </si>
  <si>
    <t>JDH4-02-007-CN-1690</t>
  </si>
  <si>
    <t>JDH4-02-007-CN-1700</t>
  </si>
  <si>
    <t>Demolition in Sewerage network</t>
  </si>
  <si>
    <t>JDH4-02-007-CN-1630</t>
  </si>
  <si>
    <t>JDH4-02-007-CN-1640</t>
  </si>
  <si>
    <t>JDH4-02-007-CN-1650</t>
  </si>
  <si>
    <t>JDH4-02-007-CN-1660</t>
  </si>
  <si>
    <t>Demolition in Potable water network</t>
  </si>
  <si>
    <t>JDH4-02-007-CN-1340</t>
  </si>
  <si>
    <t>JDH4-02-007-CN-1400</t>
  </si>
  <si>
    <t>JDH4-02-007-CN-1430</t>
  </si>
  <si>
    <t>Demolition in Electrical works</t>
  </si>
  <si>
    <t>JDH4-02-007-CN-1250</t>
  </si>
  <si>
    <t>JDH4-02-007-CN-3020</t>
  </si>
  <si>
    <t>JDH4-02-007-CN-3030</t>
  </si>
  <si>
    <t>JDH4-02-007-CN-3040</t>
  </si>
  <si>
    <t>JDH4-02-007-CN-3050</t>
  </si>
  <si>
    <t>Plots</t>
  </si>
  <si>
    <t>Excavation</t>
  </si>
  <si>
    <t>JDH4-02-007-CN-1760</t>
  </si>
  <si>
    <t>JDH4-02-007-CN-1820</t>
  </si>
  <si>
    <t>JDH4-02-007-CN-1830</t>
  </si>
  <si>
    <t>JDH4-02-007-CN-1840</t>
  </si>
  <si>
    <t>JDH4-02-007-CN-1850</t>
  </si>
  <si>
    <t>JDH4-02-007-CN-1860</t>
  </si>
  <si>
    <t>JDH4-02-007-CN-1870</t>
  </si>
  <si>
    <t>JDH4-02-007-CN-1880</t>
  </si>
  <si>
    <t>Roads</t>
  </si>
  <si>
    <t>Road 04-R</t>
  </si>
  <si>
    <t>Box Culvert</t>
  </si>
  <si>
    <t>JDH4-02-007-CN-5580</t>
  </si>
  <si>
    <t>JDH4-02-007-CN-5590</t>
  </si>
  <si>
    <t>JDH4-02-007-CN-5600</t>
  </si>
  <si>
    <t>JDH4-02-007-CN-5610</t>
  </si>
  <si>
    <t>JDH4-02-007-CN-5620</t>
  </si>
  <si>
    <t>Road Works + Roundabout</t>
  </si>
  <si>
    <t>Eartworks &amp; Site grading</t>
  </si>
  <si>
    <t>JDH4-02-007-CN-1750</t>
  </si>
  <si>
    <t>JDH4-02-007-CN-1810</t>
  </si>
  <si>
    <t>JDH4-02-007-CN-1930</t>
  </si>
  <si>
    <t>Asphalt Works</t>
  </si>
  <si>
    <t>JDH4-02-007-CN-1990</t>
  </si>
  <si>
    <t>JDH4-02-007-CN-2040</t>
  </si>
  <si>
    <t>JDH4-02-007-CN-2090</t>
  </si>
  <si>
    <t>Finishing Works</t>
  </si>
  <si>
    <t>Asphalt Wearing Course</t>
  </si>
  <si>
    <t>JDH4-02-007-CN-2140</t>
  </si>
  <si>
    <t>JDH4-02-007-CN-2190</t>
  </si>
  <si>
    <t>Precast Concrete Curb</t>
  </si>
  <si>
    <t>JDH4-02-007-CN-2240</t>
  </si>
  <si>
    <t>Precast Interlocking block pavers</t>
  </si>
  <si>
    <t>JDH4-02-007-CN-2290</t>
  </si>
  <si>
    <t>JDH4-02-007-CN-2340</t>
  </si>
  <si>
    <t>Traffic Signage</t>
  </si>
  <si>
    <t>JDH4-02-007-CN-2390</t>
  </si>
  <si>
    <t>Guardrail</t>
  </si>
  <si>
    <t>JDH4-02-007-CN-2400</t>
  </si>
  <si>
    <t>Storm Water Drainage</t>
  </si>
  <si>
    <t>Pipe Works</t>
  </si>
  <si>
    <t>JDH4-02-007-CN-5370</t>
  </si>
  <si>
    <t>JDH4-02-007-CN-5420</t>
  </si>
  <si>
    <t>JDH4-02-007-CN-5470</t>
  </si>
  <si>
    <t>JDH4-02-007-CN-5520</t>
  </si>
  <si>
    <t>JDH4-02-007-CN-5570</t>
  </si>
  <si>
    <t>Pipe Encasement</t>
  </si>
  <si>
    <t>JDH4-02-007-CN-5840</t>
  </si>
  <si>
    <t>JDH4-02-007-CN-5670</t>
  </si>
  <si>
    <t>Precast Acces Openinig</t>
  </si>
  <si>
    <t>JDH4-02-007-CN-5720</t>
  </si>
  <si>
    <t>JDH4-02-007-CN-5760</t>
  </si>
  <si>
    <t>Concrete Outfalls</t>
  </si>
  <si>
    <t>JDH4-02-007-CN-5790</t>
  </si>
  <si>
    <t>Sewerage Network</t>
  </si>
  <si>
    <t>JDH4-02-007-CN-4820</t>
  </si>
  <si>
    <t>JDH4-02-007-CN-4890</t>
  </si>
  <si>
    <t>JDH4-02-007-CN-4960</t>
  </si>
  <si>
    <t>JDH4-02-007-CN-5030</t>
  </si>
  <si>
    <t>JDH4-02-007-CN-5100</t>
  </si>
  <si>
    <t>JDH4-02-007-CN-5170</t>
  </si>
  <si>
    <t>JDH4-02-007-CN-5310</t>
  </si>
  <si>
    <t>JDH4-02-007-CN-5240</t>
  </si>
  <si>
    <t>JDH4-02-007-CN-4040</t>
  </si>
  <si>
    <t>JDH4-02-007-CN-4110</t>
  </si>
  <si>
    <t>JDH4-02-007-CN-4180</t>
  </si>
  <si>
    <t>JDH4-02-007-CN-4250</t>
  </si>
  <si>
    <t>JDH4-02-007-CN-4700</t>
  </si>
  <si>
    <t>JDH4-02-007-CN-4320</t>
  </si>
  <si>
    <t>JDH4-02-007-CN-4390</t>
  </si>
  <si>
    <t>JDH4-02-007-CN-4460</t>
  </si>
  <si>
    <t>Valves</t>
  </si>
  <si>
    <t>JDH4-02-007-CN-4530</t>
  </si>
  <si>
    <t>Potable Network</t>
  </si>
  <si>
    <t>JDH4-02-007-CN-3360</t>
  </si>
  <si>
    <t>JDH4-02-007-CN-3430</t>
  </si>
  <si>
    <t>JDH4-02-007-CN-3500</t>
  </si>
  <si>
    <t>JDH4-02-007-CN-3570</t>
  </si>
  <si>
    <t>JDH4-02-007-CN-3640</t>
  </si>
  <si>
    <t>JDH4-02-007-CN-3710</t>
  </si>
  <si>
    <t>JDH4-02-007-CN-3780</t>
  </si>
  <si>
    <t>JDH4-02-007-CN-3850</t>
  </si>
  <si>
    <t>JDH4-02-007-CN-3940</t>
  </si>
  <si>
    <t>Electrical Works</t>
  </si>
  <si>
    <t>Street Lighting</t>
  </si>
  <si>
    <t>JDH4-02-007-CN-2820</t>
  </si>
  <si>
    <t>JDH4-02-007-CN-2830</t>
  </si>
  <si>
    <t>JDH4-02-007-CN-2880</t>
  </si>
  <si>
    <t>JDH4-02-007-CN-2920</t>
  </si>
  <si>
    <t>JDH4-02-007-CN-2960</t>
  </si>
  <si>
    <t>JDH4-02-007-CN-2990</t>
  </si>
  <si>
    <t>Telecommunication</t>
  </si>
  <si>
    <t>JDH4-02-007-CN-3110</t>
  </si>
  <si>
    <t>JDH4-02-007-CN-3180</t>
  </si>
  <si>
    <t>JDH4-02-007-CN-3290</t>
  </si>
  <si>
    <t>Road 08</t>
  </si>
  <si>
    <t>JDH4-02-007-CN-1770</t>
  </si>
  <si>
    <t>JDH4-02-007-CN-1710</t>
  </si>
  <si>
    <t>JDH4-02-007-CN-1890</t>
  </si>
  <si>
    <t>JDH4-02-007-CN-1950</t>
  </si>
  <si>
    <t>JDH4-02-007-CN-2000</t>
  </si>
  <si>
    <t>JDH4-02-007-CN-2050</t>
  </si>
  <si>
    <t>JDH4-02-007-CN-2100</t>
  </si>
  <si>
    <t>JDH4-02-007-CN-2150</t>
  </si>
  <si>
    <t>JDH4-02-007-CN-2200</t>
  </si>
  <si>
    <t>JDH4-02-007-CN-2250</t>
  </si>
  <si>
    <t>JDH4-02-007-CN-2300</t>
  </si>
  <si>
    <t>JDH4-02-007-CN-2350</t>
  </si>
  <si>
    <t>JDH4-02-007-CN-5330</t>
  </si>
  <si>
    <t>JDH4-02-007-CN-5380</t>
  </si>
  <si>
    <t>JDH4-02-007-CN-5430</t>
  </si>
  <si>
    <t>JDH4-02-007-CN-5480</t>
  </si>
  <si>
    <t>JDH4-02-007-CN-5530</t>
  </si>
  <si>
    <t>JDH4-02-007-CN-5800</t>
  </si>
  <si>
    <t>JDH4-02-007-CN-5630</t>
  </si>
  <si>
    <t>JDH4-02-007-CN-5680</t>
  </si>
  <si>
    <t>JDH4-02-007-CN-5730</t>
  </si>
  <si>
    <t>JDH4-02-007-CN-4780</t>
  </si>
  <si>
    <t>JDH4-02-007-CN-4850</t>
  </si>
  <si>
    <t>JDH4-02-007-CN-4920</t>
  </si>
  <si>
    <t>JDH4-02-007-CN-4990</t>
  </si>
  <si>
    <t>JDH4-02-007-CN-5060</t>
  </si>
  <si>
    <t>JDH4-02-007-CN-5130</t>
  </si>
  <si>
    <t>JDH4-02-007-CN-5270</t>
  </si>
  <si>
    <t>JDH4-02-007-CN-5200</t>
  </si>
  <si>
    <t>JDH4-02-007-CN-4000</t>
  </si>
  <si>
    <t>JDH4-02-007-CN-4070</t>
  </si>
  <si>
    <t>JDH4-02-007-CN-4140</t>
  </si>
  <si>
    <t>JDH4-02-007-CN-4210</t>
  </si>
  <si>
    <t>JDH4-02-007-CN-4660</t>
  </si>
  <si>
    <t>JDH4-02-007-CN-4280</t>
  </si>
  <si>
    <t>JDH4-02-007-CN-4350</t>
  </si>
  <si>
    <t>JDH4-02-007-CN-4420</t>
  </si>
  <si>
    <t>JDH4-02-007-CN-4490</t>
  </si>
  <si>
    <t>JDH4-02-007-CN-4730</t>
  </si>
  <si>
    <t>JDH4-02-007-CN-3320</t>
  </si>
  <si>
    <t>JDH4-02-007-CN-3390</t>
  </si>
  <si>
    <t>JDH4-02-007-CN-3460</t>
  </si>
  <si>
    <t>JDH4-02-007-CN-3530</t>
  </si>
  <si>
    <t>JDH4-02-007-CN-3600</t>
  </si>
  <si>
    <t>JDH4-02-007-CN-3670</t>
  </si>
  <si>
    <t>JDH4-02-007-CN-3740</t>
  </si>
  <si>
    <t>JDH4-02-007-CN-3810</t>
  </si>
  <si>
    <t>JDH4-02-007-CN-3900</t>
  </si>
  <si>
    <t>MV &amp; LV Cables</t>
  </si>
  <si>
    <t>JDH4-02-007-CN-2420</t>
  </si>
  <si>
    <t>JDH4-02-007-CN-2480</t>
  </si>
  <si>
    <t>JDH4-02-007-CN-2540</t>
  </si>
  <si>
    <t>Low Voltage Cable</t>
  </si>
  <si>
    <t>JDH4-02-007-CN-2595</t>
  </si>
  <si>
    <t>JDH4-02-007-CN-2600</t>
  </si>
  <si>
    <t>JDH4-02-007-CN-2710</t>
  </si>
  <si>
    <t>JDH4-02-007-CN-2730</t>
  </si>
  <si>
    <t>JDH4-02-007-CN-2740</t>
  </si>
  <si>
    <t>JDH4-02-007-CN-2750</t>
  </si>
  <si>
    <t>JDH4-02-007-CN-2760</t>
  </si>
  <si>
    <t>JDH4-02-007-CN-2840</t>
  </si>
  <si>
    <t>JDH4-02-007-CN-2890</t>
  </si>
  <si>
    <t>JDH4-02-007-CN-2930</t>
  </si>
  <si>
    <t>JDH4-02-007-CN-2970</t>
  </si>
  <si>
    <t>JDH4-02-007-CN-3070</t>
  </si>
  <si>
    <t>JDH4-02-007-CN-3140</t>
  </si>
  <si>
    <t>JDH4-02-007-CN-3200</t>
  </si>
  <si>
    <t>JDH4-02-007-CN-3250</t>
  </si>
  <si>
    <t>Road 01</t>
  </si>
  <si>
    <t>Road Works (Roundabout)</t>
  </si>
  <si>
    <t>JDH4-02-007-CN-1720</t>
  </si>
  <si>
    <t>JDH4-02-007-CN-1780</t>
  </si>
  <si>
    <t>JDH4-02-007-CN-1900</t>
  </si>
  <si>
    <t>JDH4-02-007-CN-1960</t>
  </si>
  <si>
    <t>JDH4-02-007-CN-2010</t>
  </si>
  <si>
    <t>JDH4-02-007-CN-2060</t>
  </si>
  <si>
    <t>JDH4-02-007-CN-2110</t>
  </si>
  <si>
    <t>JDH4-02-007-CN-2160</t>
  </si>
  <si>
    <t>JDH4-02-007-CN-2210</t>
  </si>
  <si>
    <t>JDH4-02-007-CN-2260</t>
  </si>
  <si>
    <t>JDH4-02-007-CN-2310</t>
  </si>
  <si>
    <t>JDH4-02-007-CN-2360</t>
  </si>
  <si>
    <t>JDH4-02-007-CN-5340</t>
  </si>
  <si>
    <t>JDH4-02-007-CN-5390</t>
  </si>
  <si>
    <t>JDH4-02-007-CN-5440</t>
  </si>
  <si>
    <t>JDH4-02-007-CN-5490</t>
  </si>
  <si>
    <t>JDH4-02-007-CN-5540</t>
  </si>
  <si>
    <t>JDH4-02-007-CN-5810</t>
  </si>
  <si>
    <t>JDH4-02-007-CN-5640</t>
  </si>
  <si>
    <t>JDH4-02-007-CN-5690</t>
  </si>
  <si>
    <t>JDH4-02-007-CN-5780</t>
  </si>
  <si>
    <t>JDH4-02-007-CN-4790</t>
  </si>
  <si>
    <t>JDH4-02-007-CN-4860</t>
  </si>
  <si>
    <t>JDH4-02-007-CN-4930</t>
  </si>
  <si>
    <t>JDH4-02-007-CN-5000</t>
  </si>
  <si>
    <t>JDH4-02-007-CN-5070</t>
  </si>
  <si>
    <t>JDH4-02-007-CN-5140</t>
  </si>
  <si>
    <t>JDH4-02-007-CN-5280</t>
  </si>
  <si>
    <t>JDH4-02-007-CN-5210</t>
  </si>
  <si>
    <t>JDH4-02-007-CN-4010</t>
  </si>
  <si>
    <t>JDH4-02-007-CN-4080</t>
  </si>
  <si>
    <t>JDH4-02-007-CN-4150</t>
  </si>
  <si>
    <t>JDH4-02-007-CN-4220</t>
  </si>
  <si>
    <t>JDH4-02-007-CN-4290</t>
  </si>
  <si>
    <t>JDH4-02-007-CN-4360</t>
  </si>
  <si>
    <t>JDH4-02-007-CN-4670</t>
  </si>
  <si>
    <t>JDH4-02-007-CN-4430</t>
  </si>
  <si>
    <t>JDH4-02-007-CN-4500</t>
  </si>
  <si>
    <t>JDH4-02-007-CN-4550</t>
  </si>
  <si>
    <t>JDH4-02-007-CN-4560</t>
  </si>
  <si>
    <t>JDH4-02-007-CN-4580</t>
  </si>
  <si>
    <t>JDH4-02-007-CN-4740</t>
  </si>
  <si>
    <t>JDH4-02-007-CN-3330</t>
  </si>
  <si>
    <t>JDH4-02-007-CN-3400</t>
  </si>
  <si>
    <t>JDH4-02-007-CN-3470</t>
  </si>
  <si>
    <t>JDH4-02-007-CN-3540</t>
  </si>
  <si>
    <t>JDH4-02-007-CN-3610</t>
  </si>
  <si>
    <t>JDH4-02-007-CN-3680</t>
  </si>
  <si>
    <t>JDH4-02-007-CN-3750</t>
  </si>
  <si>
    <t>JDH4-02-007-CN-3820</t>
  </si>
  <si>
    <t>JDH4-02-007-CN-3870</t>
  </si>
  <si>
    <t>JDH4-02-007-CN-3880</t>
  </si>
  <si>
    <t>JDH4-02-007-CN-3890</t>
  </si>
  <si>
    <t>JDH4-02-007-CN-3910</t>
  </si>
  <si>
    <t>Valve Chambers</t>
  </si>
  <si>
    <t>JDH4-02-007-CN-3950</t>
  </si>
  <si>
    <t>JDH4-02-007-CN-3960</t>
  </si>
  <si>
    <t>JDH4-02-007-CN-3970</t>
  </si>
  <si>
    <t>JDH4-02-007-CN-4600</t>
  </si>
  <si>
    <t>JDH4-02-007-CN-4610</t>
  </si>
  <si>
    <t>JDH4-02-007-CN-4630</t>
  </si>
  <si>
    <t>Road Crossings</t>
  </si>
  <si>
    <t>JDH4-02-007-CN-3980</t>
  </si>
  <si>
    <t>JDH4-02-007-CN-2430</t>
  </si>
  <si>
    <t>JDH4-02-007-CN-2490</t>
  </si>
  <si>
    <t>JDH4-02-007-CN-2550</t>
  </si>
  <si>
    <t>JDH4-02-007-CN-2610</t>
  </si>
  <si>
    <t>JDH4-02-007-CN-2620</t>
  </si>
  <si>
    <t>JDH4-02-007-CN-2770</t>
  </si>
  <si>
    <t>JDH4-02-007-CN-2850</t>
  </si>
  <si>
    <t>JDH4-02-007-CN-3080</t>
  </si>
  <si>
    <t>JDH4-02-007-CN-3150</t>
  </si>
  <si>
    <t>JDH4-02-007-CN-3260</t>
  </si>
  <si>
    <t>Open Drain Channel</t>
  </si>
  <si>
    <t>JDH4-02-007-CN-5850</t>
  </si>
  <si>
    <t>JDH4-02-007-CN-5860</t>
  </si>
  <si>
    <t>JDH4-02-007-CN-5870</t>
  </si>
  <si>
    <t>JDH4-02-007-CN-5880</t>
  </si>
  <si>
    <t>Road 02</t>
  </si>
  <si>
    <t>Under Pass</t>
  </si>
  <si>
    <t>JDH4-02-007-CN-1940</t>
  </si>
  <si>
    <t>JDH4-02-007-CN-2410</t>
  </si>
  <si>
    <t>JDH4-02-007-CN-4770</t>
  </si>
  <si>
    <t>JDH4-02-007-CN-4840</t>
  </si>
  <si>
    <t>JDH4-02-007-CN-4910</t>
  </si>
  <si>
    <t>JDH4-02-007-CN-4980</t>
  </si>
  <si>
    <t>JDH4-02-007-CN-5050</t>
  </si>
  <si>
    <t>JDH4-02-007-CN-5120</t>
  </si>
  <si>
    <t>JDH4-02-007-CN-5260</t>
  </si>
  <si>
    <t>JDH4-02-007-CN-5190</t>
  </si>
  <si>
    <t>JDH4-02-007-CN-3990</t>
  </si>
  <si>
    <t>JDH4-02-007-CN-4060</t>
  </si>
  <si>
    <t>JDH4-02-007-CN-4130</t>
  </si>
  <si>
    <t>JDH4-02-007-CN-4200</t>
  </si>
  <si>
    <t>JDH4-02-007-CN-4270</t>
  </si>
  <si>
    <t>JDH4-02-007-CN-4340</t>
  </si>
  <si>
    <t>JDH4-02-007-CN-4650</t>
  </si>
  <si>
    <t>JDH4-02-007-CN-4410</t>
  </si>
  <si>
    <t>JDH4-02-007-CN-4480</t>
  </si>
  <si>
    <t>JDH4-02-007-CN-4570</t>
  </si>
  <si>
    <t>JDH4-02-007-CN-4720</t>
  </si>
  <si>
    <t>JDH4-02-007-CN-3310</t>
  </si>
  <si>
    <t>JDH4-02-007-CN-3380</t>
  </si>
  <si>
    <t>JDH4-02-007-CN-3450</t>
  </si>
  <si>
    <t>JDH4-02-007-CN-3520</t>
  </si>
  <si>
    <t>JDH4-02-007-CN-3590</t>
  </si>
  <si>
    <t>JDH4-02-007-CN-3660</t>
  </si>
  <si>
    <t>JDH4-02-007-CN-3730</t>
  </si>
  <si>
    <t>JDH4-02-007-CN-3800</t>
  </si>
  <si>
    <t>JDH4-02-007-CN-4620</t>
  </si>
  <si>
    <t>JDH4-02-007-CN-3060</t>
  </si>
  <si>
    <t>JDH4-02-007-CN-3130</t>
  </si>
  <si>
    <t>JDH4-02-007-CN-3240</t>
  </si>
  <si>
    <t>Road 07-N</t>
  </si>
  <si>
    <t>Road Works</t>
  </si>
  <si>
    <t>JDH4-02-007-CN-1790</t>
  </si>
  <si>
    <t>JDH4-02-007-CN-1730</t>
  </si>
  <si>
    <t>JDH4-02-007-CN-1910</t>
  </si>
  <si>
    <t>JDH4-02-007-CN-1970</t>
  </si>
  <si>
    <t>JDH4-02-007-CN-2020</t>
  </si>
  <si>
    <t>JDH4-02-007-CN-2070</t>
  </si>
  <si>
    <t>JDH4-02-007-CN-2120</t>
  </si>
  <si>
    <t>JDH4-02-007-CN-2170</t>
  </si>
  <si>
    <t>JDH4-02-007-CN-2220</t>
  </si>
  <si>
    <t>JDH4-02-007-CN-2270</t>
  </si>
  <si>
    <t>JDH4-02-007-CN-2320</t>
  </si>
  <si>
    <t>JDH4-02-007-CN-2370</t>
  </si>
  <si>
    <t>JDH4-02-007-CN-5350</t>
  </si>
  <si>
    <t>JDH4-02-007-CN-5400</t>
  </si>
  <si>
    <t>JDH4-02-007-CN-5450</t>
  </si>
  <si>
    <t>JDH4-02-007-CN-5500</t>
  </si>
  <si>
    <t>JDH4-02-007-CN-5550</t>
  </si>
  <si>
    <t>JDH4-02-007-CN-5820</t>
  </si>
  <si>
    <t>JDH4-02-007-CN-5650</t>
  </si>
  <si>
    <t>JDH4-02-007-CN-5700</t>
  </si>
  <si>
    <t>JDH4-02-007-CN-5740</t>
  </si>
  <si>
    <t>JDH4-02-007-CN-5770</t>
  </si>
  <si>
    <t>JDH4-02-007-CN-4800</t>
  </si>
  <si>
    <t>JDH4-02-007-CN-4870</t>
  </si>
  <si>
    <t>JDH4-02-007-CN-4940</t>
  </si>
  <si>
    <t>JDH4-02-007-CN-5010</t>
  </si>
  <si>
    <t>JDH4-02-007-CN-5080</t>
  </si>
  <si>
    <t>JDH4-02-007-CN-5150</t>
  </si>
  <si>
    <t>JDH4-02-007-CN-5290</t>
  </si>
  <si>
    <t>JDH4-02-007-CN-5220</t>
  </si>
  <si>
    <t>JDH4-02-007-CN-4020</t>
  </si>
  <si>
    <t>JDH4-02-007-CN-4090</t>
  </si>
  <si>
    <t>JDH4-02-007-CN-4160</t>
  </si>
  <si>
    <t>JDH4-02-007-CN-4230</t>
  </si>
  <si>
    <t>JDH4-02-007-CN-4300</t>
  </si>
  <si>
    <t>JDH4-02-007-CN-4370</t>
  </si>
  <si>
    <t>JDH4-02-007-CN-4680</t>
  </si>
  <si>
    <t>JDH4-02-007-CN-4440</t>
  </si>
  <si>
    <t>JDH4-02-007-CN-4510</t>
  </si>
  <si>
    <t>JDH4-02-007-CN-4750</t>
  </si>
  <si>
    <t>JDH4-02-007-CN-3340</t>
  </si>
  <si>
    <t>JDH4-02-007-CN-3410</t>
  </si>
  <si>
    <t>JDH4-02-007-CN-3480</t>
  </si>
  <si>
    <t>JDH4-02-007-CN-3550</t>
  </si>
  <si>
    <t>JDH4-02-007-CN-3620</t>
  </si>
  <si>
    <t>JDH4-02-007-CN-3690</t>
  </si>
  <si>
    <t>JDH4-02-007-CN-3760</t>
  </si>
  <si>
    <t>JDH4-02-007-CN-3830</t>
  </si>
  <si>
    <t>JDH4-02-007-CN-3920</t>
  </si>
  <si>
    <t>JDH4-02-007-CN-2440</t>
  </si>
  <si>
    <t>JDH4-02-007-CN-2500</t>
  </si>
  <si>
    <t>JDH4-02-007-CN-2560</t>
  </si>
  <si>
    <t>JDH4-02-007-CN-2630</t>
  </si>
  <si>
    <t>JDH4-02-007-CN-2640</t>
  </si>
  <si>
    <t>JDH4-02-007-CN-2780</t>
  </si>
  <si>
    <t>JDH4-02-007-CN-2790</t>
  </si>
  <si>
    <t>JDH4-02-007-CN-2860</t>
  </si>
  <si>
    <t>JDH4-02-007-CN-2900</t>
  </si>
  <si>
    <t>JDH4-02-007-CN-2940</t>
  </si>
  <si>
    <t>JDH4-02-007-CN-3000</t>
  </si>
  <si>
    <t>JDH4-02-007-CN-3010</t>
  </si>
  <si>
    <t>JDH4-02-007-CN-3090</t>
  </si>
  <si>
    <t>JDH4-02-007-CN-3160</t>
  </si>
  <si>
    <t>JDH4-02-007-CN-3210</t>
  </si>
  <si>
    <t>JDH4-02-007-CN-3270</t>
  </si>
  <si>
    <t>Road 06</t>
  </si>
  <si>
    <t>JDH4-02-007-CN-1740</t>
  </si>
  <si>
    <t>JDH4-02-007-CN-1800</t>
  </si>
  <si>
    <t>JDH4-02-007-CN-1920</t>
  </si>
  <si>
    <t>JDH4-02-007-CN-1980</t>
  </si>
  <si>
    <t>JDH4-02-007-CN-2030</t>
  </si>
  <si>
    <t>JDH4-02-007-CN-2080</t>
  </si>
  <si>
    <t>JDH4-02-007-CN-2130</t>
  </si>
  <si>
    <t>JDH4-02-007-CN-2180</t>
  </si>
  <si>
    <t>JDH4-02-007-CN-2230</t>
  </si>
  <si>
    <t>JDH4-02-007-CN-2280</t>
  </si>
  <si>
    <t>JDH4-02-007-CN-2330</t>
  </si>
  <si>
    <t>JDH4-02-007-CN-2380</t>
  </si>
  <si>
    <t>JDH4-02-007-CN-5360</t>
  </si>
  <si>
    <t>JDH4-02-007-CN-5410</t>
  </si>
  <si>
    <t>JDH4-02-007-CN-5460</t>
  </si>
  <si>
    <t>JDH4-02-007-CN-5510</t>
  </si>
  <si>
    <t>JDH4-02-007-CN-5560</t>
  </si>
  <si>
    <t>JDH4-02-007-CN-5830</t>
  </si>
  <si>
    <t>JDH4-02-007-CN-5660</t>
  </si>
  <si>
    <t>JDH4-02-007-CN-5710</t>
  </si>
  <si>
    <t>JDH4-02-007-CN-5750</t>
  </si>
  <si>
    <t>JDH4-02-007-CN-4810</t>
  </si>
  <si>
    <t>JDH4-02-007-CN-4880</t>
  </si>
  <si>
    <t>JDH4-02-007-CN-4950</t>
  </si>
  <si>
    <t>JDH4-02-007-CN-5020</t>
  </si>
  <si>
    <t>JDH4-02-007-CN-5090</t>
  </si>
  <si>
    <t>JDH4-02-007-CN-5160</t>
  </si>
  <si>
    <t>JDH4-02-007-CN-5300</t>
  </si>
  <si>
    <t>JDH4-02-007-CN-5230</t>
  </si>
  <si>
    <t>JDH4-02-007-CN-4030</t>
  </si>
  <si>
    <t>JDH4-02-007-CN-4100</t>
  </si>
  <si>
    <t>JDH4-02-007-CN-4170</t>
  </si>
  <si>
    <t>JDH4-02-007-CN-4240</t>
  </si>
  <si>
    <t>JDH4-02-007-CN-4690</t>
  </si>
  <si>
    <t>JDH4-02-007-CN-4310</t>
  </si>
  <si>
    <t>JDH4-02-007-CN-4380</t>
  </si>
  <si>
    <t>JDH4-02-007-CN-4450</t>
  </si>
  <si>
    <t>JDH4-02-007-CN-4520</t>
  </si>
  <si>
    <t>JDH4-02-007-CN-4760</t>
  </si>
  <si>
    <t>JDH4-02-007-CN-3350</t>
  </si>
  <si>
    <t>JDH4-02-007-CN-3420</t>
  </si>
  <si>
    <t>JDH4-02-007-CN-3490</t>
  </si>
  <si>
    <t>JDH4-02-007-CN-3560</t>
  </si>
  <si>
    <t>JDH4-02-007-CN-3630</t>
  </si>
  <si>
    <t>JDH4-02-007-CN-3700</t>
  </si>
  <si>
    <t>JDH4-02-007-CN-3770</t>
  </si>
  <si>
    <t>JDH4-02-007-CN-3840</t>
  </si>
  <si>
    <t>JDH4-02-007-CN-3930</t>
  </si>
  <si>
    <t>JDH4-02-007-CN-2450</t>
  </si>
  <si>
    <t>JDH4-02-007-CN-2510</t>
  </si>
  <si>
    <t>JDH4-02-007-CN-2570</t>
  </si>
  <si>
    <t>JDH4-02-007-CN-2650</t>
  </si>
  <si>
    <t>JDH4-02-007-CN-2660</t>
  </si>
  <si>
    <t>JDH4-02-007-CN-2800</t>
  </si>
  <si>
    <t>JDH4-02-007-CN-2810</t>
  </si>
  <si>
    <t>JDH4-02-007-CN-2870</t>
  </si>
  <si>
    <t>JDH4-02-007-CN-2910</t>
  </si>
  <si>
    <t>JDH4-02-007-CN-2950</t>
  </si>
  <si>
    <t>JDH4-02-007-CN-2980</t>
  </si>
  <si>
    <t>JDH4-02-007-CN-3100</t>
  </si>
  <si>
    <t>JDH4-02-007-CN-3170</t>
  </si>
  <si>
    <t>JDH4-02-007-CN-3220</t>
  </si>
  <si>
    <t>JDH4-02-007-CN-3280</t>
  </si>
  <si>
    <t>Road 10</t>
  </si>
  <si>
    <t>JDH4-02-007-CN-4830</t>
  </si>
  <si>
    <t>JDH4-02-007-CN-4900</t>
  </si>
  <si>
    <t>JDH4-02-007-CN-4970</t>
  </si>
  <si>
    <t>JDH4-02-007-CN-5040</t>
  </si>
  <si>
    <t>JDH4-02-007-CN-5110</t>
  </si>
  <si>
    <t>JDH4-02-007-CN-5180</t>
  </si>
  <si>
    <t>JDH4-02-007-CN-5320</t>
  </si>
  <si>
    <t>JDH4-02-007-CN-5250</t>
  </si>
  <si>
    <t>JDH4-02-007-CN-4050</t>
  </si>
  <si>
    <t>JDH4-02-007-CN-4120</t>
  </si>
  <si>
    <t>JDH4-02-007-CN-4190</t>
  </si>
  <si>
    <t>JDH4-02-007-CN-4260</t>
  </si>
  <si>
    <t>JDH4-02-007-CN-4710</t>
  </si>
  <si>
    <t>JDH4-02-007-CN-4330</t>
  </si>
  <si>
    <t>JDH4-02-007-CN-4400</t>
  </si>
  <si>
    <t>JDH4-02-007-CN-4470</t>
  </si>
  <si>
    <t>JDH4-02-007-CN-4540</t>
  </si>
  <si>
    <t>JDH4-02-007-CN-4590</t>
  </si>
  <si>
    <t>JDH4-02-007-CN-3370</t>
  </si>
  <si>
    <t>JDH4-02-007-CN-3440</t>
  </si>
  <si>
    <t>JDH4-02-007-CN-3510</t>
  </si>
  <si>
    <t>JDH4-02-007-CN-3580</t>
  </si>
  <si>
    <t>JDH4-02-007-CN-3650</t>
  </si>
  <si>
    <t>JDH4-02-007-CN-3720</t>
  </si>
  <si>
    <t>JDH4-02-007-CN-3790</t>
  </si>
  <si>
    <t>JDH4-02-007-CN-3860</t>
  </si>
  <si>
    <t>JDH4-02-007-CN-4640</t>
  </si>
  <si>
    <t>JDH4-02-007-CN-2460</t>
  </si>
  <si>
    <t>JDH4-02-007-CN-2520</t>
  </si>
  <si>
    <t>JDH4-02-007-CN-2580</t>
  </si>
  <si>
    <t>JDH4-02-007-CN-2670</t>
  </si>
  <si>
    <t>JDH4-02-007-CN-2680</t>
  </si>
  <si>
    <t>JDH4-02-007-CN-3120</t>
  </si>
  <si>
    <t>JDH4-02-007-CN-3190</t>
  </si>
  <si>
    <t>JDH4-02-007-CN-3230</t>
  </si>
  <si>
    <t>JDH4-02-007-CN-3300</t>
  </si>
  <si>
    <t>Out of Zone</t>
  </si>
  <si>
    <t>JDH4-02-007-CN-2470</t>
  </si>
  <si>
    <t>JDH4-02-007-CN-2530</t>
  </si>
  <si>
    <t>JDH4-02-007-CN-2590</t>
  </si>
  <si>
    <t>JDH4-02-007-CN-2690</t>
  </si>
  <si>
    <t>JDH4-02-007-CN-2700</t>
  </si>
  <si>
    <t>Site Works</t>
  </si>
  <si>
    <t>JDH4-02-007-CN-5910</t>
  </si>
  <si>
    <t>JDH4-02-007-CN-5920</t>
  </si>
  <si>
    <t>JDH4-02-007-CN-5930</t>
  </si>
  <si>
    <t>Concrete Works</t>
  </si>
  <si>
    <t>JDH4-02-007-CN-1010</t>
  </si>
  <si>
    <t>JDH4-02-007-CN-1020</t>
  </si>
  <si>
    <t>JDH4-02-007-CN-1030</t>
  </si>
  <si>
    <t>JDH4-02-007-CN-1050</t>
  </si>
  <si>
    <t>JDH4-02-007-CN-1060</t>
  </si>
  <si>
    <t>JDH4-02-007-CN-1040</t>
  </si>
  <si>
    <t>Mechanical Works</t>
  </si>
  <si>
    <t>Pipes &amp; Fittings</t>
  </si>
  <si>
    <t>JDH4-02-007-CN-1090</t>
  </si>
  <si>
    <t>JDH4-02-007-CN-1100</t>
  </si>
  <si>
    <t>JDH4-02-007-CN-1120</t>
  </si>
  <si>
    <t>JDH4-02-007-CN-1130</t>
  </si>
  <si>
    <t>JDH4-02-007-CN-1140</t>
  </si>
  <si>
    <t>JDH4-02-007-CN-1150</t>
  </si>
  <si>
    <t>JDH4-02-007-CN-1160</t>
  </si>
  <si>
    <t>Control Equipment</t>
  </si>
  <si>
    <t>JDH4-02-007-CN-1180</t>
  </si>
  <si>
    <t>JDH4-02-007-CN-1190</t>
  </si>
  <si>
    <t>JDH4-02-007-CN-1200</t>
  </si>
  <si>
    <t>JDH4-02-007-CN-1210</t>
  </si>
  <si>
    <t>Interface Works</t>
  </si>
  <si>
    <t>JDH4-02-007-CN-1220</t>
  </si>
  <si>
    <t>Anti Water Hammer Equipment</t>
  </si>
  <si>
    <t>JDH4-02-007-CN-1230</t>
  </si>
  <si>
    <t>Air Conditioning &amp; Ventilation</t>
  </si>
  <si>
    <t>JDH4-02-007-CN-1240</t>
  </si>
  <si>
    <t>JDH4-02-007-CN-1260</t>
  </si>
  <si>
    <t>JDH4-02-007-CN-1270</t>
  </si>
  <si>
    <t>JDH4-02-007-CN-1280</t>
  </si>
  <si>
    <t>Fire Fighting</t>
  </si>
  <si>
    <t>JDH4-02-007-CN-1290</t>
  </si>
  <si>
    <t>JDH4-02-007-CN-1300</t>
  </si>
  <si>
    <t>JDH4-02-007-CN-1070</t>
  </si>
  <si>
    <t>Main Distribution Board</t>
  </si>
  <si>
    <t>JDH4-02-007-CN-1310</t>
  </si>
  <si>
    <t>JDH4-02-007-CN-1320</t>
  </si>
  <si>
    <t>Local Control Panel</t>
  </si>
  <si>
    <t>JDH4-02-007-CN-1330</t>
  </si>
  <si>
    <t>JDH4-02-007-CN-1350</t>
  </si>
  <si>
    <t>JDH4-02-007-CN-1360</t>
  </si>
  <si>
    <t>JDH4-02-007-CN-1370</t>
  </si>
  <si>
    <t>Diesel Generator</t>
  </si>
  <si>
    <t>JDH4-02-007-CN-1380</t>
  </si>
  <si>
    <t>JDH4-02-007-CN-1390</t>
  </si>
  <si>
    <t>JDH4-02-007-CN-1410</t>
  </si>
  <si>
    <t>JDH4-02-007-CN-1420</t>
  </si>
  <si>
    <t>JDH4-02-007-CN-1440</t>
  </si>
  <si>
    <t>Lighting</t>
  </si>
  <si>
    <t>JDH4-02-007-CN-1450</t>
  </si>
  <si>
    <t>Grounding and Bonding for Electrical Systems</t>
  </si>
  <si>
    <t>JDH4-02-007-CN-1460</t>
  </si>
  <si>
    <t>JDH4-02-007-CN-1470</t>
  </si>
  <si>
    <t>JDH4-02-007-CN-1490</t>
  </si>
  <si>
    <t>JDH4-02-007-CN-1500</t>
  </si>
  <si>
    <t>JDH4-02-007-CN-1510</t>
  </si>
  <si>
    <t>JDH4-02-007-CN-1520</t>
  </si>
  <si>
    <t>JDH4-02-007-CN-1530</t>
  </si>
  <si>
    <t>Duct Bank and Handhole For Telecom Network</t>
  </si>
  <si>
    <t>JDH4-02-007-CN-1540</t>
  </si>
  <si>
    <t>JDH4-02-007-CN-1550</t>
  </si>
  <si>
    <t>JDH4-02-007-CN-1570</t>
  </si>
  <si>
    <t>JDH4-02-007-CN-1580</t>
  </si>
  <si>
    <t>JDH4-02-007-CN-1600</t>
  </si>
  <si>
    <t>Fence Work</t>
  </si>
  <si>
    <t>JDH4-02-007-CN-5890</t>
  </si>
  <si>
    <t>JDH4-02-007-CN-5900</t>
  </si>
  <si>
    <t>Testing &amp; Commissioning</t>
  </si>
  <si>
    <t>JDH4-02-007-TC-1020</t>
  </si>
  <si>
    <t>JDH4-02-007-TC-1030</t>
  </si>
  <si>
    <t>JDH4-02-007-TC-1000</t>
  </si>
  <si>
    <t>JDH4-02-007-TC-1010</t>
  </si>
  <si>
    <t>JDH4-02-007-TC-1040</t>
  </si>
  <si>
    <t>JDH4-02-007-TC-1050</t>
  </si>
  <si>
    <t>JDH4-02-007-TC-1060</t>
  </si>
  <si>
    <t>Project Hand Over &amp; Close-out</t>
  </si>
  <si>
    <t>As-Built DWGs</t>
  </si>
  <si>
    <t>As-Built DWGs Submittal</t>
  </si>
  <si>
    <t>JDH4-02-007-AB-1020</t>
  </si>
  <si>
    <t>JDH4-02-007-AB-1030</t>
  </si>
  <si>
    <t>JDH4-02-007-AB-1000</t>
  </si>
  <si>
    <t>JDH4-02-007-AB-1010</t>
  </si>
  <si>
    <t>JDH4-02-007-AB-1040</t>
  </si>
  <si>
    <t>JDH4-02-007-AB-1050</t>
  </si>
  <si>
    <t>JDH4-02-007-AB-1060</t>
  </si>
  <si>
    <t>As-Built DWGs Approval</t>
  </si>
  <si>
    <t>JDH4-02-007-AB-1090</t>
  </si>
  <si>
    <t>JDH4-02-007-AB-1100</t>
  </si>
  <si>
    <t>JDH4-02-007-AB-1070</t>
  </si>
  <si>
    <t>JDH4-02-007-AB-1080</t>
  </si>
  <si>
    <t>JDH4-02-007-AB-1110</t>
  </si>
  <si>
    <t>JDH4-02-007-AB-1120</t>
  </si>
  <si>
    <t>JDH4-02-007-AB-1130</t>
  </si>
  <si>
    <t>Demobilization</t>
  </si>
  <si>
    <t>JDH4-02-007-DM-1000</t>
  </si>
  <si>
    <t>JDH4-02-007-DM-1010</t>
  </si>
  <si>
    <t>JDH4-02-007-DM-1020</t>
  </si>
  <si>
    <t>JDH4-02-007-DM-1030</t>
  </si>
  <si>
    <t>JDH4-02-007-DM-1040</t>
  </si>
  <si>
    <t xml:space="preserve">      Material Submittal &amp; Approval</t>
  </si>
  <si>
    <t>Material Approval for Fuel System(Completed)</t>
  </si>
  <si>
    <t xml:space="preserve">            JDH4-02-007-MA-1790R</t>
  </si>
  <si>
    <t>Material Delivery for Steel Reinforcement  - Stage 1(Completed)</t>
  </si>
  <si>
    <t xml:space="preserve">          JDH4-02-007-PR-1319R</t>
  </si>
  <si>
    <t>Material Delivery for Catch Basins(Completed)</t>
  </si>
  <si>
    <t xml:space="preserve">          JDH4-02-007-PR-1740R</t>
  </si>
  <si>
    <t xml:space="preserve">          JDH4-02-007-PR-1729R</t>
  </si>
  <si>
    <t>Material Delivery for GRP Pipes(Completed)</t>
  </si>
  <si>
    <t xml:space="preserve">          JDH4-02-007-PR-1670R</t>
  </si>
  <si>
    <t xml:space="preserve">          JDH4-02-007-PR-1680R</t>
  </si>
  <si>
    <t>Material Delivery for Inlet Manholes(Completed)</t>
  </si>
  <si>
    <t xml:space="preserve">          JDH4-02-007-PR-1700R</t>
  </si>
  <si>
    <t xml:space="preserve">          JDH4-02-007-PR-1710R</t>
  </si>
  <si>
    <t xml:space="preserve">          JDH4-02-007-PR-1610R</t>
  </si>
  <si>
    <t xml:space="preserve">          JDH4-02-007-PR-1620R</t>
  </si>
  <si>
    <t>Material Delivery for Manholes(Completed)</t>
  </si>
  <si>
    <t xml:space="preserve">          JDH4-02-007-PR-1650R</t>
  </si>
  <si>
    <t>Material Delivery for HDPE Pipe (PN 16)(Completed)</t>
  </si>
  <si>
    <t xml:space="preserve">          JDH4-02-007-PR-1580R</t>
  </si>
  <si>
    <t xml:space="preserve">          JDH4-02-007-PR-1590R</t>
  </si>
  <si>
    <t xml:space="preserve">          JDH4-02-007-PR-1550R</t>
  </si>
  <si>
    <t xml:space="preserve">          JDH4-02-007-PR-1560R</t>
  </si>
  <si>
    <t>Material Delivery for Pipe for Duct(Completed)</t>
  </si>
  <si>
    <t xml:space="preserve">          JDH4-02-007-PR-2270R</t>
  </si>
  <si>
    <t xml:space="preserve">          JDH4-02-007-PR-2280R</t>
  </si>
  <si>
    <t>PO forFabrication for Fuel System</t>
  </si>
  <si>
    <t>Demolishing of existing Lighting Pole [Demolition Works ](Completed)</t>
  </si>
  <si>
    <t>Relocating of existing Lighting Pole [Road 02 ](Completed)</t>
  </si>
  <si>
    <t xml:space="preserve">        JDH4-02-007-CN-3020R</t>
  </si>
  <si>
    <t xml:space="preserve">        JDH4-02-007-CN-1250R</t>
  </si>
  <si>
    <t>Plots backfilling Stage 2 [Plots ](Completed)</t>
  </si>
  <si>
    <t>Plots backfilling Stage 3 [Plots ](Completed)</t>
  </si>
  <si>
    <t xml:space="preserve">        JDH4-02-007-CN-1830R</t>
  </si>
  <si>
    <t xml:space="preserve">        JDH4-02-007-CN-1840R</t>
  </si>
  <si>
    <t>Steel Reinforcement for box culverts  [Road 04-R ](Completed)</t>
  </si>
  <si>
    <t xml:space="preserve">          JDH4-02-007-CN-5610R</t>
  </si>
  <si>
    <t>Road backfilling [Road 04-R ](Completed)</t>
  </si>
  <si>
    <t>Road excavation [Road 04-R ](Completed)</t>
  </si>
  <si>
    <t xml:space="preserve">            JDH4-02-007-CN-1810R</t>
  </si>
  <si>
    <t xml:space="preserve">            JDH4-02-007-CN-1750R</t>
  </si>
  <si>
    <t>Excavation and Compaction (FDT) [Road 04-R ](Completed)</t>
  </si>
  <si>
    <t>Sand Bedding  [Road 04-R ](Completed)</t>
  </si>
  <si>
    <t>Installation of GRP Pipe  [Road 04-R ](Completed)</t>
  </si>
  <si>
    <t xml:space="preserve">            JDH4-02-007-CN-5370R</t>
  </si>
  <si>
    <t xml:space="preserve">            JDH4-02-007-CN-5420R</t>
  </si>
  <si>
    <t xml:space="preserve">            JDH4-02-007-CN-5470R</t>
  </si>
  <si>
    <t>Excavation &amp; Compaction (FDT) [Road 04-R ](Completed)</t>
  </si>
  <si>
    <t xml:space="preserve">            JDH4-02-007-CN-4820R</t>
  </si>
  <si>
    <t>Road excavation [Road 08 ](Completed)</t>
  </si>
  <si>
    <t>Road backfilling [Road 08 ](Completed)</t>
  </si>
  <si>
    <t xml:space="preserve">            JDH4-02-007-CN-1770R</t>
  </si>
  <si>
    <t xml:space="preserve">            JDH4-02-007-CN-1710R</t>
  </si>
  <si>
    <t>Excavation and Compaction (FDT) [Road 08 ](Completed)</t>
  </si>
  <si>
    <t>Sand Bedding  [Road 08 ](Completed)</t>
  </si>
  <si>
    <t>Installation of GRP Pipe  [Road 08 ](Completed)</t>
  </si>
  <si>
    <t>Sand Cover &amp; Warning Tape [Road 08 ](Completed)</t>
  </si>
  <si>
    <t>Backfilling &amp; Compaction [Road 08 ](Completed)</t>
  </si>
  <si>
    <t xml:space="preserve">            JDH4-02-007-CN-5330R</t>
  </si>
  <si>
    <t xml:space="preserve">            JDH4-02-007-CN-5380R</t>
  </si>
  <si>
    <t xml:space="preserve">            JDH4-02-007-CN-5430R</t>
  </si>
  <si>
    <t xml:space="preserve">            JDH4-02-007-CN-5530R</t>
  </si>
  <si>
    <t xml:space="preserve">            JDH4-02-007-CN-5480R</t>
  </si>
  <si>
    <t xml:space="preserve">          LV Cables</t>
  </si>
  <si>
    <t>Road excavation [Road 07-N ](Completed)</t>
  </si>
  <si>
    <t>Road backfilling [Road 07-N ](Completed)</t>
  </si>
  <si>
    <t xml:space="preserve">            JDH4-02-007-CN-1730R</t>
  </si>
  <si>
    <t xml:space="preserve">            JDH4-02-007-CN-1790R</t>
  </si>
  <si>
    <t>Excavation and Compaction (FDT) [Road 01 ](Completed)</t>
  </si>
  <si>
    <t>Installation of HDPE Pipe  [Road 01 ](Completed)</t>
  </si>
  <si>
    <t>Sand Bedding  [Road 01 ](Completed)</t>
  </si>
  <si>
    <t>Sand Cover &amp; Warning  [Road 01 ](Completed)</t>
  </si>
  <si>
    <t xml:space="preserve">            JDH4-02-007-CN-4010R</t>
  </si>
  <si>
    <t xml:space="preserve">            JDH4-02-007-CN-4080R</t>
  </si>
  <si>
    <t xml:space="preserve">            JDH4-02-007-CN-4150R</t>
  </si>
  <si>
    <t xml:space="preserve">            JDH4-02-007-CN-4290R</t>
  </si>
  <si>
    <t>Channel excavation [Road 01 ](Completed)</t>
  </si>
  <si>
    <t>Backfill of the existing channel [Road 01 ](Completed)</t>
  </si>
  <si>
    <t xml:space="preserve">          JDH4-02-007-CN-5850R</t>
  </si>
  <si>
    <t xml:space="preserve">          JDH4-02-007-CN-5860R</t>
  </si>
  <si>
    <t>Excavation and Compaction (FDT) [Road 02 ](Completed)</t>
  </si>
  <si>
    <t>Sand Bedding  [Road 02 ](Completed)</t>
  </si>
  <si>
    <t>Installation of HDPE Pipe  [Road 02 ](Completed)</t>
  </si>
  <si>
    <t>Sand Cover &amp; Warning  [Road 02 ](Completed)</t>
  </si>
  <si>
    <t xml:space="preserve">            JDH4-02-007-CN-3990R</t>
  </si>
  <si>
    <t xml:space="preserve">            JDH4-02-007-CN-4060R</t>
  </si>
  <si>
    <t xml:space="preserve">            JDH4-02-007-CN-4130R</t>
  </si>
  <si>
    <t xml:space="preserve">            JDH4-02-007-CN-4270R</t>
  </si>
  <si>
    <t xml:space="preserve">    MV Cable Works</t>
  </si>
  <si>
    <t xml:space="preserve">      Medium Voltage Cable Road 8</t>
  </si>
  <si>
    <t xml:space="preserve">        JDH4-02-007-CN-2420</t>
  </si>
  <si>
    <t xml:space="preserve">        JDH4-02-007-CN-2480</t>
  </si>
  <si>
    <t xml:space="preserve">        JDH4-02-007-CN-2540</t>
  </si>
  <si>
    <t xml:space="preserve">      Medium Voltage Cable Road 7</t>
  </si>
  <si>
    <t xml:space="preserve">        JDH4-02-007-CN-2440</t>
  </si>
  <si>
    <t xml:space="preserve">        JDH4-02-007-CN-2500</t>
  </si>
  <si>
    <t xml:space="preserve">        JDH4-02-007-CN-2560</t>
  </si>
  <si>
    <t xml:space="preserve">      Medium Voltage Cable Road 1</t>
  </si>
  <si>
    <t xml:space="preserve">        JDH4-02-007-CN-2430</t>
  </si>
  <si>
    <t xml:space="preserve">        JDH4-02-007-CN-2490</t>
  </si>
  <si>
    <t xml:space="preserve">        JDH4-02-007-CN-2550</t>
  </si>
  <si>
    <t xml:space="preserve">      Medium Voltage Cable Road 10</t>
  </si>
  <si>
    <t xml:space="preserve">        JDH4-02-007-CN-2460</t>
  </si>
  <si>
    <t xml:space="preserve">        JDH4-02-007-CN-2520</t>
  </si>
  <si>
    <t xml:space="preserve">        JDH4-02-007-CN-2580</t>
  </si>
  <si>
    <t xml:space="preserve">      Medium Voltage Cable Out of Zone</t>
  </si>
  <si>
    <t xml:space="preserve">        JDH4-02-007-CN-2470</t>
  </si>
  <si>
    <t xml:space="preserve">        JDH4-02-007-CN-2530</t>
  </si>
  <si>
    <t xml:space="preserve">        JDH4-02-007-CN-2590</t>
  </si>
  <si>
    <t xml:space="preserve">    Plot Backfilling 2</t>
  </si>
  <si>
    <t xml:space="preserve">      JDH4-02-007-CN-1860</t>
  </si>
  <si>
    <t xml:space="preserve">      JDH4-02-007-CN-1870</t>
  </si>
  <si>
    <t xml:space="preserve">      JDH4-02-007-CN-1880</t>
  </si>
  <si>
    <t xml:space="preserve">    Additional Works</t>
  </si>
  <si>
    <t xml:space="preserve">      JDH4-02-007-CN-1740</t>
  </si>
  <si>
    <t>Earth Work</t>
  </si>
  <si>
    <t xml:space="preserve">      JDH4-02-007-CN-5940</t>
  </si>
  <si>
    <t>Utilities Work</t>
  </si>
  <si>
    <t xml:space="preserve">      JDH4-02-007-CN-5950</t>
  </si>
  <si>
    <t xml:space="preserve">      JDH4-02-007-CN-5960</t>
  </si>
  <si>
    <t>Road Work</t>
  </si>
  <si>
    <t>JDH4-02-007-R-UP-Land Development of Jeddah Oasis- 13 Oct 2026</t>
  </si>
  <si>
    <t>JDH4-02-007-R-UP-Land Development of Jeddah Oasis- 20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</si>
</sst>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999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auto="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3">
    <xf numFmtId="0" fontId="0" fillId="0" borderId="0" xfId="0"/>
    <xf numFmtId="4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4" fontId="3" fillId="2" borderId="4" xfId="0" applyNumberFormat="1" applyFont="1" applyFill="1" applyBorder="1" applyAlignment="1">
      <alignment horizontal="center" vertical="center"/>
    </xf>
    <xf numFmtId="10" fontId="3" fillId="2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9" fontId="2" fillId="4" borderId="4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9" fontId="1" fillId="5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5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9" fontId="1" fillId="6" borderId="6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4" fontId="2" fillId="4" borderId="4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9" fontId="1" fillId="6" borderId="4" xfId="0" applyNumberFormat="1" applyFont="1" applyFill="1" applyBorder="1" applyAlignment="1">
      <alignment horizontal="center" vertical="center"/>
    </xf>
    <xf numFmtId="0" fontId="2" fillId="7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9" fontId="2" fillId="7" borderId="6" xfId="0" applyNumberFormat="1" applyFont="1" applyFill="1" applyBorder="1" applyAlignment="1">
      <alignment horizontal="center" vertical="center"/>
    </xf>
    <xf numFmtId="4" fontId="1" fillId="5" borderId="4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horizontal="center" vertical="center"/>
    </xf>
    <xf numFmtId="9" fontId="2" fillId="7" borderId="4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horizontal="center" vertical="center"/>
    </xf>
    <xf numFmtId="9" fontId="2" fillId="8" borderId="6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horizontal="center" vertical="center"/>
    </xf>
    <xf numFmtId="9" fontId="2" fillId="8" borderId="4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6" xfId="0" applyFont="1" applyFill="1" applyBorder="1" applyAlignment="1">
      <alignment horizontal="center" vertical="center"/>
    </xf>
    <xf numFmtId="9" fontId="2" fillId="9" borderId="6" xfId="0" applyNumberFormat="1" applyFont="1" applyFill="1" applyBorder="1" applyAlignment="1">
      <alignment horizontal="center" vertical="center"/>
    </xf>
    <xf numFmtId="4" fontId="1" fillId="6" borderId="4" xfId="0" applyNumberFormat="1" applyFont="1" applyFill="1" applyBorder="1" applyAlignment="1">
      <alignment horizontal="center" vertical="center"/>
    </xf>
    <xf numFmtId="10" fontId="1" fillId="6" borderId="4" xfId="0" applyNumberFormat="1" applyFont="1" applyFill="1" applyBorder="1" applyAlignment="1">
      <alignment horizontal="center" vertical="center"/>
    </xf>
    <xf numFmtId="4" fontId="2" fillId="7" borderId="4" xfId="0" applyNumberFormat="1" applyFont="1" applyFill="1" applyBorder="1" applyAlignment="1">
      <alignment horizontal="center" vertical="center"/>
    </xf>
    <xf numFmtId="10" fontId="2" fillId="7" borderId="4" xfId="0" applyNumberFormat="1" applyFont="1" applyFill="1" applyBorder="1" applyAlignment="1">
      <alignment horizontal="center" vertical="center"/>
    </xf>
    <xf numFmtId="4" fontId="2" fillId="8" borderId="6" xfId="0" applyNumberFormat="1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4" fontId="2" fillId="8" borderId="4" xfId="0" applyNumberFormat="1" applyFont="1" applyFill="1" applyBorder="1" applyAlignment="1">
      <alignment horizontal="center" vertical="center"/>
    </xf>
    <xf numFmtId="10" fontId="2" fillId="8" borderId="4" xfId="0" applyNumberFormat="1" applyFont="1" applyFill="1" applyBorder="1" applyAlignment="1">
      <alignment horizontal="center" vertical="center"/>
    </xf>
    <xf numFmtId="4" fontId="2" fillId="9" borderId="6" xfId="0" applyNumberFormat="1" applyFont="1" applyFill="1" applyBorder="1" applyAlignment="1">
      <alignment horizontal="center" vertical="center"/>
    </xf>
    <xf numFmtId="4" fontId="2" fillId="7" borderId="6" xfId="0" applyNumberFormat="1" applyFont="1" applyFill="1" applyBorder="1" applyAlignment="1">
      <alignment horizontal="center" vertical="center"/>
    </xf>
    <xf numFmtId="10" fontId="2" fillId="9" borderId="6" xfId="0" applyNumberFormat="1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4" fontId="0" fillId="0" borderId="14" xfId="0" applyNumberFormat="1" applyBorder="1" applyAlignment="1">
      <alignment horizontal="center" vertical="center"/>
    </xf>
    <xf numFmtId="10" fontId="2" fillId="7" borderId="6" xfId="0" applyNumberFormat="1" applyFont="1" applyFill="1" applyBorder="1" applyAlignment="1">
      <alignment horizontal="center" vertical="center"/>
    </xf>
    <xf numFmtId="10" fontId="2" fillId="8" borderId="6" xfId="0" applyNumberFormat="1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10" fontId="2" fillId="3" borderId="2" xfId="2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0" fontId="3" fillId="2" borderId="4" xfId="2" applyNumberFormat="1" applyFont="1" applyFill="1" applyBorder="1" applyAlignment="1">
      <alignment horizontal="center" vertical="center"/>
    </xf>
    <xf numFmtId="10" fontId="2" fillId="4" borderId="4" xfId="2" applyNumberFormat="1" applyFont="1" applyFill="1" applyBorder="1" applyAlignment="1">
      <alignment horizontal="center" vertical="center"/>
    </xf>
    <xf numFmtId="10" fontId="1" fillId="5" borderId="6" xfId="2" applyNumberFormat="1" applyFont="1" applyFill="1" applyBorder="1" applyAlignment="1">
      <alignment horizontal="center" vertical="center"/>
    </xf>
    <xf numFmtId="10" fontId="0" fillId="0" borderId="8" xfId="2" applyNumberFormat="1" applyFont="1" applyBorder="1" applyAlignment="1">
      <alignment horizontal="center" vertical="center"/>
    </xf>
    <xf numFmtId="10" fontId="1" fillId="5" borderId="4" xfId="2" applyNumberFormat="1" applyFont="1" applyFill="1" applyBorder="1" applyAlignment="1">
      <alignment horizontal="center" vertical="center"/>
    </xf>
    <xf numFmtId="10" fontId="1" fillId="6" borderId="6" xfId="2" applyNumberFormat="1" applyFont="1" applyFill="1" applyBorder="1" applyAlignment="1">
      <alignment horizontal="center" vertical="center"/>
    </xf>
    <xf numFmtId="10" fontId="1" fillId="6" borderId="4" xfId="2" applyNumberFormat="1" applyFont="1" applyFill="1" applyBorder="1" applyAlignment="1">
      <alignment horizontal="center" vertical="center"/>
    </xf>
    <xf numFmtId="10" fontId="2" fillId="7" borderId="6" xfId="2" applyNumberFormat="1" applyFont="1" applyFill="1" applyBorder="1" applyAlignment="1">
      <alignment horizontal="center" vertical="center"/>
    </xf>
    <xf numFmtId="10" fontId="2" fillId="7" borderId="4" xfId="2" applyNumberFormat="1" applyFont="1" applyFill="1" applyBorder="1" applyAlignment="1">
      <alignment horizontal="center" vertical="center"/>
    </xf>
    <xf numFmtId="10" fontId="2" fillId="8" borderId="6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2" fillId="8" borderId="4" xfId="2" applyNumberFormat="1" applyFont="1" applyFill="1" applyBorder="1" applyAlignment="1">
      <alignment horizontal="center" vertical="center"/>
    </xf>
    <xf numFmtId="10" fontId="2" fillId="9" borderId="6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3" fontId="2" fillId="4" borderId="4" xfId="1" applyFont="1" applyFill="1" applyBorder="1" applyAlignment="1">
      <alignment vertical="center"/>
    </xf>
    <xf numFmtId="43" fontId="1" fillId="5" borderId="6" xfId="1" applyFont="1" applyFill="1" applyBorder="1" applyAlignment="1">
      <alignment vertical="center"/>
    </xf>
    <xf numFmtId="43" fontId="0" fillId="0" borderId="8" xfId="1" applyFont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1" fillId="6" borderId="6" xfId="1" applyFont="1" applyFill="1" applyBorder="1" applyAlignment="1">
      <alignment vertical="center"/>
    </xf>
    <xf numFmtId="43" fontId="0" fillId="0" borderId="12" xfId="1" applyFont="1" applyBorder="1" applyAlignment="1">
      <alignment vertical="center"/>
    </xf>
    <xf numFmtId="43" fontId="0" fillId="0" borderId="14" xfId="1" applyFont="1" applyBorder="1" applyAlignment="1">
      <alignment vertical="center"/>
    </xf>
    <xf numFmtId="43" fontId="2" fillId="7" borderId="6" xfId="1" applyFont="1" applyFill="1" applyBorder="1" applyAlignment="1">
      <alignment vertical="center"/>
    </xf>
    <xf numFmtId="43" fontId="2" fillId="8" borderId="6" xfId="1" applyFont="1" applyFill="1" applyBorder="1" applyAlignment="1">
      <alignment vertical="center"/>
    </xf>
    <xf numFmtId="43" fontId="2" fillId="8" borderId="4" xfId="1" applyFont="1" applyFill="1" applyBorder="1" applyAlignment="1">
      <alignment vertical="center"/>
    </xf>
    <xf numFmtId="43" fontId="2" fillId="9" borderId="6" xfId="1" applyFont="1" applyFill="1" applyBorder="1" applyAlignment="1">
      <alignment vertical="center"/>
    </xf>
    <xf numFmtId="43" fontId="3" fillId="2" borderId="4" xfId="1" applyFont="1" applyFill="1" applyBorder="1" applyAlignment="1">
      <alignment vertical="center"/>
    </xf>
    <xf numFmtId="0" fontId="0" fillId="2" borderId="0" xfId="0" applyFill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49076F65-ECE1-4B38-86B8-E7874D2BB6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1BC0-CA3E-47F1-8A51-7DA9252670D8}">
  <dimension ref="A1:L1765"/>
  <sheetViews>
    <sheetView tabSelected="1" zoomScale="70" zoomScaleNormal="70" workbookViewId="0">
      <pane ySplit="1" topLeftCell="A2" activePane="bottomLeft" state="frozen"/>
      <selection pane="bottomLeft" activeCell="L27" sqref="L27"/>
    </sheetView>
  </sheetViews>
  <sheetFormatPr defaultColWidth="18.7109375" defaultRowHeight="15" x14ac:dyDescent="0.25"/>
  <cols>
    <col min="5" max="5" width="18.7109375" style="95"/>
    <col min="7" max="7" width="18.7109375" style="98"/>
    <col min="8" max="8" width="21.5703125" bestFit="1" customWidth="1"/>
  </cols>
  <sheetData>
    <row r="1" spans="1:12" ht="48" customHeight="1" x14ac:dyDescent="0.25">
      <c r="A1" s="4" t="s">
        <v>235</v>
      </c>
      <c r="B1" s="4" t="s">
        <v>0</v>
      </c>
      <c r="C1" s="5" t="s">
        <v>1</v>
      </c>
      <c r="D1" s="6" t="s">
        <v>2</v>
      </c>
      <c r="E1" s="83" t="s">
        <v>230</v>
      </c>
      <c r="F1" s="82" t="s">
        <v>234</v>
      </c>
      <c r="G1" s="84" t="s">
        <v>231</v>
      </c>
      <c r="H1" s="84" t="s">
        <v>232</v>
      </c>
      <c r="I1" s="5" t="s">
        <v>233</v>
      </c>
    </row>
    <row r="2" spans="1:12" x14ac:dyDescent="0.25">
      <c r="A2" s="7" t="s">
        <v>5</v>
      </c>
      <c r="B2" s="7" t="s">
        <v>239</v>
      </c>
      <c r="C2" s="8"/>
      <c r="D2" s="9">
        <v>57304347.859999999</v>
      </c>
      <c r="E2" s="85">
        <f>+'Previous week'!F2</f>
        <v>0.93310000000000004</v>
      </c>
      <c r="F2" s="10">
        <f>G2-E2</f>
        <v>1.859999999999995E-2</v>
      </c>
      <c r="G2" s="85">
        <f>+'Current week'!F2</f>
        <v>0.95169999999999999</v>
      </c>
      <c r="H2" s="110">
        <f>+'Current week'!G2</f>
        <v>54534354.68</v>
      </c>
      <c r="I2" s="110">
        <f>+F2*D2</f>
        <v>1065860.8701959972</v>
      </c>
      <c r="K2" s="2"/>
      <c r="L2" s="112"/>
    </row>
    <row r="3" spans="1:12" x14ac:dyDescent="0.25">
      <c r="A3" s="11" t="s">
        <v>2596</v>
      </c>
      <c r="B3" s="11" t="s">
        <v>240</v>
      </c>
      <c r="C3" s="12"/>
      <c r="D3" s="13">
        <v>0</v>
      </c>
      <c r="E3" s="86"/>
      <c r="F3" s="14">
        <f t="shared" ref="F3:F66" si="0">G3-E3</f>
        <v>0</v>
      </c>
      <c r="G3" s="86"/>
      <c r="H3" s="99"/>
      <c r="I3" s="99"/>
      <c r="L3" s="112"/>
    </row>
    <row r="4" spans="1:12" x14ac:dyDescent="0.25">
      <c r="A4" s="15" t="s">
        <v>2597</v>
      </c>
      <c r="B4" s="15" t="s">
        <v>241</v>
      </c>
      <c r="C4" s="16"/>
      <c r="D4" s="17">
        <v>0</v>
      </c>
      <c r="E4" s="87"/>
      <c r="F4" s="18">
        <f t="shared" si="0"/>
        <v>0</v>
      </c>
      <c r="G4" s="87"/>
      <c r="H4" s="100"/>
      <c r="I4" s="100"/>
      <c r="K4" s="95"/>
      <c r="L4" s="95"/>
    </row>
    <row r="5" spans="1:12" x14ac:dyDescent="0.25">
      <c r="A5" s="19" t="s">
        <v>2598</v>
      </c>
      <c r="B5" s="19" t="s">
        <v>242</v>
      </c>
      <c r="C5" s="20" t="s">
        <v>243</v>
      </c>
      <c r="D5" s="21">
        <v>0</v>
      </c>
      <c r="E5" s="88">
        <f>VLOOKUP(A5,'Previous week'!$A$3:$F$1765,6,FALSE)</f>
        <v>1</v>
      </c>
      <c r="F5" s="22">
        <f t="shared" si="0"/>
        <v>0</v>
      </c>
      <c r="G5" s="88">
        <f>VLOOKUP(A5,'Current week'!$A$3:$F$1765,6,0)</f>
        <v>1</v>
      </c>
      <c r="H5" s="101">
        <f t="shared" ref="H5:H65" si="1">G5*D5</f>
        <v>0</v>
      </c>
      <c r="I5" s="101">
        <f t="shared" ref="I5:I65" si="2">F5*D5</f>
        <v>0</v>
      </c>
      <c r="L5" s="112"/>
    </row>
    <row r="6" spans="1:12" x14ac:dyDescent="0.25">
      <c r="A6" s="23" t="s">
        <v>2599</v>
      </c>
      <c r="B6" s="23" t="s">
        <v>244</v>
      </c>
      <c r="C6" s="24" t="s">
        <v>245</v>
      </c>
      <c r="D6" s="25">
        <v>0</v>
      </c>
      <c r="E6" s="88">
        <f>VLOOKUP(A6,'Previous week'!$A$3:$F$1765,6,FALSE)</f>
        <v>0</v>
      </c>
      <c r="F6" s="22">
        <f t="shared" si="0"/>
        <v>0</v>
      </c>
      <c r="G6" s="88">
        <f>VLOOKUP(A6,'Current week'!$A$3:$F$1765,6,0)</f>
        <v>0</v>
      </c>
      <c r="H6" s="102">
        <f t="shared" si="1"/>
        <v>0</v>
      </c>
      <c r="I6" s="102">
        <f t="shared" si="2"/>
        <v>0</v>
      </c>
      <c r="L6" s="112"/>
    </row>
    <row r="7" spans="1:12" x14ac:dyDescent="0.25">
      <c r="A7" s="26" t="s">
        <v>2600</v>
      </c>
      <c r="B7" s="26" t="s">
        <v>6</v>
      </c>
      <c r="C7" s="27"/>
      <c r="D7" s="28">
        <v>0</v>
      </c>
      <c r="E7" s="89"/>
      <c r="F7" s="18">
        <f t="shared" si="0"/>
        <v>0</v>
      </c>
      <c r="G7" s="89"/>
      <c r="H7" s="100"/>
      <c r="I7" s="100"/>
      <c r="L7" s="112"/>
    </row>
    <row r="8" spans="1:12" x14ac:dyDescent="0.25">
      <c r="A8" s="29" t="s">
        <v>2601</v>
      </c>
      <c r="B8" s="29" t="s">
        <v>246</v>
      </c>
      <c r="C8" s="30"/>
      <c r="D8" s="31">
        <v>0</v>
      </c>
      <c r="E8" s="90"/>
      <c r="F8" s="32">
        <f t="shared" si="0"/>
        <v>0</v>
      </c>
      <c r="G8" s="90"/>
      <c r="H8" s="103"/>
      <c r="I8" s="103"/>
      <c r="L8" s="112"/>
    </row>
    <row r="9" spans="1:12" x14ac:dyDescent="0.25">
      <c r="A9" s="19" t="s">
        <v>2602</v>
      </c>
      <c r="B9" s="19" t="s">
        <v>247</v>
      </c>
      <c r="C9" s="20" t="s">
        <v>248</v>
      </c>
      <c r="D9" s="21">
        <v>0</v>
      </c>
      <c r="E9" s="88">
        <f>VLOOKUP(A9,'Previous week'!$A$3:$F$1765,6,FALSE)</f>
        <v>1</v>
      </c>
      <c r="F9" s="22">
        <f t="shared" si="0"/>
        <v>0</v>
      </c>
      <c r="G9" s="88">
        <f>VLOOKUP(A9,'Current week'!$A$3:$F$1765,6,0)</f>
        <v>1</v>
      </c>
      <c r="H9" s="101">
        <f t="shared" si="1"/>
        <v>0</v>
      </c>
      <c r="I9" s="101">
        <f t="shared" si="2"/>
        <v>0</v>
      </c>
      <c r="L9" s="112"/>
    </row>
    <row r="10" spans="1:12" x14ac:dyDescent="0.25">
      <c r="A10" s="23" t="s">
        <v>2603</v>
      </c>
      <c r="B10" s="23" t="s">
        <v>249</v>
      </c>
      <c r="C10" s="24" t="s">
        <v>250</v>
      </c>
      <c r="D10" s="25">
        <v>0</v>
      </c>
      <c r="E10" s="88">
        <f>VLOOKUP(A10,'Previous week'!$A$3:$F$1765,6,FALSE)</f>
        <v>1</v>
      </c>
      <c r="F10" s="22">
        <f t="shared" si="0"/>
        <v>0</v>
      </c>
      <c r="G10" s="88">
        <f>VLOOKUP(A10,'Current week'!$A$3:$F$1765,6,0)</f>
        <v>1</v>
      </c>
      <c r="H10" s="102">
        <f t="shared" si="1"/>
        <v>0</v>
      </c>
      <c r="I10" s="102">
        <f t="shared" si="2"/>
        <v>0</v>
      </c>
      <c r="L10" s="112"/>
    </row>
    <row r="11" spans="1:12" x14ac:dyDescent="0.25">
      <c r="A11" s="29" t="s">
        <v>2604</v>
      </c>
      <c r="B11" s="29" t="s">
        <v>251</v>
      </c>
      <c r="C11" s="30" t="s">
        <v>252</v>
      </c>
      <c r="D11" s="31">
        <v>0</v>
      </c>
      <c r="E11" s="90"/>
      <c r="F11" s="32">
        <f t="shared" si="0"/>
        <v>0</v>
      </c>
      <c r="G11" s="90"/>
      <c r="H11" s="103"/>
      <c r="I11" s="103"/>
      <c r="L11" s="112"/>
    </row>
    <row r="12" spans="1:12" x14ac:dyDescent="0.25">
      <c r="A12" s="19" t="s">
        <v>2605</v>
      </c>
      <c r="B12" s="19" t="s">
        <v>7</v>
      </c>
      <c r="C12" s="20"/>
      <c r="D12" s="21">
        <v>0</v>
      </c>
      <c r="E12" s="88">
        <f>VLOOKUP(A12,'Previous week'!$A$3:$F$1765,6,FALSE)</f>
        <v>0</v>
      </c>
      <c r="F12" s="22">
        <f t="shared" si="0"/>
        <v>0</v>
      </c>
      <c r="G12" s="88">
        <f>VLOOKUP(A12,'Current week'!$A$3:$F$1765,6,0)</f>
        <v>0</v>
      </c>
      <c r="H12" s="101">
        <f t="shared" si="1"/>
        <v>0</v>
      </c>
      <c r="I12" s="101">
        <f t="shared" si="2"/>
        <v>0</v>
      </c>
      <c r="L12" s="112"/>
    </row>
    <row r="13" spans="1:12" x14ac:dyDescent="0.25">
      <c r="A13" s="23" t="s">
        <v>2606</v>
      </c>
      <c r="B13" s="23" t="s">
        <v>253</v>
      </c>
      <c r="C13" s="24" t="s">
        <v>254</v>
      </c>
      <c r="D13" s="25">
        <v>0</v>
      </c>
      <c r="E13" s="88">
        <f>VLOOKUP(A13,'Previous week'!$A$3:$F$1765,6,FALSE)</f>
        <v>0</v>
      </c>
      <c r="F13" s="22">
        <f t="shared" si="0"/>
        <v>0</v>
      </c>
      <c r="G13" s="88">
        <f>VLOOKUP(A13,'Current week'!$A$3:$F$1765,6,0)</f>
        <v>0</v>
      </c>
      <c r="H13" s="102">
        <f t="shared" si="1"/>
        <v>0</v>
      </c>
      <c r="I13" s="102">
        <f t="shared" si="2"/>
        <v>0</v>
      </c>
      <c r="L13" s="112"/>
    </row>
    <row r="14" spans="1:12" x14ac:dyDescent="0.25">
      <c r="A14" s="29" t="s">
        <v>2607</v>
      </c>
      <c r="B14" s="29" t="s">
        <v>255</v>
      </c>
      <c r="C14" s="30" t="s">
        <v>256</v>
      </c>
      <c r="D14" s="31">
        <v>0</v>
      </c>
      <c r="E14" s="90"/>
      <c r="F14" s="32">
        <f t="shared" si="0"/>
        <v>0</v>
      </c>
      <c r="G14" s="90"/>
      <c r="H14" s="103"/>
      <c r="I14" s="103"/>
      <c r="L14" s="112"/>
    </row>
    <row r="15" spans="1:12" x14ac:dyDescent="0.25">
      <c r="A15" s="19" t="s">
        <v>2608</v>
      </c>
      <c r="B15" s="19" t="s">
        <v>257</v>
      </c>
      <c r="C15" s="20" t="s">
        <v>258</v>
      </c>
      <c r="D15" s="21">
        <v>0</v>
      </c>
      <c r="E15" s="88">
        <f>VLOOKUP(A15,'Previous week'!$A$3:$F$1765,6,FALSE)</f>
        <v>0</v>
      </c>
      <c r="F15" s="22">
        <f t="shared" si="0"/>
        <v>0</v>
      </c>
      <c r="G15" s="88">
        <f>VLOOKUP(A15,'Current week'!$A$3:$F$1765,6,0)</f>
        <v>0</v>
      </c>
      <c r="H15" s="101">
        <f t="shared" si="1"/>
        <v>0</v>
      </c>
      <c r="I15" s="101">
        <f t="shared" si="2"/>
        <v>0</v>
      </c>
      <c r="L15" s="112"/>
    </row>
    <row r="16" spans="1:12" x14ac:dyDescent="0.25">
      <c r="A16" s="23" t="s">
        <v>2609</v>
      </c>
      <c r="B16" s="23" t="s">
        <v>259</v>
      </c>
      <c r="C16" s="24" t="s">
        <v>260</v>
      </c>
      <c r="D16" s="25">
        <v>0</v>
      </c>
      <c r="E16" s="88">
        <f>VLOOKUP(A16,'Previous week'!$A$3:$F$1765,6,FALSE)</f>
        <v>1</v>
      </c>
      <c r="F16" s="22">
        <f t="shared" si="0"/>
        <v>0</v>
      </c>
      <c r="G16" s="88">
        <f>VLOOKUP(A16,'Current week'!$A$3:$F$1765,6,0)</f>
        <v>1</v>
      </c>
      <c r="H16" s="102">
        <f t="shared" si="1"/>
        <v>0</v>
      </c>
      <c r="I16" s="102">
        <f t="shared" si="2"/>
        <v>0</v>
      </c>
      <c r="L16" s="112"/>
    </row>
    <row r="17" spans="1:12" x14ac:dyDescent="0.25">
      <c r="A17" s="29" t="s">
        <v>2610</v>
      </c>
      <c r="B17" s="29" t="s">
        <v>261</v>
      </c>
      <c r="C17" s="30" t="s">
        <v>262</v>
      </c>
      <c r="D17" s="31">
        <v>0</v>
      </c>
      <c r="E17" s="90"/>
      <c r="F17" s="32">
        <f t="shared" si="0"/>
        <v>0</v>
      </c>
      <c r="G17" s="90"/>
      <c r="H17" s="103"/>
      <c r="I17" s="103"/>
      <c r="L17" s="112"/>
    </row>
    <row r="18" spans="1:12" x14ac:dyDescent="0.25">
      <c r="A18" s="19" t="s">
        <v>2611</v>
      </c>
      <c r="B18" s="19" t="s">
        <v>263</v>
      </c>
      <c r="C18" s="20" t="s">
        <v>264</v>
      </c>
      <c r="D18" s="21">
        <v>0</v>
      </c>
      <c r="E18" s="88">
        <f>VLOOKUP(A18,'Previous week'!$A$3:$F$1765,6,FALSE)</f>
        <v>0</v>
      </c>
      <c r="F18" s="22">
        <f t="shared" si="0"/>
        <v>0</v>
      </c>
      <c r="G18" s="88">
        <f>VLOOKUP(A18,'Current week'!$A$3:$F$1765,6,0)</f>
        <v>0</v>
      </c>
      <c r="H18" s="101">
        <f t="shared" si="1"/>
        <v>0</v>
      </c>
      <c r="I18" s="101">
        <f t="shared" si="2"/>
        <v>0</v>
      </c>
      <c r="L18" s="112"/>
    </row>
    <row r="19" spans="1:12" x14ac:dyDescent="0.25">
      <c r="A19" s="33" t="s">
        <v>2612</v>
      </c>
      <c r="B19" s="33" t="s">
        <v>265</v>
      </c>
      <c r="C19" s="34" t="s">
        <v>266</v>
      </c>
      <c r="D19" s="35">
        <v>0</v>
      </c>
      <c r="E19" s="88">
        <f>VLOOKUP(A19,'Previous week'!$A$3:$F$1765,6,FALSE)</f>
        <v>0</v>
      </c>
      <c r="F19" s="22">
        <f t="shared" si="0"/>
        <v>0</v>
      </c>
      <c r="G19" s="88">
        <f>VLOOKUP(A19,'Current week'!$A$3:$F$1765,6,0)</f>
        <v>0</v>
      </c>
      <c r="H19" s="104">
        <f t="shared" si="1"/>
        <v>0</v>
      </c>
      <c r="I19" s="104">
        <f t="shared" si="2"/>
        <v>0</v>
      </c>
      <c r="L19" s="112"/>
    </row>
    <row r="20" spans="1:12" x14ac:dyDescent="0.25">
      <c r="A20" s="33" t="s">
        <v>2613</v>
      </c>
      <c r="B20" s="33" t="s">
        <v>267</v>
      </c>
      <c r="C20" s="34"/>
      <c r="D20" s="35">
        <v>0</v>
      </c>
      <c r="E20" s="88">
        <f>VLOOKUP(A20,'Previous week'!$A$3:$F$1765,6,FALSE)</f>
        <v>0</v>
      </c>
      <c r="F20" s="22">
        <f t="shared" si="0"/>
        <v>0</v>
      </c>
      <c r="G20" s="88">
        <f>VLOOKUP(A20,'Current week'!$A$3:$F$1765,6,0)</f>
        <v>0</v>
      </c>
      <c r="H20" s="104">
        <f t="shared" si="1"/>
        <v>0</v>
      </c>
      <c r="I20" s="104">
        <f t="shared" si="2"/>
        <v>0</v>
      </c>
      <c r="L20" s="112"/>
    </row>
    <row r="21" spans="1:12" x14ac:dyDescent="0.25">
      <c r="A21" s="33" t="s">
        <v>2614</v>
      </c>
      <c r="B21" s="33" t="s">
        <v>268</v>
      </c>
      <c r="C21" s="34" t="s">
        <v>269</v>
      </c>
      <c r="D21" s="35">
        <v>0</v>
      </c>
      <c r="E21" s="88">
        <f>VLOOKUP(A21,'Previous week'!$A$3:$F$1765,6,FALSE)</f>
        <v>1</v>
      </c>
      <c r="F21" s="22">
        <f t="shared" si="0"/>
        <v>0</v>
      </c>
      <c r="G21" s="88">
        <f>VLOOKUP(A21,'Current week'!$A$3:$F$1765,6,0)</f>
        <v>1</v>
      </c>
      <c r="H21" s="104">
        <f t="shared" si="1"/>
        <v>0</v>
      </c>
      <c r="I21" s="104">
        <f t="shared" si="2"/>
        <v>0</v>
      </c>
      <c r="L21" s="112"/>
    </row>
    <row r="22" spans="1:12" x14ac:dyDescent="0.25">
      <c r="A22" s="33" t="s">
        <v>2615</v>
      </c>
      <c r="B22" s="33" t="s">
        <v>270</v>
      </c>
      <c r="C22" s="34" t="s">
        <v>271</v>
      </c>
      <c r="D22" s="35">
        <v>0</v>
      </c>
      <c r="E22" s="88">
        <f>VLOOKUP(A22,'Previous week'!$A$3:$F$1765,6,FALSE)</f>
        <v>1</v>
      </c>
      <c r="F22" s="22">
        <f t="shared" si="0"/>
        <v>0</v>
      </c>
      <c r="G22" s="88">
        <f>VLOOKUP(A22,'Current week'!$A$3:$F$1765,6,0)</f>
        <v>1</v>
      </c>
      <c r="H22" s="104">
        <f t="shared" si="1"/>
        <v>0</v>
      </c>
      <c r="I22" s="104">
        <f t="shared" si="2"/>
        <v>0</v>
      </c>
      <c r="L22" s="112"/>
    </row>
    <row r="23" spans="1:12" x14ac:dyDescent="0.25">
      <c r="A23" s="23" t="s">
        <v>2616</v>
      </c>
      <c r="B23" s="23" t="s">
        <v>272</v>
      </c>
      <c r="C23" s="24"/>
      <c r="D23" s="25">
        <v>0</v>
      </c>
      <c r="E23" s="88">
        <f>VLOOKUP(A23,'Previous week'!$A$3:$F$1765,6,FALSE)</f>
        <v>0</v>
      </c>
      <c r="F23" s="22">
        <f t="shared" si="0"/>
        <v>0</v>
      </c>
      <c r="G23" s="88">
        <f>VLOOKUP(A23,'Current week'!$A$3:$F$1765,6,0)</f>
        <v>0</v>
      </c>
      <c r="H23" s="102">
        <f t="shared" si="1"/>
        <v>0</v>
      </c>
      <c r="I23" s="102">
        <f t="shared" si="2"/>
        <v>0</v>
      </c>
      <c r="L23" s="112"/>
    </row>
    <row r="24" spans="1:12" x14ac:dyDescent="0.25">
      <c r="A24" s="11" t="s">
        <v>2617</v>
      </c>
      <c r="B24" s="11" t="s">
        <v>8</v>
      </c>
      <c r="C24" s="12"/>
      <c r="D24" s="13">
        <v>0</v>
      </c>
      <c r="E24" s="86"/>
      <c r="F24" s="14">
        <f t="shared" si="0"/>
        <v>0</v>
      </c>
      <c r="G24" s="86"/>
      <c r="H24" s="99"/>
      <c r="I24" s="99"/>
      <c r="L24" s="112"/>
    </row>
    <row r="25" spans="1:12" x14ac:dyDescent="0.25">
      <c r="A25" s="15" t="s">
        <v>2618</v>
      </c>
      <c r="B25" s="15" t="s">
        <v>273</v>
      </c>
      <c r="C25" s="16" t="s">
        <v>9</v>
      </c>
      <c r="D25" s="17">
        <v>0</v>
      </c>
      <c r="E25" s="87"/>
      <c r="F25" s="18">
        <f t="shared" si="0"/>
        <v>0</v>
      </c>
      <c r="G25" s="87"/>
      <c r="H25" s="100"/>
      <c r="I25" s="100"/>
      <c r="L25" s="112"/>
    </row>
    <row r="26" spans="1:12" x14ac:dyDescent="0.25">
      <c r="A26" s="19" t="s">
        <v>2619</v>
      </c>
      <c r="B26" s="19" t="s">
        <v>274</v>
      </c>
      <c r="C26" s="20" t="s">
        <v>10</v>
      </c>
      <c r="D26" s="21">
        <v>0</v>
      </c>
      <c r="E26" s="88">
        <f>VLOOKUP(A26,'Previous week'!$A$3:$F$1765,6,FALSE)</f>
        <v>1</v>
      </c>
      <c r="F26" s="22">
        <f t="shared" si="0"/>
        <v>0</v>
      </c>
      <c r="G26" s="88">
        <f>VLOOKUP(A26,'Current week'!$A$3:$F$1765,6,0)</f>
        <v>1</v>
      </c>
      <c r="H26" s="101">
        <f t="shared" si="1"/>
        <v>0</v>
      </c>
      <c r="I26" s="101">
        <f t="shared" si="2"/>
        <v>0</v>
      </c>
      <c r="L26" s="112"/>
    </row>
    <row r="27" spans="1:12" x14ac:dyDescent="0.25">
      <c r="A27" s="33" t="s">
        <v>2620</v>
      </c>
      <c r="B27" s="33" t="s">
        <v>275</v>
      </c>
      <c r="C27" s="34" t="s">
        <v>11</v>
      </c>
      <c r="D27" s="35">
        <v>0</v>
      </c>
      <c r="E27" s="88">
        <f>VLOOKUP(A27,'Previous week'!$A$3:$F$1765,6,FALSE)</f>
        <v>1</v>
      </c>
      <c r="F27" s="22">
        <f t="shared" si="0"/>
        <v>0</v>
      </c>
      <c r="G27" s="88">
        <f>VLOOKUP(A27,'Current week'!$A$3:$F$1765,6,0)</f>
        <v>1</v>
      </c>
      <c r="H27" s="104">
        <f t="shared" si="1"/>
        <v>0</v>
      </c>
      <c r="I27" s="104">
        <f t="shared" si="2"/>
        <v>0</v>
      </c>
      <c r="L27" s="112"/>
    </row>
    <row r="28" spans="1:12" x14ac:dyDescent="0.25">
      <c r="A28" s="33" t="s">
        <v>2621</v>
      </c>
      <c r="B28" s="33" t="s">
        <v>276</v>
      </c>
      <c r="C28" s="34" t="s">
        <v>13</v>
      </c>
      <c r="D28" s="35">
        <v>0</v>
      </c>
      <c r="E28" s="88">
        <f>VLOOKUP(A28,'Previous week'!$A$3:$F$1765,6,FALSE)</f>
        <v>1</v>
      </c>
      <c r="F28" s="22">
        <f t="shared" si="0"/>
        <v>0</v>
      </c>
      <c r="G28" s="88">
        <f>VLOOKUP(A28,'Current week'!$A$3:$F$1765,6,0)</f>
        <v>1</v>
      </c>
      <c r="H28" s="104">
        <f t="shared" si="1"/>
        <v>0</v>
      </c>
      <c r="I28" s="104">
        <f t="shared" si="2"/>
        <v>0</v>
      </c>
      <c r="L28" s="112"/>
    </row>
    <row r="29" spans="1:12" x14ac:dyDescent="0.25">
      <c r="A29" s="33" t="s">
        <v>2622</v>
      </c>
      <c r="B29" s="33" t="s">
        <v>277</v>
      </c>
      <c r="C29" s="34" t="s">
        <v>12</v>
      </c>
      <c r="D29" s="35">
        <v>0</v>
      </c>
      <c r="E29" s="88">
        <f>VLOOKUP(A29,'Previous week'!$A$3:$F$1765,6,FALSE)</f>
        <v>1</v>
      </c>
      <c r="F29" s="22">
        <f t="shared" si="0"/>
        <v>0</v>
      </c>
      <c r="G29" s="88">
        <f>VLOOKUP(A29,'Current week'!$A$3:$F$1765,6,0)</f>
        <v>1</v>
      </c>
      <c r="H29" s="104">
        <f t="shared" si="1"/>
        <v>0</v>
      </c>
      <c r="I29" s="104">
        <f t="shared" si="2"/>
        <v>0</v>
      </c>
      <c r="L29" s="112"/>
    </row>
    <row r="30" spans="1:12" x14ac:dyDescent="0.25">
      <c r="A30" s="33" t="s">
        <v>2623</v>
      </c>
      <c r="B30" s="33" t="s">
        <v>278</v>
      </c>
      <c r="C30" s="34" t="s">
        <v>14</v>
      </c>
      <c r="D30" s="35">
        <v>0</v>
      </c>
      <c r="E30" s="88">
        <f>VLOOKUP(A30,'Previous week'!$A$3:$F$1765,6,FALSE)</f>
        <v>1</v>
      </c>
      <c r="F30" s="22">
        <f t="shared" si="0"/>
        <v>0</v>
      </c>
      <c r="G30" s="88">
        <f>VLOOKUP(A30,'Current week'!$A$3:$F$1765,6,0)</f>
        <v>1</v>
      </c>
      <c r="H30" s="104">
        <f t="shared" si="1"/>
        <v>0</v>
      </c>
      <c r="I30" s="104">
        <f t="shared" si="2"/>
        <v>0</v>
      </c>
      <c r="L30" s="112"/>
    </row>
    <row r="31" spans="1:12" x14ac:dyDescent="0.25">
      <c r="A31" s="33" t="s">
        <v>2624</v>
      </c>
      <c r="B31" s="33" t="s">
        <v>279</v>
      </c>
      <c r="C31" s="34" t="s">
        <v>18</v>
      </c>
      <c r="D31" s="35">
        <v>0</v>
      </c>
      <c r="E31" s="88">
        <f>VLOOKUP(A31,'Previous week'!$A$3:$F$1765,6,FALSE)</f>
        <v>1</v>
      </c>
      <c r="F31" s="22">
        <f t="shared" si="0"/>
        <v>0</v>
      </c>
      <c r="G31" s="88">
        <f>VLOOKUP(A31,'Current week'!$A$3:$F$1765,6,0)</f>
        <v>1</v>
      </c>
      <c r="H31" s="104">
        <f t="shared" si="1"/>
        <v>0</v>
      </c>
      <c r="I31" s="104">
        <f t="shared" si="2"/>
        <v>0</v>
      </c>
      <c r="L31" s="112"/>
    </row>
    <row r="32" spans="1:12" x14ac:dyDescent="0.25">
      <c r="A32" s="33" t="s">
        <v>2625</v>
      </c>
      <c r="B32" s="33" t="s">
        <v>280</v>
      </c>
      <c r="C32" s="34" t="s">
        <v>19</v>
      </c>
      <c r="D32" s="35">
        <v>0</v>
      </c>
      <c r="E32" s="88">
        <f>VLOOKUP(A32,'Previous week'!$A$3:$F$1765,6,FALSE)</f>
        <v>1</v>
      </c>
      <c r="F32" s="22">
        <f t="shared" si="0"/>
        <v>0</v>
      </c>
      <c r="G32" s="88">
        <f>VLOOKUP(A32,'Current week'!$A$3:$F$1765,6,0)</f>
        <v>1</v>
      </c>
      <c r="H32" s="104">
        <f t="shared" si="1"/>
        <v>0</v>
      </c>
      <c r="I32" s="104">
        <f t="shared" si="2"/>
        <v>0</v>
      </c>
      <c r="L32" s="112"/>
    </row>
    <row r="33" spans="1:12" x14ac:dyDescent="0.25">
      <c r="A33" s="33" t="s">
        <v>2626</v>
      </c>
      <c r="B33" s="33" t="s">
        <v>281</v>
      </c>
      <c r="C33" s="34" t="s">
        <v>17</v>
      </c>
      <c r="D33" s="35">
        <v>0</v>
      </c>
      <c r="E33" s="88">
        <f>VLOOKUP(A33,'Previous week'!$A$3:$F$1765,6,FALSE)</f>
        <v>1</v>
      </c>
      <c r="F33" s="22">
        <f t="shared" si="0"/>
        <v>0</v>
      </c>
      <c r="G33" s="88">
        <f>VLOOKUP(A33,'Current week'!$A$3:$F$1765,6,0)</f>
        <v>1</v>
      </c>
      <c r="H33" s="104">
        <f t="shared" si="1"/>
        <v>0</v>
      </c>
      <c r="I33" s="104">
        <f t="shared" si="2"/>
        <v>0</v>
      </c>
      <c r="L33" s="112"/>
    </row>
    <row r="34" spans="1:12" x14ac:dyDescent="0.25">
      <c r="A34" s="33" t="s">
        <v>2627</v>
      </c>
      <c r="B34" s="33" t="s">
        <v>282</v>
      </c>
      <c r="C34" s="34" t="s">
        <v>15</v>
      </c>
      <c r="D34" s="35">
        <v>0</v>
      </c>
      <c r="E34" s="88">
        <f>VLOOKUP(A34,'Previous week'!$A$3:$F$1765,6,FALSE)</f>
        <v>1</v>
      </c>
      <c r="F34" s="22">
        <f t="shared" si="0"/>
        <v>0</v>
      </c>
      <c r="G34" s="88">
        <f>VLOOKUP(A34,'Current week'!$A$3:$F$1765,6,0)</f>
        <v>1</v>
      </c>
      <c r="H34" s="104">
        <f t="shared" si="1"/>
        <v>0</v>
      </c>
      <c r="I34" s="104">
        <f t="shared" si="2"/>
        <v>0</v>
      </c>
      <c r="L34" s="112"/>
    </row>
    <row r="35" spans="1:12" x14ac:dyDescent="0.25">
      <c r="A35" s="33" t="s">
        <v>2628</v>
      </c>
      <c r="B35" s="33" t="s">
        <v>283</v>
      </c>
      <c r="C35" s="34" t="s">
        <v>16</v>
      </c>
      <c r="D35" s="35">
        <v>0</v>
      </c>
      <c r="E35" s="88">
        <f>VLOOKUP(A35,'Previous week'!$A$3:$F$1765,6,FALSE)</f>
        <v>1</v>
      </c>
      <c r="F35" s="22">
        <f t="shared" si="0"/>
        <v>0</v>
      </c>
      <c r="G35" s="88">
        <f>VLOOKUP(A35,'Current week'!$A$3:$F$1765,6,0)</f>
        <v>1</v>
      </c>
      <c r="H35" s="104">
        <f t="shared" si="1"/>
        <v>0</v>
      </c>
      <c r="I35" s="104">
        <f t="shared" si="2"/>
        <v>0</v>
      </c>
      <c r="L35" s="112"/>
    </row>
    <row r="36" spans="1:12" x14ac:dyDescent="0.25">
      <c r="A36" s="23" t="s">
        <v>2629</v>
      </c>
      <c r="B36" s="23" t="s">
        <v>20</v>
      </c>
      <c r="C36" s="24"/>
      <c r="D36" s="25">
        <v>0</v>
      </c>
      <c r="E36" s="88">
        <f>VLOOKUP(A36,'Previous week'!$A$3:$F$1765,6,FALSE)</f>
        <v>0</v>
      </c>
      <c r="F36" s="22">
        <f t="shared" si="0"/>
        <v>0</v>
      </c>
      <c r="G36" s="88">
        <f>VLOOKUP(A36,'Current week'!$A$3:$F$1765,6,0)</f>
        <v>0</v>
      </c>
      <c r="H36" s="102">
        <f t="shared" si="1"/>
        <v>0</v>
      </c>
      <c r="I36" s="102">
        <f t="shared" si="2"/>
        <v>0</v>
      </c>
      <c r="L36" s="112"/>
    </row>
    <row r="37" spans="1:12" x14ac:dyDescent="0.25">
      <c r="A37" s="15" t="s">
        <v>2630</v>
      </c>
      <c r="B37" s="15" t="s">
        <v>284</v>
      </c>
      <c r="C37" s="16" t="s">
        <v>285</v>
      </c>
      <c r="D37" s="17">
        <v>0</v>
      </c>
      <c r="E37" s="87"/>
      <c r="F37" s="18">
        <f t="shared" si="0"/>
        <v>0</v>
      </c>
      <c r="G37" s="87"/>
      <c r="H37" s="100"/>
      <c r="I37" s="100"/>
      <c r="L37" s="112"/>
    </row>
    <row r="38" spans="1:12" x14ac:dyDescent="0.25">
      <c r="A38" s="36" t="s">
        <v>2631</v>
      </c>
      <c r="B38" s="36" t="s">
        <v>21</v>
      </c>
      <c r="C38" s="37"/>
      <c r="D38" s="38">
        <v>0</v>
      </c>
      <c r="E38" s="88">
        <f>VLOOKUP(A38,'Previous week'!$A$3:$F$1765,6,FALSE)</f>
        <v>0</v>
      </c>
      <c r="F38" s="22">
        <f t="shared" si="0"/>
        <v>0</v>
      </c>
      <c r="G38" s="88">
        <f>VLOOKUP(A38,'Current week'!$A$3:$F$1765,6,0)</f>
        <v>0</v>
      </c>
      <c r="H38" s="105">
        <f t="shared" si="1"/>
        <v>0</v>
      </c>
      <c r="I38" s="105">
        <f t="shared" si="2"/>
        <v>0</v>
      </c>
      <c r="L38" s="112"/>
    </row>
    <row r="39" spans="1:12" x14ac:dyDescent="0.25">
      <c r="A39" s="15" t="s">
        <v>2632</v>
      </c>
      <c r="B39" s="15" t="s">
        <v>286</v>
      </c>
      <c r="C39" s="16" t="s">
        <v>287</v>
      </c>
      <c r="D39" s="17">
        <v>0</v>
      </c>
      <c r="E39" s="87"/>
      <c r="F39" s="18">
        <f t="shared" si="0"/>
        <v>0</v>
      </c>
      <c r="G39" s="87"/>
      <c r="H39" s="100"/>
      <c r="I39" s="100"/>
      <c r="L39" s="112"/>
    </row>
    <row r="40" spans="1:12" x14ac:dyDescent="0.25">
      <c r="A40" s="36" t="s">
        <v>2633</v>
      </c>
      <c r="B40" s="36" t="s">
        <v>288</v>
      </c>
      <c r="C40" s="37" t="s">
        <v>289</v>
      </c>
      <c r="D40" s="38">
        <v>0</v>
      </c>
      <c r="E40" s="88">
        <f>VLOOKUP(A40,'Previous week'!$A$3:$F$1765,6,FALSE)</f>
        <v>1</v>
      </c>
      <c r="F40" s="22">
        <f t="shared" si="0"/>
        <v>0</v>
      </c>
      <c r="G40" s="88">
        <f>VLOOKUP(A40,'Current week'!$A$3:$F$1765,6,0)</f>
        <v>1</v>
      </c>
      <c r="H40" s="105">
        <f t="shared" si="1"/>
        <v>0</v>
      </c>
      <c r="I40" s="105">
        <f t="shared" si="2"/>
        <v>0</v>
      </c>
      <c r="L40" s="112"/>
    </row>
    <row r="41" spans="1:12" x14ac:dyDescent="0.25">
      <c r="A41" s="26" t="s">
        <v>2634</v>
      </c>
      <c r="B41" s="26" t="s">
        <v>22</v>
      </c>
      <c r="C41" s="27"/>
      <c r="D41" s="28">
        <v>0</v>
      </c>
      <c r="E41" s="89"/>
      <c r="F41" s="18">
        <f t="shared" si="0"/>
        <v>0</v>
      </c>
      <c r="G41" s="89"/>
      <c r="H41" s="100"/>
      <c r="I41" s="100"/>
      <c r="L41" s="112"/>
    </row>
    <row r="42" spans="1:12" x14ac:dyDescent="0.25">
      <c r="A42" s="29" t="s">
        <v>2635</v>
      </c>
      <c r="B42" s="29" t="s">
        <v>290</v>
      </c>
      <c r="C42" s="30"/>
      <c r="D42" s="31">
        <v>0</v>
      </c>
      <c r="E42" s="90"/>
      <c r="F42" s="32">
        <f t="shared" si="0"/>
        <v>0</v>
      </c>
      <c r="G42" s="90"/>
      <c r="H42" s="103"/>
      <c r="I42" s="103"/>
      <c r="L42" s="112"/>
    </row>
    <row r="43" spans="1:12" x14ac:dyDescent="0.25">
      <c r="A43" s="19" t="s">
        <v>2636</v>
      </c>
      <c r="B43" s="19" t="s">
        <v>291</v>
      </c>
      <c r="C43" s="20" t="s">
        <v>24</v>
      </c>
      <c r="D43" s="21">
        <v>0</v>
      </c>
      <c r="E43" s="88">
        <f>VLOOKUP(A43,'Previous week'!$A$3:$F$1765,6,FALSE)</f>
        <v>1</v>
      </c>
      <c r="F43" s="22">
        <f t="shared" si="0"/>
        <v>0</v>
      </c>
      <c r="G43" s="88">
        <f>VLOOKUP(A43,'Current week'!$A$3:$F$1765,6,0)</f>
        <v>1</v>
      </c>
      <c r="H43" s="101">
        <f t="shared" si="1"/>
        <v>0</v>
      </c>
      <c r="I43" s="101">
        <f t="shared" si="2"/>
        <v>0</v>
      </c>
      <c r="L43" s="112"/>
    </row>
    <row r="44" spans="1:12" x14ac:dyDescent="0.25">
      <c r="A44" s="33" t="s">
        <v>2637</v>
      </c>
      <c r="B44" s="33" t="s">
        <v>292</v>
      </c>
      <c r="C44" s="34" t="s">
        <v>25</v>
      </c>
      <c r="D44" s="35">
        <v>0</v>
      </c>
      <c r="E44" s="88">
        <f>VLOOKUP(A44,'Previous week'!$A$3:$F$1765,6,FALSE)</f>
        <v>1</v>
      </c>
      <c r="F44" s="22">
        <f t="shared" si="0"/>
        <v>0</v>
      </c>
      <c r="G44" s="88">
        <f>VLOOKUP(A44,'Current week'!$A$3:$F$1765,6,0)</f>
        <v>1</v>
      </c>
      <c r="H44" s="104">
        <f t="shared" si="1"/>
        <v>0</v>
      </c>
      <c r="I44" s="104">
        <f t="shared" si="2"/>
        <v>0</v>
      </c>
      <c r="L44" s="112"/>
    </row>
    <row r="45" spans="1:12" x14ac:dyDescent="0.25">
      <c r="A45" s="33" t="s">
        <v>2638</v>
      </c>
      <c r="B45" s="33" t="s">
        <v>293</v>
      </c>
      <c r="C45" s="34" t="s">
        <v>26</v>
      </c>
      <c r="D45" s="35">
        <v>0</v>
      </c>
      <c r="E45" s="88">
        <f>VLOOKUP(A45,'Previous week'!$A$3:$F$1765,6,FALSE)</f>
        <v>1</v>
      </c>
      <c r="F45" s="22">
        <f t="shared" si="0"/>
        <v>0</v>
      </c>
      <c r="G45" s="88">
        <f>VLOOKUP(A45,'Current week'!$A$3:$F$1765,6,0)</f>
        <v>1</v>
      </c>
      <c r="H45" s="104">
        <f t="shared" si="1"/>
        <v>0</v>
      </c>
      <c r="I45" s="104">
        <f t="shared" si="2"/>
        <v>0</v>
      </c>
      <c r="L45" s="112"/>
    </row>
    <row r="46" spans="1:12" x14ac:dyDescent="0.25">
      <c r="A46" s="33" t="s">
        <v>2639</v>
      </c>
      <c r="B46" s="33" t="s">
        <v>294</v>
      </c>
      <c r="C46" s="34" t="s">
        <v>27</v>
      </c>
      <c r="D46" s="35">
        <v>0</v>
      </c>
      <c r="E46" s="88">
        <f>VLOOKUP(A46,'Previous week'!$A$3:$F$1765,6,FALSE)</f>
        <v>1</v>
      </c>
      <c r="F46" s="22">
        <f t="shared" si="0"/>
        <v>0</v>
      </c>
      <c r="G46" s="88">
        <f>VLOOKUP(A46,'Current week'!$A$3:$F$1765,6,0)</f>
        <v>1</v>
      </c>
      <c r="H46" s="104">
        <f t="shared" si="1"/>
        <v>0</v>
      </c>
      <c r="I46" s="104">
        <f t="shared" si="2"/>
        <v>0</v>
      </c>
      <c r="L46" s="112"/>
    </row>
    <row r="47" spans="1:12" x14ac:dyDescent="0.25">
      <c r="A47" s="33" t="s">
        <v>2640</v>
      </c>
      <c r="B47" s="33" t="s">
        <v>295</v>
      </c>
      <c r="C47" s="34" t="s">
        <v>28</v>
      </c>
      <c r="D47" s="35">
        <v>0</v>
      </c>
      <c r="E47" s="88">
        <f>VLOOKUP(A47,'Previous week'!$A$3:$F$1765,6,FALSE)</f>
        <v>1</v>
      </c>
      <c r="F47" s="22">
        <f t="shared" si="0"/>
        <v>0</v>
      </c>
      <c r="G47" s="88">
        <f>VLOOKUP(A47,'Current week'!$A$3:$F$1765,6,0)</f>
        <v>1</v>
      </c>
      <c r="H47" s="104">
        <f t="shared" si="1"/>
        <v>0</v>
      </c>
      <c r="I47" s="104">
        <f t="shared" si="2"/>
        <v>0</v>
      </c>
      <c r="L47" s="112"/>
    </row>
    <row r="48" spans="1:12" x14ac:dyDescent="0.25">
      <c r="A48" s="33" t="s">
        <v>2641</v>
      </c>
      <c r="B48" s="33" t="s">
        <v>296</v>
      </c>
      <c r="C48" s="34" t="s">
        <v>23</v>
      </c>
      <c r="D48" s="35">
        <v>0</v>
      </c>
      <c r="E48" s="88">
        <f>VLOOKUP(A48,'Previous week'!$A$3:$F$1765,6,FALSE)</f>
        <v>1</v>
      </c>
      <c r="F48" s="22">
        <f t="shared" si="0"/>
        <v>0</v>
      </c>
      <c r="G48" s="88">
        <f>VLOOKUP(A48,'Current week'!$A$3:$F$1765,6,0)</f>
        <v>1</v>
      </c>
      <c r="H48" s="104">
        <f t="shared" si="1"/>
        <v>0</v>
      </c>
      <c r="I48" s="104">
        <f t="shared" si="2"/>
        <v>0</v>
      </c>
      <c r="L48" s="112"/>
    </row>
    <row r="49" spans="1:12" x14ac:dyDescent="0.25">
      <c r="A49" s="33" t="s">
        <v>2642</v>
      </c>
      <c r="B49" s="33" t="s">
        <v>297</v>
      </c>
      <c r="C49" s="34"/>
      <c r="D49" s="35">
        <v>0</v>
      </c>
      <c r="E49" s="88">
        <f>VLOOKUP(A49,'Previous week'!$A$3:$F$1765,6,FALSE)</f>
        <v>0</v>
      </c>
      <c r="F49" s="22">
        <f t="shared" si="0"/>
        <v>0</v>
      </c>
      <c r="G49" s="88">
        <f>VLOOKUP(A49,'Current week'!$A$3:$F$1765,6,0)</f>
        <v>0</v>
      </c>
      <c r="H49" s="104">
        <f t="shared" si="1"/>
        <v>0</v>
      </c>
      <c r="I49" s="104">
        <f t="shared" si="2"/>
        <v>0</v>
      </c>
      <c r="L49" s="112"/>
    </row>
    <row r="50" spans="1:12" x14ac:dyDescent="0.25">
      <c r="A50" s="33" t="s">
        <v>2643</v>
      </c>
      <c r="B50" s="33" t="s">
        <v>298</v>
      </c>
      <c r="C50" s="34" t="s">
        <v>32</v>
      </c>
      <c r="D50" s="35">
        <v>0</v>
      </c>
      <c r="E50" s="88">
        <f>VLOOKUP(A50,'Previous week'!$A$3:$F$1765,6,FALSE)</f>
        <v>1</v>
      </c>
      <c r="F50" s="22">
        <f t="shared" si="0"/>
        <v>0</v>
      </c>
      <c r="G50" s="88">
        <f>VLOOKUP(A50,'Current week'!$A$3:$F$1765,6,0)</f>
        <v>1</v>
      </c>
      <c r="H50" s="104">
        <f t="shared" si="1"/>
        <v>0</v>
      </c>
      <c r="I50" s="104">
        <f t="shared" si="2"/>
        <v>0</v>
      </c>
      <c r="L50" s="112"/>
    </row>
    <row r="51" spans="1:12" x14ac:dyDescent="0.25">
      <c r="A51" s="33" t="s">
        <v>2644</v>
      </c>
      <c r="B51" s="33" t="s">
        <v>299</v>
      </c>
      <c r="C51" s="34" t="s">
        <v>33</v>
      </c>
      <c r="D51" s="35">
        <v>0</v>
      </c>
      <c r="E51" s="88">
        <f>VLOOKUP(A51,'Previous week'!$A$3:$F$1765,6,FALSE)</f>
        <v>1</v>
      </c>
      <c r="F51" s="22">
        <f t="shared" si="0"/>
        <v>0</v>
      </c>
      <c r="G51" s="88">
        <f>VLOOKUP(A51,'Current week'!$A$3:$F$1765,6,0)</f>
        <v>1</v>
      </c>
      <c r="H51" s="104">
        <f t="shared" si="1"/>
        <v>0</v>
      </c>
      <c r="I51" s="104">
        <f t="shared" si="2"/>
        <v>0</v>
      </c>
      <c r="L51" s="112"/>
    </row>
    <row r="52" spans="1:12" x14ac:dyDescent="0.25">
      <c r="A52" s="33" t="s">
        <v>2645</v>
      </c>
      <c r="B52" s="33" t="s">
        <v>300</v>
      </c>
      <c r="C52" s="34" t="s">
        <v>34</v>
      </c>
      <c r="D52" s="35">
        <v>0</v>
      </c>
      <c r="E52" s="88">
        <f>VLOOKUP(A52,'Previous week'!$A$3:$F$1765,6,FALSE)</f>
        <v>1</v>
      </c>
      <c r="F52" s="22">
        <f t="shared" si="0"/>
        <v>0</v>
      </c>
      <c r="G52" s="88">
        <f>VLOOKUP(A52,'Current week'!$A$3:$F$1765,6,0)</f>
        <v>1</v>
      </c>
      <c r="H52" s="104">
        <f t="shared" si="1"/>
        <v>0</v>
      </c>
      <c r="I52" s="104">
        <f t="shared" si="2"/>
        <v>0</v>
      </c>
      <c r="L52" s="112"/>
    </row>
    <row r="53" spans="1:12" x14ac:dyDescent="0.25">
      <c r="A53" s="33" t="s">
        <v>2646</v>
      </c>
      <c r="B53" s="33" t="s">
        <v>301</v>
      </c>
      <c r="C53" s="34" t="s">
        <v>30</v>
      </c>
      <c r="D53" s="35">
        <v>0</v>
      </c>
      <c r="E53" s="88">
        <f>VLOOKUP(A53,'Previous week'!$A$3:$F$1765,6,FALSE)</f>
        <v>1</v>
      </c>
      <c r="F53" s="22">
        <f t="shared" si="0"/>
        <v>0</v>
      </c>
      <c r="G53" s="88">
        <f>VLOOKUP(A53,'Current week'!$A$3:$F$1765,6,0)</f>
        <v>1</v>
      </c>
      <c r="H53" s="104">
        <f t="shared" si="1"/>
        <v>0</v>
      </c>
      <c r="I53" s="104">
        <f t="shared" si="2"/>
        <v>0</v>
      </c>
      <c r="L53" s="112"/>
    </row>
    <row r="54" spans="1:12" x14ac:dyDescent="0.25">
      <c r="A54" s="33" t="s">
        <v>2647</v>
      </c>
      <c r="B54" s="33" t="s">
        <v>302</v>
      </c>
      <c r="C54" s="34" t="s">
        <v>31</v>
      </c>
      <c r="D54" s="35">
        <v>0</v>
      </c>
      <c r="E54" s="88">
        <f>VLOOKUP(A54,'Previous week'!$A$3:$F$1765,6,FALSE)</f>
        <v>1</v>
      </c>
      <c r="F54" s="22">
        <f t="shared" si="0"/>
        <v>0</v>
      </c>
      <c r="G54" s="88">
        <f>VLOOKUP(A54,'Current week'!$A$3:$F$1765,6,0)</f>
        <v>1</v>
      </c>
      <c r="H54" s="104">
        <f t="shared" si="1"/>
        <v>0</v>
      </c>
      <c r="I54" s="104">
        <f t="shared" si="2"/>
        <v>0</v>
      </c>
      <c r="L54" s="112"/>
    </row>
    <row r="55" spans="1:12" x14ac:dyDescent="0.25">
      <c r="A55" s="33" t="s">
        <v>2648</v>
      </c>
      <c r="B55" s="33" t="s">
        <v>303</v>
      </c>
      <c r="C55" s="34" t="s">
        <v>29</v>
      </c>
      <c r="D55" s="35">
        <v>0</v>
      </c>
      <c r="E55" s="88">
        <f>VLOOKUP(A55,'Previous week'!$A$3:$F$1765,6,FALSE)</f>
        <v>1</v>
      </c>
      <c r="F55" s="22">
        <f t="shared" si="0"/>
        <v>0</v>
      </c>
      <c r="G55" s="88">
        <f>VLOOKUP(A55,'Current week'!$A$3:$F$1765,6,0)</f>
        <v>1</v>
      </c>
      <c r="H55" s="104">
        <f t="shared" si="1"/>
        <v>0</v>
      </c>
      <c r="I55" s="104">
        <f t="shared" si="2"/>
        <v>0</v>
      </c>
      <c r="L55" s="112"/>
    </row>
    <row r="56" spans="1:12" x14ac:dyDescent="0.25">
      <c r="A56" s="33" t="s">
        <v>2649</v>
      </c>
      <c r="B56" s="33" t="s">
        <v>35</v>
      </c>
      <c r="C56" s="34"/>
      <c r="D56" s="35">
        <v>1719130.43</v>
      </c>
      <c r="E56" s="88">
        <f>VLOOKUP(A56,'Previous week'!$A$3:$F$1765,6,FALSE)</f>
        <v>1</v>
      </c>
      <c r="F56" s="22">
        <f t="shared" si="0"/>
        <v>0</v>
      </c>
      <c r="G56" s="88">
        <f>VLOOKUP(A56,'Current week'!$A$3:$F$1765,6,0)</f>
        <v>1</v>
      </c>
      <c r="H56" s="104">
        <f t="shared" si="1"/>
        <v>1719130.43</v>
      </c>
      <c r="I56" s="104">
        <f t="shared" si="2"/>
        <v>0</v>
      </c>
      <c r="L56" s="112"/>
    </row>
    <row r="57" spans="1:12" x14ac:dyDescent="0.25">
      <c r="A57" s="33" t="s">
        <v>2650</v>
      </c>
      <c r="B57" s="33" t="s">
        <v>36</v>
      </c>
      <c r="C57" s="34"/>
      <c r="D57" s="35">
        <v>0</v>
      </c>
      <c r="E57" s="88">
        <f>VLOOKUP(A57,'Previous week'!$A$3:$F$1765,6,FALSE)</f>
        <v>0</v>
      </c>
      <c r="F57" s="22">
        <f t="shared" si="0"/>
        <v>0</v>
      </c>
      <c r="G57" s="88">
        <f>VLOOKUP(A57,'Current week'!$A$3:$F$1765,6,0)</f>
        <v>0</v>
      </c>
      <c r="H57" s="104">
        <f t="shared" si="1"/>
        <v>0</v>
      </c>
      <c r="I57" s="104">
        <f t="shared" si="2"/>
        <v>0</v>
      </c>
      <c r="L57" s="112"/>
    </row>
    <row r="58" spans="1:12" x14ac:dyDescent="0.25">
      <c r="A58" s="33" t="s">
        <v>2651</v>
      </c>
      <c r="B58" s="33" t="s">
        <v>37</v>
      </c>
      <c r="C58" s="34"/>
      <c r="D58" s="35">
        <v>0</v>
      </c>
      <c r="E58" s="88">
        <f>VLOOKUP(A58,'Previous week'!$A$3:$F$1765,6,FALSE)</f>
        <v>0</v>
      </c>
      <c r="F58" s="22">
        <f t="shared" si="0"/>
        <v>0</v>
      </c>
      <c r="G58" s="88">
        <f>VLOOKUP(A58,'Current week'!$A$3:$F$1765,6,0)</f>
        <v>0</v>
      </c>
      <c r="H58" s="104">
        <f t="shared" si="1"/>
        <v>0</v>
      </c>
      <c r="I58" s="104">
        <f t="shared" si="2"/>
        <v>0</v>
      </c>
      <c r="L58" s="112"/>
    </row>
    <row r="59" spans="1:12" x14ac:dyDescent="0.25">
      <c r="A59" s="33" t="s">
        <v>2652</v>
      </c>
      <c r="B59" s="33" t="s">
        <v>38</v>
      </c>
      <c r="C59" s="34"/>
      <c r="D59" s="35">
        <v>0</v>
      </c>
      <c r="E59" s="88">
        <f>VLOOKUP(A59,'Previous week'!$A$3:$F$1765,6,FALSE)</f>
        <v>0</v>
      </c>
      <c r="F59" s="22">
        <f t="shared" si="0"/>
        <v>0</v>
      </c>
      <c r="G59" s="88">
        <f>VLOOKUP(A59,'Current week'!$A$3:$F$1765,6,0)</f>
        <v>0</v>
      </c>
      <c r="H59" s="104">
        <f t="shared" si="1"/>
        <v>0</v>
      </c>
      <c r="I59" s="104">
        <f t="shared" si="2"/>
        <v>0</v>
      </c>
      <c r="L59" s="112"/>
    </row>
    <row r="60" spans="1:12" x14ac:dyDescent="0.25">
      <c r="A60" s="33" t="s">
        <v>2653</v>
      </c>
      <c r="B60" s="33" t="s">
        <v>304</v>
      </c>
      <c r="C60" s="34" t="s">
        <v>39</v>
      </c>
      <c r="D60" s="35">
        <v>0</v>
      </c>
      <c r="E60" s="88">
        <f>VLOOKUP(A60,'Previous week'!$A$3:$F$1765,6,FALSE)</f>
        <v>1</v>
      </c>
      <c r="F60" s="22">
        <f t="shared" si="0"/>
        <v>0</v>
      </c>
      <c r="G60" s="88">
        <f>VLOOKUP(A60,'Current week'!$A$3:$F$1765,6,0)</f>
        <v>1</v>
      </c>
      <c r="H60" s="104">
        <f t="shared" si="1"/>
        <v>0</v>
      </c>
      <c r="I60" s="104">
        <f t="shared" si="2"/>
        <v>0</v>
      </c>
      <c r="L60" s="112"/>
    </row>
    <row r="61" spans="1:12" x14ac:dyDescent="0.25">
      <c r="A61" s="23" t="s">
        <v>2654</v>
      </c>
      <c r="B61" s="23" t="s">
        <v>305</v>
      </c>
      <c r="C61" s="24" t="s">
        <v>40</v>
      </c>
      <c r="D61" s="25">
        <v>0</v>
      </c>
      <c r="E61" s="88">
        <f>VLOOKUP(A61,'Previous week'!$A$3:$F$1765,6,FALSE)</f>
        <v>1</v>
      </c>
      <c r="F61" s="22">
        <f t="shared" si="0"/>
        <v>0</v>
      </c>
      <c r="G61" s="88">
        <f>VLOOKUP(A61,'Current week'!$A$3:$F$1765,6,0)</f>
        <v>1</v>
      </c>
      <c r="H61" s="102">
        <f t="shared" si="1"/>
        <v>0</v>
      </c>
      <c r="I61" s="102">
        <f t="shared" si="2"/>
        <v>0</v>
      </c>
      <c r="L61" s="112"/>
    </row>
    <row r="62" spans="1:12" x14ac:dyDescent="0.25">
      <c r="A62" s="29" t="s">
        <v>2655</v>
      </c>
      <c r="B62" s="29" t="s">
        <v>306</v>
      </c>
      <c r="C62" s="30" t="s">
        <v>42</v>
      </c>
      <c r="D62" s="31">
        <v>0</v>
      </c>
      <c r="E62" s="90"/>
      <c r="F62" s="32">
        <f t="shared" si="0"/>
        <v>0</v>
      </c>
      <c r="G62" s="90"/>
      <c r="H62" s="103"/>
      <c r="I62" s="103"/>
      <c r="L62" s="112"/>
    </row>
    <row r="63" spans="1:12" x14ac:dyDescent="0.25">
      <c r="A63" s="19" t="s">
        <v>2656</v>
      </c>
      <c r="B63" s="19" t="s">
        <v>307</v>
      </c>
      <c r="C63" s="20" t="s">
        <v>43</v>
      </c>
      <c r="D63" s="21">
        <v>0</v>
      </c>
      <c r="E63" s="88">
        <f>VLOOKUP(A63,'Previous week'!$A$3:$F$1765,6,FALSE)</f>
        <v>1</v>
      </c>
      <c r="F63" s="22">
        <f t="shared" si="0"/>
        <v>0</v>
      </c>
      <c r="G63" s="88">
        <f>VLOOKUP(A63,'Current week'!$A$3:$F$1765,6,0)</f>
        <v>1</v>
      </c>
      <c r="H63" s="101">
        <f t="shared" si="1"/>
        <v>0</v>
      </c>
      <c r="I63" s="101">
        <f t="shared" si="2"/>
        <v>0</v>
      </c>
      <c r="L63" s="112"/>
    </row>
    <row r="64" spans="1:12" x14ac:dyDescent="0.25">
      <c r="A64" s="33" t="s">
        <v>2657</v>
      </c>
      <c r="B64" s="33" t="s">
        <v>308</v>
      </c>
      <c r="C64" s="34" t="s">
        <v>44</v>
      </c>
      <c r="D64" s="35">
        <v>0</v>
      </c>
      <c r="E64" s="88">
        <f>VLOOKUP(A64,'Previous week'!$A$3:$F$1765,6,FALSE)</f>
        <v>1</v>
      </c>
      <c r="F64" s="22">
        <f t="shared" si="0"/>
        <v>0</v>
      </c>
      <c r="G64" s="88">
        <f>VLOOKUP(A64,'Current week'!$A$3:$F$1765,6,0)</f>
        <v>1</v>
      </c>
      <c r="H64" s="104">
        <f t="shared" si="1"/>
        <v>0</v>
      </c>
      <c r="I64" s="104">
        <f t="shared" si="2"/>
        <v>0</v>
      </c>
      <c r="L64" s="112"/>
    </row>
    <row r="65" spans="1:12" x14ac:dyDescent="0.25">
      <c r="A65" s="33" t="s">
        <v>2658</v>
      </c>
      <c r="B65" s="33" t="s">
        <v>309</v>
      </c>
      <c r="C65" s="34" t="s">
        <v>45</v>
      </c>
      <c r="D65" s="35">
        <v>0</v>
      </c>
      <c r="E65" s="88">
        <f>VLOOKUP(A65,'Previous week'!$A$3:$F$1765,6,FALSE)</f>
        <v>1</v>
      </c>
      <c r="F65" s="22">
        <f t="shared" si="0"/>
        <v>0</v>
      </c>
      <c r="G65" s="88">
        <f>VLOOKUP(A65,'Current week'!$A$3:$F$1765,6,0)</f>
        <v>1</v>
      </c>
      <c r="H65" s="104">
        <f t="shared" si="1"/>
        <v>0</v>
      </c>
      <c r="I65" s="104">
        <f t="shared" si="2"/>
        <v>0</v>
      </c>
      <c r="L65" s="112"/>
    </row>
    <row r="66" spans="1:12" x14ac:dyDescent="0.25">
      <c r="A66" s="33" t="s">
        <v>2659</v>
      </c>
      <c r="B66" s="33" t="s">
        <v>310</v>
      </c>
      <c r="C66" s="34" t="s">
        <v>46</v>
      </c>
      <c r="D66" s="35">
        <v>0</v>
      </c>
      <c r="E66" s="88">
        <f>VLOOKUP(A66,'Previous week'!$A$3:$F$1765,6,FALSE)</f>
        <v>1</v>
      </c>
      <c r="F66" s="22">
        <f t="shared" si="0"/>
        <v>0</v>
      </c>
      <c r="G66" s="88">
        <f>VLOOKUP(A66,'Current week'!$A$3:$F$1765,6,0)</f>
        <v>1</v>
      </c>
      <c r="H66" s="104">
        <f t="shared" ref="H66:H129" si="3">G66*D66</f>
        <v>0</v>
      </c>
      <c r="I66" s="104">
        <f t="shared" ref="I66:I129" si="4">F66*D66</f>
        <v>0</v>
      </c>
      <c r="L66" s="112"/>
    </row>
    <row r="67" spans="1:12" x14ac:dyDescent="0.25">
      <c r="A67" s="33" t="s">
        <v>2660</v>
      </c>
      <c r="B67" s="33" t="s">
        <v>311</v>
      </c>
      <c r="C67" s="34" t="s">
        <v>41</v>
      </c>
      <c r="D67" s="35">
        <v>0</v>
      </c>
      <c r="E67" s="88">
        <f>VLOOKUP(A67,'Previous week'!$A$3:$F$1765,6,FALSE)</f>
        <v>1</v>
      </c>
      <c r="F67" s="22">
        <f t="shared" ref="F67:F130" si="5">G67-E67</f>
        <v>0</v>
      </c>
      <c r="G67" s="88">
        <f>VLOOKUP(A67,'Current week'!$A$3:$F$1765,6,0)</f>
        <v>1</v>
      </c>
      <c r="H67" s="104">
        <f t="shared" si="3"/>
        <v>0</v>
      </c>
      <c r="I67" s="104">
        <f t="shared" si="4"/>
        <v>0</v>
      </c>
      <c r="L67" s="112"/>
    </row>
    <row r="68" spans="1:12" x14ac:dyDescent="0.25">
      <c r="A68" s="33" t="s">
        <v>2661</v>
      </c>
      <c r="B68" s="33" t="s">
        <v>312</v>
      </c>
      <c r="C68" s="34" t="s">
        <v>47</v>
      </c>
      <c r="D68" s="35">
        <v>0</v>
      </c>
      <c r="E68" s="88">
        <f>VLOOKUP(A68,'Previous week'!$A$3:$F$1765,6,FALSE)</f>
        <v>1</v>
      </c>
      <c r="F68" s="22">
        <f t="shared" si="5"/>
        <v>0</v>
      </c>
      <c r="G68" s="88">
        <f>VLOOKUP(A68,'Current week'!$A$3:$F$1765,6,0)</f>
        <v>1</v>
      </c>
      <c r="H68" s="104">
        <f t="shared" si="3"/>
        <v>0</v>
      </c>
      <c r="I68" s="104">
        <f t="shared" si="4"/>
        <v>0</v>
      </c>
      <c r="L68" s="112"/>
    </row>
    <row r="69" spans="1:12" x14ac:dyDescent="0.25">
      <c r="A69" s="33" t="s">
        <v>2662</v>
      </c>
      <c r="B69" s="33" t="s">
        <v>313</v>
      </c>
      <c r="C69" s="34"/>
      <c r="D69" s="35">
        <v>0</v>
      </c>
      <c r="E69" s="88">
        <f>VLOOKUP(A69,'Previous week'!$A$3:$F$1765,6,FALSE)</f>
        <v>0</v>
      </c>
      <c r="F69" s="22">
        <f t="shared" si="5"/>
        <v>0</v>
      </c>
      <c r="G69" s="88">
        <f>VLOOKUP(A69,'Current week'!$A$3:$F$1765,6,0)</f>
        <v>0</v>
      </c>
      <c r="H69" s="104">
        <f t="shared" si="3"/>
        <v>0</v>
      </c>
      <c r="I69" s="104">
        <f t="shared" si="4"/>
        <v>0</v>
      </c>
      <c r="L69" s="112"/>
    </row>
    <row r="70" spans="1:12" x14ac:dyDescent="0.25">
      <c r="A70" s="33" t="s">
        <v>2663</v>
      </c>
      <c r="B70" s="33" t="s">
        <v>314</v>
      </c>
      <c r="C70" s="34" t="s">
        <v>315</v>
      </c>
      <c r="D70" s="35">
        <v>0</v>
      </c>
      <c r="E70" s="88">
        <f>VLOOKUP(A70,'Previous week'!$A$3:$F$1765,6,FALSE)</f>
        <v>1</v>
      </c>
      <c r="F70" s="22">
        <f t="shared" si="5"/>
        <v>0</v>
      </c>
      <c r="G70" s="88">
        <f>VLOOKUP(A70,'Current week'!$A$3:$F$1765,6,0)</f>
        <v>1</v>
      </c>
      <c r="H70" s="104">
        <f t="shared" si="3"/>
        <v>0</v>
      </c>
      <c r="I70" s="104">
        <f t="shared" si="4"/>
        <v>0</v>
      </c>
      <c r="L70" s="112"/>
    </row>
    <row r="71" spans="1:12" x14ac:dyDescent="0.25">
      <c r="A71" s="33" t="s">
        <v>2664</v>
      </c>
      <c r="B71" s="33" t="s">
        <v>316</v>
      </c>
      <c r="C71" s="34" t="s">
        <v>317</v>
      </c>
      <c r="D71" s="35">
        <v>0</v>
      </c>
      <c r="E71" s="88">
        <f>VLOOKUP(A71,'Previous week'!$A$3:$F$1765,6,FALSE)</f>
        <v>1</v>
      </c>
      <c r="F71" s="22">
        <f t="shared" si="5"/>
        <v>0</v>
      </c>
      <c r="G71" s="88">
        <f>VLOOKUP(A71,'Current week'!$A$3:$F$1765,6,0)</f>
        <v>1</v>
      </c>
      <c r="H71" s="104">
        <f t="shared" si="3"/>
        <v>0</v>
      </c>
      <c r="I71" s="104">
        <f t="shared" si="4"/>
        <v>0</v>
      </c>
      <c r="L71" s="112"/>
    </row>
    <row r="72" spans="1:12" x14ac:dyDescent="0.25">
      <c r="A72" s="33" t="s">
        <v>2665</v>
      </c>
      <c r="B72" s="33" t="s">
        <v>318</v>
      </c>
      <c r="C72" s="34" t="s">
        <v>319</v>
      </c>
      <c r="D72" s="35">
        <v>0</v>
      </c>
      <c r="E72" s="88">
        <f>VLOOKUP(A72,'Previous week'!$A$3:$F$1765,6,FALSE)</f>
        <v>1</v>
      </c>
      <c r="F72" s="22">
        <f t="shared" si="5"/>
        <v>0</v>
      </c>
      <c r="G72" s="88">
        <f>VLOOKUP(A72,'Current week'!$A$3:$F$1765,6,0)</f>
        <v>1</v>
      </c>
      <c r="H72" s="104">
        <f t="shared" si="3"/>
        <v>0</v>
      </c>
      <c r="I72" s="104">
        <f t="shared" si="4"/>
        <v>0</v>
      </c>
      <c r="L72" s="112"/>
    </row>
    <row r="73" spans="1:12" x14ac:dyDescent="0.25">
      <c r="A73" s="33" t="s">
        <v>2666</v>
      </c>
      <c r="B73" s="33" t="s">
        <v>320</v>
      </c>
      <c r="C73" s="34"/>
      <c r="D73" s="35">
        <v>0</v>
      </c>
      <c r="E73" s="88">
        <f>VLOOKUP(A73,'Previous week'!$A$3:$F$1765,6,FALSE)</f>
        <v>0</v>
      </c>
      <c r="F73" s="22">
        <f t="shared" si="5"/>
        <v>0</v>
      </c>
      <c r="G73" s="88">
        <f>VLOOKUP(A73,'Current week'!$A$3:$F$1765,6,0)</f>
        <v>0</v>
      </c>
      <c r="H73" s="104">
        <f t="shared" si="3"/>
        <v>0</v>
      </c>
      <c r="I73" s="104">
        <f t="shared" si="4"/>
        <v>0</v>
      </c>
      <c r="L73" s="112"/>
    </row>
    <row r="74" spans="1:12" x14ac:dyDescent="0.25">
      <c r="A74" s="33" t="s">
        <v>2667</v>
      </c>
      <c r="B74" s="33" t="s">
        <v>321</v>
      </c>
      <c r="C74" s="34" t="s">
        <v>322</v>
      </c>
      <c r="D74" s="35">
        <v>0</v>
      </c>
      <c r="E74" s="88">
        <f>VLOOKUP(A74,'Previous week'!$A$3:$F$1765,6,FALSE)</f>
        <v>1</v>
      </c>
      <c r="F74" s="22">
        <f t="shared" si="5"/>
        <v>0</v>
      </c>
      <c r="G74" s="88">
        <f>VLOOKUP(A74,'Current week'!$A$3:$F$1765,6,0)</f>
        <v>1</v>
      </c>
      <c r="H74" s="104">
        <f t="shared" si="3"/>
        <v>0</v>
      </c>
      <c r="I74" s="104">
        <f t="shared" si="4"/>
        <v>0</v>
      </c>
      <c r="L74" s="112"/>
    </row>
    <row r="75" spans="1:12" x14ac:dyDescent="0.25">
      <c r="A75" s="33" t="s">
        <v>2668</v>
      </c>
      <c r="B75" s="33" t="s">
        <v>323</v>
      </c>
      <c r="C75" s="34" t="s">
        <v>324</v>
      </c>
      <c r="D75" s="35">
        <v>0</v>
      </c>
      <c r="E75" s="88">
        <f>VLOOKUP(A75,'Previous week'!$A$3:$F$1765,6,FALSE)</f>
        <v>1</v>
      </c>
      <c r="F75" s="22">
        <f t="shared" si="5"/>
        <v>0</v>
      </c>
      <c r="G75" s="88">
        <f>VLOOKUP(A75,'Current week'!$A$3:$F$1765,6,0)</f>
        <v>1</v>
      </c>
      <c r="H75" s="104">
        <f t="shared" si="3"/>
        <v>0</v>
      </c>
      <c r="I75" s="104">
        <f t="shared" si="4"/>
        <v>0</v>
      </c>
      <c r="L75" s="112"/>
    </row>
    <row r="76" spans="1:12" x14ac:dyDescent="0.25">
      <c r="A76" s="33" t="s">
        <v>2669</v>
      </c>
      <c r="B76" s="33" t="s">
        <v>325</v>
      </c>
      <c r="C76" s="34" t="s">
        <v>326</v>
      </c>
      <c r="D76" s="35">
        <v>0</v>
      </c>
      <c r="E76" s="88">
        <f>VLOOKUP(A76,'Previous week'!$A$3:$F$1765,6,FALSE)</f>
        <v>1</v>
      </c>
      <c r="F76" s="22">
        <f t="shared" si="5"/>
        <v>0</v>
      </c>
      <c r="G76" s="88">
        <f>VLOOKUP(A76,'Current week'!$A$3:$F$1765,6,0)</f>
        <v>1</v>
      </c>
      <c r="H76" s="104">
        <f t="shared" si="3"/>
        <v>0</v>
      </c>
      <c r="I76" s="104">
        <f t="shared" si="4"/>
        <v>0</v>
      </c>
      <c r="L76" s="112"/>
    </row>
    <row r="77" spans="1:12" x14ac:dyDescent="0.25">
      <c r="A77" s="33" t="s">
        <v>2670</v>
      </c>
      <c r="B77" s="33" t="s">
        <v>327</v>
      </c>
      <c r="C77" s="34"/>
      <c r="D77" s="35">
        <v>0</v>
      </c>
      <c r="E77" s="88">
        <f>VLOOKUP(A77,'Previous week'!$A$3:$F$1765,6,FALSE)</f>
        <v>0</v>
      </c>
      <c r="F77" s="22">
        <f t="shared" si="5"/>
        <v>0</v>
      </c>
      <c r="G77" s="88">
        <f>VLOOKUP(A77,'Current week'!$A$3:$F$1765,6,0)</f>
        <v>0</v>
      </c>
      <c r="H77" s="104">
        <f t="shared" si="3"/>
        <v>0</v>
      </c>
      <c r="I77" s="104">
        <f t="shared" si="4"/>
        <v>0</v>
      </c>
      <c r="L77" s="112"/>
    </row>
    <row r="78" spans="1:12" x14ac:dyDescent="0.25">
      <c r="A78" s="33" t="s">
        <v>2671</v>
      </c>
      <c r="B78" s="33" t="s">
        <v>328</v>
      </c>
      <c r="C78" s="34" t="s">
        <v>329</v>
      </c>
      <c r="D78" s="35">
        <v>0</v>
      </c>
      <c r="E78" s="88">
        <f>VLOOKUP(A78,'Previous week'!$A$3:$F$1765,6,FALSE)</f>
        <v>1</v>
      </c>
      <c r="F78" s="22">
        <f t="shared" si="5"/>
        <v>0</v>
      </c>
      <c r="G78" s="88">
        <f>VLOOKUP(A78,'Current week'!$A$3:$F$1765,6,0)</f>
        <v>1</v>
      </c>
      <c r="H78" s="104">
        <f t="shared" si="3"/>
        <v>0</v>
      </c>
      <c r="I78" s="104">
        <f t="shared" si="4"/>
        <v>0</v>
      </c>
      <c r="L78" s="112"/>
    </row>
    <row r="79" spans="1:12" x14ac:dyDescent="0.25">
      <c r="A79" s="33" t="s">
        <v>2672</v>
      </c>
      <c r="B79" s="33" t="s">
        <v>330</v>
      </c>
      <c r="C79" s="34" t="s">
        <v>331</v>
      </c>
      <c r="D79" s="35">
        <v>0</v>
      </c>
      <c r="E79" s="88">
        <f>VLOOKUP(A79,'Previous week'!$A$3:$F$1765,6,FALSE)</f>
        <v>1</v>
      </c>
      <c r="F79" s="22">
        <f t="shared" si="5"/>
        <v>0</v>
      </c>
      <c r="G79" s="88">
        <f>VLOOKUP(A79,'Current week'!$A$3:$F$1765,6,0)</f>
        <v>1</v>
      </c>
      <c r="H79" s="104">
        <f t="shared" si="3"/>
        <v>0</v>
      </c>
      <c r="I79" s="104">
        <f t="shared" si="4"/>
        <v>0</v>
      </c>
      <c r="L79" s="112"/>
    </row>
    <row r="80" spans="1:12" x14ac:dyDescent="0.25">
      <c r="A80" s="33" t="s">
        <v>2673</v>
      </c>
      <c r="B80" s="33" t="s">
        <v>332</v>
      </c>
      <c r="C80" s="34" t="s">
        <v>333</v>
      </c>
      <c r="D80" s="35">
        <v>0</v>
      </c>
      <c r="E80" s="88">
        <f>VLOOKUP(A80,'Previous week'!$A$3:$F$1765,6,FALSE)</f>
        <v>1</v>
      </c>
      <c r="F80" s="22">
        <f t="shared" si="5"/>
        <v>0</v>
      </c>
      <c r="G80" s="88">
        <f>VLOOKUP(A80,'Current week'!$A$3:$F$1765,6,0)</f>
        <v>1</v>
      </c>
      <c r="H80" s="104">
        <f t="shared" si="3"/>
        <v>0</v>
      </c>
      <c r="I80" s="104">
        <f t="shared" si="4"/>
        <v>0</v>
      </c>
      <c r="L80" s="112"/>
    </row>
    <row r="81" spans="1:12" x14ac:dyDescent="0.25">
      <c r="A81" s="23" t="s">
        <v>2674</v>
      </c>
      <c r="B81" s="23" t="s">
        <v>334</v>
      </c>
      <c r="C81" s="24"/>
      <c r="D81" s="25">
        <v>0</v>
      </c>
      <c r="E81" s="88">
        <f>VLOOKUP(A81,'Previous week'!$A$3:$F$1765,6,FALSE)</f>
        <v>0</v>
      </c>
      <c r="F81" s="22">
        <f t="shared" si="5"/>
        <v>0</v>
      </c>
      <c r="G81" s="88">
        <f>VLOOKUP(A81,'Current week'!$A$3:$F$1765,6,0)</f>
        <v>0</v>
      </c>
      <c r="H81" s="102">
        <f t="shared" si="3"/>
        <v>0</v>
      </c>
      <c r="I81" s="102">
        <f t="shared" si="4"/>
        <v>0</v>
      </c>
      <c r="L81" s="112"/>
    </row>
    <row r="82" spans="1:12" x14ac:dyDescent="0.25">
      <c r="A82" s="11" t="s">
        <v>2675</v>
      </c>
      <c r="B82" s="11" t="s">
        <v>335</v>
      </c>
      <c r="C82" s="12" t="s">
        <v>336</v>
      </c>
      <c r="D82" s="39">
        <v>0</v>
      </c>
      <c r="E82" s="86"/>
      <c r="F82" s="40">
        <f t="shared" si="5"/>
        <v>0</v>
      </c>
      <c r="G82" s="86"/>
      <c r="H82" s="99"/>
      <c r="I82" s="99"/>
      <c r="L82" s="112"/>
    </row>
    <row r="83" spans="1:12" x14ac:dyDescent="0.25">
      <c r="A83" s="26" t="s">
        <v>2676</v>
      </c>
      <c r="B83" s="26" t="s">
        <v>337</v>
      </c>
      <c r="C83" s="27" t="s">
        <v>51</v>
      </c>
      <c r="D83" s="28">
        <v>0</v>
      </c>
      <c r="E83" s="89"/>
      <c r="F83" s="18">
        <f t="shared" si="5"/>
        <v>0</v>
      </c>
      <c r="G83" s="89"/>
      <c r="H83" s="100"/>
      <c r="I83" s="100"/>
      <c r="L83" s="112"/>
    </row>
    <row r="84" spans="1:12" x14ac:dyDescent="0.25">
      <c r="A84" s="41" t="s">
        <v>2677</v>
      </c>
      <c r="B84" s="41" t="s">
        <v>338</v>
      </c>
      <c r="C84" s="42" t="s">
        <v>52</v>
      </c>
      <c r="D84" s="43">
        <v>0</v>
      </c>
      <c r="E84" s="91"/>
      <c r="F84" s="44">
        <f t="shared" si="5"/>
        <v>0</v>
      </c>
      <c r="G84" s="91"/>
      <c r="H84" s="103"/>
      <c r="I84" s="103"/>
      <c r="L84" s="112"/>
    </row>
    <row r="85" spans="1:12" x14ac:dyDescent="0.25">
      <c r="A85" s="45" t="s">
        <v>2678</v>
      </c>
      <c r="B85" s="45" t="s">
        <v>48</v>
      </c>
      <c r="C85" s="46"/>
      <c r="D85" s="47">
        <v>0</v>
      </c>
      <c r="E85" s="92"/>
      <c r="F85" s="48">
        <f t="shared" si="5"/>
        <v>0</v>
      </c>
      <c r="G85" s="92"/>
      <c r="H85" s="106"/>
      <c r="I85" s="106"/>
      <c r="L85" s="112"/>
    </row>
    <row r="86" spans="1:12" x14ac:dyDescent="0.25">
      <c r="A86" s="19" t="s">
        <v>2679</v>
      </c>
      <c r="B86" s="19" t="s">
        <v>339</v>
      </c>
      <c r="C86" s="20" t="s">
        <v>49</v>
      </c>
      <c r="D86" s="21">
        <v>0</v>
      </c>
      <c r="E86" s="88">
        <f>VLOOKUP(A86,'Previous week'!$A$3:$F$1765,6,FALSE)</f>
        <v>1</v>
      </c>
      <c r="F86" s="22">
        <f t="shared" si="5"/>
        <v>0</v>
      </c>
      <c r="G86" s="88">
        <f>VLOOKUP(A86,'Current week'!$A$3:$F$1765,6,0)</f>
        <v>1</v>
      </c>
      <c r="H86" s="101">
        <f t="shared" si="3"/>
        <v>0</v>
      </c>
      <c r="I86" s="101">
        <f t="shared" si="4"/>
        <v>0</v>
      </c>
      <c r="L86" s="112"/>
    </row>
    <row r="87" spans="1:12" x14ac:dyDescent="0.25">
      <c r="A87" s="33" t="s">
        <v>2680</v>
      </c>
      <c r="B87" s="33" t="s">
        <v>340</v>
      </c>
      <c r="C87" s="34" t="s">
        <v>50</v>
      </c>
      <c r="D87" s="35">
        <v>0</v>
      </c>
      <c r="E87" s="88">
        <f>VLOOKUP(A87,'Previous week'!$A$3:$F$1765,6,FALSE)</f>
        <v>1</v>
      </c>
      <c r="F87" s="22">
        <f t="shared" si="5"/>
        <v>0</v>
      </c>
      <c r="G87" s="88">
        <f>VLOOKUP(A87,'Current week'!$A$3:$F$1765,6,0)</f>
        <v>1</v>
      </c>
      <c r="H87" s="104">
        <f t="shared" si="3"/>
        <v>0</v>
      </c>
      <c r="I87" s="104">
        <f t="shared" si="4"/>
        <v>0</v>
      </c>
      <c r="L87" s="112"/>
    </row>
    <row r="88" spans="1:12" x14ac:dyDescent="0.25">
      <c r="A88" s="33" t="s">
        <v>2681</v>
      </c>
      <c r="B88" s="33" t="s">
        <v>341</v>
      </c>
      <c r="C88" s="34" t="s">
        <v>342</v>
      </c>
      <c r="D88" s="35">
        <v>0</v>
      </c>
      <c r="E88" s="88">
        <f>VLOOKUP(A88,'Previous week'!$A$3:$F$1765,6,FALSE)</f>
        <v>1</v>
      </c>
      <c r="F88" s="22">
        <f t="shared" si="5"/>
        <v>0</v>
      </c>
      <c r="G88" s="88">
        <f>VLOOKUP(A88,'Current week'!$A$3:$F$1765,6,0)</f>
        <v>1</v>
      </c>
      <c r="H88" s="104">
        <f t="shared" si="3"/>
        <v>0</v>
      </c>
      <c r="I88" s="104">
        <f t="shared" si="4"/>
        <v>0</v>
      </c>
      <c r="L88" s="112"/>
    </row>
    <row r="89" spans="1:12" x14ac:dyDescent="0.25">
      <c r="A89" s="33" t="s">
        <v>2682</v>
      </c>
      <c r="B89" s="33" t="s">
        <v>343</v>
      </c>
      <c r="C89" s="34"/>
      <c r="D89" s="35">
        <v>0</v>
      </c>
      <c r="E89" s="88">
        <f>VLOOKUP(A89,'Previous week'!$A$3:$F$1765,6,FALSE)</f>
        <v>0</v>
      </c>
      <c r="F89" s="22">
        <f t="shared" si="5"/>
        <v>0</v>
      </c>
      <c r="G89" s="88">
        <f>VLOOKUP(A89,'Current week'!$A$3:$F$1765,6,0)</f>
        <v>0</v>
      </c>
      <c r="H89" s="104">
        <f t="shared" si="3"/>
        <v>0</v>
      </c>
      <c r="I89" s="104">
        <f t="shared" si="4"/>
        <v>0</v>
      </c>
      <c r="L89" s="112"/>
    </row>
    <row r="90" spans="1:12" x14ac:dyDescent="0.25">
      <c r="A90" s="33" t="s">
        <v>2683</v>
      </c>
      <c r="B90" s="33" t="s">
        <v>344</v>
      </c>
      <c r="C90" s="34" t="s">
        <v>345</v>
      </c>
      <c r="D90" s="35">
        <v>0</v>
      </c>
      <c r="E90" s="88">
        <f>VLOOKUP(A90,'Previous week'!$A$3:$F$1765,6,FALSE)</f>
        <v>1</v>
      </c>
      <c r="F90" s="22">
        <f t="shared" si="5"/>
        <v>0</v>
      </c>
      <c r="G90" s="88">
        <f>VLOOKUP(A90,'Current week'!$A$3:$F$1765,6,0)</f>
        <v>1</v>
      </c>
      <c r="H90" s="104">
        <f t="shared" si="3"/>
        <v>0</v>
      </c>
      <c r="I90" s="104">
        <f t="shared" si="4"/>
        <v>0</v>
      </c>
      <c r="L90" s="112"/>
    </row>
    <row r="91" spans="1:12" x14ac:dyDescent="0.25">
      <c r="A91" s="33" t="s">
        <v>2684</v>
      </c>
      <c r="B91" s="33" t="s">
        <v>346</v>
      </c>
      <c r="C91" s="34"/>
      <c r="D91" s="35">
        <v>0</v>
      </c>
      <c r="E91" s="88">
        <f>VLOOKUP(A91,'Previous week'!$A$3:$F$1765,6,FALSE)</f>
        <v>0</v>
      </c>
      <c r="F91" s="22">
        <f t="shared" si="5"/>
        <v>0</v>
      </c>
      <c r="G91" s="88">
        <f>VLOOKUP(A91,'Current week'!$A$3:$F$1765,6,0)</f>
        <v>0</v>
      </c>
      <c r="H91" s="104">
        <f t="shared" si="3"/>
        <v>0</v>
      </c>
      <c r="I91" s="104">
        <f t="shared" si="4"/>
        <v>0</v>
      </c>
      <c r="L91" s="112"/>
    </row>
    <row r="92" spans="1:12" x14ac:dyDescent="0.25">
      <c r="A92" s="33" t="s">
        <v>2685</v>
      </c>
      <c r="B92" s="33" t="s">
        <v>347</v>
      </c>
      <c r="C92" s="34" t="s">
        <v>348</v>
      </c>
      <c r="D92" s="35">
        <v>0</v>
      </c>
      <c r="E92" s="88">
        <f>VLOOKUP(A92,'Previous week'!$A$3:$F$1765,6,FALSE)</f>
        <v>1</v>
      </c>
      <c r="F92" s="22">
        <f t="shared" si="5"/>
        <v>0</v>
      </c>
      <c r="G92" s="88">
        <f>VLOOKUP(A92,'Current week'!$A$3:$F$1765,6,0)</f>
        <v>1</v>
      </c>
      <c r="H92" s="104">
        <f t="shared" si="3"/>
        <v>0</v>
      </c>
      <c r="I92" s="104">
        <f t="shared" si="4"/>
        <v>0</v>
      </c>
      <c r="L92" s="112"/>
    </row>
    <row r="93" spans="1:12" x14ac:dyDescent="0.25">
      <c r="A93" s="33" t="s">
        <v>2686</v>
      </c>
      <c r="B93" s="33" t="s">
        <v>349</v>
      </c>
      <c r="C93" s="34"/>
      <c r="D93" s="35">
        <v>0</v>
      </c>
      <c r="E93" s="88">
        <f>VLOOKUP(A93,'Previous week'!$A$3:$F$1765,6,FALSE)</f>
        <v>0</v>
      </c>
      <c r="F93" s="22">
        <f t="shared" si="5"/>
        <v>0</v>
      </c>
      <c r="G93" s="88">
        <f>VLOOKUP(A93,'Current week'!$A$3:$F$1765,6,0)</f>
        <v>0</v>
      </c>
      <c r="H93" s="104">
        <f t="shared" si="3"/>
        <v>0</v>
      </c>
      <c r="I93" s="104">
        <f t="shared" si="4"/>
        <v>0</v>
      </c>
      <c r="L93" s="112"/>
    </row>
    <row r="94" spans="1:12" x14ac:dyDescent="0.25">
      <c r="A94" s="23" t="s">
        <v>2687</v>
      </c>
      <c r="B94" s="23" t="s">
        <v>350</v>
      </c>
      <c r="C94" s="24" t="s">
        <v>351</v>
      </c>
      <c r="D94" s="25">
        <v>0</v>
      </c>
      <c r="E94" s="88">
        <f>VLOOKUP(A94,'Previous week'!$A$3:$F$1765,6,FALSE)</f>
        <v>1</v>
      </c>
      <c r="F94" s="22">
        <f t="shared" si="5"/>
        <v>0</v>
      </c>
      <c r="G94" s="88">
        <f>VLOOKUP(A94,'Current week'!$A$3:$F$1765,6,0)</f>
        <v>1</v>
      </c>
      <c r="H94" s="102">
        <f t="shared" si="3"/>
        <v>0</v>
      </c>
      <c r="I94" s="102">
        <f t="shared" si="4"/>
        <v>0</v>
      </c>
      <c r="L94" s="112"/>
    </row>
    <row r="95" spans="1:12" x14ac:dyDescent="0.25">
      <c r="A95" s="45" t="s">
        <v>2688</v>
      </c>
      <c r="B95" s="45" t="s">
        <v>352</v>
      </c>
      <c r="C95" s="46" t="s">
        <v>353</v>
      </c>
      <c r="D95" s="47">
        <v>0</v>
      </c>
      <c r="E95" s="92"/>
      <c r="F95" s="48">
        <f t="shared" si="5"/>
        <v>0</v>
      </c>
      <c r="G95" s="92"/>
      <c r="H95" s="106"/>
      <c r="I95" s="106"/>
      <c r="L95" s="112"/>
    </row>
    <row r="96" spans="1:12" x14ac:dyDescent="0.25">
      <c r="A96" s="19" t="s">
        <v>2689</v>
      </c>
      <c r="B96" s="19" t="s">
        <v>354</v>
      </c>
      <c r="C96" s="20" t="s">
        <v>355</v>
      </c>
      <c r="D96" s="21">
        <v>0</v>
      </c>
      <c r="E96" s="88">
        <f>VLOOKUP(A96,'Previous week'!$A$3:$F$1765,6,FALSE)</f>
        <v>1</v>
      </c>
      <c r="F96" s="22">
        <f t="shared" si="5"/>
        <v>0</v>
      </c>
      <c r="G96" s="88">
        <f>VLOOKUP(A96,'Current week'!$A$3:$F$1765,6,0)</f>
        <v>1</v>
      </c>
      <c r="H96" s="101">
        <f t="shared" si="3"/>
        <v>0</v>
      </c>
      <c r="I96" s="101">
        <f t="shared" si="4"/>
        <v>0</v>
      </c>
      <c r="L96" s="112"/>
    </row>
    <row r="97" spans="1:12" x14ac:dyDescent="0.25">
      <c r="A97" s="33" t="s">
        <v>2690</v>
      </c>
      <c r="B97" s="33" t="s">
        <v>356</v>
      </c>
      <c r="C97" s="34" t="s">
        <v>357</v>
      </c>
      <c r="D97" s="35">
        <v>0</v>
      </c>
      <c r="E97" s="88">
        <f>VLOOKUP(A97,'Previous week'!$A$3:$F$1765,6,FALSE)</f>
        <v>1</v>
      </c>
      <c r="F97" s="22">
        <f t="shared" si="5"/>
        <v>0</v>
      </c>
      <c r="G97" s="88">
        <f>VLOOKUP(A97,'Current week'!$A$3:$F$1765,6,0)</f>
        <v>1</v>
      </c>
      <c r="H97" s="104">
        <f t="shared" si="3"/>
        <v>0</v>
      </c>
      <c r="I97" s="104">
        <f t="shared" si="4"/>
        <v>0</v>
      </c>
      <c r="L97" s="112"/>
    </row>
    <row r="98" spans="1:12" x14ac:dyDescent="0.25">
      <c r="A98" s="23" t="s">
        <v>2691</v>
      </c>
      <c r="B98" s="23" t="s">
        <v>358</v>
      </c>
      <c r="C98" s="24"/>
      <c r="D98" s="25">
        <v>0</v>
      </c>
      <c r="E98" s="88">
        <f>VLOOKUP(A98,'Previous week'!$A$3:$F$1765,6,FALSE)</f>
        <v>0</v>
      </c>
      <c r="F98" s="22">
        <f t="shared" si="5"/>
        <v>0</v>
      </c>
      <c r="G98" s="88">
        <f>VLOOKUP(A98,'Current week'!$A$3:$F$1765,6,0)</f>
        <v>0</v>
      </c>
      <c r="H98" s="102">
        <f t="shared" si="3"/>
        <v>0</v>
      </c>
      <c r="I98" s="102">
        <f t="shared" si="4"/>
        <v>0</v>
      </c>
      <c r="L98" s="112"/>
    </row>
    <row r="99" spans="1:12" x14ac:dyDescent="0.25">
      <c r="A99" s="45" t="s">
        <v>2692</v>
      </c>
      <c r="B99" s="45" t="s">
        <v>359</v>
      </c>
      <c r="C99" s="46" t="s">
        <v>360</v>
      </c>
      <c r="D99" s="47">
        <v>0</v>
      </c>
      <c r="E99" s="92"/>
      <c r="F99" s="48">
        <f t="shared" si="5"/>
        <v>0</v>
      </c>
      <c r="G99" s="92"/>
      <c r="H99" s="106"/>
      <c r="I99" s="106"/>
      <c r="L99" s="112"/>
    </row>
    <row r="100" spans="1:12" x14ac:dyDescent="0.25">
      <c r="A100" s="19" t="s">
        <v>2693</v>
      </c>
      <c r="B100" s="19" t="s">
        <v>361</v>
      </c>
      <c r="C100" s="20" t="s">
        <v>362</v>
      </c>
      <c r="D100" s="21">
        <v>0</v>
      </c>
      <c r="E100" s="88">
        <f>VLOOKUP(A100,'Previous week'!$A$3:$F$1765,6,FALSE)</f>
        <v>1</v>
      </c>
      <c r="F100" s="22">
        <f t="shared" si="5"/>
        <v>0</v>
      </c>
      <c r="G100" s="88">
        <f>VLOOKUP(A100,'Current week'!$A$3:$F$1765,6,0)</f>
        <v>1</v>
      </c>
      <c r="H100" s="101">
        <f t="shared" si="3"/>
        <v>0</v>
      </c>
      <c r="I100" s="101">
        <f t="shared" si="4"/>
        <v>0</v>
      </c>
      <c r="L100" s="112"/>
    </row>
    <row r="101" spans="1:12" x14ac:dyDescent="0.25">
      <c r="A101" s="33" t="s">
        <v>2694</v>
      </c>
      <c r="B101" s="33" t="s">
        <v>363</v>
      </c>
      <c r="C101" s="34" t="s">
        <v>364</v>
      </c>
      <c r="D101" s="35">
        <v>0</v>
      </c>
      <c r="E101" s="88">
        <f>VLOOKUP(A101,'Previous week'!$A$3:$F$1765,6,FALSE)</f>
        <v>1</v>
      </c>
      <c r="F101" s="22">
        <f t="shared" si="5"/>
        <v>0</v>
      </c>
      <c r="G101" s="88">
        <f>VLOOKUP(A101,'Current week'!$A$3:$F$1765,6,0)</f>
        <v>1</v>
      </c>
      <c r="H101" s="104">
        <f t="shared" si="3"/>
        <v>0</v>
      </c>
      <c r="I101" s="104">
        <f t="shared" si="4"/>
        <v>0</v>
      </c>
      <c r="L101" s="112"/>
    </row>
    <row r="102" spans="1:12" x14ac:dyDescent="0.25">
      <c r="A102" s="23" t="s">
        <v>2695</v>
      </c>
      <c r="B102" s="23" t="s">
        <v>365</v>
      </c>
      <c r="C102" s="24" t="s">
        <v>366</v>
      </c>
      <c r="D102" s="25">
        <v>0</v>
      </c>
      <c r="E102" s="88">
        <f>VLOOKUP(A102,'Previous week'!$A$3:$F$1765,6,FALSE)</f>
        <v>1</v>
      </c>
      <c r="F102" s="22">
        <f t="shared" si="5"/>
        <v>0</v>
      </c>
      <c r="G102" s="88">
        <f>VLOOKUP(A102,'Current week'!$A$3:$F$1765,6,0)</f>
        <v>1</v>
      </c>
      <c r="H102" s="102">
        <f t="shared" si="3"/>
        <v>0</v>
      </c>
      <c r="I102" s="102">
        <f t="shared" si="4"/>
        <v>0</v>
      </c>
      <c r="L102" s="112"/>
    </row>
    <row r="103" spans="1:12" x14ac:dyDescent="0.25">
      <c r="A103" s="45" t="s">
        <v>2696</v>
      </c>
      <c r="B103" s="45" t="s">
        <v>53</v>
      </c>
      <c r="C103" s="46"/>
      <c r="D103" s="47">
        <v>0</v>
      </c>
      <c r="E103" s="92"/>
      <c r="F103" s="48">
        <f t="shared" si="5"/>
        <v>0</v>
      </c>
      <c r="G103" s="92"/>
      <c r="H103" s="106"/>
      <c r="I103" s="106"/>
      <c r="L103" s="112"/>
    </row>
    <row r="104" spans="1:12" x14ac:dyDescent="0.25">
      <c r="A104" s="19" t="s">
        <v>2697</v>
      </c>
      <c r="B104" s="19" t="s">
        <v>54</v>
      </c>
      <c r="C104" s="20"/>
      <c r="D104" s="21">
        <v>0</v>
      </c>
      <c r="E104" s="88">
        <f>VLOOKUP(A104,'Previous week'!$A$3:$F$1765,6,FALSE)</f>
        <v>0</v>
      </c>
      <c r="F104" s="22">
        <f t="shared" si="5"/>
        <v>0</v>
      </c>
      <c r="G104" s="88">
        <f>VLOOKUP(A104,'Current week'!$A$3:$F$1765,6,0)</f>
        <v>0</v>
      </c>
      <c r="H104" s="101">
        <f t="shared" si="3"/>
        <v>0</v>
      </c>
      <c r="I104" s="101">
        <f t="shared" si="4"/>
        <v>0</v>
      </c>
      <c r="L104" s="112"/>
    </row>
    <row r="105" spans="1:12" x14ac:dyDescent="0.25">
      <c r="A105" s="33" t="s">
        <v>2698</v>
      </c>
      <c r="B105" s="33" t="s">
        <v>367</v>
      </c>
      <c r="C105" s="34" t="s">
        <v>55</v>
      </c>
      <c r="D105" s="35">
        <v>0</v>
      </c>
      <c r="E105" s="88">
        <f>VLOOKUP(A105,'Previous week'!$A$3:$F$1765,6,FALSE)</f>
        <v>1</v>
      </c>
      <c r="F105" s="22">
        <f t="shared" si="5"/>
        <v>0</v>
      </c>
      <c r="G105" s="88">
        <f>VLOOKUP(A105,'Current week'!$A$3:$F$1765,6,0)</f>
        <v>1</v>
      </c>
      <c r="H105" s="104">
        <f t="shared" si="3"/>
        <v>0</v>
      </c>
      <c r="I105" s="104">
        <f t="shared" si="4"/>
        <v>0</v>
      </c>
      <c r="L105" s="112"/>
    </row>
    <row r="106" spans="1:12" x14ac:dyDescent="0.25">
      <c r="A106" s="23" t="s">
        <v>2699</v>
      </c>
      <c r="B106" s="23" t="s">
        <v>368</v>
      </c>
      <c r="C106" s="24" t="s">
        <v>58</v>
      </c>
      <c r="D106" s="25">
        <v>0</v>
      </c>
      <c r="E106" s="88">
        <f>VLOOKUP(A106,'Previous week'!$A$3:$F$1765,6,FALSE)</f>
        <v>1</v>
      </c>
      <c r="F106" s="22">
        <f t="shared" si="5"/>
        <v>0</v>
      </c>
      <c r="G106" s="88">
        <f>VLOOKUP(A106,'Current week'!$A$3:$F$1765,6,0)</f>
        <v>1</v>
      </c>
      <c r="H106" s="102">
        <f t="shared" si="3"/>
        <v>0</v>
      </c>
      <c r="I106" s="102">
        <f t="shared" si="4"/>
        <v>0</v>
      </c>
      <c r="L106" s="112"/>
    </row>
    <row r="107" spans="1:12" x14ac:dyDescent="0.25">
      <c r="A107" s="45" t="s">
        <v>2700</v>
      </c>
      <c r="B107" s="45" t="s">
        <v>369</v>
      </c>
      <c r="C107" s="46" t="s">
        <v>61</v>
      </c>
      <c r="D107" s="47">
        <v>0</v>
      </c>
      <c r="E107" s="92"/>
      <c r="F107" s="48">
        <f t="shared" si="5"/>
        <v>0</v>
      </c>
      <c r="G107" s="92"/>
      <c r="H107" s="106"/>
      <c r="I107" s="106"/>
      <c r="L107" s="112"/>
    </row>
    <row r="108" spans="1:12" x14ac:dyDescent="0.25">
      <c r="A108" s="19" t="s">
        <v>2701</v>
      </c>
      <c r="B108" s="19" t="s">
        <v>370</v>
      </c>
      <c r="C108" s="20" t="s">
        <v>56</v>
      </c>
      <c r="D108" s="21">
        <v>0</v>
      </c>
      <c r="E108" s="88">
        <f>VLOOKUP(A108,'Previous week'!$A$3:$F$1765,6,FALSE)</f>
        <v>1</v>
      </c>
      <c r="F108" s="22">
        <f t="shared" si="5"/>
        <v>0</v>
      </c>
      <c r="G108" s="88">
        <f>VLOOKUP(A108,'Current week'!$A$3:$F$1765,6,0)</f>
        <v>1</v>
      </c>
      <c r="H108" s="101">
        <f t="shared" si="3"/>
        <v>0</v>
      </c>
      <c r="I108" s="101">
        <f t="shared" si="4"/>
        <v>0</v>
      </c>
      <c r="L108" s="112"/>
    </row>
    <row r="109" spans="1:12" x14ac:dyDescent="0.25">
      <c r="A109" s="33" t="s">
        <v>2702</v>
      </c>
      <c r="B109" s="33" t="s">
        <v>371</v>
      </c>
      <c r="C109" s="34" t="s">
        <v>57</v>
      </c>
      <c r="D109" s="35">
        <v>0</v>
      </c>
      <c r="E109" s="88">
        <f>VLOOKUP(A109,'Previous week'!$A$3:$F$1765,6,FALSE)</f>
        <v>1</v>
      </c>
      <c r="F109" s="22">
        <f t="shared" si="5"/>
        <v>0</v>
      </c>
      <c r="G109" s="88">
        <f>VLOOKUP(A109,'Current week'!$A$3:$F$1765,6,0)</f>
        <v>1</v>
      </c>
      <c r="H109" s="104">
        <f t="shared" si="3"/>
        <v>0</v>
      </c>
      <c r="I109" s="104">
        <f t="shared" si="4"/>
        <v>0</v>
      </c>
      <c r="L109" s="112"/>
    </row>
    <row r="110" spans="1:12" x14ac:dyDescent="0.25">
      <c r="A110" s="23" t="s">
        <v>2703</v>
      </c>
      <c r="B110" s="23" t="s">
        <v>372</v>
      </c>
      <c r="C110" s="24" t="s">
        <v>59</v>
      </c>
      <c r="D110" s="25">
        <v>0</v>
      </c>
      <c r="E110" s="88">
        <f>VLOOKUP(A110,'Previous week'!$A$3:$F$1765,6,FALSE)</f>
        <v>1</v>
      </c>
      <c r="F110" s="22">
        <f t="shared" si="5"/>
        <v>0</v>
      </c>
      <c r="G110" s="88">
        <f>VLOOKUP(A110,'Current week'!$A$3:$F$1765,6,0)</f>
        <v>1</v>
      </c>
      <c r="H110" s="102">
        <f t="shared" si="3"/>
        <v>0</v>
      </c>
      <c r="I110" s="102">
        <f t="shared" si="4"/>
        <v>0</v>
      </c>
      <c r="L110" s="112"/>
    </row>
    <row r="111" spans="1:12" x14ac:dyDescent="0.25">
      <c r="A111" s="45" t="s">
        <v>2704</v>
      </c>
      <c r="B111" s="45" t="s">
        <v>373</v>
      </c>
      <c r="C111" s="46" t="s">
        <v>60</v>
      </c>
      <c r="D111" s="47">
        <v>0</v>
      </c>
      <c r="E111" s="92"/>
      <c r="F111" s="48">
        <f t="shared" si="5"/>
        <v>0</v>
      </c>
      <c r="G111" s="92"/>
      <c r="H111" s="106"/>
      <c r="I111" s="106"/>
      <c r="L111" s="112"/>
    </row>
    <row r="112" spans="1:12" x14ac:dyDescent="0.25">
      <c r="A112" s="19" t="s">
        <v>2705</v>
      </c>
      <c r="B112" s="19" t="s">
        <v>374</v>
      </c>
      <c r="C112" s="20" t="s">
        <v>63</v>
      </c>
      <c r="D112" s="21">
        <v>0</v>
      </c>
      <c r="E112" s="88">
        <f>VLOOKUP(A112,'Previous week'!$A$3:$F$1765,6,FALSE)</f>
        <v>1</v>
      </c>
      <c r="F112" s="22">
        <f t="shared" si="5"/>
        <v>0</v>
      </c>
      <c r="G112" s="88">
        <f>VLOOKUP(A112,'Current week'!$A$3:$F$1765,6,0)</f>
        <v>1</v>
      </c>
      <c r="H112" s="101">
        <f t="shared" si="3"/>
        <v>0</v>
      </c>
      <c r="I112" s="101">
        <f t="shared" si="4"/>
        <v>0</v>
      </c>
      <c r="L112" s="112"/>
    </row>
    <row r="113" spans="1:12" x14ac:dyDescent="0.25">
      <c r="A113" s="33" t="s">
        <v>2706</v>
      </c>
      <c r="B113" s="33" t="s">
        <v>375</v>
      </c>
      <c r="C113" s="34" t="s">
        <v>62</v>
      </c>
      <c r="D113" s="35">
        <v>0</v>
      </c>
      <c r="E113" s="88">
        <f>VLOOKUP(A113,'Previous week'!$A$3:$F$1765,6,FALSE)</f>
        <v>1</v>
      </c>
      <c r="F113" s="22">
        <f t="shared" si="5"/>
        <v>0</v>
      </c>
      <c r="G113" s="88">
        <f>VLOOKUP(A113,'Current week'!$A$3:$F$1765,6,0)</f>
        <v>1</v>
      </c>
      <c r="H113" s="104">
        <f t="shared" si="3"/>
        <v>0</v>
      </c>
      <c r="I113" s="104">
        <f t="shared" si="4"/>
        <v>0</v>
      </c>
      <c r="L113" s="112"/>
    </row>
    <row r="114" spans="1:12" x14ac:dyDescent="0.25">
      <c r="A114" s="23" t="s">
        <v>2707</v>
      </c>
      <c r="B114" s="23" t="s">
        <v>67</v>
      </c>
      <c r="C114" s="24"/>
      <c r="D114" s="25">
        <v>0</v>
      </c>
      <c r="E114" s="88">
        <f>VLOOKUP(A114,'Previous week'!$A$3:$F$1765,6,FALSE)</f>
        <v>0</v>
      </c>
      <c r="F114" s="22">
        <f t="shared" si="5"/>
        <v>0</v>
      </c>
      <c r="G114" s="88">
        <f>VLOOKUP(A114,'Current week'!$A$3:$F$1765,6,0)</f>
        <v>0</v>
      </c>
      <c r="H114" s="102">
        <f t="shared" si="3"/>
        <v>0</v>
      </c>
      <c r="I114" s="102">
        <f t="shared" si="4"/>
        <v>0</v>
      </c>
      <c r="L114" s="112"/>
    </row>
    <row r="115" spans="1:12" x14ac:dyDescent="0.25">
      <c r="A115" s="45" t="s">
        <v>2708</v>
      </c>
      <c r="B115" s="45" t="s">
        <v>376</v>
      </c>
      <c r="C115" s="46" t="s">
        <v>377</v>
      </c>
      <c r="D115" s="47">
        <v>0</v>
      </c>
      <c r="E115" s="92"/>
      <c r="F115" s="48">
        <f t="shared" si="5"/>
        <v>0</v>
      </c>
      <c r="G115" s="92"/>
      <c r="H115" s="106"/>
      <c r="I115" s="106"/>
      <c r="L115" s="112"/>
    </row>
    <row r="116" spans="1:12" x14ac:dyDescent="0.25">
      <c r="A116" s="19" t="s">
        <v>2709</v>
      </c>
      <c r="B116" s="19" t="s">
        <v>378</v>
      </c>
      <c r="C116" s="20" t="s">
        <v>379</v>
      </c>
      <c r="D116" s="21">
        <v>0</v>
      </c>
      <c r="E116" s="88">
        <f>VLOOKUP(A116,'Previous week'!$A$3:$F$1765,6,FALSE)</f>
        <v>1</v>
      </c>
      <c r="F116" s="22">
        <f t="shared" si="5"/>
        <v>0</v>
      </c>
      <c r="G116" s="88">
        <f>VLOOKUP(A116,'Current week'!$A$3:$F$1765,6,0)</f>
        <v>1</v>
      </c>
      <c r="H116" s="101">
        <f t="shared" si="3"/>
        <v>0</v>
      </c>
      <c r="I116" s="101">
        <f t="shared" si="4"/>
        <v>0</v>
      </c>
      <c r="L116" s="112"/>
    </row>
    <row r="117" spans="1:12" x14ac:dyDescent="0.25">
      <c r="A117" s="33" t="s">
        <v>2710</v>
      </c>
      <c r="B117" s="33" t="s">
        <v>380</v>
      </c>
      <c r="C117" s="34" t="s">
        <v>381</v>
      </c>
      <c r="D117" s="35">
        <v>0</v>
      </c>
      <c r="E117" s="88">
        <f>VLOOKUP(A117,'Previous week'!$A$3:$F$1765,6,FALSE)</f>
        <v>1</v>
      </c>
      <c r="F117" s="22">
        <f t="shared" si="5"/>
        <v>0</v>
      </c>
      <c r="G117" s="88">
        <f>VLOOKUP(A117,'Current week'!$A$3:$F$1765,6,0)</f>
        <v>1</v>
      </c>
      <c r="H117" s="104">
        <f t="shared" si="3"/>
        <v>0</v>
      </c>
      <c r="I117" s="104">
        <f t="shared" si="4"/>
        <v>0</v>
      </c>
      <c r="L117" s="112"/>
    </row>
    <row r="118" spans="1:12" x14ac:dyDescent="0.25">
      <c r="A118" s="33" t="s">
        <v>2711</v>
      </c>
      <c r="B118" s="33" t="s">
        <v>382</v>
      </c>
      <c r="C118" s="34"/>
      <c r="D118" s="35">
        <v>0</v>
      </c>
      <c r="E118" s="88">
        <f>VLOOKUP(A118,'Previous week'!$A$3:$F$1765,6,FALSE)</f>
        <v>0</v>
      </c>
      <c r="F118" s="22">
        <f t="shared" si="5"/>
        <v>0</v>
      </c>
      <c r="G118" s="88">
        <f>VLOOKUP(A118,'Current week'!$A$3:$F$1765,6,0)</f>
        <v>0</v>
      </c>
      <c r="H118" s="104">
        <f t="shared" si="3"/>
        <v>0</v>
      </c>
      <c r="I118" s="104">
        <f t="shared" si="4"/>
        <v>0</v>
      </c>
      <c r="L118" s="112"/>
    </row>
    <row r="119" spans="1:12" x14ac:dyDescent="0.25">
      <c r="A119" s="33" t="s">
        <v>2712</v>
      </c>
      <c r="B119" s="33" t="s">
        <v>383</v>
      </c>
      <c r="C119" s="34" t="s">
        <v>384</v>
      </c>
      <c r="D119" s="35">
        <v>0</v>
      </c>
      <c r="E119" s="88">
        <f>VLOOKUP(A119,'Previous week'!$A$3:$F$1765,6,FALSE)</f>
        <v>1</v>
      </c>
      <c r="F119" s="22">
        <f t="shared" si="5"/>
        <v>0</v>
      </c>
      <c r="G119" s="88">
        <f>VLOOKUP(A119,'Current week'!$A$3:$F$1765,6,0)</f>
        <v>1</v>
      </c>
      <c r="H119" s="104">
        <f t="shared" si="3"/>
        <v>0</v>
      </c>
      <c r="I119" s="104">
        <f t="shared" si="4"/>
        <v>0</v>
      </c>
      <c r="L119" s="112"/>
    </row>
    <row r="120" spans="1:12" x14ac:dyDescent="0.25">
      <c r="A120" s="33" t="s">
        <v>2713</v>
      </c>
      <c r="B120" s="33" t="s">
        <v>385</v>
      </c>
      <c r="C120" s="34" t="s">
        <v>386</v>
      </c>
      <c r="D120" s="35">
        <v>0</v>
      </c>
      <c r="E120" s="88">
        <f>VLOOKUP(A120,'Previous week'!$A$3:$F$1765,6,FALSE)</f>
        <v>1</v>
      </c>
      <c r="F120" s="22">
        <f t="shared" si="5"/>
        <v>0</v>
      </c>
      <c r="G120" s="88">
        <f>VLOOKUP(A120,'Current week'!$A$3:$F$1765,6,0)</f>
        <v>1</v>
      </c>
      <c r="H120" s="104">
        <f t="shared" si="3"/>
        <v>0</v>
      </c>
      <c r="I120" s="104">
        <f t="shared" si="4"/>
        <v>0</v>
      </c>
      <c r="L120" s="112"/>
    </row>
    <row r="121" spans="1:12" x14ac:dyDescent="0.25">
      <c r="A121" s="33" t="s">
        <v>2714</v>
      </c>
      <c r="B121" s="33" t="s">
        <v>387</v>
      </c>
      <c r="C121" s="34" t="s">
        <v>388</v>
      </c>
      <c r="D121" s="35">
        <v>0</v>
      </c>
      <c r="E121" s="88">
        <f>VLOOKUP(A121,'Previous week'!$A$3:$F$1765,6,FALSE)</f>
        <v>1</v>
      </c>
      <c r="F121" s="22">
        <f t="shared" si="5"/>
        <v>0</v>
      </c>
      <c r="G121" s="88">
        <f>VLOOKUP(A121,'Current week'!$A$3:$F$1765,6,0)</f>
        <v>1</v>
      </c>
      <c r="H121" s="104">
        <f t="shared" si="3"/>
        <v>0</v>
      </c>
      <c r="I121" s="104">
        <f t="shared" si="4"/>
        <v>0</v>
      </c>
      <c r="L121" s="112"/>
    </row>
    <row r="122" spans="1:12" x14ac:dyDescent="0.25">
      <c r="A122" s="23" t="s">
        <v>2715</v>
      </c>
      <c r="B122" s="23" t="s">
        <v>389</v>
      </c>
      <c r="C122" s="24"/>
      <c r="D122" s="25">
        <v>0</v>
      </c>
      <c r="E122" s="88">
        <f>VLOOKUP(A122,'Previous week'!$A$3:$F$1765,6,FALSE)</f>
        <v>0</v>
      </c>
      <c r="F122" s="22">
        <f t="shared" si="5"/>
        <v>0</v>
      </c>
      <c r="G122" s="88">
        <f>VLOOKUP(A122,'Current week'!$A$3:$F$1765,6,0)</f>
        <v>0</v>
      </c>
      <c r="H122" s="102">
        <f t="shared" si="3"/>
        <v>0</v>
      </c>
      <c r="I122" s="102">
        <f t="shared" si="4"/>
        <v>0</v>
      </c>
      <c r="L122" s="112"/>
    </row>
    <row r="123" spans="1:12" x14ac:dyDescent="0.25">
      <c r="A123" s="41" t="s">
        <v>2716</v>
      </c>
      <c r="B123" s="41" t="s">
        <v>390</v>
      </c>
      <c r="C123" s="42" t="s">
        <v>391</v>
      </c>
      <c r="D123" s="43">
        <v>0</v>
      </c>
      <c r="E123" s="91"/>
      <c r="F123" s="44">
        <f t="shared" si="5"/>
        <v>0</v>
      </c>
      <c r="G123" s="91"/>
      <c r="H123" s="103"/>
      <c r="I123" s="103"/>
      <c r="L123" s="112"/>
    </row>
    <row r="124" spans="1:12" x14ac:dyDescent="0.25">
      <c r="A124" s="45" t="s">
        <v>2717</v>
      </c>
      <c r="B124" s="45" t="s">
        <v>392</v>
      </c>
      <c r="C124" s="46" t="s">
        <v>393</v>
      </c>
      <c r="D124" s="47">
        <v>0</v>
      </c>
      <c r="E124" s="92"/>
      <c r="F124" s="48">
        <f t="shared" si="5"/>
        <v>0</v>
      </c>
      <c r="G124" s="92"/>
      <c r="H124" s="106"/>
      <c r="I124" s="106"/>
      <c r="L124" s="112"/>
    </row>
    <row r="125" spans="1:12" x14ac:dyDescent="0.25">
      <c r="A125" s="19" t="s">
        <v>2718</v>
      </c>
      <c r="B125" s="19" t="s">
        <v>394</v>
      </c>
      <c r="C125" s="20" t="s">
        <v>395</v>
      </c>
      <c r="D125" s="21">
        <v>0</v>
      </c>
      <c r="E125" s="88">
        <f>VLOOKUP(A125,'Previous week'!$A$3:$F$1765,6,FALSE)</f>
        <v>1</v>
      </c>
      <c r="F125" s="22">
        <f t="shared" si="5"/>
        <v>0</v>
      </c>
      <c r="G125" s="88">
        <f>VLOOKUP(A125,'Current week'!$A$3:$F$1765,6,0)</f>
        <v>1</v>
      </c>
      <c r="H125" s="101">
        <f t="shared" si="3"/>
        <v>0</v>
      </c>
      <c r="I125" s="101">
        <f t="shared" si="4"/>
        <v>0</v>
      </c>
      <c r="L125" s="112"/>
    </row>
    <row r="126" spans="1:12" x14ac:dyDescent="0.25">
      <c r="A126" s="33" t="s">
        <v>2719</v>
      </c>
      <c r="B126" s="33" t="s">
        <v>396</v>
      </c>
      <c r="C126" s="34"/>
      <c r="D126" s="35">
        <v>0</v>
      </c>
      <c r="E126" s="88">
        <f>VLOOKUP(A126,'Previous week'!$A$3:$F$1765,6,FALSE)</f>
        <v>0</v>
      </c>
      <c r="F126" s="22">
        <f t="shared" si="5"/>
        <v>0</v>
      </c>
      <c r="G126" s="88">
        <f>VLOOKUP(A126,'Current week'!$A$3:$F$1765,6,0)</f>
        <v>0</v>
      </c>
      <c r="H126" s="104">
        <f t="shared" si="3"/>
        <v>0</v>
      </c>
      <c r="I126" s="104">
        <f t="shared" si="4"/>
        <v>0</v>
      </c>
      <c r="L126" s="112"/>
    </row>
    <row r="127" spans="1:12" x14ac:dyDescent="0.25">
      <c r="A127" s="33" t="s">
        <v>2720</v>
      </c>
      <c r="B127" s="33" t="s">
        <v>397</v>
      </c>
      <c r="C127" s="34" t="s">
        <v>398</v>
      </c>
      <c r="D127" s="35">
        <v>0</v>
      </c>
      <c r="E127" s="88">
        <f>VLOOKUP(A127,'Previous week'!$A$3:$F$1765,6,FALSE)</f>
        <v>1</v>
      </c>
      <c r="F127" s="22">
        <f t="shared" si="5"/>
        <v>0</v>
      </c>
      <c r="G127" s="88">
        <f>VLOOKUP(A127,'Current week'!$A$3:$F$1765,6,0)</f>
        <v>1</v>
      </c>
      <c r="H127" s="104">
        <f t="shared" si="3"/>
        <v>0</v>
      </c>
      <c r="I127" s="104">
        <f t="shared" si="4"/>
        <v>0</v>
      </c>
      <c r="L127" s="112"/>
    </row>
    <row r="128" spans="1:12" x14ac:dyDescent="0.25">
      <c r="A128" s="33" t="s">
        <v>2721</v>
      </c>
      <c r="B128" s="33" t="s">
        <v>399</v>
      </c>
      <c r="C128" s="34" t="s">
        <v>65</v>
      </c>
      <c r="D128" s="35">
        <v>0</v>
      </c>
      <c r="E128" s="88">
        <f>VLOOKUP(A128,'Previous week'!$A$3:$F$1765,6,FALSE)</f>
        <v>1</v>
      </c>
      <c r="F128" s="22">
        <f t="shared" si="5"/>
        <v>0</v>
      </c>
      <c r="G128" s="88">
        <f>VLOOKUP(A128,'Current week'!$A$3:$F$1765,6,0)</f>
        <v>1</v>
      </c>
      <c r="H128" s="104">
        <f t="shared" si="3"/>
        <v>0</v>
      </c>
      <c r="I128" s="104">
        <f t="shared" si="4"/>
        <v>0</v>
      </c>
      <c r="L128" s="112"/>
    </row>
    <row r="129" spans="1:12" x14ac:dyDescent="0.25">
      <c r="A129" s="33" t="s">
        <v>2722</v>
      </c>
      <c r="B129" s="33" t="s">
        <v>400</v>
      </c>
      <c r="C129" s="34" t="s">
        <v>66</v>
      </c>
      <c r="D129" s="35">
        <v>0</v>
      </c>
      <c r="E129" s="88">
        <f>VLOOKUP(A129,'Previous week'!$A$3:$F$1765,6,FALSE)</f>
        <v>1</v>
      </c>
      <c r="F129" s="22">
        <f t="shared" si="5"/>
        <v>0</v>
      </c>
      <c r="G129" s="88">
        <f>VLOOKUP(A129,'Current week'!$A$3:$F$1765,6,0)</f>
        <v>1</v>
      </c>
      <c r="H129" s="104">
        <f t="shared" si="3"/>
        <v>0</v>
      </c>
      <c r="I129" s="104">
        <f t="shared" si="4"/>
        <v>0</v>
      </c>
      <c r="L129" s="112"/>
    </row>
    <row r="130" spans="1:12" x14ac:dyDescent="0.25">
      <c r="A130" s="33" t="s">
        <v>2723</v>
      </c>
      <c r="B130" s="33" t="s">
        <v>64</v>
      </c>
      <c r="C130" s="34"/>
      <c r="D130" s="35">
        <v>0</v>
      </c>
      <c r="E130" s="88">
        <f>VLOOKUP(A130,'Previous week'!$A$3:$F$1765,6,FALSE)</f>
        <v>0</v>
      </c>
      <c r="F130" s="22">
        <f t="shared" si="5"/>
        <v>0</v>
      </c>
      <c r="G130" s="88">
        <f>VLOOKUP(A130,'Current week'!$A$3:$F$1765,6,0)</f>
        <v>0</v>
      </c>
      <c r="H130" s="104">
        <f t="shared" ref="H130:H193" si="6">G130*D130</f>
        <v>0</v>
      </c>
      <c r="I130" s="104">
        <f t="shared" ref="I130:I193" si="7">F130*D130</f>
        <v>0</v>
      </c>
      <c r="L130" s="112"/>
    </row>
    <row r="131" spans="1:12" x14ac:dyDescent="0.25">
      <c r="A131" s="33" t="s">
        <v>2724</v>
      </c>
      <c r="B131" s="33" t="s">
        <v>401</v>
      </c>
      <c r="C131" s="34" t="s">
        <v>402</v>
      </c>
      <c r="D131" s="35">
        <v>0</v>
      </c>
      <c r="E131" s="88">
        <f>VLOOKUP(A131,'Previous week'!$A$3:$F$1765,6,FALSE)</f>
        <v>1</v>
      </c>
      <c r="F131" s="22">
        <f t="shared" ref="F131:F194" si="8">G131-E131</f>
        <v>0</v>
      </c>
      <c r="G131" s="88">
        <f>VLOOKUP(A131,'Current week'!$A$3:$F$1765,6,0)</f>
        <v>1</v>
      </c>
      <c r="H131" s="104">
        <f t="shared" si="6"/>
        <v>0</v>
      </c>
      <c r="I131" s="104">
        <f t="shared" si="7"/>
        <v>0</v>
      </c>
      <c r="L131" s="112"/>
    </row>
    <row r="132" spans="1:12" x14ac:dyDescent="0.25">
      <c r="A132" s="33" t="s">
        <v>2725</v>
      </c>
      <c r="B132" s="33" t="s">
        <v>403</v>
      </c>
      <c r="C132" s="34" t="s">
        <v>404</v>
      </c>
      <c r="D132" s="35">
        <v>0</v>
      </c>
      <c r="E132" s="88">
        <f>VLOOKUP(A132,'Previous week'!$A$3:$F$1765,6,FALSE)</f>
        <v>1</v>
      </c>
      <c r="F132" s="22">
        <f t="shared" si="8"/>
        <v>0</v>
      </c>
      <c r="G132" s="88">
        <f>VLOOKUP(A132,'Current week'!$A$3:$F$1765,6,0)</f>
        <v>1</v>
      </c>
      <c r="H132" s="104">
        <f t="shared" si="6"/>
        <v>0</v>
      </c>
      <c r="I132" s="104">
        <f t="shared" si="7"/>
        <v>0</v>
      </c>
      <c r="L132" s="112"/>
    </row>
    <row r="133" spans="1:12" x14ac:dyDescent="0.25">
      <c r="A133" s="23" t="s">
        <v>2726</v>
      </c>
      <c r="B133" s="23" t="s">
        <v>405</v>
      </c>
      <c r="C133" s="24" t="s">
        <v>406</v>
      </c>
      <c r="D133" s="25">
        <v>0</v>
      </c>
      <c r="E133" s="88">
        <f>VLOOKUP(A133,'Previous week'!$A$3:$F$1765,6,FALSE)</f>
        <v>1</v>
      </c>
      <c r="F133" s="22">
        <f t="shared" si="8"/>
        <v>0</v>
      </c>
      <c r="G133" s="88">
        <f>VLOOKUP(A133,'Current week'!$A$3:$F$1765,6,0)</f>
        <v>1</v>
      </c>
      <c r="H133" s="102">
        <f t="shared" si="6"/>
        <v>0</v>
      </c>
      <c r="I133" s="102">
        <f t="shared" si="7"/>
        <v>0</v>
      </c>
      <c r="L133" s="112"/>
    </row>
    <row r="134" spans="1:12" x14ac:dyDescent="0.25">
      <c r="A134" s="45" t="s">
        <v>2727</v>
      </c>
      <c r="B134" s="45" t="s">
        <v>407</v>
      </c>
      <c r="C134" s="46"/>
      <c r="D134" s="47">
        <v>0</v>
      </c>
      <c r="E134" s="92"/>
      <c r="F134" s="48">
        <f t="shared" si="8"/>
        <v>0</v>
      </c>
      <c r="G134" s="92"/>
      <c r="H134" s="106"/>
      <c r="I134" s="106"/>
      <c r="L134" s="112"/>
    </row>
    <row r="135" spans="1:12" x14ac:dyDescent="0.25">
      <c r="A135" s="19" t="s">
        <v>2728</v>
      </c>
      <c r="B135" s="19" t="s">
        <v>408</v>
      </c>
      <c r="C135" s="20" t="s">
        <v>409</v>
      </c>
      <c r="D135" s="21">
        <v>0</v>
      </c>
      <c r="E135" s="88">
        <f>VLOOKUP(A135,'Previous week'!$A$3:$F$1765,6,FALSE)</f>
        <v>1</v>
      </c>
      <c r="F135" s="22">
        <f t="shared" si="8"/>
        <v>0</v>
      </c>
      <c r="G135" s="88">
        <f>VLOOKUP(A135,'Current week'!$A$3:$F$1765,6,0)</f>
        <v>1</v>
      </c>
      <c r="H135" s="101">
        <f t="shared" si="6"/>
        <v>0</v>
      </c>
      <c r="I135" s="101">
        <f t="shared" si="7"/>
        <v>0</v>
      </c>
      <c r="L135" s="112"/>
    </row>
    <row r="136" spans="1:12" x14ac:dyDescent="0.25">
      <c r="A136" s="33" t="s">
        <v>2729</v>
      </c>
      <c r="B136" s="33" t="s">
        <v>410</v>
      </c>
      <c r="C136" s="34"/>
      <c r="D136" s="35">
        <v>0</v>
      </c>
      <c r="E136" s="88">
        <f>VLOOKUP(A136,'Previous week'!$A$3:$F$1765,6,FALSE)</f>
        <v>0</v>
      </c>
      <c r="F136" s="22">
        <f t="shared" si="8"/>
        <v>0</v>
      </c>
      <c r="G136" s="88">
        <f>VLOOKUP(A136,'Current week'!$A$3:$F$1765,6,0)</f>
        <v>0</v>
      </c>
      <c r="H136" s="104">
        <f t="shared" si="6"/>
        <v>0</v>
      </c>
      <c r="I136" s="104">
        <f t="shared" si="7"/>
        <v>0</v>
      </c>
      <c r="L136" s="112"/>
    </row>
    <row r="137" spans="1:12" x14ac:dyDescent="0.25">
      <c r="A137" s="23" t="s">
        <v>2730</v>
      </c>
      <c r="B137" s="23" t="s">
        <v>411</v>
      </c>
      <c r="C137" s="24" t="s">
        <v>412</v>
      </c>
      <c r="D137" s="25">
        <v>0</v>
      </c>
      <c r="E137" s="88">
        <f>VLOOKUP(A137,'Previous week'!$A$3:$F$1765,6,FALSE)</f>
        <v>1</v>
      </c>
      <c r="F137" s="22">
        <f t="shared" si="8"/>
        <v>0</v>
      </c>
      <c r="G137" s="88">
        <f>VLOOKUP(A137,'Current week'!$A$3:$F$1765,6,0)</f>
        <v>1</v>
      </c>
      <c r="H137" s="102">
        <f t="shared" si="6"/>
        <v>0</v>
      </c>
      <c r="I137" s="102">
        <f t="shared" si="7"/>
        <v>0</v>
      </c>
      <c r="L137" s="112"/>
    </row>
    <row r="138" spans="1:12" x14ac:dyDescent="0.25">
      <c r="A138" s="45" t="s">
        <v>2731</v>
      </c>
      <c r="B138" s="45" t="s">
        <v>413</v>
      </c>
      <c r="C138" s="46"/>
      <c r="D138" s="47">
        <v>0</v>
      </c>
      <c r="E138" s="92"/>
      <c r="F138" s="48">
        <f t="shared" si="8"/>
        <v>0</v>
      </c>
      <c r="G138" s="92"/>
      <c r="H138" s="106"/>
      <c r="I138" s="106"/>
      <c r="L138" s="112"/>
    </row>
    <row r="139" spans="1:12" x14ac:dyDescent="0.25">
      <c r="A139" s="19" t="s">
        <v>2732</v>
      </c>
      <c r="B139" s="19" t="s">
        <v>414</v>
      </c>
      <c r="C139" s="20" t="s">
        <v>415</v>
      </c>
      <c r="D139" s="21">
        <v>0</v>
      </c>
      <c r="E139" s="88">
        <f>VLOOKUP(A139,'Previous week'!$A$3:$F$1765,6,FALSE)</f>
        <v>1</v>
      </c>
      <c r="F139" s="22">
        <f t="shared" si="8"/>
        <v>0</v>
      </c>
      <c r="G139" s="88">
        <f>VLOOKUP(A139,'Current week'!$A$3:$F$1765,6,0)</f>
        <v>1</v>
      </c>
      <c r="H139" s="101">
        <f t="shared" si="6"/>
        <v>0</v>
      </c>
      <c r="I139" s="101">
        <f t="shared" si="7"/>
        <v>0</v>
      </c>
      <c r="L139" s="112"/>
    </row>
    <row r="140" spans="1:12" x14ac:dyDescent="0.25">
      <c r="A140" s="33" t="s">
        <v>2733</v>
      </c>
      <c r="B140" s="33" t="s">
        <v>416</v>
      </c>
      <c r="C140" s="34" t="s">
        <v>417</v>
      </c>
      <c r="D140" s="35">
        <v>0</v>
      </c>
      <c r="E140" s="88">
        <f>VLOOKUP(A140,'Previous week'!$A$3:$F$1765,6,FALSE)</f>
        <v>1</v>
      </c>
      <c r="F140" s="22">
        <f t="shared" si="8"/>
        <v>0</v>
      </c>
      <c r="G140" s="88">
        <f>VLOOKUP(A140,'Current week'!$A$3:$F$1765,6,0)</f>
        <v>1</v>
      </c>
      <c r="H140" s="104">
        <f t="shared" si="6"/>
        <v>0</v>
      </c>
      <c r="I140" s="104">
        <f t="shared" si="7"/>
        <v>0</v>
      </c>
      <c r="L140" s="112"/>
    </row>
    <row r="141" spans="1:12" x14ac:dyDescent="0.25">
      <c r="A141" s="23" t="s">
        <v>2734</v>
      </c>
      <c r="B141" s="23" t="s">
        <v>418</v>
      </c>
      <c r="C141" s="24" t="s">
        <v>419</v>
      </c>
      <c r="D141" s="25">
        <v>0</v>
      </c>
      <c r="E141" s="88">
        <f>VLOOKUP(A141,'Previous week'!$A$3:$F$1765,6,FALSE)</f>
        <v>1</v>
      </c>
      <c r="F141" s="22">
        <f t="shared" si="8"/>
        <v>0</v>
      </c>
      <c r="G141" s="88">
        <f>VLOOKUP(A141,'Current week'!$A$3:$F$1765,6,0)</f>
        <v>1</v>
      </c>
      <c r="H141" s="102">
        <f t="shared" si="6"/>
        <v>0</v>
      </c>
      <c r="I141" s="102">
        <f t="shared" si="7"/>
        <v>0</v>
      </c>
      <c r="L141" s="112"/>
    </row>
    <row r="142" spans="1:12" x14ac:dyDescent="0.25">
      <c r="A142" s="45" t="s">
        <v>2735</v>
      </c>
      <c r="B142" s="45" t="s">
        <v>420</v>
      </c>
      <c r="C142" s="46" t="s">
        <v>421</v>
      </c>
      <c r="D142" s="47">
        <v>0</v>
      </c>
      <c r="E142" s="92"/>
      <c r="F142" s="48">
        <f t="shared" si="8"/>
        <v>0</v>
      </c>
      <c r="G142" s="92"/>
      <c r="H142" s="106"/>
      <c r="I142" s="106"/>
      <c r="L142" s="112"/>
    </row>
    <row r="143" spans="1:12" x14ac:dyDescent="0.25">
      <c r="A143" s="19" t="s">
        <v>2736</v>
      </c>
      <c r="B143" s="19" t="s">
        <v>422</v>
      </c>
      <c r="C143" s="20"/>
      <c r="D143" s="21">
        <v>0</v>
      </c>
      <c r="E143" s="88">
        <f>VLOOKUP(A143,'Previous week'!$A$3:$F$1765,6,FALSE)</f>
        <v>0</v>
      </c>
      <c r="F143" s="22">
        <f t="shared" si="8"/>
        <v>0</v>
      </c>
      <c r="G143" s="88">
        <f>VLOOKUP(A143,'Current week'!$A$3:$F$1765,6,0)</f>
        <v>0</v>
      </c>
      <c r="H143" s="101">
        <f t="shared" si="6"/>
        <v>0</v>
      </c>
      <c r="I143" s="101">
        <f t="shared" si="7"/>
        <v>0</v>
      </c>
      <c r="L143" s="112"/>
    </row>
    <row r="144" spans="1:12" x14ac:dyDescent="0.25">
      <c r="A144" s="33" t="s">
        <v>2737</v>
      </c>
      <c r="B144" s="33" t="s">
        <v>423</v>
      </c>
      <c r="C144" s="34" t="s">
        <v>424</v>
      </c>
      <c r="D144" s="35">
        <v>0</v>
      </c>
      <c r="E144" s="88">
        <f>VLOOKUP(A144,'Previous week'!$A$3:$F$1765,6,FALSE)</f>
        <v>1</v>
      </c>
      <c r="F144" s="22">
        <f t="shared" si="8"/>
        <v>0</v>
      </c>
      <c r="G144" s="88">
        <f>VLOOKUP(A144,'Current week'!$A$3:$F$1765,6,0)</f>
        <v>1</v>
      </c>
      <c r="H144" s="104">
        <f t="shared" si="6"/>
        <v>0</v>
      </c>
      <c r="I144" s="104">
        <f t="shared" si="7"/>
        <v>0</v>
      </c>
      <c r="L144" s="112"/>
    </row>
    <row r="145" spans="1:12" x14ac:dyDescent="0.25">
      <c r="A145" s="23" t="s">
        <v>2738</v>
      </c>
      <c r="B145" s="23" t="s">
        <v>425</v>
      </c>
      <c r="C145" s="24" t="s">
        <v>426</v>
      </c>
      <c r="D145" s="25">
        <v>0</v>
      </c>
      <c r="E145" s="88">
        <f>VLOOKUP(A145,'Previous week'!$A$3:$F$1765,6,FALSE)</f>
        <v>1</v>
      </c>
      <c r="F145" s="22">
        <f t="shared" si="8"/>
        <v>0</v>
      </c>
      <c r="G145" s="88">
        <f>VLOOKUP(A145,'Current week'!$A$3:$F$1765,6,0)</f>
        <v>1</v>
      </c>
      <c r="H145" s="102">
        <f t="shared" si="6"/>
        <v>0</v>
      </c>
      <c r="I145" s="102">
        <f t="shared" si="7"/>
        <v>0</v>
      </c>
      <c r="L145" s="112"/>
    </row>
    <row r="146" spans="1:12" x14ac:dyDescent="0.25">
      <c r="A146" s="45" t="s">
        <v>2739</v>
      </c>
      <c r="B146" s="45" t="s">
        <v>427</v>
      </c>
      <c r="C146" s="46" t="s">
        <v>428</v>
      </c>
      <c r="D146" s="47">
        <v>0</v>
      </c>
      <c r="E146" s="92"/>
      <c r="F146" s="48">
        <f t="shared" si="8"/>
        <v>0</v>
      </c>
      <c r="G146" s="92"/>
      <c r="H146" s="106"/>
      <c r="I146" s="106"/>
      <c r="L146" s="112"/>
    </row>
    <row r="147" spans="1:12" x14ac:dyDescent="0.25">
      <c r="A147" s="19" t="s">
        <v>2740</v>
      </c>
      <c r="B147" s="19" t="s">
        <v>429</v>
      </c>
      <c r="C147" s="20" t="s">
        <v>430</v>
      </c>
      <c r="D147" s="21">
        <v>0</v>
      </c>
      <c r="E147" s="88">
        <f>VLOOKUP(A147,'Previous week'!$A$3:$F$1765,6,FALSE)</f>
        <v>1</v>
      </c>
      <c r="F147" s="22">
        <f t="shared" si="8"/>
        <v>0</v>
      </c>
      <c r="G147" s="88">
        <f>VLOOKUP(A147,'Current week'!$A$3:$F$1765,6,0)</f>
        <v>1</v>
      </c>
      <c r="H147" s="101">
        <f t="shared" si="6"/>
        <v>0</v>
      </c>
      <c r="I147" s="101">
        <f t="shared" si="7"/>
        <v>0</v>
      </c>
      <c r="L147" s="112"/>
    </row>
    <row r="148" spans="1:12" x14ac:dyDescent="0.25">
      <c r="A148" s="33" t="s">
        <v>2741</v>
      </c>
      <c r="B148" s="33" t="s">
        <v>68</v>
      </c>
      <c r="C148" s="34"/>
      <c r="D148" s="35">
        <v>0</v>
      </c>
      <c r="E148" s="88">
        <f>VLOOKUP(A148,'Previous week'!$A$3:$F$1765,6,FALSE)</f>
        <v>0</v>
      </c>
      <c r="F148" s="22">
        <f t="shared" si="8"/>
        <v>0</v>
      </c>
      <c r="G148" s="88">
        <f>VLOOKUP(A148,'Current week'!$A$3:$F$1765,6,0)</f>
        <v>0</v>
      </c>
      <c r="H148" s="104">
        <f t="shared" si="6"/>
        <v>0</v>
      </c>
      <c r="I148" s="104">
        <f t="shared" si="7"/>
        <v>0</v>
      </c>
      <c r="L148" s="112"/>
    </row>
    <row r="149" spans="1:12" x14ac:dyDescent="0.25">
      <c r="A149" s="23" t="s">
        <v>2742</v>
      </c>
      <c r="B149" s="23" t="s">
        <v>69</v>
      </c>
      <c r="C149" s="24"/>
      <c r="D149" s="25">
        <v>0</v>
      </c>
      <c r="E149" s="88">
        <f>VLOOKUP(A149,'Previous week'!$A$3:$F$1765,6,FALSE)</f>
        <v>0</v>
      </c>
      <c r="F149" s="22">
        <f t="shared" si="8"/>
        <v>0</v>
      </c>
      <c r="G149" s="88">
        <f>VLOOKUP(A149,'Current week'!$A$3:$F$1765,6,0)</f>
        <v>0</v>
      </c>
      <c r="H149" s="102">
        <f t="shared" si="6"/>
        <v>0</v>
      </c>
      <c r="I149" s="102">
        <f t="shared" si="7"/>
        <v>0</v>
      </c>
      <c r="L149" s="112"/>
    </row>
    <row r="150" spans="1:12" x14ac:dyDescent="0.25">
      <c r="A150" s="45" t="s">
        <v>2743</v>
      </c>
      <c r="B150" s="45" t="s">
        <v>431</v>
      </c>
      <c r="C150" s="46" t="s">
        <v>432</v>
      </c>
      <c r="D150" s="47">
        <v>0</v>
      </c>
      <c r="E150" s="92"/>
      <c r="F150" s="48">
        <f t="shared" si="8"/>
        <v>0</v>
      </c>
      <c r="G150" s="92"/>
      <c r="H150" s="106"/>
      <c r="I150" s="106"/>
      <c r="L150" s="112"/>
    </row>
    <row r="151" spans="1:12" x14ac:dyDescent="0.25">
      <c r="A151" s="19" t="s">
        <v>2744</v>
      </c>
      <c r="B151" s="19" t="s">
        <v>433</v>
      </c>
      <c r="C151" s="20" t="s">
        <v>70</v>
      </c>
      <c r="D151" s="21">
        <v>0</v>
      </c>
      <c r="E151" s="88">
        <f>VLOOKUP(A151,'Previous week'!$A$3:$F$1765,6,FALSE)</f>
        <v>1</v>
      </c>
      <c r="F151" s="22">
        <f t="shared" si="8"/>
        <v>0</v>
      </c>
      <c r="G151" s="88">
        <f>VLOOKUP(A151,'Current week'!$A$3:$F$1765,6,0)</f>
        <v>1</v>
      </c>
      <c r="H151" s="101">
        <f t="shared" si="6"/>
        <v>0</v>
      </c>
      <c r="I151" s="101">
        <f t="shared" si="7"/>
        <v>0</v>
      </c>
      <c r="L151" s="112"/>
    </row>
    <row r="152" spans="1:12" x14ac:dyDescent="0.25">
      <c r="A152" s="33" t="s">
        <v>2745</v>
      </c>
      <c r="B152" s="33" t="s">
        <v>434</v>
      </c>
      <c r="C152" s="34" t="s">
        <v>71</v>
      </c>
      <c r="D152" s="35">
        <v>0</v>
      </c>
      <c r="E152" s="88">
        <f>VLOOKUP(A152,'Previous week'!$A$3:$F$1765,6,FALSE)</f>
        <v>1</v>
      </c>
      <c r="F152" s="22">
        <f t="shared" si="8"/>
        <v>0</v>
      </c>
      <c r="G152" s="88">
        <f>VLOOKUP(A152,'Current week'!$A$3:$F$1765,6,0)</f>
        <v>1</v>
      </c>
      <c r="H152" s="104">
        <f t="shared" si="6"/>
        <v>0</v>
      </c>
      <c r="I152" s="104">
        <f t="shared" si="7"/>
        <v>0</v>
      </c>
      <c r="L152" s="112"/>
    </row>
    <row r="153" spans="1:12" x14ac:dyDescent="0.25">
      <c r="A153" s="23" t="s">
        <v>2746</v>
      </c>
      <c r="B153" s="23" t="s">
        <v>435</v>
      </c>
      <c r="C153" s="24" t="s">
        <v>436</v>
      </c>
      <c r="D153" s="25">
        <v>0</v>
      </c>
      <c r="E153" s="88">
        <f>VLOOKUP(A153,'Previous week'!$A$3:$F$1765,6,FALSE)</f>
        <v>1</v>
      </c>
      <c r="F153" s="22">
        <f t="shared" si="8"/>
        <v>0</v>
      </c>
      <c r="G153" s="88">
        <f>VLOOKUP(A153,'Current week'!$A$3:$F$1765,6,0)</f>
        <v>1</v>
      </c>
      <c r="H153" s="102">
        <f t="shared" si="6"/>
        <v>0</v>
      </c>
      <c r="I153" s="102">
        <f t="shared" si="7"/>
        <v>0</v>
      </c>
      <c r="L153" s="112"/>
    </row>
    <row r="154" spans="1:12" x14ac:dyDescent="0.25">
      <c r="A154" s="45" t="s">
        <v>2747</v>
      </c>
      <c r="B154" s="45" t="s">
        <v>72</v>
      </c>
      <c r="C154" s="46"/>
      <c r="D154" s="47">
        <v>0</v>
      </c>
      <c r="E154" s="92"/>
      <c r="F154" s="48">
        <f t="shared" si="8"/>
        <v>0</v>
      </c>
      <c r="G154" s="92"/>
      <c r="H154" s="106"/>
      <c r="I154" s="106"/>
      <c r="L154" s="112"/>
    </row>
    <row r="155" spans="1:12" x14ac:dyDescent="0.25">
      <c r="A155" s="19" t="s">
        <v>2748</v>
      </c>
      <c r="B155" s="19" t="s">
        <v>437</v>
      </c>
      <c r="C155" s="20" t="s">
        <v>438</v>
      </c>
      <c r="D155" s="21">
        <v>0</v>
      </c>
      <c r="E155" s="88">
        <f>VLOOKUP(A155,'Previous week'!$A$3:$F$1765,6,FALSE)</f>
        <v>1</v>
      </c>
      <c r="F155" s="22">
        <f t="shared" si="8"/>
        <v>0</v>
      </c>
      <c r="G155" s="88">
        <f>VLOOKUP(A155,'Current week'!$A$3:$F$1765,6,0)</f>
        <v>1</v>
      </c>
      <c r="H155" s="101">
        <f t="shared" si="6"/>
        <v>0</v>
      </c>
      <c r="I155" s="101">
        <f t="shared" si="7"/>
        <v>0</v>
      </c>
      <c r="L155" s="112"/>
    </row>
    <row r="156" spans="1:12" x14ac:dyDescent="0.25">
      <c r="A156" s="33" t="s">
        <v>2749</v>
      </c>
      <c r="B156" s="33" t="s">
        <v>439</v>
      </c>
      <c r="C156" s="34" t="s">
        <v>73</v>
      </c>
      <c r="D156" s="35">
        <v>0</v>
      </c>
      <c r="E156" s="88">
        <f>VLOOKUP(A156,'Previous week'!$A$3:$F$1765,6,FALSE)</f>
        <v>1</v>
      </c>
      <c r="F156" s="22">
        <f t="shared" si="8"/>
        <v>0</v>
      </c>
      <c r="G156" s="88">
        <f>VLOOKUP(A156,'Current week'!$A$3:$F$1765,6,0)</f>
        <v>1</v>
      </c>
      <c r="H156" s="104">
        <f t="shared" si="6"/>
        <v>0</v>
      </c>
      <c r="I156" s="104">
        <f t="shared" si="7"/>
        <v>0</v>
      </c>
      <c r="L156" s="112"/>
    </row>
    <row r="157" spans="1:12" x14ac:dyDescent="0.25">
      <c r="A157" s="33" t="s">
        <v>2750</v>
      </c>
      <c r="B157" s="33" t="s">
        <v>440</v>
      </c>
      <c r="C157" s="34" t="s">
        <v>74</v>
      </c>
      <c r="D157" s="35">
        <v>0</v>
      </c>
      <c r="E157" s="88">
        <f>VLOOKUP(A157,'Previous week'!$A$3:$F$1765,6,FALSE)</f>
        <v>1</v>
      </c>
      <c r="F157" s="22">
        <f t="shared" si="8"/>
        <v>0</v>
      </c>
      <c r="G157" s="88">
        <f>VLOOKUP(A157,'Current week'!$A$3:$F$1765,6,0)</f>
        <v>1</v>
      </c>
      <c r="H157" s="104">
        <f t="shared" si="6"/>
        <v>0</v>
      </c>
      <c r="I157" s="104">
        <f t="shared" si="7"/>
        <v>0</v>
      </c>
      <c r="L157" s="112"/>
    </row>
    <row r="158" spans="1:12" x14ac:dyDescent="0.25">
      <c r="A158" s="33" t="s">
        <v>2751</v>
      </c>
      <c r="B158" s="33" t="s">
        <v>441</v>
      </c>
      <c r="C158" s="34" t="s">
        <v>442</v>
      </c>
      <c r="D158" s="35">
        <v>0</v>
      </c>
      <c r="E158" s="88">
        <f>VLOOKUP(A158,'Previous week'!$A$3:$F$1765,6,FALSE)</f>
        <v>1</v>
      </c>
      <c r="F158" s="22">
        <f t="shared" si="8"/>
        <v>0</v>
      </c>
      <c r="G158" s="88">
        <f>VLOOKUP(A158,'Current week'!$A$3:$F$1765,6,0)</f>
        <v>1</v>
      </c>
      <c r="H158" s="104">
        <f t="shared" si="6"/>
        <v>0</v>
      </c>
      <c r="I158" s="104">
        <f t="shared" si="7"/>
        <v>0</v>
      </c>
      <c r="L158" s="112"/>
    </row>
    <row r="159" spans="1:12" x14ac:dyDescent="0.25">
      <c r="A159" s="33" t="s">
        <v>2752</v>
      </c>
      <c r="B159" s="33" t="s">
        <v>443</v>
      </c>
      <c r="C159" s="34"/>
      <c r="D159" s="35">
        <v>0</v>
      </c>
      <c r="E159" s="88">
        <f>VLOOKUP(A159,'Previous week'!$A$3:$F$1765,6,FALSE)</f>
        <v>0</v>
      </c>
      <c r="F159" s="22">
        <f t="shared" si="8"/>
        <v>0</v>
      </c>
      <c r="G159" s="88">
        <f>VLOOKUP(A159,'Current week'!$A$3:$F$1765,6,0)</f>
        <v>0</v>
      </c>
      <c r="H159" s="104">
        <f t="shared" si="6"/>
        <v>0</v>
      </c>
      <c r="I159" s="104">
        <f t="shared" si="7"/>
        <v>0</v>
      </c>
      <c r="L159" s="112"/>
    </row>
    <row r="160" spans="1:12" x14ac:dyDescent="0.25">
      <c r="A160" s="33" t="s">
        <v>2753</v>
      </c>
      <c r="B160" s="33" t="s">
        <v>444</v>
      </c>
      <c r="C160" s="34" t="s">
        <v>445</v>
      </c>
      <c r="D160" s="35">
        <v>0</v>
      </c>
      <c r="E160" s="88">
        <f>VLOOKUP(A160,'Previous week'!$A$3:$F$1765,6,FALSE)</f>
        <v>1</v>
      </c>
      <c r="F160" s="22">
        <f t="shared" si="8"/>
        <v>0</v>
      </c>
      <c r="G160" s="88">
        <f>VLOOKUP(A160,'Current week'!$A$3:$F$1765,6,0)</f>
        <v>1</v>
      </c>
      <c r="H160" s="104">
        <f t="shared" si="6"/>
        <v>0</v>
      </c>
      <c r="I160" s="104">
        <f t="shared" si="7"/>
        <v>0</v>
      </c>
      <c r="L160" s="112"/>
    </row>
    <row r="161" spans="1:12" x14ac:dyDescent="0.25">
      <c r="A161" s="23" t="s">
        <v>2754</v>
      </c>
      <c r="B161" s="23" t="s">
        <v>446</v>
      </c>
      <c r="C161" s="24" t="s">
        <v>447</v>
      </c>
      <c r="D161" s="25">
        <v>0</v>
      </c>
      <c r="E161" s="88">
        <f>VLOOKUP(A161,'Previous week'!$A$3:$F$1765,6,FALSE)</f>
        <v>1</v>
      </c>
      <c r="F161" s="22">
        <f t="shared" si="8"/>
        <v>0</v>
      </c>
      <c r="G161" s="88">
        <f>VLOOKUP(A161,'Current week'!$A$3:$F$1765,6,0)</f>
        <v>1</v>
      </c>
      <c r="H161" s="102">
        <f t="shared" si="6"/>
        <v>0</v>
      </c>
      <c r="I161" s="102">
        <f t="shared" si="7"/>
        <v>0</v>
      </c>
      <c r="L161" s="112"/>
    </row>
    <row r="162" spans="1:12" x14ac:dyDescent="0.25">
      <c r="A162" s="26" t="s">
        <v>2755</v>
      </c>
      <c r="B162" s="26" t="s">
        <v>448</v>
      </c>
      <c r="C162" s="27" t="s">
        <v>449</v>
      </c>
      <c r="D162" s="28">
        <v>0</v>
      </c>
      <c r="E162" s="89"/>
      <c r="F162" s="18">
        <f t="shared" si="8"/>
        <v>0</v>
      </c>
      <c r="G162" s="89"/>
      <c r="H162" s="100"/>
      <c r="I162" s="100"/>
      <c r="L162" s="112"/>
    </row>
    <row r="163" spans="1:12" x14ac:dyDescent="0.25">
      <c r="A163" s="29" t="s">
        <v>2756</v>
      </c>
      <c r="B163" s="29" t="s">
        <v>450</v>
      </c>
      <c r="C163" s="30" t="s">
        <v>451</v>
      </c>
      <c r="D163" s="31">
        <v>0</v>
      </c>
      <c r="E163" s="90"/>
      <c r="F163" s="32">
        <f t="shared" si="8"/>
        <v>0</v>
      </c>
      <c r="G163" s="90"/>
      <c r="H163" s="103"/>
      <c r="I163" s="103"/>
      <c r="L163" s="112"/>
    </row>
    <row r="164" spans="1:12" x14ac:dyDescent="0.25">
      <c r="A164" s="19" t="s">
        <v>2757</v>
      </c>
      <c r="B164" s="19" t="s">
        <v>75</v>
      </c>
      <c r="C164" s="20"/>
      <c r="D164" s="21">
        <v>1719130.43</v>
      </c>
      <c r="E164" s="88">
        <f>VLOOKUP(A164,'Previous week'!$A$3:$F$1765,6,FALSE)</f>
        <v>1</v>
      </c>
      <c r="F164" s="22">
        <f t="shared" si="8"/>
        <v>0</v>
      </c>
      <c r="G164" s="88">
        <f>VLOOKUP(A164,'Current week'!$A$3:$F$1765,6,0)</f>
        <v>1</v>
      </c>
      <c r="H164" s="101">
        <f t="shared" si="6"/>
        <v>1719130.43</v>
      </c>
      <c r="I164" s="101">
        <f t="shared" si="7"/>
        <v>0</v>
      </c>
      <c r="L164" s="112"/>
    </row>
    <row r="165" spans="1:12" x14ac:dyDescent="0.25">
      <c r="A165" s="33" t="s">
        <v>2758</v>
      </c>
      <c r="B165" s="33" t="s">
        <v>452</v>
      </c>
      <c r="C165" s="34"/>
      <c r="D165" s="35">
        <v>0</v>
      </c>
      <c r="E165" s="88">
        <f>VLOOKUP(A165,'Previous week'!$A$3:$F$1765,6,FALSE)</f>
        <v>0</v>
      </c>
      <c r="F165" s="22">
        <f t="shared" si="8"/>
        <v>0</v>
      </c>
      <c r="G165" s="88">
        <f>VLOOKUP(A165,'Current week'!$A$3:$F$1765,6,0)</f>
        <v>0</v>
      </c>
      <c r="H165" s="104">
        <f t="shared" si="6"/>
        <v>0</v>
      </c>
      <c r="I165" s="104">
        <f t="shared" si="7"/>
        <v>0</v>
      </c>
      <c r="L165" s="112"/>
    </row>
    <row r="166" spans="1:12" x14ac:dyDescent="0.25">
      <c r="A166" s="33" t="s">
        <v>2759</v>
      </c>
      <c r="B166" s="33" t="s">
        <v>76</v>
      </c>
      <c r="C166" s="34"/>
      <c r="D166" s="35">
        <v>0</v>
      </c>
      <c r="E166" s="88">
        <f>VLOOKUP(A166,'Previous week'!$A$3:$F$1765,6,FALSE)</f>
        <v>0</v>
      </c>
      <c r="F166" s="22">
        <f t="shared" si="8"/>
        <v>0</v>
      </c>
      <c r="G166" s="88">
        <f>VLOOKUP(A166,'Current week'!$A$3:$F$1765,6,0)</f>
        <v>0</v>
      </c>
      <c r="H166" s="104">
        <f t="shared" si="6"/>
        <v>0</v>
      </c>
      <c r="I166" s="104">
        <f t="shared" si="7"/>
        <v>0</v>
      </c>
      <c r="L166" s="112"/>
    </row>
    <row r="167" spans="1:12" x14ac:dyDescent="0.25">
      <c r="A167" s="33" t="s">
        <v>2760</v>
      </c>
      <c r="B167" s="33" t="s">
        <v>77</v>
      </c>
      <c r="C167" s="34"/>
      <c r="D167" s="35">
        <v>0</v>
      </c>
      <c r="E167" s="88">
        <f>VLOOKUP(A167,'Previous week'!$A$3:$F$1765,6,FALSE)</f>
        <v>0</v>
      </c>
      <c r="F167" s="22">
        <f t="shared" si="8"/>
        <v>0</v>
      </c>
      <c r="G167" s="88">
        <f>VLOOKUP(A167,'Current week'!$A$3:$F$1765,6,0)</f>
        <v>0</v>
      </c>
      <c r="H167" s="104">
        <f t="shared" si="6"/>
        <v>0</v>
      </c>
      <c r="I167" s="104">
        <f t="shared" si="7"/>
        <v>0</v>
      </c>
      <c r="L167" s="112"/>
    </row>
    <row r="168" spans="1:12" x14ac:dyDescent="0.25">
      <c r="A168" s="33" t="s">
        <v>2761</v>
      </c>
      <c r="B168" s="33" t="s">
        <v>453</v>
      </c>
      <c r="C168" s="34" t="s">
        <v>78</v>
      </c>
      <c r="D168" s="35">
        <v>0</v>
      </c>
      <c r="E168" s="88">
        <f>VLOOKUP(A168,'Previous week'!$A$3:$F$1765,6,FALSE)</f>
        <v>1</v>
      </c>
      <c r="F168" s="22">
        <f t="shared" si="8"/>
        <v>0</v>
      </c>
      <c r="G168" s="88">
        <f>VLOOKUP(A168,'Current week'!$A$3:$F$1765,6,0)</f>
        <v>1</v>
      </c>
      <c r="H168" s="104">
        <f t="shared" si="6"/>
        <v>0</v>
      </c>
      <c r="I168" s="104">
        <f t="shared" si="7"/>
        <v>0</v>
      </c>
      <c r="L168" s="112"/>
    </row>
    <row r="169" spans="1:12" x14ac:dyDescent="0.25">
      <c r="A169" s="33" t="s">
        <v>2762</v>
      </c>
      <c r="B169" s="33" t="s">
        <v>454</v>
      </c>
      <c r="C169" s="34" t="s">
        <v>132</v>
      </c>
      <c r="D169" s="35">
        <v>0</v>
      </c>
      <c r="E169" s="88">
        <f>VLOOKUP(A169,'Previous week'!$A$3:$F$1765,6,FALSE)</f>
        <v>1</v>
      </c>
      <c r="F169" s="22">
        <f t="shared" si="8"/>
        <v>0</v>
      </c>
      <c r="G169" s="88">
        <f>VLOOKUP(A169,'Current week'!$A$3:$F$1765,6,0)</f>
        <v>1</v>
      </c>
      <c r="H169" s="104">
        <f t="shared" si="6"/>
        <v>0</v>
      </c>
      <c r="I169" s="104">
        <f t="shared" si="7"/>
        <v>0</v>
      </c>
      <c r="L169" s="112"/>
    </row>
    <row r="170" spans="1:12" x14ac:dyDescent="0.25">
      <c r="A170" s="33" t="s">
        <v>2763</v>
      </c>
      <c r="B170" s="33" t="s">
        <v>80</v>
      </c>
      <c r="C170" s="34"/>
      <c r="D170" s="35">
        <v>0</v>
      </c>
      <c r="E170" s="88">
        <f>VLOOKUP(A170,'Previous week'!$A$3:$F$1765,6,FALSE)</f>
        <v>0</v>
      </c>
      <c r="F170" s="22">
        <f t="shared" si="8"/>
        <v>0</v>
      </c>
      <c r="G170" s="88">
        <f>VLOOKUP(A170,'Current week'!$A$3:$F$1765,6,0)</f>
        <v>0</v>
      </c>
      <c r="H170" s="104">
        <f t="shared" si="6"/>
        <v>0</v>
      </c>
      <c r="I170" s="104">
        <f t="shared" si="7"/>
        <v>0</v>
      </c>
      <c r="L170" s="112"/>
    </row>
    <row r="171" spans="1:12" x14ac:dyDescent="0.25">
      <c r="A171" s="33" t="s">
        <v>2764</v>
      </c>
      <c r="B171" s="33" t="s">
        <v>455</v>
      </c>
      <c r="C171" s="34" t="s">
        <v>81</v>
      </c>
      <c r="D171" s="35">
        <v>0</v>
      </c>
      <c r="E171" s="88">
        <f>VLOOKUP(A171,'Previous week'!$A$3:$F$1765,6,FALSE)</f>
        <v>1</v>
      </c>
      <c r="F171" s="22">
        <f t="shared" si="8"/>
        <v>0</v>
      </c>
      <c r="G171" s="88">
        <f>VLOOKUP(A171,'Current week'!$A$3:$F$1765,6,0)</f>
        <v>1</v>
      </c>
      <c r="H171" s="104">
        <f t="shared" si="6"/>
        <v>0</v>
      </c>
      <c r="I171" s="104">
        <f t="shared" si="7"/>
        <v>0</v>
      </c>
      <c r="L171" s="112"/>
    </row>
    <row r="172" spans="1:12" x14ac:dyDescent="0.25">
      <c r="A172" s="33" t="s">
        <v>2765</v>
      </c>
      <c r="B172" s="33" t="s">
        <v>456</v>
      </c>
      <c r="C172" s="34" t="s">
        <v>134</v>
      </c>
      <c r="D172" s="35">
        <v>0</v>
      </c>
      <c r="E172" s="88">
        <f>VLOOKUP(A172,'Previous week'!$A$3:$F$1765,6,FALSE)</f>
        <v>1</v>
      </c>
      <c r="F172" s="22">
        <f t="shared" si="8"/>
        <v>0</v>
      </c>
      <c r="G172" s="88">
        <f>VLOOKUP(A172,'Current week'!$A$3:$F$1765,6,0)</f>
        <v>1</v>
      </c>
      <c r="H172" s="104">
        <f t="shared" si="6"/>
        <v>0</v>
      </c>
      <c r="I172" s="104">
        <f t="shared" si="7"/>
        <v>0</v>
      </c>
      <c r="L172" s="112"/>
    </row>
    <row r="173" spans="1:12" x14ac:dyDescent="0.25">
      <c r="A173" s="33" t="s">
        <v>2766</v>
      </c>
      <c r="B173" s="33" t="s">
        <v>83</v>
      </c>
      <c r="C173" s="34"/>
      <c r="D173" s="35">
        <v>0</v>
      </c>
      <c r="E173" s="88">
        <f>VLOOKUP(A173,'Previous week'!$A$3:$F$1765,6,FALSE)</f>
        <v>0</v>
      </c>
      <c r="F173" s="22">
        <f t="shared" si="8"/>
        <v>0</v>
      </c>
      <c r="G173" s="88">
        <f>VLOOKUP(A173,'Current week'!$A$3:$F$1765,6,0)</f>
        <v>0</v>
      </c>
      <c r="H173" s="104">
        <f t="shared" si="6"/>
        <v>0</v>
      </c>
      <c r="I173" s="104">
        <f t="shared" si="7"/>
        <v>0</v>
      </c>
      <c r="L173" s="112"/>
    </row>
    <row r="174" spans="1:12" x14ac:dyDescent="0.25">
      <c r="A174" s="33" t="s">
        <v>2767</v>
      </c>
      <c r="B174" s="33" t="s">
        <v>457</v>
      </c>
      <c r="C174" s="34" t="s">
        <v>84</v>
      </c>
      <c r="D174" s="35">
        <v>0</v>
      </c>
      <c r="E174" s="88">
        <f>VLOOKUP(A174,'Previous week'!$A$3:$F$1765,6,FALSE)</f>
        <v>1</v>
      </c>
      <c r="F174" s="22">
        <f t="shared" si="8"/>
        <v>0</v>
      </c>
      <c r="G174" s="88">
        <f>VLOOKUP(A174,'Current week'!$A$3:$F$1765,6,0)</f>
        <v>1</v>
      </c>
      <c r="H174" s="104">
        <f t="shared" si="6"/>
        <v>0</v>
      </c>
      <c r="I174" s="104">
        <f t="shared" si="7"/>
        <v>0</v>
      </c>
      <c r="L174" s="112"/>
    </row>
    <row r="175" spans="1:12" x14ac:dyDescent="0.25">
      <c r="A175" s="33" t="s">
        <v>2768</v>
      </c>
      <c r="B175" s="33" t="s">
        <v>458</v>
      </c>
      <c r="C175" s="34" t="s">
        <v>136</v>
      </c>
      <c r="D175" s="35">
        <v>0</v>
      </c>
      <c r="E175" s="88">
        <f>VLOOKUP(A175,'Previous week'!$A$3:$F$1765,6,FALSE)</f>
        <v>1</v>
      </c>
      <c r="F175" s="22">
        <f t="shared" si="8"/>
        <v>0</v>
      </c>
      <c r="G175" s="88">
        <f>VLOOKUP(A175,'Current week'!$A$3:$F$1765,6,0)</f>
        <v>1</v>
      </c>
      <c r="H175" s="104">
        <f t="shared" si="6"/>
        <v>0</v>
      </c>
      <c r="I175" s="104">
        <f t="shared" si="7"/>
        <v>0</v>
      </c>
      <c r="L175" s="112"/>
    </row>
    <row r="176" spans="1:12" x14ac:dyDescent="0.25">
      <c r="A176" s="33" t="s">
        <v>2769</v>
      </c>
      <c r="B176" s="33" t="s">
        <v>86</v>
      </c>
      <c r="C176" s="34"/>
      <c r="D176" s="35">
        <v>0</v>
      </c>
      <c r="E176" s="88">
        <f>VLOOKUP(A176,'Previous week'!$A$3:$F$1765,6,FALSE)</f>
        <v>0</v>
      </c>
      <c r="F176" s="22">
        <f t="shared" si="8"/>
        <v>0</v>
      </c>
      <c r="G176" s="88">
        <f>VLOOKUP(A176,'Current week'!$A$3:$F$1765,6,0)</f>
        <v>0</v>
      </c>
      <c r="H176" s="104">
        <f t="shared" si="6"/>
        <v>0</v>
      </c>
      <c r="I176" s="104">
        <f t="shared" si="7"/>
        <v>0</v>
      </c>
      <c r="L176" s="112"/>
    </row>
    <row r="177" spans="1:12" x14ac:dyDescent="0.25">
      <c r="A177" s="33" t="s">
        <v>2770</v>
      </c>
      <c r="B177" s="33" t="s">
        <v>459</v>
      </c>
      <c r="C177" s="34" t="s">
        <v>87</v>
      </c>
      <c r="D177" s="35">
        <v>0</v>
      </c>
      <c r="E177" s="88">
        <f>VLOOKUP(A177,'Previous week'!$A$3:$F$1765,6,FALSE)</f>
        <v>1</v>
      </c>
      <c r="F177" s="22">
        <f t="shared" si="8"/>
        <v>0</v>
      </c>
      <c r="G177" s="88">
        <f>VLOOKUP(A177,'Current week'!$A$3:$F$1765,6,0)</f>
        <v>1</v>
      </c>
      <c r="H177" s="104">
        <f t="shared" si="6"/>
        <v>0</v>
      </c>
      <c r="I177" s="104">
        <f t="shared" si="7"/>
        <v>0</v>
      </c>
      <c r="L177" s="112"/>
    </row>
    <row r="178" spans="1:12" x14ac:dyDescent="0.25">
      <c r="A178" s="33" t="s">
        <v>2771</v>
      </c>
      <c r="B178" s="33" t="s">
        <v>460</v>
      </c>
      <c r="C178" s="34" t="s">
        <v>138</v>
      </c>
      <c r="D178" s="35">
        <v>0</v>
      </c>
      <c r="E178" s="88">
        <f>VLOOKUP(A178,'Previous week'!$A$3:$F$1765,6,FALSE)</f>
        <v>1</v>
      </c>
      <c r="F178" s="22">
        <f t="shared" si="8"/>
        <v>0</v>
      </c>
      <c r="G178" s="88">
        <f>VLOOKUP(A178,'Current week'!$A$3:$F$1765,6,0)</f>
        <v>1</v>
      </c>
      <c r="H178" s="104">
        <f t="shared" si="6"/>
        <v>0</v>
      </c>
      <c r="I178" s="104">
        <f t="shared" si="7"/>
        <v>0</v>
      </c>
      <c r="L178" s="112"/>
    </row>
    <row r="179" spans="1:12" x14ac:dyDescent="0.25">
      <c r="A179" s="23" t="s">
        <v>2772</v>
      </c>
      <c r="B179" s="23" t="s">
        <v>89</v>
      </c>
      <c r="C179" s="24"/>
      <c r="D179" s="25">
        <v>0</v>
      </c>
      <c r="E179" s="88">
        <f>VLOOKUP(A179,'Previous week'!$A$3:$F$1765,6,FALSE)</f>
        <v>0</v>
      </c>
      <c r="F179" s="22">
        <f t="shared" si="8"/>
        <v>0</v>
      </c>
      <c r="G179" s="88">
        <f>VLOOKUP(A179,'Current week'!$A$3:$F$1765,6,0)</f>
        <v>0</v>
      </c>
      <c r="H179" s="102">
        <f t="shared" si="6"/>
        <v>0</v>
      </c>
      <c r="I179" s="102">
        <f t="shared" si="7"/>
        <v>0</v>
      </c>
      <c r="L179" s="112"/>
    </row>
    <row r="180" spans="1:12" x14ac:dyDescent="0.25">
      <c r="A180" s="29" t="s">
        <v>2773</v>
      </c>
      <c r="B180" s="29" t="s">
        <v>461</v>
      </c>
      <c r="C180" s="30" t="s">
        <v>90</v>
      </c>
      <c r="D180" s="31">
        <v>0</v>
      </c>
      <c r="E180" s="90"/>
      <c r="F180" s="32">
        <f t="shared" si="8"/>
        <v>0</v>
      </c>
      <c r="G180" s="90"/>
      <c r="H180" s="103"/>
      <c r="I180" s="103"/>
      <c r="L180" s="112"/>
    </row>
    <row r="181" spans="1:12" x14ac:dyDescent="0.25">
      <c r="A181" s="19" t="s">
        <v>2774</v>
      </c>
      <c r="B181" s="19" t="s">
        <v>462</v>
      </c>
      <c r="C181" s="20" t="s">
        <v>140</v>
      </c>
      <c r="D181" s="21">
        <v>0</v>
      </c>
      <c r="E181" s="88">
        <f>VLOOKUP(A181,'Previous week'!$A$3:$F$1765,6,FALSE)</f>
        <v>1</v>
      </c>
      <c r="F181" s="22">
        <f t="shared" si="8"/>
        <v>0</v>
      </c>
      <c r="G181" s="88">
        <f>VLOOKUP(A181,'Current week'!$A$3:$F$1765,6,0)</f>
        <v>1</v>
      </c>
      <c r="H181" s="101">
        <f t="shared" si="6"/>
        <v>0</v>
      </c>
      <c r="I181" s="101">
        <f t="shared" si="7"/>
        <v>0</v>
      </c>
      <c r="L181" s="112"/>
    </row>
    <row r="182" spans="1:12" x14ac:dyDescent="0.25">
      <c r="A182" s="33" t="s">
        <v>2775</v>
      </c>
      <c r="B182" s="33" t="s">
        <v>92</v>
      </c>
      <c r="C182" s="34"/>
      <c r="D182" s="35">
        <v>0</v>
      </c>
      <c r="E182" s="88">
        <f>VLOOKUP(A182,'Previous week'!$A$3:$F$1765,6,FALSE)</f>
        <v>0</v>
      </c>
      <c r="F182" s="22">
        <f t="shared" si="8"/>
        <v>0</v>
      </c>
      <c r="G182" s="88">
        <f>VLOOKUP(A182,'Current week'!$A$3:$F$1765,6,0)</f>
        <v>0</v>
      </c>
      <c r="H182" s="104">
        <f t="shared" si="6"/>
        <v>0</v>
      </c>
      <c r="I182" s="104">
        <f t="shared" si="7"/>
        <v>0</v>
      </c>
      <c r="L182" s="112"/>
    </row>
    <row r="183" spans="1:12" x14ac:dyDescent="0.25">
      <c r="A183" s="33" t="s">
        <v>2776</v>
      </c>
      <c r="B183" s="33" t="s">
        <v>463</v>
      </c>
      <c r="C183" s="34" t="s">
        <v>141</v>
      </c>
      <c r="D183" s="35">
        <v>0</v>
      </c>
      <c r="E183" s="88">
        <f>VLOOKUP(A183,'Previous week'!$A$3:$F$1765,6,FALSE)</f>
        <v>1</v>
      </c>
      <c r="F183" s="22">
        <f t="shared" si="8"/>
        <v>0</v>
      </c>
      <c r="G183" s="88">
        <f>VLOOKUP(A183,'Current week'!$A$3:$F$1765,6,0)</f>
        <v>1</v>
      </c>
      <c r="H183" s="104">
        <f t="shared" si="6"/>
        <v>0</v>
      </c>
      <c r="I183" s="104">
        <f t="shared" si="7"/>
        <v>0</v>
      </c>
      <c r="L183" s="112"/>
    </row>
    <row r="184" spans="1:12" x14ac:dyDescent="0.25">
      <c r="A184" s="33" t="s">
        <v>2777</v>
      </c>
      <c r="B184" s="33" t="s">
        <v>464</v>
      </c>
      <c r="C184" s="34" t="s">
        <v>93</v>
      </c>
      <c r="D184" s="35">
        <v>0</v>
      </c>
      <c r="E184" s="88">
        <f>VLOOKUP(A184,'Previous week'!$A$3:$F$1765,6,FALSE)</f>
        <v>1</v>
      </c>
      <c r="F184" s="22">
        <f t="shared" si="8"/>
        <v>0</v>
      </c>
      <c r="G184" s="88">
        <f>VLOOKUP(A184,'Current week'!$A$3:$F$1765,6,0)</f>
        <v>1</v>
      </c>
      <c r="H184" s="104">
        <f t="shared" si="6"/>
        <v>0</v>
      </c>
      <c r="I184" s="104">
        <f t="shared" si="7"/>
        <v>0</v>
      </c>
      <c r="L184" s="112"/>
    </row>
    <row r="185" spans="1:12" x14ac:dyDescent="0.25">
      <c r="A185" s="33" t="s">
        <v>2778</v>
      </c>
      <c r="B185" s="33" t="s">
        <v>95</v>
      </c>
      <c r="C185" s="34"/>
      <c r="D185" s="35">
        <v>0</v>
      </c>
      <c r="E185" s="88">
        <f>VLOOKUP(A185,'Previous week'!$A$3:$F$1765,6,FALSE)</f>
        <v>0</v>
      </c>
      <c r="F185" s="22">
        <f t="shared" si="8"/>
        <v>0</v>
      </c>
      <c r="G185" s="88">
        <f>VLOOKUP(A185,'Current week'!$A$3:$F$1765,6,0)</f>
        <v>0</v>
      </c>
      <c r="H185" s="104">
        <f t="shared" si="6"/>
        <v>0</v>
      </c>
      <c r="I185" s="104">
        <f t="shared" si="7"/>
        <v>0</v>
      </c>
      <c r="L185" s="112"/>
    </row>
    <row r="186" spans="1:12" x14ac:dyDescent="0.25">
      <c r="A186" s="33" t="s">
        <v>2779</v>
      </c>
      <c r="B186" s="33" t="s">
        <v>465</v>
      </c>
      <c r="C186" s="34" t="s">
        <v>96</v>
      </c>
      <c r="D186" s="35">
        <v>0</v>
      </c>
      <c r="E186" s="88">
        <f>VLOOKUP(A186,'Previous week'!$A$3:$F$1765,6,FALSE)</f>
        <v>1</v>
      </c>
      <c r="F186" s="22">
        <f t="shared" si="8"/>
        <v>0</v>
      </c>
      <c r="G186" s="88">
        <f>VLOOKUP(A186,'Current week'!$A$3:$F$1765,6,0)</f>
        <v>1</v>
      </c>
      <c r="H186" s="104">
        <f t="shared" si="6"/>
        <v>0</v>
      </c>
      <c r="I186" s="104">
        <f t="shared" si="7"/>
        <v>0</v>
      </c>
      <c r="L186" s="112"/>
    </row>
    <row r="187" spans="1:12" x14ac:dyDescent="0.25">
      <c r="A187" s="33" t="s">
        <v>2780</v>
      </c>
      <c r="B187" s="33" t="s">
        <v>466</v>
      </c>
      <c r="C187" s="34" t="s">
        <v>143</v>
      </c>
      <c r="D187" s="35">
        <v>0</v>
      </c>
      <c r="E187" s="88">
        <f>VLOOKUP(A187,'Previous week'!$A$3:$F$1765,6,FALSE)</f>
        <v>1</v>
      </c>
      <c r="F187" s="22">
        <f t="shared" si="8"/>
        <v>0</v>
      </c>
      <c r="G187" s="88">
        <f>VLOOKUP(A187,'Current week'!$A$3:$F$1765,6,0)</f>
        <v>1</v>
      </c>
      <c r="H187" s="104">
        <f t="shared" si="6"/>
        <v>0</v>
      </c>
      <c r="I187" s="104">
        <f t="shared" si="7"/>
        <v>0</v>
      </c>
      <c r="L187" s="112"/>
    </row>
    <row r="188" spans="1:12" x14ac:dyDescent="0.25">
      <c r="A188" s="33" t="s">
        <v>2781</v>
      </c>
      <c r="B188" s="33" t="s">
        <v>98</v>
      </c>
      <c r="C188" s="34"/>
      <c r="D188" s="35">
        <v>0</v>
      </c>
      <c r="E188" s="88">
        <f>VLOOKUP(A188,'Previous week'!$A$3:$F$1765,6,FALSE)</f>
        <v>0</v>
      </c>
      <c r="F188" s="22">
        <f t="shared" si="8"/>
        <v>0</v>
      </c>
      <c r="G188" s="88">
        <f>VLOOKUP(A188,'Current week'!$A$3:$F$1765,6,0)</f>
        <v>0</v>
      </c>
      <c r="H188" s="104">
        <f t="shared" si="6"/>
        <v>0</v>
      </c>
      <c r="I188" s="104">
        <f t="shared" si="7"/>
        <v>0</v>
      </c>
      <c r="L188" s="112"/>
    </row>
    <row r="189" spans="1:12" x14ac:dyDescent="0.25">
      <c r="A189" s="33" t="s">
        <v>2782</v>
      </c>
      <c r="B189" s="33" t="s">
        <v>467</v>
      </c>
      <c r="C189" s="34" t="s">
        <v>99</v>
      </c>
      <c r="D189" s="35">
        <v>0</v>
      </c>
      <c r="E189" s="88">
        <f>VLOOKUP(A189,'Previous week'!$A$3:$F$1765,6,FALSE)</f>
        <v>1</v>
      </c>
      <c r="F189" s="22">
        <f t="shared" si="8"/>
        <v>0</v>
      </c>
      <c r="G189" s="88">
        <f>VLOOKUP(A189,'Current week'!$A$3:$F$1765,6,0)</f>
        <v>1</v>
      </c>
      <c r="H189" s="104">
        <f t="shared" si="6"/>
        <v>0</v>
      </c>
      <c r="I189" s="104">
        <f t="shared" si="7"/>
        <v>0</v>
      </c>
      <c r="L189" s="112"/>
    </row>
    <row r="190" spans="1:12" x14ac:dyDescent="0.25">
      <c r="A190" s="33" t="s">
        <v>2783</v>
      </c>
      <c r="B190" s="33" t="s">
        <v>468</v>
      </c>
      <c r="C190" s="34" t="s">
        <v>145</v>
      </c>
      <c r="D190" s="35">
        <v>0</v>
      </c>
      <c r="E190" s="88">
        <f>VLOOKUP(A190,'Previous week'!$A$3:$F$1765,6,FALSE)</f>
        <v>1</v>
      </c>
      <c r="F190" s="22">
        <f t="shared" si="8"/>
        <v>0</v>
      </c>
      <c r="G190" s="88">
        <f>VLOOKUP(A190,'Current week'!$A$3:$F$1765,6,0)</f>
        <v>1</v>
      </c>
      <c r="H190" s="104">
        <f t="shared" si="6"/>
        <v>0</v>
      </c>
      <c r="I190" s="104">
        <f t="shared" si="7"/>
        <v>0</v>
      </c>
      <c r="L190" s="112"/>
    </row>
    <row r="191" spans="1:12" x14ac:dyDescent="0.25">
      <c r="A191" s="33" t="s">
        <v>2784</v>
      </c>
      <c r="B191" s="33" t="s">
        <v>101</v>
      </c>
      <c r="C191" s="34"/>
      <c r="D191" s="35">
        <v>0</v>
      </c>
      <c r="E191" s="88">
        <f>VLOOKUP(A191,'Previous week'!$A$3:$F$1765,6,FALSE)</f>
        <v>0</v>
      </c>
      <c r="F191" s="22">
        <f t="shared" si="8"/>
        <v>0</v>
      </c>
      <c r="G191" s="88">
        <f>VLOOKUP(A191,'Current week'!$A$3:$F$1765,6,0)</f>
        <v>0</v>
      </c>
      <c r="H191" s="104">
        <f t="shared" si="6"/>
        <v>0</v>
      </c>
      <c r="I191" s="104">
        <f t="shared" si="7"/>
        <v>0</v>
      </c>
      <c r="L191" s="112"/>
    </row>
    <row r="192" spans="1:12" x14ac:dyDescent="0.25">
      <c r="A192" s="33" t="s">
        <v>2785</v>
      </c>
      <c r="B192" s="33" t="s">
        <v>469</v>
      </c>
      <c r="C192" s="34" t="s">
        <v>102</v>
      </c>
      <c r="D192" s="35">
        <v>0</v>
      </c>
      <c r="E192" s="88">
        <f>VLOOKUP(A192,'Previous week'!$A$3:$F$1765,6,FALSE)</f>
        <v>1</v>
      </c>
      <c r="F192" s="22">
        <f t="shared" si="8"/>
        <v>0</v>
      </c>
      <c r="G192" s="88">
        <f>VLOOKUP(A192,'Current week'!$A$3:$F$1765,6,0)</f>
        <v>1</v>
      </c>
      <c r="H192" s="104">
        <f t="shared" si="6"/>
        <v>0</v>
      </c>
      <c r="I192" s="104">
        <f t="shared" si="7"/>
        <v>0</v>
      </c>
      <c r="L192" s="112"/>
    </row>
    <row r="193" spans="1:12" x14ac:dyDescent="0.25">
      <c r="A193" s="33" t="s">
        <v>2786</v>
      </c>
      <c r="B193" s="33" t="s">
        <v>470</v>
      </c>
      <c r="C193" s="34" t="s">
        <v>147</v>
      </c>
      <c r="D193" s="35">
        <v>0</v>
      </c>
      <c r="E193" s="88">
        <f>VLOOKUP(A193,'Previous week'!$A$3:$F$1765,6,FALSE)</f>
        <v>1</v>
      </c>
      <c r="F193" s="22">
        <f t="shared" si="8"/>
        <v>0</v>
      </c>
      <c r="G193" s="88">
        <f>VLOOKUP(A193,'Current week'!$A$3:$F$1765,6,0)</f>
        <v>1</v>
      </c>
      <c r="H193" s="104">
        <f t="shared" si="6"/>
        <v>0</v>
      </c>
      <c r="I193" s="104">
        <f t="shared" si="7"/>
        <v>0</v>
      </c>
      <c r="L193" s="112"/>
    </row>
    <row r="194" spans="1:12" x14ac:dyDescent="0.25">
      <c r="A194" s="33" t="s">
        <v>2787</v>
      </c>
      <c r="B194" s="33" t="s">
        <v>131</v>
      </c>
      <c r="C194" s="34"/>
      <c r="D194" s="35">
        <v>0</v>
      </c>
      <c r="E194" s="88">
        <f>VLOOKUP(A194,'Previous week'!$A$3:$F$1765,6,FALSE)</f>
        <v>0</v>
      </c>
      <c r="F194" s="22">
        <f t="shared" si="8"/>
        <v>0</v>
      </c>
      <c r="G194" s="88">
        <f>VLOOKUP(A194,'Current week'!$A$3:$F$1765,6,0)</f>
        <v>0</v>
      </c>
      <c r="H194" s="104">
        <f t="shared" ref="H194:H257" si="9">G194*D194</f>
        <v>0</v>
      </c>
      <c r="I194" s="104">
        <f t="shared" ref="I194:I257" si="10">F194*D194</f>
        <v>0</v>
      </c>
      <c r="L194" s="112"/>
    </row>
    <row r="195" spans="1:12" x14ac:dyDescent="0.25">
      <c r="A195" s="33" t="s">
        <v>2788</v>
      </c>
      <c r="B195" s="33" t="s">
        <v>128</v>
      </c>
      <c r="C195" s="34"/>
      <c r="D195" s="35">
        <v>0</v>
      </c>
      <c r="E195" s="88">
        <f>VLOOKUP(A195,'Previous week'!$A$3:$F$1765,6,FALSE)</f>
        <v>0</v>
      </c>
      <c r="F195" s="22">
        <f t="shared" ref="F195:F258" si="11">G195-E195</f>
        <v>0</v>
      </c>
      <c r="G195" s="88">
        <f>VLOOKUP(A195,'Current week'!$A$3:$F$1765,6,0)</f>
        <v>0</v>
      </c>
      <c r="H195" s="104">
        <f t="shared" si="9"/>
        <v>0</v>
      </c>
      <c r="I195" s="104">
        <f t="shared" si="10"/>
        <v>0</v>
      </c>
      <c r="L195" s="112"/>
    </row>
    <row r="196" spans="1:12" x14ac:dyDescent="0.25">
      <c r="A196" s="23" t="s">
        <v>2789</v>
      </c>
      <c r="B196" s="23" t="s">
        <v>471</v>
      </c>
      <c r="C196" s="24" t="s">
        <v>129</v>
      </c>
      <c r="D196" s="25">
        <v>0</v>
      </c>
      <c r="E196" s="88">
        <f>VLOOKUP(A196,'Previous week'!$A$3:$F$1765,6,FALSE)</f>
        <v>1</v>
      </c>
      <c r="F196" s="22">
        <f t="shared" si="11"/>
        <v>0</v>
      </c>
      <c r="G196" s="88">
        <f>VLOOKUP(A196,'Current week'!$A$3:$F$1765,6,0)</f>
        <v>1</v>
      </c>
      <c r="H196" s="102">
        <f t="shared" si="9"/>
        <v>0</v>
      </c>
      <c r="I196" s="102">
        <f t="shared" si="10"/>
        <v>0</v>
      </c>
      <c r="L196" s="112"/>
    </row>
    <row r="197" spans="1:12" x14ac:dyDescent="0.25">
      <c r="A197" s="26" t="s">
        <v>2790</v>
      </c>
      <c r="B197" s="26" t="s">
        <v>472</v>
      </c>
      <c r="C197" s="27" t="s">
        <v>158</v>
      </c>
      <c r="D197" s="49">
        <v>0</v>
      </c>
      <c r="E197" s="89"/>
      <c r="F197" s="18">
        <f t="shared" si="11"/>
        <v>0</v>
      </c>
      <c r="G197" s="89"/>
      <c r="H197" s="100"/>
      <c r="I197" s="100"/>
      <c r="L197" s="112"/>
    </row>
    <row r="198" spans="1:12" x14ac:dyDescent="0.25">
      <c r="A198" s="41" t="s">
        <v>2791</v>
      </c>
      <c r="B198" s="41" t="s">
        <v>473</v>
      </c>
      <c r="C198" s="42"/>
      <c r="D198" s="43">
        <v>0</v>
      </c>
      <c r="E198" s="91"/>
      <c r="F198" s="44">
        <f t="shared" si="11"/>
        <v>0</v>
      </c>
      <c r="G198" s="91"/>
      <c r="H198" s="103"/>
      <c r="I198" s="103"/>
      <c r="L198" s="112"/>
    </row>
    <row r="199" spans="1:12" x14ac:dyDescent="0.25">
      <c r="A199" s="50" t="s">
        <v>2792</v>
      </c>
      <c r="B199" s="50" t="s">
        <v>474</v>
      </c>
      <c r="C199" s="51" t="s">
        <v>475</v>
      </c>
      <c r="D199" s="52">
        <v>0</v>
      </c>
      <c r="E199" s="93"/>
      <c r="F199" s="53">
        <f t="shared" si="11"/>
        <v>0</v>
      </c>
      <c r="G199" s="93"/>
      <c r="H199" s="106"/>
      <c r="I199" s="106"/>
      <c r="L199" s="112"/>
    </row>
    <row r="200" spans="1:12" x14ac:dyDescent="0.25">
      <c r="A200" s="54" t="s">
        <v>2793</v>
      </c>
      <c r="B200" s="54" t="s">
        <v>476</v>
      </c>
      <c r="C200" s="55" t="s">
        <v>477</v>
      </c>
      <c r="D200" s="56">
        <v>0</v>
      </c>
      <c r="E200" s="94">
        <f>'Previous week'!F200</f>
        <v>1</v>
      </c>
      <c r="F200" s="57">
        <f t="shared" si="11"/>
        <v>0</v>
      </c>
      <c r="G200" s="94">
        <f>'Current week'!F200</f>
        <v>1</v>
      </c>
      <c r="H200" s="107">
        <f t="shared" si="9"/>
        <v>0</v>
      </c>
      <c r="I200" s="107">
        <f t="shared" si="10"/>
        <v>0</v>
      </c>
      <c r="L200" s="112"/>
    </row>
    <row r="201" spans="1:12" x14ac:dyDescent="0.25">
      <c r="A201" s="19" t="s">
        <v>2794</v>
      </c>
      <c r="B201" s="19" t="s">
        <v>478</v>
      </c>
      <c r="C201" s="20"/>
      <c r="D201" s="21">
        <v>0</v>
      </c>
      <c r="E201" s="88">
        <f>VLOOKUP(A201,'Previous week'!$A$3:$F$1765,6,FALSE)</f>
        <v>0</v>
      </c>
      <c r="F201" s="22">
        <f t="shared" si="11"/>
        <v>0</v>
      </c>
      <c r="G201" s="88">
        <f>VLOOKUP(A201,'Current week'!$A$3:$F$1765,6,0)</f>
        <v>0</v>
      </c>
      <c r="H201" s="101">
        <f t="shared" si="9"/>
        <v>0</v>
      </c>
      <c r="I201" s="101">
        <f t="shared" si="10"/>
        <v>0</v>
      </c>
      <c r="L201" s="112"/>
    </row>
    <row r="202" spans="1:12" x14ac:dyDescent="0.25">
      <c r="A202" s="23" t="s">
        <v>2795</v>
      </c>
      <c r="B202" s="23" t="s">
        <v>479</v>
      </c>
      <c r="C202" s="24" t="s">
        <v>480</v>
      </c>
      <c r="D202" s="25">
        <v>0</v>
      </c>
      <c r="E202" s="88">
        <f>VLOOKUP(A202,'Previous week'!$A$3:$F$1765,6,FALSE)</f>
        <v>1</v>
      </c>
      <c r="F202" s="22">
        <f t="shared" si="11"/>
        <v>0</v>
      </c>
      <c r="G202" s="88">
        <f>VLOOKUP(A202,'Current week'!$A$3:$F$1765,6,0)</f>
        <v>1</v>
      </c>
      <c r="H202" s="102">
        <f t="shared" si="9"/>
        <v>0</v>
      </c>
      <c r="I202" s="102">
        <f t="shared" si="10"/>
        <v>0</v>
      </c>
      <c r="L202" s="112"/>
    </row>
    <row r="203" spans="1:12" x14ac:dyDescent="0.25">
      <c r="A203" s="54" t="s">
        <v>2796</v>
      </c>
      <c r="B203" s="54" t="s">
        <v>481</v>
      </c>
      <c r="C203" s="55" t="s">
        <v>482</v>
      </c>
      <c r="D203" s="56">
        <v>0</v>
      </c>
      <c r="E203" s="94">
        <f>'Previous week'!F203</f>
        <v>1</v>
      </c>
      <c r="F203" s="57">
        <f t="shared" si="11"/>
        <v>0</v>
      </c>
      <c r="G203" s="94">
        <f>'Current week'!F203</f>
        <v>1</v>
      </c>
      <c r="H203" s="107">
        <f t="shared" si="9"/>
        <v>0</v>
      </c>
      <c r="I203" s="107">
        <f t="shared" si="10"/>
        <v>0</v>
      </c>
      <c r="L203" s="112"/>
    </row>
    <row r="204" spans="1:12" x14ac:dyDescent="0.25">
      <c r="A204" s="19" t="s">
        <v>2797</v>
      </c>
      <c r="B204" s="19" t="s">
        <v>483</v>
      </c>
      <c r="C204" s="20"/>
      <c r="D204" s="21">
        <v>0</v>
      </c>
      <c r="E204" s="88">
        <f>VLOOKUP(A204,'Previous week'!$A$3:$F$1765,6,FALSE)</f>
        <v>0</v>
      </c>
      <c r="F204" s="22">
        <f t="shared" si="11"/>
        <v>0</v>
      </c>
      <c r="G204" s="88">
        <f>VLOOKUP(A204,'Current week'!$A$3:$F$1765,6,0)</f>
        <v>0</v>
      </c>
      <c r="H204" s="101">
        <f t="shared" si="9"/>
        <v>0</v>
      </c>
      <c r="I204" s="101">
        <f t="shared" si="10"/>
        <v>0</v>
      </c>
      <c r="L204" s="112"/>
    </row>
    <row r="205" spans="1:12" x14ac:dyDescent="0.25">
      <c r="A205" s="23" t="s">
        <v>2788</v>
      </c>
      <c r="B205" s="23" t="s">
        <v>128</v>
      </c>
      <c r="C205" s="24"/>
      <c r="D205" s="25">
        <v>0</v>
      </c>
      <c r="E205" s="88">
        <f>VLOOKUP(A205,'Previous week'!$A$3:$F$1765,6,FALSE)</f>
        <v>0</v>
      </c>
      <c r="F205" s="22">
        <f t="shared" si="11"/>
        <v>0</v>
      </c>
      <c r="G205" s="88">
        <f>VLOOKUP(A205,'Current week'!$A$3:$F$1765,6,0)</f>
        <v>0</v>
      </c>
      <c r="H205" s="102">
        <f t="shared" si="9"/>
        <v>0</v>
      </c>
      <c r="I205" s="102">
        <f t="shared" si="10"/>
        <v>0</v>
      </c>
      <c r="L205" s="112"/>
    </row>
    <row r="206" spans="1:12" x14ac:dyDescent="0.25">
      <c r="A206" s="54" t="s">
        <v>2798</v>
      </c>
      <c r="B206" s="54" t="s">
        <v>484</v>
      </c>
      <c r="C206" s="55" t="s">
        <v>129</v>
      </c>
      <c r="D206" s="56">
        <v>0</v>
      </c>
      <c r="E206" s="94">
        <f>'Previous week'!F206</f>
        <v>1</v>
      </c>
      <c r="F206" s="57">
        <f t="shared" si="11"/>
        <v>0</v>
      </c>
      <c r="G206" s="94">
        <f>'Current week'!F206</f>
        <v>1</v>
      </c>
      <c r="H206" s="107">
        <f t="shared" si="9"/>
        <v>0</v>
      </c>
      <c r="I206" s="107">
        <f t="shared" si="10"/>
        <v>0</v>
      </c>
      <c r="L206" s="112"/>
    </row>
    <row r="207" spans="1:12" x14ac:dyDescent="0.25">
      <c r="A207" s="19" t="s">
        <v>2799</v>
      </c>
      <c r="B207" s="19" t="s">
        <v>485</v>
      </c>
      <c r="C207" s="20" t="s">
        <v>158</v>
      </c>
      <c r="D207" s="21">
        <v>0</v>
      </c>
      <c r="E207" s="88">
        <f>VLOOKUP(A207,'Previous week'!$A$3:$F$1765,6,FALSE)</f>
        <v>1</v>
      </c>
      <c r="F207" s="22">
        <f t="shared" si="11"/>
        <v>0</v>
      </c>
      <c r="G207" s="88">
        <f>VLOOKUP(A207,'Current week'!$A$3:$F$1765,6,0)</f>
        <v>1</v>
      </c>
      <c r="H207" s="101">
        <f t="shared" si="9"/>
        <v>0</v>
      </c>
      <c r="I207" s="101">
        <f t="shared" si="10"/>
        <v>0</v>
      </c>
      <c r="L207" s="112"/>
    </row>
    <row r="208" spans="1:12" x14ac:dyDescent="0.25">
      <c r="A208" s="23" t="s">
        <v>2800</v>
      </c>
      <c r="B208" s="23" t="s">
        <v>486</v>
      </c>
      <c r="C208" s="24"/>
      <c r="D208" s="25">
        <v>0</v>
      </c>
      <c r="E208" s="88">
        <f>VLOOKUP(A208,'Previous week'!$A$3:$F$1765,6,FALSE)</f>
        <v>0</v>
      </c>
      <c r="F208" s="22">
        <f t="shared" si="11"/>
        <v>0</v>
      </c>
      <c r="G208" s="88">
        <f>VLOOKUP(A208,'Current week'!$A$3:$F$1765,6,0)</f>
        <v>0</v>
      </c>
      <c r="H208" s="102">
        <f t="shared" si="9"/>
        <v>0</v>
      </c>
      <c r="I208" s="102">
        <f t="shared" si="10"/>
        <v>0</v>
      </c>
      <c r="L208" s="112"/>
    </row>
    <row r="209" spans="1:12" x14ac:dyDescent="0.25">
      <c r="A209" s="54" t="s">
        <v>2801</v>
      </c>
      <c r="B209" s="54" t="s">
        <v>487</v>
      </c>
      <c r="C209" s="55" t="s">
        <v>488</v>
      </c>
      <c r="D209" s="56">
        <v>0</v>
      </c>
      <c r="E209" s="94">
        <f>'Previous week'!F209</f>
        <v>1</v>
      </c>
      <c r="F209" s="57">
        <f t="shared" si="11"/>
        <v>0</v>
      </c>
      <c r="G209" s="94">
        <f>'Current week'!F209</f>
        <v>1</v>
      </c>
      <c r="H209" s="107">
        <f t="shared" si="9"/>
        <v>0</v>
      </c>
      <c r="I209" s="107">
        <f t="shared" si="10"/>
        <v>0</v>
      </c>
      <c r="L209" s="112"/>
    </row>
    <row r="210" spans="1:12" x14ac:dyDescent="0.25">
      <c r="A210" s="19" t="s">
        <v>2802</v>
      </c>
      <c r="B210" s="19" t="s">
        <v>489</v>
      </c>
      <c r="C210" s="20" t="s">
        <v>490</v>
      </c>
      <c r="D210" s="21">
        <v>0</v>
      </c>
      <c r="E210" s="88">
        <f>VLOOKUP(A210,'Previous week'!$A$3:$F$1765,6,FALSE)</f>
        <v>1</v>
      </c>
      <c r="F210" s="22">
        <f t="shared" si="11"/>
        <v>0</v>
      </c>
      <c r="G210" s="88">
        <f>VLOOKUP(A210,'Current week'!$A$3:$F$1765,6,0)</f>
        <v>1</v>
      </c>
      <c r="H210" s="101">
        <f t="shared" si="9"/>
        <v>0</v>
      </c>
      <c r="I210" s="101">
        <f t="shared" si="10"/>
        <v>0</v>
      </c>
      <c r="L210" s="112"/>
    </row>
    <row r="211" spans="1:12" x14ac:dyDescent="0.25">
      <c r="A211" s="23" t="s">
        <v>2803</v>
      </c>
      <c r="B211" s="23" t="s">
        <v>491</v>
      </c>
      <c r="C211" s="24"/>
      <c r="D211" s="25">
        <v>0</v>
      </c>
      <c r="E211" s="88">
        <f>VLOOKUP(A211,'Previous week'!$A$3:$F$1765,6,FALSE)</f>
        <v>0</v>
      </c>
      <c r="F211" s="22">
        <f t="shared" si="11"/>
        <v>0</v>
      </c>
      <c r="G211" s="88">
        <f>VLOOKUP(A211,'Current week'!$A$3:$F$1765,6,0)</f>
        <v>0</v>
      </c>
      <c r="H211" s="102">
        <f t="shared" si="9"/>
        <v>0</v>
      </c>
      <c r="I211" s="102">
        <f t="shared" si="10"/>
        <v>0</v>
      </c>
      <c r="L211" s="112"/>
    </row>
    <row r="212" spans="1:12" x14ac:dyDescent="0.25">
      <c r="A212" s="54" t="s">
        <v>2804</v>
      </c>
      <c r="B212" s="54" t="s">
        <v>121</v>
      </c>
      <c r="C212" s="55"/>
      <c r="D212" s="56">
        <v>0</v>
      </c>
      <c r="E212" s="94">
        <f>'Previous week'!F212</f>
        <v>0</v>
      </c>
      <c r="F212" s="57">
        <f t="shared" si="11"/>
        <v>0</v>
      </c>
      <c r="G212" s="94">
        <f>'Current week'!F212</f>
        <v>0</v>
      </c>
      <c r="H212" s="107">
        <f t="shared" si="9"/>
        <v>0</v>
      </c>
      <c r="I212" s="107">
        <f t="shared" si="10"/>
        <v>0</v>
      </c>
      <c r="L212" s="112"/>
    </row>
    <row r="213" spans="1:12" x14ac:dyDescent="0.25">
      <c r="A213" s="19" t="s">
        <v>2805</v>
      </c>
      <c r="B213" s="19" t="s">
        <v>492</v>
      </c>
      <c r="C213" s="20" t="s">
        <v>122</v>
      </c>
      <c r="D213" s="21">
        <v>0</v>
      </c>
      <c r="E213" s="88">
        <f>VLOOKUP(A213,'Previous week'!$A$3:$F$1765,6,FALSE)</f>
        <v>1</v>
      </c>
      <c r="F213" s="22">
        <f t="shared" si="11"/>
        <v>0</v>
      </c>
      <c r="G213" s="88">
        <f>VLOOKUP(A213,'Current week'!$A$3:$F$1765,6,0)</f>
        <v>1</v>
      </c>
      <c r="H213" s="101">
        <f t="shared" si="9"/>
        <v>0</v>
      </c>
      <c r="I213" s="101">
        <f t="shared" si="10"/>
        <v>0</v>
      </c>
      <c r="L213" s="112"/>
    </row>
    <row r="214" spans="1:12" x14ac:dyDescent="0.25">
      <c r="A214" s="23" t="s">
        <v>2806</v>
      </c>
      <c r="B214" s="23" t="s">
        <v>493</v>
      </c>
      <c r="C214" s="24" t="s">
        <v>154</v>
      </c>
      <c r="D214" s="25">
        <v>0</v>
      </c>
      <c r="E214" s="88">
        <f>VLOOKUP(A214,'Previous week'!$A$3:$F$1765,6,FALSE)</f>
        <v>1</v>
      </c>
      <c r="F214" s="22">
        <f t="shared" si="11"/>
        <v>0</v>
      </c>
      <c r="G214" s="88">
        <f>VLOOKUP(A214,'Current week'!$A$3:$F$1765,6,0)</f>
        <v>1</v>
      </c>
      <c r="H214" s="102">
        <f t="shared" si="9"/>
        <v>0</v>
      </c>
      <c r="I214" s="102">
        <f t="shared" si="10"/>
        <v>0</v>
      </c>
      <c r="L214" s="112"/>
    </row>
    <row r="215" spans="1:12" x14ac:dyDescent="0.25">
      <c r="A215" s="54" t="s">
        <v>2807</v>
      </c>
      <c r="B215" s="54" t="s">
        <v>494</v>
      </c>
      <c r="C215" s="55"/>
      <c r="D215" s="56">
        <v>0</v>
      </c>
      <c r="E215" s="94">
        <f>'Previous week'!F215</f>
        <v>0</v>
      </c>
      <c r="F215" s="57">
        <f t="shared" si="11"/>
        <v>0</v>
      </c>
      <c r="G215" s="94">
        <f>'Current week'!F215</f>
        <v>0</v>
      </c>
      <c r="H215" s="107">
        <f t="shared" si="9"/>
        <v>0</v>
      </c>
      <c r="I215" s="107">
        <f t="shared" si="10"/>
        <v>0</v>
      </c>
      <c r="L215" s="112"/>
    </row>
    <row r="216" spans="1:12" x14ac:dyDescent="0.25">
      <c r="A216" s="19" t="s">
        <v>2808</v>
      </c>
      <c r="B216" s="19" t="s">
        <v>495</v>
      </c>
      <c r="C216" s="20" t="s">
        <v>496</v>
      </c>
      <c r="D216" s="21">
        <v>0</v>
      </c>
      <c r="E216" s="88">
        <f>VLOOKUP(A216,'Previous week'!$A$3:$F$1765,6,FALSE)</f>
        <v>1</v>
      </c>
      <c r="F216" s="22">
        <f t="shared" si="11"/>
        <v>0</v>
      </c>
      <c r="G216" s="88">
        <f>VLOOKUP(A216,'Current week'!$A$3:$F$1765,6,0)</f>
        <v>1</v>
      </c>
      <c r="H216" s="101">
        <f t="shared" si="9"/>
        <v>0</v>
      </c>
      <c r="I216" s="101">
        <f t="shared" si="10"/>
        <v>0</v>
      </c>
      <c r="L216" s="112"/>
    </row>
    <row r="217" spans="1:12" x14ac:dyDescent="0.25">
      <c r="A217" s="23" t="s">
        <v>2809</v>
      </c>
      <c r="B217" s="23" t="s">
        <v>497</v>
      </c>
      <c r="C217" s="24" t="s">
        <v>498</v>
      </c>
      <c r="D217" s="25">
        <v>0</v>
      </c>
      <c r="E217" s="88">
        <f>VLOOKUP(A217,'Previous week'!$A$3:$F$1765,6,FALSE)</f>
        <v>1</v>
      </c>
      <c r="F217" s="22">
        <f t="shared" si="11"/>
        <v>0</v>
      </c>
      <c r="G217" s="88">
        <f>VLOOKUP(A217,'Current week'!$A$3:$F$1765,6,0)</f>
        <v>1</v>
      </c>
      <c r="H217" s="102">
        <f t="shared" si="9"/>
        <v>0</v>
      </c>
      <c r="I217" s="102">
        <f t="shared" si="10"/>
        <v>0</v>
      </c>
      <c r="L217" s="112"/>
    </row>
    <row r="218" spans="1:12" x14ac:dyDescent="0.25">
      <c r="A218" s="54" t="s">
        <v>2810</v>
      </c>
      <c r="B218" s="54" t="s">
        <v>499</v>
      </c>
      <c r="C218" s="55"/>
      <c r="D218" s="56">
        <v>0</v>
      </c>
      <c r="E218" s="94">
        <f>'Previous week'!F218</f>
        <v>0</v>
      </c>
      <c r="F218" s="57">
        <f t="shared" si="11"/>
        <v>0</v>
      </c>
      <c r="G218" s="94">
        <f>'Current week'!F218</f>
        <v>0</v>
      </c>
      <c r="H218" s="107">
        <f t="shared" si="9"/>
        <v>0</v>
      </c>
      <c r="I218" s="107">
        <f t="shared" si="10"/>
        <v>0</v>
      </c>
      <c r="L218" s="112"/>
    </row>
    <row r="219" spans="1:12" x14ac:dyDescent="0.25">
      <c r="A219" s="19" t="s">
        <v>2811</v>
      </c>
      <c r="B219" s="19" t="s">
        <v>500</v>
      </c>
      <c r="C219" s="20" t="s">
        <v>501</v>
      </c>
      <c r="D219" s="21">
        <v>0</v>
      </c>
      <c r="E219" s="88">
        <f>VLOOKUP(A219,'Previous week'!$A$3:$F$1765,6,FALSE)</f>
        <v>1</v>
      </c>
      <c r="F219" s="22">
        <f t="shared" si="11"/>
        <v>0</v>
      </c>
      <c r="G219" s="88">
        <f>VLOOKUP(A219,'Current week'!$A$3:$F$1765,6,0)</f>
        <v>1</v>
      </c>
      <c r="H219" s="101">
        <f t="shared" si="9"/>
        <v>0</v>
      </c>
      <c r="I219" s="101">
        <f t="shared" si="10"/>
        <v>0</v>
      </c>
      <c r="L219" s="112"/>
    </row>
    <row r="220" spans="1:12" x14ac:dyDescent="0.25">
      <c r="A220" s="23" t="s">
        <v>2812</v>
      </c>
      <c r="B220" s="23" t="s">
        <v>502</v>
      </c>
      <c r="C220" s="24" t="s">
        <v>503</v>
      </c>
      <c r="D220" s="25">
        <v>0</v>
      </c>
      <c r="E220" s="88">
        <f>VLOOKUP(A220,'Previous week'!$A$3:$F$1765,6,FALSE)</f>
        <v>1</v>
      </c>
      <c r="F220" s="22">
        <f t="shared" si="11"/>
        <v>0</v>
      </c>
      <c r="G220" s="88">
        <f>VLOOKUP(A220,'Current week'!$A$3:$F$1765,6,0)</f>
        <v>1</v>
      </c>
      <c r="H220" s="102">
        <f t="shared" si="9"/>
        <v>0</v>
      </c>
      <c r="I220" s="102">
        <f t="shared" si="10"/>
        <v>0</v>
      </c>
      <c r="L220" s="112"/>
    </row>
    <row r="221" spans="1:12" x14ac:dyDescent="0.25">
      <c r="A221" s="54" t="s">
        <v>2813</v>
      </c>
      <c r="B221" s="54" t="s">
        <v>504</v>
      </c>
      <c r="C221" s="55"/>
      <c r="D221" s="56">
        <v>0</v>
      </c>
      <c r="E221" s="94">
        <f>'Previous week'!F221</f>
        <v>0</v>
      </c>
      <c r="F221" s="57">
        <f t="shared" si="11"/>
        <v>0</v>
      </c>
      <c r="G221" s="94">
        <f>'Current week'!F221</f>
        <v>0</v>
      </c>
      <c r="H221" s="107">
        <f t="shared" si="9"/>
        <v>0</v>
      </c>
      <c r="I221" s="107">
        <f t="shared" si="10"/>
        <v>0</v>
      </c>
      <c r="L221" s="112"/>
    </row>
    <row r="222" spans="1:12" x14ac:dyDescent="0.25">
      <c r="A222" s="19" t="s">
        <v>2804</v>
      </c>
      <c r="B222" s="19" t="s">
        <v>121</v>
      </c>
      <c r="C222" s="20"/>
      <c r="D222" s="21">
        <v>0</v>
      </c>
      <c r="E222" s="88">
        <f>VLOOKUP(A222,'Previous week'!$A$3:$F$1765,6,FALSE)</f>
        <v>0</v>
      </c>
      <c r="F222" s="22">
        <f t="shared" si="11"/>
        <v>0</v>
      </c>
      <c r="G222" s="88">
        <f>VLOOKUP(A222,'Current week'!$A$3:$F$1765,6,0)</f>
        <v>0</v>
      </c>
      <c r="H222" s="101">
        <f t="shared" si="9"/>
        <v>0</v>
      </c>
      <c r="I222" s="101">
        <f t="shared" si="10"/>
        <v>0</v>
      </c>
      <c r="L222" s="112"/>
    </row>
    <row r="223" spans="1:12" x14ac:dyDescent="0.25">
      <c r="A223" s="23" t="s">
        <v>2814</v>
      </c>
      <c r="B223" s="23" t="s">
        <v>505</v>
      </c>
      <c r="C223" s="24" t="s">
        <v>122</v>
      </c>
      <c r="D223" s="25">
        <v>0</v>
      </c>
      <c r="E223" s="88">
        <f>VLOOKUP(A223,'Previous week'!$A$3:$F$1765,6,FALSE)</f>
        <v>1</v>
      </c>
      <c r="F223" s="22">
        <f t="shared" si="11"/>
        <v>0</v>
      </c>
      <c r="G223" s="88">
        <f>VLOOKUP(A223,'Current week'!$A$3:$F$1765,6,0)</f>
        <v>1</v>
      </c>
      <c r="H223" s="102">
        <f t="shared" si="9"/>
        <v>0</v>
      </c>
      <c r="I223" s="102">
        <f t="shared" si="10"/>
        <v>0</v>
      </c>
      <c r="L223" s="112"/>
    </row>
    <row r="224" spans="1:12" x14ac:dyDescent="0.25">
      <c r="A224" s="54" t="s">
        <v>2815</v>
      </c>
      <c r="B224" s="54" t="s">
        <v>506</v>
      </c>
      <c r="C224" s="55" t="s">
        <v>154</v>
      </c>
      <c r="D224" s="56">
        <v>0</v>
      </c>
      <c r="E224" s="94">
        <f>'Previous week'!F224</f>
        <v>1</v>
      </c>
      <c r="F224" s="57">
        <f t="shared" si="11"/>
        <v>0</v>
      </c>
      <c r="G224" s="94">
        <f>'Current week'!F224</f>
        <v>1</v>
      </c>
      <c r="H224" s="107">
        <f t="shared" si="9"/>
        <v>0</v>
      </c>
      <c r="I224" s="107">
        <f t="shared" si="10"/>
        <v>0</v>
      </c>
      <c r="L224" s="112"/>
    </row>
    <row r="225" spans="1:12" x14ac:dyDescent="0.25">
      <c r="A225" s="19" t="s">
        <v>2807</v>
      </c>
      <c r="B225" s="19" t="s">
        <v>494</v>
      </c>
      <c r="C225" s="20"/>
      <c r="D225" s="21">
        <v>0</v>
      </c>
      <c r="E225" s="88">
        <f>VLOOKUP(A225,'Previous week'!$A$3:$F$1765,6,FALSE)</f>
        <v>0</v>
      </c>
      <c r="F225" s="22">
        <f t="shared" si="11"/>
        <v>0</v>
      </c>
      <c r="G225" s="88">
        <f>VLOOKUP(A225,'Current week'!$A$3:$F$1765,6,0)</f>
        <v>0</v>
      </c>
      <c r="H225" s="101">
        <f t="shared" si="9"/>
        <v>0</v>
      </c>
      <c r="I225" s="101">
        <f t="shared" si="10"/>
        <v>0</v>
      </c>
      <c r="L225" s="112"/>
    </row>
    <row r="226" spans="1:12" x14ac:dyDescent="0.25">
      <c r="A226" s="23" t="s">
        <v>2816</v>
      </c>
      <c r="B226" s="23" t="s">
        <v>507</v>
      </c>
      <c r="C226" s="24" t="s">
        <v>496</v>
      </c>
      <c r="D226" s="25">
        <v>0</v>
      </c>
      <c r="E226" s="88">
        <f>VLOOKUP(A226,'Previous week'!$A$3:$F$1765,6,FALSE)</f>
        <v>1</v>
      </c>
      <c r="F226" s="22">
        <f t="shared" si="11"/>
        <v>0</v>
      </c>
      <c r="G226" s="88">
        <f>VLOOKUP(A226,'Current week'!$A$3:$F$1765,6,0)</f>
        <v>1</v>
      </c>
      <c r="H226" s="102">
        <f t="shared" si="9"/>
        <v>0</v>
      </c>
      <c r="I226" s="102">
        <f t="shared" si="10"/>
        <v>0</v>
      </c>
      <c r="L226" s="112"/>
    </row>
    <row r="227" spans="1:12" x14ac:dyDescent="0.25">
      <c r="A227" s="54" t="s">
        <v>2817</v>
      </c>
      <c r="B227" s="54" t="s">
        <v>508</v>
      </c>
      <c r="C227" s="55" t="s">
        <v>498</v>
      </c>
      <c r="D227" s="56">
        <v>0</v>
      </c>
      <c r="E227" s="94">
        <f>'Previous week'!F227</f>
        <v>1</v>
      </c>
      <c r="F227" s="57">
        <f t="shared" si="11"/>
        <v>0</v>
      </c>
      <c r="G227" s="94">
        <f>'Current week'!F227</f>
        <v>1</v>
      </c>
      <c r="H227" s="107">
        <f t="shared" si="9"/>
        <v>0</v>
      </c>
      <c r="I227" s="107">
        <f t="shared" si="10"/>
        <v>0</v>
      </c>
      <c r="L227" s="112"/>
    </row>
    <row r="228" spans="1:12" x14ac:dyDescent="0.25">
      <c r="A228" s="19" t="s">
        <v>2818</v>
      </c>
      <c r="B228" s="19" t="s">
        <v>124</v>
      </c>
      <c r="C228" s="20"/>
      <c r="D228" s="21">
        <v>0</v>
      </c>
      <c r="E228" s="88">
        <f>VLOOKUP(A228,'Previous week'!$A$3:$F$1765,6,FALSE)</f>
        <v>0</v>
      </c>
      <c r="F228" s="22">
        <f t="shared" si="11"/>
        <v>0</v>
      </c>
      <c r="G228" s="88">
        <f>VLOOKUP(A228,'Current week'!$A$3:$F$1765,6,0)</f>
        <v>0</v>
      </c>
      <c r="H228" s="101">
        <f t="shared" si="9"/>
        <v>0</v>
      </c>
      <c r="I228" s="101">
        <f t="shared" si="10"/>
        <v>0</v>
      </c>
      <c r="L228" s="112"/>
    </row>
    <row r="229" spans="1:12" x14ac:dyDescent="0.25">
      <c r="A229" s="23" t="s">
        <v>2819</v>
      </c>
      <c r="B229" s="23" t="s">
        <v>509</v>
      </c>
      <c r="C229" s="24" t="s">
        <v>125</v>
      </c>
      <c r="D229" s="25">
        <v>0</v>
      </c>
      <c r="E229" s="88">
        <f>VLOOKUP(A229,'Previous week'!$A$3:$F$1765,6,FALSE)</f>
        <v>1</v>
      </c>
      <c r="F229" s="22">
        <f t="shared" si="11"/>
        <v>0</v>
      </c>
      <c r="G229" s="88">
        <f>VLOOKUP(A229,'Current week'!$A$3:$F$1765,6,0)</f>
        <v>1</v>
      </c>
      <c r="H229" s="102">
        <f t="shared" si="9"/>
        <v>0</v>
      </c>
      <c r="I229" s="102">
        <f t="shared" si="10"/>
        <v>0</v>
      </c>
      <c r="L229" s="112"/>
    </row>
    <row r="230" spans="1:12" x14ac:dyDescent="0.25">
      <c r="A230" s="50" t="s">
        <v>2820</v>
      </c>
      <c r="B230" s="50" t="s">
        <v>510</v>
      </c>
      <c r="C230" s="51" t="s">
        <v>156</v>
      </c>
      <c r="D230" s="52">
        <v>0</v>
      </c>
      <c r="E230" s="93"/>
      <c r="F230" s="53">
        <f t="shared" si="11"/>
        <v>0</v>
      </c>
      <c r="G230" s="93"/>
      <c r="H230" s="106"/>
      <c r="I230" s="106"/>
      <c r="L230" s="112"/>
    </row>
    <row r="231" spans="1:12" x14ac:dyDescent="0.25">
      <c r="A231" s="54" t="s">
        <v>2821</v>
      </c>
      <c r="B231" s="54" t="s">
        <v>104</v>
      </c>
      <c r="C231" s="55"/>
      <c r="D231" s="56">
        <v>0</v>
      </c>
      <c r="E231" s="94">
        <f>'Previous week'!F231</f>
        <v>0</v>
      </c>
      <c r="F231" s="57">
        <f t="shared" si="11"/>
        <v>0</v>
      </c>
      <c r="G231" s="94">
        <f>'Current week'!F231</f>
        <v>0</v>
      </c>
      <c r="H231" s="107">
        <f t="shared" si="9"/>
        <v>0</v>
      </c>
      <c r="I231" s="107">
        <f t="shared" si="10"/>
        <v>0</v>
      </c>
      <c r="L231" s="112"/>
    </row>
    <row r="232" spans="1:12" x14ac:dyDescent="0.25">
      <c r="A232" s="19" t="s">
        <v>2822</v>
      </c>
      <c r="B232" s="19" t="s">
        <v>511</v>
      </c>
      <c r="C232" s="20"/>
      <c r="D232" s="21">
        <v>0</v>
      </c>
      <c r="E232" s="88">
        <f>VLOOKUP(A232,'Previous week'!$A$3:$F$1765,6,FALSE)</f>
        <v>0</v>
      </c>
      <c r="F232" s="22">
        <f t="shared" si="11"/>
        <v>0</v>
      </c>
      <c r="G232" s="88">
        <f>VLOOKUP(A232,'Current week'!$A$3:$F$1765,6,0)</f>
        <v>0</v>
      </c>
      <c r="H232" s="101">
        <f t="shared" si="9"/>
        <v>0</v>
      </c>
      <c r="I232" s="101">
        <f t="shared" si="10"/>
        <v>0</v>
      </c>
      <c r="L232" s="112"/>
    </row>
    <row r="233" spans="1:12" x14ac:dyDescent="0.25">
      <c r="A233" s="23" t="s">
        <v>2823</v>
      </c>
      <c r="B233" s="23" t="s">
        <v>512</v>
      </c>
      <c r="C233" s="24" t="s">
        <v>513</v>
      </c>
      <c r="D233" s="25">
        <v>0</v>
      </c>
      <c r="E233" s="88">
        <f>VLOOKUP(A233,'Previous week'!$A$3:$F$1765,6,FALSE)</f>
        <v>1</v>
      </c>
      <c r="F233" s="22">
        <f t="shared" si="11"/>
        <v>0</v>
      </c>
      <c r="G233" s="88">
        <f>VLOOKUP(A233,'Current week'!$A$3:$F$1765,6,0)</f>
        <v>1</v>
      </c>
      <c r="H233" s="102">
        <f t="shared" si="9"/>
        <v>0</v>
      </c>
      <c r="I233" s="102">
        <f t="shared" si="10"/>
        <v>0</v>
      </c>
      <c r="L233" s="112"/>
    </row>
    <row r="234" spans="1:12" x14ac:dyDescent="0.25">
      <c r="A234" s="54" t="s">
        <v>2824</v>
      </c>
      <c r="B234" s="54" t="s">
        <v>514</v>
      </c>
      <c r="C234" s="55" t="s">
        <v>515</v>
      </c>
      <c r="D234" s="56">
        <v>0</v>
      </c>
      <c r="E234" s="94">
        <f>'Previous week'!F234</f>
        <v>1</v>
      </c>
      <c r="F234" s="57">
        <f t="shared" si="11"/>
        <v>0</v>
      </c>
      <c r="G234" s="94">
        <f>'Current week'!F234</f>
        <v>1</v>
      </c>
      <c r="H234" s="107">
        <f t="shared" si="9"/>
        <v>0</v>
      </c>
      <c r="I234" s="107">
        <f t="shared" si="10"/>
        <v>0</v>
      </c>
      <c r="L234" s="112"/>
    </row>
    <row r="235" spans="1:12" x14ac:dyDescent="0.25">
      <c r="A235" s="19" t="s">
        <v>2825</v>
      </c>
      <c r="B235" s="19" t="s">
        <v>105</v>
      </c>
      <c r="C235" s="20"/>
      <c r="D235" s="21">
        <v>0</v>
      </c>
      <c r="E235" s="88">
        <f>VLOOKUP(A235,'Previous week'!$A$3:$F$1765,6,FALSE)</f>
        <v>0</v>
      </c>
      <c r="F235" s="22">
        <f t="shared" si="11"/>
        <v>0</v>
      </c>
      <c r="G235" s="88">
        <f>VLOOKUP(A235,'Current week'!$A$3:$F$1765,6,0)</f>
        <v>0</v>
      </c>
      <c r="H235" s="101">
        <f t="shared" si="9"/>
        <v>0</v>
      </c>
      <c r="I235" s="101">
        <f t="shared" si="10"/>
        <v>0</v>
      </c>
      <c r="L235" s="112"/>
    </row>
    <row r="236" spans="1:12" x14ac:dyDescent="0.25">
      <c r="A236" s="23" t="s">
        <v>2826</v>
      </c>
      <c r="B236" s="23" t="s">
        <v>516</v>
      </c>
      <c r="C236" s="24" t="s">
        <v>106</v>
      </c>
      <c r="D236" s="25">
        <v>0</v>
      </c>
      <c r="E236" s="88">
        <f>VLOOKUP(A236,'Previous week'!$A$3:$F$1765,6,FALSE)</f>
        <v>1</v>
      </c>
      <c r="F236" s="22">
        <f t="shared" si="11"/>
        <v>0</v>
      </c>
      <c r="G236" s="88">
        <f>VLOOKUP(A236,'Current week'!$A$3:$F$1765,6,0)</f>
        <v>1</v>
      </c>
      <c r="H236" s="102">
        <f t="shared" si="9"/>
        <v>0</v>
      </c>
      <c r="I236" s="102">
        <f t="shared" si="10"/>
        <v>0</v>
      </c>
      <c r="L236" s="112"/>
    </row>
    <row r="237" spans="1:12" x14ac:dyDescent="0.25">
      <c r="A237" s="54" t="s">
        <v>2827</v>
      </c>
      <c r="B237" s="54" t="s">
        <v>517</v>
      </c>
      <c r="C237" s="55" t="s">
        <v>149</v>
      </c>
      <c r="D237" s="56">
        <v>0</v>
      </c>
      <c r="E237" s="94">
        <f>'Previous week'!F237</f>
        <v>1</v>
      </c>
      <c r="F237" s="57">
        <f t="shared" si="11"/>
        <v>0</v>
      </c>
      <c r="G237" s="94">
        <f>'Current week'!F237</f>
        <v>1</v>
      </c>
      <c r="H237" s="107">
        <f t="shared" si="9"/>
        <v>0</v>
      </c>
      <c r="I237" s="107">
        <f t="shared" si="10"/>
        <v>0</v>
      </c>
      <c r="L237" s="112"/>
    </row>
    <row r="238" spans="1:12" x14ac:dyDescent="0.25">
      <c r="A238" s="19" t="s">
        <v>2828</v>
      </c>
      <c r="B238" s="19" t="s">
        <v>108</v>
      </c>
      <c r="C238" s="20"/>
      <c r="D238" s="21">
        <v>0</v>
      </c>
      <c r="E238" s="88">
        <f>VLOOKUP(A238,'Previous week'!$A$3:$F$1765,6,FALSE)</f>
        <v>0</v>
      </c>
      <c r="F238" s="22">
        <f t="shared" si="11"/>
        <v>0</v>
      </c>
      <c r="G238" s="88">
        <f>VLOOKUP(A238,'Current week'!$A$3:$F$1765,6,0)</f>
        <v>0</v>
      </c>
      <c r="H238" s="101">
        <f t="shared" si="9"/>
        <v>0</v>
      </c>
      <c r="I238" s="101">
        <f t="shared" si="10"/>
        <v>0</v>
      </c>
      <c r="L238" s="112"/>
    </row>
    <row r="239" spans="1:12" x14ac:dyDescent="0.25">
      <c r="A239" s="23" t="s">
        <v>2829</v>
      </c>
      <c r="B239" s="23" t="s">
        <v>518</v>
      </c>
      <c r="C239" s="24" t="s">
        <v>109</v>
      </c>
      <c r="D239" s="25">
        <v>0</v>
      </c>
      <c r="E239" s="88">
        <f>VLOOKUP(A239,'Previous week'!$A$3:$F$1765,6,FALSE)</f>
        <v>1</v>
      </c>
      <c r="F239" s="22">
        <f t="shared" si="11"/>
        <v>0</v>
      </c>
      <c r="G239" s="88">
        <f>VLOOKUP(A239,'Current week'!$A$3:$F$1765,6,0)</f>
        <v>1</v>
      </c>
      <c r="H239" s="102">
        <f t="shared" si="9"/>
        <v>0</v>
      </c>
      <c r="I239" s="102">
        <f t="shared" si="10"/>
        <v>0</v>
      </c>
      <c r="L239" s="112"/>
    </row>
    <row r="240" spans="1:12" x14ac:dyDescent="0.25">
      <c r="A240" s="54" t="s">
        <v>2830</v>
      </c>
      <c r="B240" s="54" t="s">
        <v>519</v>
      </c>
      <c r="C240" s="55" t="s">
        <v>150</v>
      </c>
      <c r="D240" s="56">
        <v>0</v>
      </c>
      <c r="E240" s="94">
        <f>'Previous week'!F240</f>
        <v>1</v>
      </c>
      <c r="F240" s="57">
        <f t="shared" si="11"/>
        <v>0</v>
      </c>
      <c r="G240" s="94">
        <f>'Current week'!F240</f>
        <v>1</v>
      </c>
      <c r="H240" s="107">
        <f t="shared" si="9"/>
        <v>0</v>
      </c>
      <c r="I240" s="107">
        <f t="shared" si="10"/>
        <v>0</v>
      </c>
      <c r="L240" s="112"/>
    </row>
    <row r="241" spans="1:12" x14ac:dyDescent="0.25">
      <c r="A241" s="19" t="s">
        <v>2831</v>
      </c>
      <c r="B241" s="19" t="s">
        <v>111</v>
      </c>
      <c r="C241" s="20"/>
      <c r="D241" s="21">
        <v>0</v>
      </c>
      <c r="E241" s="88">
        <f>VLOOKUP(A241,'Previous week'!$A$3:$F$1765,6,FALSE)</f>
        <v>0</v>
      </c>
      <c r="F241" s="22">
        <f t="shared" si="11"/>
        <v>0</v>
      </c>
      <c r="G241" s="88">
        <f>VLOOKUP(A241,'Current week'!$A$3:$F$1765,6,0)</f>
        <v>0</v>
      </c>
      <c r="H241" s="101">
        <f t="shared" si="9"/>
        <v>0</v>
      </c>
      <c r="I241" s="101">
        <f t="shared" si="10"/>
        <v>0</v>
      </c>
      <c r="L241" s="112"/>
    </row>
    <row r="242" spans="1:12" x14ac:dyDescent="0.25">
      <c r="A242" s="23" t="s">
        <v>2832</v>
      </c>
      <c r="B242" s="23" t="s">
        <v>520</v>
      </c>
      <c r="C242" s="24" t="s">
        <v>112</v>
      </c>
      <c r="D242" s="25">
        <v>0</v>
      </c>
      <c r="E242" s="88">
        <f>VLOOKUP(A242,'Previous week'!$A$3:$F$1765,6,FALSE)</f>
        <v>1</v>
      </c>
      <c r="F242" s="22">
        <f t="shared" si="11"/>
        <v>0</v>
      </c>
      <c r="G242" s="88">
        <f>VLOOKUP(A242,'Current week'!$A$3:$F$1765,6,0)</f>
        <v>1</v>
      </c>
      <c r="H242" s="102">
        <f t="shared" si="9"/>
        <v>0</v>
      </c>
      <c r="I242" s="102">
        <f t="shared" si="10"/>
        <v>0</v>
      </c>
      <c r="L242" s="112"/>
    </row>
    <row r="243" spans="1:12" x14ac:dyDescent="0.25">
      <c r="A243" s="54" t="s">
        <v>2833</v>
      </c>
      <c r="B243" s="54" t="s">
        <v>521</v>
      </c>
      <c r="C243" s="55" t="s">
        <v>151</v>
      </c>
      <c r="D243" s="56">
        <v>0</v>
      </c>
      <c r="E243" s="94">
        <f>'Previous week'!F243</f>
        <v>1</v>
      </c>
      <c r="F243" s="57">
        <f t="shared" si="11"/>
        <v>0</v>
      </c>
      <c r="G243" s="94">
        <f>'Current week'!F243</f>
        <v>1</v>
      </c>
      <c r="H243" s="107">
        <f t="shared" si="9"/>
        <v>0</v>
      </c>
      <c r="I243" s="107">
        <f t="shared" si="10"/>
        <v>0</v>
      </c>
      <c r="L243" s="112"/>
    </row>
    <row r="244" spans="1:12" x14ac:dyDescent="0.25">
      <c r="A244" s="19" t="s">
        <v>2834</v>
      </c>
      <c r="B244" s="19" t="s">
        <v>522</v>
      </c>
      <c r="C244" s="20"/>
      <c r="D244" s="21">
        <v>0</v>
      </c>
      <c r="E244" s="88">
        <f>VLOOKUP(A244,'Previous week'!$A$3:$F$1765,6,FALSE)</f>
        <v>0</v>
      </c>
      <c r="F244" s="22">
        <f t="shared" si="11"/>
        <v>0</v>
      </c>
      <c r="G244" s="88">
        <f>VLOOKUP(A244,'Current week'!$A$3:$F$1765,6,0)</f>
        <v>0</v>
      </c>
      <c r="H244" s="101">
        <f t="shared" si="9"/>
        <v>0</v>
      </c>
      <c r="I244" s="101">
        <f t="shared" si="10"/>
        <v>0</v>
      </c>
      <c r="L244" s="112"/>
    </row>
    <row r="245" spans="1:12" x14ac:dyDescent="0.25">
      <c r="A245" s="23" t="s">
        <v>2835</v>
      </c>
      <c r="B245" s="23" t="s">
        <v>523</v>
      </c>
      <c r="C245" s="24" t="s">
        <v>524</v>
      </c>
      <c r="D245" s="25">
        <v>0</v>
      </c>
      <c r="E245" s="88">
        <f>VLOOKUP(A245,'Previous week'!$A$3:$F$1765,6,FALSE)</f>
        <v>1</v>
      </c>
      <c r="F245" s="22">
        <f t="shared" si="11"/>
        <v>0</v>
      </c>
      <c r="G245" s="88">
        <f>VLOOKUP(A245,'Current week'!$A$3:$F$1765,6,0)</f>
        <v>1</v>
      </c>
      <c r="H245" s="102">
        <f t="shared" si="9"/>
        <v>0</v>
      </c>
      <c r="I245" s="102">
        <f t="shared" si="10"/>
        <v>0</v>
      </c>
      <c r="L245" s="112"/>
    </row>
    <row r="246" spans="1:12" x14ac:dyDescent="0.25">
      <c r="A246" s="54" t="s">
        <v>2836</v>
      </c>
      <c r="B246" s="54" t="s">
        <v>525</v>
      </c>
      <c r="C246" s="55" t="s">
        <v>526</v>
      </c>
      <c r="D246" s="56">
        <v>0</v>
      </c>
      <c r="E246" s="94">
        <f>'Previous week'!F246</f>
        <v>1</v>
      </c>
      <c r="F246" s="57">
        <f t="shared" si="11"/>
        <v>0</v>
      </c>
      <c r="G246" s="94">
        <f>'Current week'!F246</f>
        <v>1</v>
      </c>
      <c r="H246" s="107">
        <f t="shared" si="9"/>
        <v>0</v>
      </c>
      <c r="I246" s="107">
        <f t="shared" si="10"/>
        <v>0</v>
      </c>
      <c r="L246" s="112"/>
    </row>
    <row r="247" spans="1:12" x14ac:dyDescent="0.25">
      <c r="A247" s="19" t="s">
        <v>2837</v>
      </c>
      <c r="B247" s="19" t="s">
        <v>527</v>
      </c>
      <c r="C247" s="20"/>
      <c r="D247" s="21">
        <v>0</v>
      </c>
      <c r="E247" s="88">
        <f>VLOOKUP(A247,'Previous week'!$A$3:$F$1765,6,FALSE)</f>
        <v>0</v>
      </c>
      <c r="F247" s="22">
        <f t="shared" si="11"/>
        <v>0</v>
      </c>
      <c r="G247" s="88">
        <f>VLOOKUP(A247,'Current week'!$A$3:$F$1765,6,0)</f>
        <v>0</v>
      </c>
      <c r="H247" s="101">
        <f t="shared" si="9"/>
        <v>0</v>
      </c>
      <c r="I247" s="101">
        <f t="shared" si="10"/>
        <v>0</v>
      </c>
      <c r="L247" s="112"/>
    </row>
    <row r="248" spans="1:12" x14ac:dyDescent="0.25">
      <c r="A248" s="23" t="s">
        <v>2838</v>
      </c>
      <c r="B248" s="23" t="s">
        <v>528</v>
      </c>
      <c r="C248" s="24" t="s">
        <v>529</v>
      </c>
      <c r="D248" s="25">
        <v>0</v>
      </c>
      <c r="E248" s="88">
        <f>VLOOKUP(A248,'Previous week'!$A$3:$F$1765,6,FALSE)</f>
        <v>1</v>
      </c>
      <c r="F248" s="22">
        <f t="shared" si="11"/>
        <v>0</v>
      </c>
      <c r="G248" s="88">
        <f>VLOOKUP(A248,'Current week'!$A$3:$F$1765,6,0)</f>
        <v>1</v>
      </c>
      <c r="H248" s="102">
        <f t="shared" si="9"/>
        <v>0</v>
      </c>
      <c r="I248" s="102">
        <f t="shared" si="10"/>
        <v>0</v>
      </c>
      <c r="L248" s="112"/>
    </row>
    <row r="249" spans="1:12" x14ac:dyDescent="0.25">
      <c r="A249" s="54" t="s">
        <v>2839</v>
      </c>
      <c r="B249" s="54" t="s">
        <v>530</v>
      </c>
      <c r="C249" s="55" t="s">
        <v>531</v>
      </c>
      <c r="D249" s="56">
        <v>0</v>
      </c>
      <c r="E249" s="94">
        <f>'Previous week'!F249</f>
        <v>1</v>
      </c>
      <c r="F249" s="57">
        <f t="shared" si="11"/>
        <v>0</v>
      </c>
      <c r="G249" s="94">
        <f>'Current week'!F249</f>
        <v>1</v>
      </c>
      <c r="H249" s="107">
        <f t="shared" si="9"/>
        <v>0</v>
      </c>
      <c r="I249" s="107">
        <f t="shared" si="10"/>
        <v>0</v>
      </c>
      <c r="L249" s="112"/>
    </row>
    <row r="250" spans="1:12" x14ac:dyDescent="0.25">
      <c r="A250" s="19" t="s">
        <v>2840</v>
      </c>
      <c r="B250" s="19" t="s">
        <v>532</v>
      </c>
      <c r="C250" s="20"/>
      <c r="D250" s="21">
        <v>0</v>
      </c>
      <c r="E250" s="88">
        <f>VLOOKUP(A250,'Previous week'!$A$3:$F$1765,6,FALSE)</f>
        <v>0</v>
      </c>
      <c r="F250" s="22">
        <f t="shared" si="11"/>
        <v>0</v>
      </c>
      <c r="G250" s="88">
        <f>VLOOKUP(A250,'Current week'!$A$3:$F$1765,6,0)</f>
        <v>0</v>
      </c>
      <c r="H250" s="101">
        <f t="shared" si="9"/>
        <v>0</v>
      </c>
      <c r="I250" s="101">
        <f t="shared" si="10"/>
        <v>0</v>
      </c>
      <c r="L250" s="112"/>
    </row>
    <row r="251" spans="1:12" x14ac:dyDescent="0.25">
      <c r="A251" s="23" t="s">
        <v>2841</v>
      </c>
      <c r="B251" s="23" t="s">
        <v>533</v>
      </c>
      <c r="C251" s="24" t="s">
        <v>534</v>
      </c>
      <c r="D251" s="25">
        <v>0</v>
      </c>
      <c r="E251" s="88">
        <f>VLOOKUP(A251,'Previous week'!$A$3:$F$1765,6,FALSE)</f>
        <v>1</v>
      </c>
      <c r="F251" s="22">
        <f t="shared" si="11"/>
        <v>0</v>
      </c>
      <c r="G251" s="88">
        <f>VLOOKUP(A251,'Current week'!$A$3:$F$1765,6,0)</f>
        <v>1</v>
      </c>
      <c r="H251" s="102">
        <f t="shared" si="9"/>
        <v>0</v>
      </c>
      <c r="I251" s="102">
        <f t="shared" si="10"/>
        <v>0</v>
      </c>
      <c r="L251" s="112"/>
    </row>
    <row r="252" spans="1:12" x14ac:dyDescent="0.25">
      <c r="A252" s="54" t="s">
        <v>2842</v>
      </c>
      <c r="B252" s="54" t="s">
        <v>535</v>
      </c>
      <c r="C252" s="55" t="s">
        <v>536</v>
      </c>
      <c r="D252" s="56">
        <v>0</v>
      </c>
      <c r="E252" s="94">
        <f>'Previous week'!F252</f>
        <v>1</v>
      </c>
      <c r="F252" s="57">
        <f t="shared" si="11"/>
        <v>0</v>
      </c>
      <c r="G252" s="94">
        <f>'Current week'!F252</f>
        <v>1</v>
      </c>
      <c r="H252" s="107">
        <f t="shared" si="9"/>
        <v>0</v>
      </c>
      <c r="I252" s="107">
        <f t="shared" si="10"/>
        <v>0</v>
      </c>
      <c r="L252" s="112"/>
    </row>
    <row r="253" spans="1:12" x14ac:dyDescent="0.25">
      <c r="A253" s="19" t="s">
        <v>2843</v>
      </c>
      <c r="B253" s="19" t="s">
        <v>114</v>
      </c>
      <c r="C253" s="20"/>
      <c r="D253" s="21">
        <v>0</v>
      </c>
      <c r="E253" s="88">
        <f>VLOOKUP(A253,'Previous week'!$A$3:$F$1765,6,FALSE)</f>
        <v>0</v>
      </c>
      <c r="F253" s="22">
        <f t="shared" si="11"/>
        <v>0</v>
      </c>
      <c r="G253" s="88">
        <f>VLOOKUP(A253,'Current week'!$A$3:$F$1765,6,0)</f>
        <v>0</v>
      </c>
      <c r="H253" s="101">
        <f t="shared" si="9"/>
        <v>0</v>
      </c>
      <c r="I253" s="101">
        <f t="shared" si="10"/>
        <v>0</v>
      </c>
      <c r="L253" s="112"/>
    </row>
    <row r="254" spans="1:12" x14ac:dyDescent="0.25">
      <c r="A254" s="23" t="s">
        <v>2844</v>
      </c>
      <c r="B254" s="23" t="s">
        <v>537</v>
      </c>
      <c r="C254" s="24" t="s">
        <v>115</v>
      </c>
      <c r="D254" s="25">
        <v>0</v>
      </c>
      <c r="E254" s="88">
        <f>VLOOKUP(A254,'Previous week'!$A$3:$F$1765,6,FALSE)</f>
        <v>1</v>
      </c>
      <c r="F254" s="22">
        <f t="shared" si="11"/>
        <v>0</v>
      </c>
      <c r="G254" s="88">
        <f>VLOOKUP(A254,'Current week'!$A$3:$F$1765,6,0)</f>
        <v>1</v>
      </c>
      <c r="H254" s="102">
        <f t="shared" si="9"/>
        <v>0</v>
      </c>
      <c r="I254" s="102">
        <f t="shared" si="10"/>
        <v>0</v>
      </c>
      <c r="L254" s="112"/>
    </row>
    <row r="255" spans="1:12" x14ac:dyDescent="0.25">
      <c r="A255" s="54" t="s">
        <v>2845</v>
      </c>
      <c r="B255" s="54" t="s">
        <v>538</v>
      </c>
      <c r="C255" s="55" t="s">
        <v>152</v>
      </c>
      <c r="D255" s="56">
        <v>0</v>
      </c>
      <c r="E255" s="94">
        <f>'Previous week'!F255</f>
        <v>1</v>
      </c>
      <c r="F255" s="57">
        <f t="shared" si="11"/>
        <v>0</v>
      </c>
      <c r="G255" s="94">
        <f>'Current week'!F255</f>
        <v>1</v>
      </c>
      <c r="H255" s="107">
        <f t="shared" si="9"/>
        <v>0</v>
      </c>
      <c r="I255" s="107">
        <f t="shared" si="10"/>
        <v>0</v>
      </c>
      <c r="L255" s="112"/>
    </row>
    <row r="256" spans="1:12" x14ac:dyDescent="0.25">
      <c r="A256" s="19" t="s">
        <v>2846</v>
      </c>
      <c r="B256" s="19" t="s">
        <v>539</v>
      </c>
      <c r="C256" s="20"/>
      <c r="D256" s="21">
        <v>0</v>
      </c>
      <c r="E256" s="88">
        <f>VLOOKUP(A256,'Previous week'!$A$3:$F$1765,6,FALSE)</f>
        <v>0</v>
      </c>
      <c r="F256" s="22">
        <f t="shared" si="11"/>
        <v>0</v>
      </c>
      <c r="G256" s="88">
        <f>VLOOKUP(A256,'Current week'!$A$3:$F$1765,6,0)</f>
        <v>0</v>
      </c>
      <c r="H256" s="101">
        <f t="shared" si="9"/>
        <v>0</v>
      </c>
      <c r="I256" s="101">
        <f t="shared" si="10"/>
        <v>0</v>
      </c>
      <c r="L256" s="112"/>
    </row>
    <row r="257" spans="1:12" x14ac:dyDescent="0.25">
      <c r="A257" s="23" t="s">
        <v>2847</v>
      </c>
      <c r="B257" s="23" t="s">
        <v>540</v>
      </c>
      <c r="C257" s="24" t="s">
        <v>541</v>
      </c>
      <c r="D257" s="25">
        <v>0</v>
      </c>
      <c r="E257" s="88">
        <f>VLOOKUP(A257,'Previous week'!$A$3:$F$1765,6,FALSE)</f>
        <v>1</v>
      </c>
      <c r="F257" s="22">
        <f t="shared" si="11"/>
        <v>0</v>
      </c>
      <c r="G257" s="88">
        <f>VLOOKUP(A257,'Current week'!$A$3:$F$1765,6,0)</f>
        <v>1</v>
      </c>
      <c r="H257" s="102">
        <f t="shared" si="9"/>
        <v>0</v>
      </c>
      <c r="I257" s="102">
        <f t="shared" si="10"/>
        <v>0</v>
      </c>
      <c r="L257" s="112"/>
    </row>
    <row r="258" spans="1:12" x14ac:dyDescent="0.25">
      <c r="A258" s="54" t="s">
        <v>2848</v>
      </c>
      <c r="B258" s="54" t="s">
        <v>542</v>
      </c>
      <c r="C258" s="55" t="s">
        <v>543</v>
      </c>
      <c r="D258" s="56">
        <v>0</v>
      </c>
      <c r="E258" s="94">
        <f>'Previous week'!F258</f>
        <v>1</v>
      </c>
      <c r="F258" s="57">
        <f t="shared" si="11"/>
        <v>0</v>
      </c>
      <c r="G258" s="94">
        <f>'Current week'!F258</f>
        <v>1</v>
      </c>
      <c r="H258" s="107">
        <f t="shared" ref="H258:H321" si="12">G258*D258</f>
        <v>0</v>
      </c>
      <c r="I258" s="107">
        <f t="shared" ref="I258:I321" si="13">F258*D258</f>
        <v>0</v>
      </c>
      <c r="L258" s="112"/>
    </row>
    <row r="259" spans="1:12" x14ac:dyDescent="0.25">
      <c r="A259" s="19" t="s">
        <v>2849</v>
      </c>
      <c r="B259" s="19" t="s">
        <v>117</v>
      </c>
      <c r="C259" s="20"/>
      <c r="D259" s="21">
        <v>0</v>
      </c>
      <c r="E259" s="88">
        <f>VLOOKUP(A259,'Previous week'!$A$3:$F$1765,6,FALSE)</f>
        <v>0</v>
      </c>
      <c r="F259" s="22">
        <f t="shared" ref="F259:F322" si="14">G259-E259</f>
        <v>0</v>
      </c>
      <c r="G259" s="88">
        <f>VLOOKUP(A259,'Current week'!$A$3:$F$1765,6,0)</f>
        <v>0</v>
      </c>
      <c r="H259" s="101">
        <f t="shared" si="12"/>
        <v>0</v>
      </c>
      <c r="I259" s="101">
        <f t="shared" si="13"/>
        <v>0</v>
      </c>
      <c r="L259" s="112"/>
    </row>
    <row r="260" spans="1:12" x14ac:dyDescent="0.25">
      <c r="A260" s="23" t="s">
        <v>2850</v>
      </c>
      <c r="B260" s="23" t="s">
        <v>544</v>
      </c>
      <c r="C260" s="24" t="s">
        <v>118</v>
      </c>
      <c r="D260" s="25">
        <v>0</v>
      </c>
      <c r="E260" s="88">
        <f>VLOOKUP(A260,'Previous week'!$A$3:$F$1765,6,FALSE)</f>
        <v>1</v>
      </c>
      <c r="F260" s="22">
        <f t="shared" si="14"/>
        <v>0</v>
      </c>
      <c r="G260" s="88">
        <f>VLOOKUP(A260,'Current week'!$A$3:$F$1765,6,0)</f>
        <v>1</v>
      </c>
      <c r="H260" s="102">
        <f t="shared" si="12"/>
        <v>0</v>
      </c>
      <c r="I260" s="102">
        <f t="shared" si="13"/>
        <v>0</v>
      </c>
      <c r="L260" s="112"/>
    </row>
    <row r="261" spans="1:12" x14ac:dyDescent="0.25">
      <c r="A261" s="54" t="s">
        <v>2851</v>
      </c>
      <c r="B261" s="54" t="s">
        <v>545</v>
      </c>
      <c r="C261" s="55" t="s">
        <v>153</v>
      </c>
      <c r="D261" s="56">
        <v>0</v>
      </c>
      <c r="E261" s="94">
        <f>'Previous week'!F261</f>
        <v>1</v>
      </c>
      <c r="F261" s="57">
        <f t="shared" si="14"/>
        <v>0</v>
      </c>
      <c r="G261" s="94">
        <f>'Current week'!F261</f>
        <v>1</v>
      </c>
      <c r="H261" s="107">
        <f t="shared" si="12"/>
        <v>0</v>
      </c>
      <c r="I261" s="107">
        <f t="shared" si="13"/>
        <v>0</v>
      </c>
      <c r="L261" s="112"/>
    </row>
    <row r="262" spans="1:12" x14ac:dyDescent="0.25">
      <c r="A262" s="19" t="s">
        <v>2852</v>
      </c>
      <c r="B262" s="19" t="s">
        <v>546</v>
      </c>
      <c r="C262" s="20"/>
      <c r="D262" s="21">
        <v>0</v>
      </c>
      <c r="E262" s="88">
        <f>VLOOKUP(A262,'Previous week'!$A$3:$F$1765,6,FALSE)</f>
        <v>0</v>
      </c>
      <c r="F262" s="22">
        <f t="shared" si="14"/>
        <v>0</v>
      </c>
      <c r="G262" s="88">
        <f>VLOOKUP(A262,'Current week'!$A$3:$F$1765,6,0)</f>
        <v>0</v>
      </c>
      <c r="H262" s="101">
        <f t="shared" si="12"/>
        <v>0</v>
      </c>
      <c r="I262" s="101">
        <f t="shared" si="13"/>
        <v>0</v>
      </c>
      <c r="L262" s="112"/>
    </row>
    <row r="263" spans="1:12" x14ac:dyDescent="0.25">
      <c r="A263" s="23" t="s">
        <v>2822</v>
      </c>
      <c r="B263" s="23" t="s">
        <v>511</v>
      </c>
      <c r="C263" s="24"/>
      <c r="D263" s="25">
        <v>0</v>
      </c>
      <c r="E263" s="88">
        <f>VLOOKUP(A263,'Previous week'!$A$3:$F$1765,6,FALSE)</f>
        <v>0</v>
      </c>
      <c r="F263" s="22">
        <f t="shared" si="14"/>
        <v>0</v>
      </c>
      <c r="G263" s="88">
        <f>VLOOKUP(A263,'Current week'!$A$3:$F$1765,6,0)</f>
        <v>0</v>
      </c>
      <c r="H263" s="102">
        <f t="shared" si="12"/>
        <v>0</v>
      </c>
      <c r="I263" s="102">
        <f t="shared" si="13"/>
        <v>0</v>
      </c>
      <c r="L263" s="112"/>
    </row>
    <row r="264" spans="1:12" x14ac:dyDescent="0.25">
      <c r="A264" s="54" t="s">
        <v>2853</v>
      </c>
      <c r="B264" s="54" t="s">
        <v>547</v>
      </c>
      <c r="C264" s="55" t="s">
        <v>515</v>
      </c>
      <c r="D264" s="56">
        <v>0</v>
      </c>
      <c r="E264" s="94">
        <f>'Previous week'!F264</f>
        <v>1</v>
      </c>
      <c r="F264" s="57">
        <f t="shared" si="14"/>
        <v>0</v>
      </c>
      <c r="G264" s="94">
        <f>'Current week'!F264</f>
        <v>1</v>
      </c>
      <c r="H264" s="107">
        <f t="shared" si="12"/>
        <v>0</v>
      </c>
      <c r="I264" s="107">
        <f t="shared" si="13"/>
        <v>0</v>
      </c>
      <c r="L264" s="112"/>
    </row>
    <row r="265" spans="1:12" x14ac:dyDescent="0.25">
      <c r="A265" s="19" t="s">
        <v>2854</v>
      </c>
      <c r="B265" s="19" t="s">
        <v>548</v>
      </c>
      <c r="C265" s="20" t="s">
        <v>513</v>
      </c>
      <c r="D265" s="21">
        <v>0</v>
      </c>
      <c r="E265" s="88">
        <f>VLOOKUP(A265,'Previous week'!$A$3:$F$1765,6,FALSE)</f>
        <v>1</v>
      </c>
      <c r="F265" s="22">
        <f t="shared" si="14"/>
        <v>0</v>
      </c>
      <c r="G265" s="88">
        <f>VLOOKUP(A265,'Current week'!$A$3:$F$1765,6,0)</f>
        <v>1</v>
      </c>
      <c r="H265" s="101">
        <f t="shared" si="12"/>
        <v>0</v>
      </c>
      <c r="I265" s="101">
        <f t="shared" si="13"/>
        <v>0</v>
      </c>
      <c r="L265" s="112"/>
    </row>
    <row r="266" spans="1:12" x14ac:dyDescent="0.25">
      <c r="A266" s="23" t="s">
        <v>2855</v>
      </c>
      <c r="B266" s="23" t="s">
        <v>549</v>
      </c>
      <c r="C266" s="24"/>
      <c r="D266" s="25">
        <v>0</v>
      </c>
      <c r="E266" s="88">
        <f>VLOOKUP(A266,'Previous week'!$A$3:$F$1765,6,FALSE)</f>
        <v>0</v>
      </c>
      <c r="F266" s="22">
        <f t="shared" si="14"/>
        <v>0</v>
      </c>
      <c r="G266" s="88">
        <f>VLOOKUP(A266,'Current week'!$A$3:$F$1765,6,0)</f>
        <v>0</v>
      </c>
      <c r="H266" s="102">
        <f t="shared" si="12"/>
        <v>0</v>
      </c>
      <c r="I266" s="102">
        <f t="shared" si="13"/>
        <v>0</v>
      </c>
      <c r="L266" s="112"/>
    </row>
    <row r="267" spans="1:12" x14ac:dyDescent="0.25">
      <c r="A267" s="54" t="s">
        <v>2856</v>
      </c>
      <c r="B267" s="54" t="s">
        <v>550</v>
      </c>
      <c r="C267" s="55"/>
      <c r="D267" s="56">
        <v>0</v>
      </c>
      <c r="E267" s="94">
        <f>'Previous week'!F267</f>
        <v>0</v>
      </c>
      <c r="F267" s="57">
        <f t="shared" si="14"/>
        <v>0</v>
      </c>
      <c r="G267" s="94">
        <f>'Current week'!F267</f>
        <v>0</v>
      </c>
      <c r="H267" s="107">
        <f t="shared" si="12"/>
        <v>0</v>
      </c>
      <c r="I267" s="107">
        <f t="shared" si="13"/>
        <v>0</v>
      </c>
      <c r="L267" s="112"/>
    </row>
    <row r="268" spans="1:12" x14ac:dyDescent="0.25">
      <c r="A268" s="19" t="s">
        <v>2857</v>
      </c>
      <c r="B268" s="19" t="s">
        <v>551</v>
      </c>
      <c r="C268" s="20" t="s">
        <v>552</v>
      </c>
      <c r="D268" s="21">
        <v>0</v>
      </c>
      <c r="E268" s="88">
        <f>VLOOKUP(A268,'Previous week'!$A$3:$F$1765,6,FALSE)</f>
        <v>1</v>
      </c>
      <c r="F268" s="22">
        <f t="shared" si="14"/>
        <v>0</v>
      </c>
      <c r="G268" s="88">
        <f>VLOOKUP(A268,'Current week'!$A$3:$F$1765,6,0)</f>
        <v>1</v>
      </c>
      <c r="H268" s="101">
        <f t="shared" si="12"/>
        <v>0</v>
      </c>
      <c r="I268" s="101">
        <f t="shared" si="13"/>
        <v>0</v>
      </c>
      <c r="L268" s="112"/>
    </row>
    <row r="269" spans="1:12" x14ac:dyDescent="0.25">
      <c r="A269" s="23" t="s">
        <v>2858</v>
      </c>
      <c r="B269" s="23" t="s">
        <v>553</v>
      </c>
      <c r="C269" s="24" t="s">
        <v>554</v>
      </c>
      <c r="D269" s="25">
        <v>0</v>
      </c>
      <c r="E269" s="88">
        <f>VLOOKUP(A269,'Previous week'!$A$3:$F$1765,6,FALSE)</f>
        <v>1</v>
      </c>
      <c r="F269" s="22">
        <f t="shared" si="14"/>
        <v>0</v>
      </c>
      <c r="G269" s="88">
        <f>VLOOKUP(A269,'Current week'!$A$3:$F$1765,6,0)</f>
        <v>1</v>
      </c>
      <c r="H269" s="102">
        <f t="shared" si="12"/>
        <v>0</v>
      </c>
      <c r="I269" s="102">
        <f t="shared" si="13"/>
        <v>0</v>
      </c>
      <c r="L269" s="112"/>
    </row>
    <row r="270" spans="1:12" x14ac:dyDescent="0.25">
      <c r="A270" s="50" t="s">
        <v>2859</v>
      </c>
      <c r="B270" s="50" t="s">
        <v>555</v>
      </c>
      <c r="C270" s="51"/>
      <c r="D270" s="52">
        <v>0</v>
      </c>
      <c r="E270" s="93"/>
      <c r="F270" s="53">
        <f t="shared" si="14"/>
        <v>0</v>
      </c>
      <c r="G270" s="93"/>
      <c r="H270" s="106"/>
      <c r="I270" s="106"/>
      <c r="L270" s="112"/>
    </row>
    <row r="271" spans="1:12" x14ac:dyDescent="0.25">
      <c r="A271" s="54" t="s">
        <v>2860</v>
      </c>
      <c r="B271" s="54" t="s">
        <v>556</v>
      </c>
      <c r="C271" s="55" t="s">
        <v>557</v>
      </c>
      <c r="D271" s="56">
        <v>0</v>
      </c>
      <c r="E271" s="94">
        <f>'Previous week'!F271</f>
        <v>1</v>
      </c>
      <c r="F271" s="57">
        <f t="shared" si="14"/>
        <v>0</v>
      </c>
      <c r="G271" s="94">
        <f>'Current week'!F271</f>
        <v>1</v>
      </c>
      <c r="H271" s="107">
        <f t="shared" si="12"/>
        <v>0</v>
      </c>
      <c r="I271" s="107">
        <f t="shared" si="13"/>
        <v>0</v>
      </c>
      <c r="L271" s="112"/>
    </row>
    <row r="272" spans="1:12" x14ac:dyDescent="0.25">
      <c r="A272" s="19" t="s">
        <v>2861</v>
      </c>
      <c r="B272" s="19" t="s">
        <v>558</v>
      </c>
      <c r="C272" s="20" t="s">
        <v>559</v>
      </c>
      <c r="D272" s="21">
        <v>0</v>
      </c>
      <c r="E272" s="88">
        <f>VLOOKUP(A272,'Previous week'!$A$3:$F$1765,6,FALSE)</f>
        <v>1</v>
      </c>
      <c r="F272" s="22">
        <f t="shared" si="14"/>
        <v>0</v>
      </c>
      <c r="G272" s="88">
        <f>VLOOKUP(A272,'Current week'!$A$3:$F$1765,6,0)</f>
        <v>1</v>
      </c>
      <c r="H272" s="101">
        <f t="shared" si="12"/>
        <v>0</v>
      </c>
      <c r="I272" s="101">
        <f t="shared" si="13"/>
        <v>0</v>
      </c>
      <c r="L272" s="112"/>
    </row>
    <row r="273" spans="1:12" x14ac:dyDescent="0.25">
      <c r="A273" s="23" t="s">
        <v>2862</v>
      </c>
      <c r="B273" s="23" t="s">
        <v>560</v>
      </c>
      <c r="C273" s="24"/>
      <c r="D273" s="25">
        <v>0</v>
      </c>
      <c r="E273" s="88">
        <f>VLOOKUP(A273,'Previous week'!$A$3:$F$1765,6,FALSE)</f>
        <v>0</v>
      </c>
      <c r="F273" s="22">
        <f t="shared" si="14"/>
        <v>0</v>
      </c>
      <c r="G273" s="88">
        <f>VLOOKUP(A273,'Current week'!$A$3:$F$1765,6,0)</f>
        <v>0</v>
      </c>
      <c r="H273" s="102">
        <f t="shared" si="12"/>
        <v>0</v>
      </c>
      <c r="I273" s="102">
        <f t="shared" si="13"/>
        <v>0</v>
      </c>
      <c r="L273" s="112"/>
    </row>
    <row r="274" spans="1:12" x14ac:dyDescent="0.25">
      <c r="A274" s="54" t="s">
        <v>2863</v>
      </c>
      <c r="B274" s="54" t="s">
        <v>561</v>
      </c>
      <c r="C274" s="55" t="s">
        <v>562</v>
      </c>
      <c r="D274" s="56">
        <v>0</v>
      </c>
      <c r="E274" s="94">
        <f>'Previous week'!F274</f>
        <v>1</v>
      </c>
      <c r="F274" s="57">
        <f t="shared" si="14"/>
        <v>0</v>
      </c>
      <c r="G274" s="94">
        <f>'Current week'!F274</f>
        <v>1</v>
      </c>
      <c r="H274" s="107">
        <f t="shared" si="12"/>
        <v>0</v>
      </c>
      <c r="I274" s="107">
        <f t="shared" si="13"/>
        <v>0</v>
      </c>
      <c r="L274" s="112"/>
    </row>
    <row r="275" spans="1:12" x14ac:dyDescent="0.25">
      <c r="A275" s="19" t="s">
        <v>2864</v>
      </c>
      <c r="B275" s="19" t="s">
        <v>563</v>
      </c>
      <c r="C275" s="20" t="s">
        <v>564</v>
      </c>
      <c r="D275" s="21">
        <v>0</v>
      </c>
      <c r="E275" s="88">
        <f>VLOOKUP(A275,'Previous week'!$A$3:$F$1765,6,FALSE)</f>
        <v>1</v>
      </c>
      <c r="F275" s="22">
        <f t="shared" si="14"/>
        <v>0</v>
      </c>
      <c r="G275" s="88">
        <f>VLOOKUP(A275,'Current week'!$A$3:$F$1765,6,0)</f>
        <v>1</v>
      </c>
      <c r="H275" s="101">
        <f t="shared" si="12"/>
        <v>0</v>
      </c>
      <c r="I275" s="101">
        <f t="shared" si="13"/>
        <v>0</v>
      </c>
      <c r="L275" s="112"/>
    </row>
    <row r="276" spans="1:12" x14ac:dyDescent="0.25">
      <c r="A276" s="23" t="s">
        <v>2865</v>
      </c>
      <c r="B276" s="23" t="s">
        <v>565</v>
      </c>
      <c r="C276" s="24"/>
      <c r="D276" s="25">
        <v>0</v>
      </c>
      <c r="E276" s="88">
        <f>VLOOKUP(A276,'Previous week'!$A$3:$F$1765,6,FALSE)</f>
        <v>0</v>
      </c>
      <c r="F276" s="22">
        <f t="shared" si="14"/>
        <v>0</v>
      </c>
      <c r="G276" s="88">
        <f>VLOOKUP(A276,'Current week'!$A$3:$F$1765,6,0)</f>
        <v>0</v>
      </c>
      <c r="H276" s="102">
        <f t="shared" si="12"/>
        <v>0</v>
      </c>
      <c r="I276" s="102">
        <f t="shared" si="13"/>
        <v>0</v>
      </c>
      <c r="L276" s="112"/>
    </row>
    <row r="277" spans="1:12" x14ac:dyDescent="0.25">
      <c r="A277" s="54" t="s">
        <v>2866</v>
      </c>
      <c r="B277" s="54" t="s">
        <v>566</v>
      </c>
      <c r="C277" s="55" t="s">
        <v>567</v>
      </c>
      <c r="D277" s="56">
        <v>0</v>
      </c>
      <c r="E277" s="94">
        <f>'Previous week'!F277</f>
        <v>1</v>
      </c>
      <c r="F277" s="57">
        <f t="shared" si="14"/>
        <v>0</v>
      </c>
      <c r="G277" s="94">
        <f>'Current week'!F277</f>
        <v>1</v>
      </c>
      <c r="H277" s="107">
        <f t="shared" si="12"/>
        <v>0</v>
      </c>
      <c r="I277" s="107">
        <f t="shared" si="13"/>
        <v>0</v>
      </c>
      <c r="L277" s="112"/>
    </row>
    <row r="278" spans="1:12" x14ac:dyDescent="0.25">
      <c r="A278" s="19" t="s">
        <v>2867</v>
      </c>
      <c r="B278" s="19" t="s">
        <v>568</v>
      </c>
      <c r="C278" s="20" t="s">
        <v>569</v>
      </c>
      <c r="D278" s="21">
        <v>0</v>
      </c>
      <c r="E278" s="88">
        <f>VLOOKUP(A278,'Previous week'!$A$3:$F$1765,6,FALSE)</f>
        <v>1</v>
      </c>
      <c r="F278" s="22">
        <f t="shared" si="14"/>
        <v>0</v>
      </c>
      <c r="G278" s="88">
        <f>VLOOKUP(A278,'Current week'!$A$3:$F$1765,6,0)</f>
        <v>1</v>
      </c>
      <c r="H278" s="101">
        <f t="shared" si="12"/>
        <v>0</v>
      </c>
      <c r="I278" s="101">
        <f t="shared" si="13"/>
        <v>0</v>
      </c>
      <c r="L278" s="112"/>
    </row>
    <row r="279" spans="1:12" x14ac:dyDescent="0.25">
      <c r="A279" s="23" t="s">
        <v>2868</v>
      </c>
      <c r="B279" s="23" t="s">
        <v>570</v>
      </c>
      <c r="C279" s="24"/>
      <c r="D279" s="25">
        <v>0</v>
      </c>
      <c r="E279" s="88">
        <f>VLOOKUP(A279,'Previous week'!$A$3:$F$1765,6,FALSE)</f>
        <v>0</v>
      </c>
      <c r="F279" s="22">
        <f t="shared" si="14"/>
        <v>0</v>
      </c>
      <c r="G279" s="88">
        <f>VLOOKUP(A279,'Current week'!$A$3:$F$1765,6,0)</f>
        <v>0</v>
      </c>
      <c r="H279" s="102">
        <f t="shared" si="12"/>
        <v>0</v>
      </c>
      <c r="I279" s="102">
        <f t="shared" si="13"/>
        <v>0</v>
      </c>
      <c r="L279" s="112"/>
    </row>
    <row r="280" spans="1:12" x14ac:dyDescent="0.25">
      <c r="A280" s="50" t="s">
        <v>2869</v>
      </c>
      <c r="B280" s="50" t="s">
        <v>571</v>
      </c>
      <c r="C280" s="51" t="s">
        <v>572</v>
      </c>
      <c r="D280" s="52">
        <v>0</v>
      </c>
      <c r="E280" s="93"/>
      <c r="F280" s="53">
        <f t="shared" si="14"/>
        <v>0</v>
      </c>
      <c r="G280" s="93"/>
      <c r="H280" s="106"/>
      <c r="I280" s="106"/>
      <c r="L280" s="112"/>
    </row>
    <row r="281" spans="1:12" x14ac:dyDescent="0.25">
      <c r="A281" s="54" t="s">
        <v>2870</v>
      </c>
      <c r="B281" s="54" t="s">
        <v>573</v>
      </c>
      <c r="C281" s="55" t="s">
        <v>574</v>
      </c>
      <c r="D281" s="56">
        <v>0</v>
      </c>
      <c r="E281" s="94">
        <f>'Previous week'!F281</f>
        <v>1</v>
      </c>
      <c r="F281" s="57">
        <f t="shared" si="14"/>
        <v>0</v>
      </c>
      <c r="G281" s="94">
        <f>'Current week'!F281</f>
        <v>1</v>
      </c>
      <c r="H281" s="107">
        <f t="shared" si="12"/>
        <v>0</v>
      </c>
      <c r="I281" s="107">
        <f t="shared" si="13"/>
        <v>0</v>
      </c>
      <c r="L281" s="112"/>
    </row>
    <row r="282" spans="1:12" x14ac:dyDescent="0.25">
      <c r="A282" s="19" t="s">
        <v>2871</v>
      </c>
      <c r="B282" s="19" t="s">
        <v>575</v>
      </c>
      <c r="C282" s="20"/>
      <c r="D282" s="21">
        <v>0</v>
      </c>
      <c r="E282" s="88">
        <f>VLOOKUP(A282,'Previous week'!$A$3:$F$1765,6,FALSE)</f>
        <v>0</v>
      </c>
      <c r="F282" s="22">
        <f t="shared" si="14"/>
        <v>0</v>
      </c>
      <c r="G282" s="88">
        <f>VLOOKUP(A282,'Current week'!$A$3:$F$1765,6,0)</f>
        <v>0</v>
      </c>
      <c r="H282" s="101">
        <f t="shared" si="12"/>
        <v>0</v>
      </c>
      <c r="I282" s="101">
        <f t="shared" si="13"/>
        <v>0</v>
      </c>
      <c r="L282" s="112"/>
    </row>
    <row r="283" spans="1:12" x14ac:dyDescent="0.25">
      <c r="A283" s="23" t="s">
        <v>2872</v>
      </c>
      <c r="B283" s="23" t="s">
        <v>576</v>
      </c>
      <c r="C283" s="24" t="s">
        <v>577</v>
      </c>
      <c r="D283" s="25">
        <v>0</v>
      </c>
      <c r="E283" s="88">
        <f>VLOOKUP(A283,'Previous week'!$A$3:$F$1765,6,FALSE)</f>
        <v>1</v>
      </c>
      <c r="F283" s="22">
        <f t="shared" si="14"/>
        <v>0</v>
      </c>
      <c r="G283" s="88">
        <f>VLOOKUP(A283,'Current week'!$A$3:$F$1765,6,0)</f>
        <v>1</v>
      </c>
      <c r="H283" s="102">
        <f t="shared" si="12"/>
        <v>0</v>
      </c>
      <c r="I283" s="102">
        <f t="shared" si="13"/>
        <v>0</v>
      </c>
      <c r="L283" s="112"/>
    </row>
    <row r="284" spans="1:12" x14ac:dyDescent="0.25">
      <c r="A284" s="54" t="s">
        <v>2873</v>
      </c>
      <c r="B284" s="54" t="s">
        <v>578</v>
      </c>
      <c r="C284" s="55" t="s">
        <v>579</v>
      </c>
      <c r="D284" s="56">
        <v>0</v>
      </c>
      <c r="E284" s="94">
        <f>'Previous week'!F284</f>
        <v>1</v>
      </c>
      <c r="F284" s="57">
        <f t="shared" si="14"/>
        <v>0</v>
      </c>
      <c r="G284" s="94">
        <f>'Current week'!F284</f>
        <v>1</v>
      </c>
      <c r="H284" s="107">
        <f t="shared" si="12"/>
        <v>0</v>
      </c>
      <c r="I284" s="107">
        <f t="shared" si="13"/>
        <v>0</v>
      </c>
      <c r="L284" s="112"/>
    </row>
    <row r="285" spans="1:12" x14ac:dyDescent="0.25">
      <c r="A285" s="19" t="s">
        <v>2874</v>
      </c>
      <c r="B285" s="19" t="s">
        <v>580</v>
      </c>
      <c r="C285" s="20"/>
      <c r="D285" s="21">
        <v>0</v>
      </c>
      <c r="E285" s="88">
        <f>VLOOKUP(A285,'Previous week'!$A$3:$F$1765,6,FALSE)</f>
        <v>0</v>
      </c>
      <c r="F285" s="22">
        <f t="shared" si="14"/>
        <v>0</v>
      </c>
      <c r="G285" s="88">
        <f>VLOOKUP(A285,'Current week'!$A$3:$F$1765,6,0)</f>
        <v>0</v>
      </c>
      <c r="H285" s="101">
        <f t="shared" si="12"/>
        <v>0</v>
      </c>
      <c r="I285" s="101">
        <f t="shared" si="13"/>
        <v>0</v>
      </c>
      <c r="L285" s="112"/>
    </row>
    <row r="286" spans="1:12" x14ac:dyDescent="0.25">
      <c r="A286" s="23" t="s">
        <v>2875</v>
      </c>
      <c r="B286" s="23" t="s">
        <v>581</v>
      </c>
      <c r="C286" s="24" t="s">
        <v>582</v>
      </c>
      <c r="D286" s="25">
        <v>0</v>
      </c>
      <c r="E286" s="88">
        <f>VLOOKUP(A286,'Previous week'!$A$3:$F$1765,6,FALSE)</f>
        <v>1</v>
      </c>
      <c r="F286" s="22">
        <f t="shared" si="14"/>
        <v>0</v>
      </c>
      <c r="G286" s="88">
        <f>VLOOKUP(A286,'Current week'!$A$3:$F$1765,6,0)</f>
        <v>1</v>
      </c>
      <c r="H286" s="102">
        <f t="shared" si="12"/>
        <v>0</v>
      </c>
      <c r="I286" s="102">
        <f t="shared" si="13"/>
        <v>0</v>
      </c>
      <c r="L286" s="112"/>
    </row>
    <row r="287" spans="1:12" x14ac:dyDescent="0.25">
      <c r="A287" s="54" t="s">
        <v>2876</v>
      </c>
      <c r="B287" s="54" t="s">
        <v>583</v>
      </c>
      <c r="C287" s="55" t="s">
        <v>584</v>
      </c>
      <c r="D287" s="56">
        <v>0</v>
      </c>
      <c r="E287" s="94">
        <f>'Previous week'!F287</f>
        <v>1</v>
      </c>
      <c r="F287" s="57">
        <f t="shared" si="14"/>
        <v>0</v>
      </c>
      <c r="G287" s="94">
        <f>'Current week'!F287</f>
        <v>1</v>
      </c>
      <c r="H287" s="107">
        <f t="shared" si="12"/>
        <v>0</v>
      </c>
      <c r="I287" s="107">
        <f t="shared" si="13"/>
        <v>0</v>
      </c>
      <c r="L287" s="112"/>
    </row>
    <row r="288" spans="1:12" x14ac:dyDescent="0.25">
      <c r="A288" s="19" t="s">
        <v>2877</v>
      </c>
      <c r="B288" s="19" t="s">
        <v>585</v>
      </c>
      <c r="C288" s="20"/>
      <c r="D288" s="21">
        <v>0</v>
      </c>
      <c r="E288" s="88">
        <f>VLOOKUP(A288,'Previous week'!$A$3:$F$1765,6,FALSE)</f>
        <v>0</v>
      </c>
      <c r="F288" s="22">
        <f t="shared" si="14"/>
        <v>0</v>
      </c>
      <c r="G288" s="88">
        <f>VLOOKUP(A288,'Current week'!$A$3:$F$1765,6,0)</f>
        <v>0</v>
      </c>
      <c r="H288" s="101">
        <f t="shared" si="12"/>
        <v>0</v>
      </c>
      <c r="I288" s="101">
        <f t="shared" si="13"/>
        <v>0</v>
      </c>
      <c r="L288" s="112"/>
    </row>
    <row r="289" spans="1:12" x14ac:dyDescent="0.25">
      <c r="A289" s="23" t="s">
        <v>2878</v>
      </c>
      <c r="B289" s="23" t="s">
        <v>586</v>
      </c>
      <c r="C289" s="24" t="s">
        <v>587</v>
      </c>
      <c r="D289" s="25">
        <v>0</v>
      </c>
      <c r="E289" s="88">
        <f>VLOOKUP(A289,'Previous week'!$A$3:$F$1765,6,FALSE)</f>
        <v>1</v>
      </c>
      <c r="F289" s="22">
        <f t="shared" si="14"/>
        <v>0</v>
      </c>
      <c r="G289" s="88">
        <f>VLOOKUP(A289,'Current week'!$A$3:$F$1765,6,0)</f>
        <v>1</v>
      </c>
      <c r="H289" s="102">
        <f t="shared" si="12"/>
        <v>0</v>
      </c>
      <c r="I289" s="102">
        <f t="shared" si="13"/>
        <v>0</v>
      </c>
      <c r="L289" s="112"/>
    </row>
    <row r="290" spans="1:12" x14ac:dyDescent="0.25">
      <c r="A290" s="50" t="s">
        <v>2879</v>
      </c>
      <c r="B290" s="50" t="s">
        <v>588</v>
      </c>
      <c r="C290" s="51" t="s">
        <v>589</v>
      </c>
      <c r="D290" s="52">
        <v>0</v>
      </c>
      <c r="E290" s="93"/>
      <c r="F290" s="53">
        <f t="shared" si="14"/>
        <v>0</v>
      </c>
      <c r="G290" s="93"/>
      <c r="H290" s="106"/>
      <c r="I290" s="106"/>
      <c r="L290" s="112"/>
    </row>
    <row r="291" spans="1:12" x14ac:dyDescent="0.25">
      <c r="A291" s="54" t="s">
        <v>2880</v>
      </c>
      <c r="B291" s="54" t="s">
        <v>590</v>
      </c>
      <c r="C291" s="55"/>
      <c r="D291" s="56">
        <v>0</v>
      </c>
      <c r="E291" s="94">
        <f>'Previous week'!F291</f>
        <v>0</v>
      </c>
      <c r="F291" s="57">
        <f t="shared" si="14"/>
        <v>0</v>
      </c>
      <c r="G291" s="94">
        <f>'Current week'!F291</f>
        <v>0</v>
      </c>
      <c r="H291" s="107">
        <f t="shared" si="12"/>
        <v>0</v>
      </c>
      <c r="I291" s="107">
        <f t="shared" si="13"/>
        <v>0</v>
      </c>
      <c r="L291" s="112"/>
    </row>
    <row r="292" spans="1:12" x14ac:dyDescent="0.25">
      <c r="A292" s="19" t="s">
        <v>2881</v>
      </c>
      <c r="B292" s="19" t="s">
        <v>591</v>
      </c>
      <c r="C292" s="20" t="s">
        <v>592</v>
      </c>
      <c r="D292" s="21">
        <v>0</v>
      </c>
      <c r="E292" s="88">
        <f>VLOOKUP(A292,'Previous week'!$A$3:$F$1765,6,FALSE)</f>
        <v>1</v>
      </c>
      <c r="F292" s="22">
        <f t="shared" si="14"/>
        <v>0</v>
      </c>
      <c r="G292" s="88">
        <f>VLOOKUP(A292,'Current week'!$A$3:$F$1765,6,0)</f>
        <v>1</v>
      </c>
      <c r="H292" s="101">
        <f t="shared" si="12"/>
        <v>0</v>
      </c>
      <c r="I292" s="101">
        <f t="shared" si="13"/>
        <v>0</v>
      </c>
      <c r="L292" s="112"/>
    </row>
    <row r="293" spans="1:12" x14ac:dyDescent="0.25">
      <c r="A293" s="23" t="s">
        <v>2882</v>
      </c>
      <c r="B293" s="23" t="s">
        <v>593</v>
      </c>
      <c r="C293" s="24" t="s">
        <v>594</v>
      </c>
      <c r="D293" s="25">
        <v>0</v>
      </c>
      <c r="E293" s="88">
        <f>VLOOKUP(A293,'Previous week'!$A$3:$F$1765,6,FALSE)</f>
        <v>1</v>
      </c>
      <c r="F293" s="22">
        <f t="shared" si="14"/>
        <v>0</v>
      </c>
      <c r="G293" s="88">
        <f>VLOOKUP(A293,'Current week'!$A$3:$F$1765,6,0)</f>
        <v>1</v>
      </c>
      <c r="H293" s="102">
        <f t="shared" si="12"/>
        <v>0</v>
      </c>
      <c r="I293" s="102">
        <f t="shared" si="13"/>
        <v>0</v>
      </c>
      <c r="L293" s="112"/>
    </row>
    <row r="294" spans="1:12" x14ac:dyDescent="0.25">
      <c r="A294" s="54" t="s">
        <v>2883</v>
      </c>
      <c r="B294" s="54" t="s">
        <v>595</v>
      </c>
      <c r="C294" s="55"/>
      <c r="D294" s="56">
        <v>0</v>
      </c>
      <c r="E294" s="94">
        <f>'Previous week'!F294</f>
        <v>0</v>
      </c>
      <c r="F294" s="57">
        <f t="shared" si="14"/>
        <v>0</v>
      </c>
      <c r="G294" s="94">
        <f>'Current week'!F294</f>
        <v>0</v>
      </c>
      <c r="H294" s="107">
        <f t="shared" si="12"/>
        <v>0</v>
      </c>
      <c r="I294" s="107">
        <f t="shared" si="13"/>
        <v>0</v>
      </c>
      <c r="L294" s="112"/>
    </row>
    <row r="295" spans="1:12" x14ac:dyDescent="0.25">
      <c r="A295" s="19" t="s">
        <v>2884</v>
      </c>
      <c r="B295" s="19" t="s">
        <v>596</v>
      </c>
      <c r="C295" s="20" t="s">
        <v>597</v>
      </c>
      <c r="D295" s="21">
        <v>0</v>
      </c>
      <c r="E295" s="88">
        <f>VLOOKUP(A295,'Previous week'!$A$3:$F$1765,6,FALSE)</f>
        <v>1</v>
      </c>
      <c r="F295" s="22">
        <f t="shared" si="14"/>
        <v>0</v>
      </c>
      <c r="G295" s="88">
        <f>VLOOKUP(A295,'Current week'!$A$3:$F$1765,6,0)</f>
        <v>1</v>
      </c>
      <c r="H295" s="101">
        <f t="shared" si="12"/>
        <v>0</v>
      </c>
      <c r="I295" s="101">
        <f t="shared" si="13"/>
        <v>0</v>
      </c>
      <c r="L295" s="112"/>
    </row>
    <row r="296" spans="1:12" x14ac:dyDescent="0.25">
      <c r="A296" s="23" t="s">
        <v>2885</v>
      </c>
      <c r="B296" s="23" t="s">
        <v>598</v>
      </c>
      <c r="C296" s="24" t="s">
        <v>599</v>
      </c>
      <c r="D296" s="25">
        <v>0</v>
      </c>
      <c r="E296" s="88">
        <f>VLOOKUP(A296,'Previous week'!$A$3:$F$1765,6,FALSE)</f>
        <v>1</v>
      </c>
      <c r="F296" s="22">
        <f t="shared" si="14"/>
        <v>0</v>
      </c>
      <c r="G296" s="88">
        <f>VLOOKUP(A296,'Current week'!$A$3:$F$1765,6,0)</f>
        <v>1</v>
      </c>
      <c r="H296" s="102">
        <f t="shared" si="12"/>
        <v>0</v>
      </c>
      <c r="I296" s="102">
        <f t="shared" si="13"/>
        <v>0</v>
      </c>
      <c r="L296" s="112"/>
    </row>
    <row r="297" spans="1:12" x14ac:dyDescent="0.25">
      <c r="A297" s="50" t="s">
        <v>2886</v>
      </c>
      <c r="B297" s="50" t="s">
        <v>600</v>
      </c>
      <c r="C297" s="51"/>
      <c r="D297" s="52">
        <v>0</v>
      </c>
      <c r="E297" s="93"/>
      <c r="F297" s="53">
        <f t="shared" si="14"/>
        <v>0</v>
      </c>
      <c r="G297" s="93"/>
      <c r="H297" s="106"/>
      <c r="I297" s="106"/>
      <c r="L297" s="112"/>
    </row>
    <row r="298" spans="1:12" x14ac:dyDescent="0.25">
      <c r="A298" s="54" t="s">
        <v>2887</v>
      </c>
      <c r="B298" s="54" t="s">
        <v>601</v>
      </c>
      <c r="C298" s="55" t="s">
        <v>602</v>
      </c>
      <c r="D298" s="56">
        <v>0</v>
      </c>
      <c r="E298" s="94">
        <f>'Previous week'!F298</f>
        <v>1</v>
      </c>
      <c r="F298" s="57">
        <f t="shared" si="14"/>
        <v>0</v>
      </c>
      <c r="G298" s="94">
        <f>'Current week'!F298</f>
        <v>1</v>
      </c>
      <c r="H298" s="107">
        <f t="shared" si="12"/>
        <v>0</v>
      </c>
      <c r="I298" s="107">
        <f t="shared" si="13"/>
        <v>0</v>
      </c>
      <c r="L298" s="112"/>
    </row>
    <row r="299" spans="1:12" x14ac:dyDescent="0.25">
      <c r="A299" s="19" t="s">
        <v>2888</v>
      </c>
      <c r="B299" s="19" t="s">
        <v>603</v>
      </c>
      <c r="C299" s="20" t="s">
        <v>604</v>
      </c>
      <c r="D299" s="21">
        <v>0</v>
      </c>
      <c r="E299" s="88">
        <f>VLOOKUP(A299,'Previous week'!$A$3:$F$1765,6,FALSE)</f>
        <v>1</v>
      </c>
      <c r="F299" s="22">
        <f t="shared" si="14"/>
        <v>0</v>
      </c>
      <c r="G299" s="88">
        <f>VLOOKUP(A299,'Current week'!$A$3:$F$1765,6,0)</f>
        <v>1</v>
      </c>
      <c r="H299" s="101">
        <f t="shared" si="12"/>
        <v>0</v>
      </c>
      <c r="I299" s="101">
        <f t="shared" si="13"/>
        <v>0</v>
      </c>
      <c r="L299" s="112"/>
    </row>
    <row r="300" spans="1:12" x14ac:dyDescent="0.25">
      <c r="A300" s="23" t="s">
        <v>2889</v>
      </c>
      <c r="B300" s="23" t="s">
        <v>605</v>
      </c>
      <c r="C300" s="24"/>
      <c r="D300" s="25">
        <v>0</v>
      </c>
      <c r="E300" s="88">
        <f>VLOOKUP(A300,'Previous week'!$A$3:$F$1765,6,FALSE)</f>
        <v>0</v>
      </c>
      <c r="F300" s="22">
        <f t="shared" si="14"/>
        <v>0</v>
      </c>
      <c r="G300" s="88">
        <f>VLOOKUP(A300,'Current week'!$A$3:$F$1765,6,0)</f>
        <v>0</v>
      </c>
      <c r="H300" s="102">
        <f t="shared" si="12"/>
        <v>0</v>
      </c>
      <c r="I300" s="102">
        <f t="shared" si="13"/>
        <v>0</v>
      </c>
      <c r="L300" s="112"/>
    </row>
    <row r="301" spans="1:12" x14ac:dyDescent="0.25">
      <c r="A301" s="54" t="s">
        <v>2890</v>
      </c>
      <c r="B301" s="54" t="s">
        <v>606</v>
      </c>
      <c r="C301" s="55" t="s">
        <v>607</v>
      </c>
      <c r="D301" s="56">
        <v>0</v>
      </c>
      <c r="E301" s="94">
        <f>'Previous week'!F301</f>
        <v>1</v>
      </c>
      <c r="F301" s="57">
        <f t="shared" si="14"/>
        <v>0</v>
      </c>
      <c r="G301" s="94">
        <f>'Current week'!F301</f>
        <v>1</v>
      </c>
      <c r="H301" s="107">
        <f t="shared" si="12"/>
        <v>0</v>
      </c>
      <c r="I301" s="107">
        <f t="shared" si="13"/>
        <v>0</v>
      </c>
      <c r="L301" s="112"/>
    </row>
    <row r="302" spans="1:12" x14ac:dyDescent="0.25">
      <c r="A302" s="19" t="s">
        <v>2891</v>
      </c>
      <c r="B302" s="19" t="s">
        <v>608</v>
      </c>
      <c r="C302" s="20" t="s">
        <v>609</v>
      </c>
      <c r="D302" s="21">
        <v>0</v>
      </c>
      <c r="E302" s="88">
        <f>VLOOKUP(A302,'Previous week'!$A$3:$F$1765,6,FALSE)</f>
        <v>1</v>
      </c>
      <c r="F302" s="22">
        <f t="shared" si="14"/>
        <v>0</v>
      </c>
      <c r="G302" s="88">
        <f>VLOOKUP(A302,'Current week'!$A$3:$F$1765,6,0)</f>
        <v>1</v>
      </c>
      <c r="H302" s="101">
        <f t="shared" si="12"/>
        <v>0</v>
      </c>
      <c r="I302" s="101">
        <f t="shared" si="13"/>
        <v>0</v>
      </c>
      <c r="L302" s="112"/>
    </row>
    <row r="303" spans="1:12" x14ac:dyDescent="0.25">
      <c r="A303" s="23" t="s">
        <v>2892</v>
      </c>
      <c r="B303" s="23" t="s">
        <v>610</v>
      </c>
      <c r="C303" s="24"/>
      <c r="D303" s="25">
        <v>0</v>
      </c>
      <c r="E303" s="88">
        <f>VLOOKUP(A303,'Previous week'!$A$3:$F$1765,6,FALSE)</f>
        <v>0</v>
      </c>
      <c r="F303" s="22">
        <f t="shared" si="14"/>
        <v>0</v>
      </c>
      <c r="G303" s="88">
        <f>VLOOKUP(A303,'Current week'!$A$3:$F$1765,6,0)</f>
        <v>0</v>
      </c>
      <c r="H303" s="102">
        <f t="shared" si="12"/>
        <v>0</v>
      </c>
      <c r="I303" s="102">
        <f t="shared" si="13"/>
        <v>0</v>
      </c>
      <c r="L303" s="112"/>
    </row>
    <row r="304" spans="1:12" x14ac:dyDescent="0.25">
      <c r="A304" s="54" t="s">
        <v>2893</v>
      </c>
      <c r="B304" s="54" t="s">
        <v>611</v>
      </c>
      <c r="C304" s="55" t="s">
        <v>612</v>
      </c>
      <c r="D304" s="56">
        <v>0</v>
      </c>
      <c r="E304" s="94">
        <f>'Previous week'!F304</f>
        <v>1</v>
      </c>
      <c r="F304" s="57">
        <f t="shared" si="14"/>
        <v>0</v>
      </c>
      <c r="G304" s="94">
        <f>'Current week'!F304</f>
        <v>1</v>
      </c>
      <c r="H304" s="107">
        <f t="shared" si="12"/>
        <v>0</v>
      </c>
      <c r="I304" s="107">
        <f t="shared" si="13"/>
        <v>0</v>
      </c>
      <c r="L304" s="112"/>
    </row>
    <row r="305" spans="1:12" x14ac:dyDescent="0.25">
      <c r="A305" s="19" t="s">
        <v>2894</v>
      </c>
      <c r="B305" s="19" t="s">
        <v>613</v>
      </c>
      <c r="C305" s="20" t="s">
        <v>614</v>
      </c>
      <c r="D305" s="21">
        <v>0</v>
      </c>
      <c r="E305" s="88">
        <f>VLOOKUP(A305,'Previous week'!$A$3:$F$1765,6,FALSE)</f>
        <v>1</v>
      </c>
      <c r="F305" s="22">
        <f t="shared" si="14"/>
        <v>0</v>
      </c>
      <c r="G305" s="88">
        <f>VLOOKUP(A305,'Current week'!$A$3:$F$1765,6,0)</f>
        <v>1</v>
      </c>
      <c r="H305" s="101">
        <f t="shared" si="12"/>
        <v>0</v>
      </c>
      <c r="I305" s="101">
        <f t="shared" si="13"/>
        <v>0</v>
      </c>
      <c r="L305" s="112"/>
    </row>
    <row r="306" spans="1:12" x14ac:dyDescent="0.25">
      <c r="A306" s="23" t="s">
        <v>2895</v>
      </c>
      <c r="B306" s="23" t="s">
        <v>615</v>
      </c>
      <c r="C306" s="24"/>
      <c r="D306" s="25">
        <v>0</v>
      </c>
      <c r="E306" s="88">
        <f>VLOOKUP(A306,'Previous week'!$A$3:$F$1765,6,FALSE)</f>
        <v>0</v>
      </c>
      <c r="F306" s="22">
        <f t="shared" si="14"/>
        <v>0</v>
      </c>
      <c r="G306" s="88">
        <f>VLOOKUP(A306,'Current week'!$A$3:$F$1765,6,0)</f>
        <v>0</v>
      </c>
      <c r="H306" s="102">
        <f t="shared" si="12"/>
        <v>0</v>
      </c>
      <c r="I306" s="102">
        <f t="shared" si="13"/>
        <v>0</v>
      </c>
      <c r="L306" s="112"/>
    </row>
    <row r="307" spans="1:12" x14ac:dyDescent="0.25">
      <c r="A307" s="54" t="s">
        <v>2896</v>
      </c>
      <c r="B307" s="54" t="s">
        <v>616</v>
      </c>
      <c r="C307" s="55" t="s">
        <v>617</v>
      </c>
      <c r="D307" s="56">
        <v>0</v>
      </c>
      <c r="E307" s="94">
        <f>'Previous week'!F307</f>
        <v>1</v>
      </c>
      <c r="F307" s="57">
        <f t="shared" si="14"/>
        <v>0</v>
      </c>
      <c r="G307" s="94">
        <f>'Current week'!F307</f>
        <v>1</v>
      </c>
      <c r="H307" s="107">
        <f t="shared" si="12"/>
        <v>0</v>
      </c>
      <c r="I307" s="107">
        <f t="shared" si="13"/>
        <v>0</v>
      </c>
      <c r="L307" s="112"/>
    </row>
    <row r="308" spans="1:12" x14ac:dyDescent="0.25">
      <c r="A308" s="19" t="s">
        <v>2897</v>
      </c>
      <c r="B308" s="19" t="s">
        <v>618</v>
      </c>
      <c r="C308" s="20" t="s">
        <v>619</v>
      </c>
      <c r="D308" s="21">
        <v>0</v>
      </c>
      <c r="E308" s="88">
        <f>VLOOKUP(A308,'Previous week'!$A$3:$F$1765,6,FALSE)</f>
        <v>1</v>
      </c>
      <c r="F308" s="22">
        <f t="shared" si="14"/>
        <v>0</v>
      </c>
      <c r="G308" s="88">
        <f>VLOOKUP(A308,'Current week'!$A$3:$F$1765,6,0)</f>
        <v>1</v>
      </c>
      <c r="H308" s="101">
        <f t="shared" si="12"/>
        <v>0</v>
      </c>
      <c r="I308" s="101">
        <f t="shared" si="13"/>
        <v>0</v>
      </c>
      <c r="L308" s="112"/>
    </row>
    <row r="309" spans="1:12" x14ac:dyDescent="0.25">
      <c r="A309" s="23" t="s">
        <v>2898</v>
      </c>
      <c r="B309" s="23" t="s">
        <v>620</v>
      </c>
      <c r="C309" s="24"/>
      <c r="D309" s="25">
        <v>0</v>
      </c>
      <c r="E309" s="88">
        <f>VLOOKUP(A309,'Previous week'!$A$3:$F$1765,6,FALSE)</f>
        <v>0</v>
      </c>
      <c r="F309" s="22">
        <f t="shared" si="14"/>
        <v>0</v>
      </c>
      <c r="G309" s="88">
        <f>VLOOKUP(A309,'Current week'!$A$3:$F$1765,6,0)</f>
        <v>0</v>
      </c>
      <c r="H309" s="102">
        <f t="shared" si="12"/>
        <v>0</v>
      </c>
      <c r="I309" s="102">
        <f t="shared" si="13"/>
        <v>0</v>
      </c>
      <c r="L309" s="112"/>
    </row>
    <row r="310" spans="1:12" x14ac:dyDescent="0.25">
      <c r="A310" s="50" t="s">
        <v>2899</v>
      </c>
      <c r="B310" s="50" t="s">
        <v>621</v>
      </c>
      <c r="C310" s="51" t="s">
        <v>622</v>
      </c>
      <c r="D310" s="52">
        <v>0</v>
      </c>
      <c r="E310" s="93"/>
      <c r="F310" s="53">
        <f t="shared" si="14"/>
        <v>0</v>
      </c>
      <c r="G310" s="93"/>
      <c r="H310" s="106"/>
      <c r="I310" s="106"/>
      <c r="L310" s="112"/>
    </row>
    <row r="311" spans="1:12" x14ac:dyDescent="0.25">
      <c r="A311" s="58" t="s">
        <v>2900</v>
      </c>
      <c r="B311" s="58" t="s">
        <v>623</v>
      </c>
      <c r="C311" s="59" t="s">
        <v>624</v>
      </c>
      <c r="D311" s="60">
        <v>0</v>
      </c>
      <c r="E311" s="96">
        <f>'Previous week'!F311</f>
        <v>1</v>
      </c>
      <c r="F311" s="61">
        <f t="shared" si="14"/>
        <v>0</v>
      </c>
      <c r="G311" s="96">
        <f>'Current week'!F311</f>
        <v>1</v>
      </c>
      <c r="H311" s="108">
        <f t="shared" si="12"/>
        <v>0</v>
      </c>
      <c r="I311" s="108">
        <f t="shared" si="13"/>
        <v>0</v>
      </c>
      <c r="L311" s="112"/>
    </row>
    <row r="312" spans="1:12" x14ac:dyDescent="0.25">
      <c r="A312" s="62" t="s">
        <v>2901</v>
      </c>
      <c r="B312" s="62" t="s">
        <v>625</v>
      </c>
      <c r="C312" s="63"/>
      <c r="D312" s="64">
        <v>0</v>
      </c>
      <c r="E312" s="97">
        <f>'Previous week'!F312</f>
        <v>0</v>
      </c>
      <c r="F312" s="65">
        <f t="shared" si="14"/>
        <v>0</v>
      </c>
      <c r="G312" s="97">
        <f>'Current week'!F312</f>
        <v>0</v>
      </c>
      <c r="H312" s="109">
        <f t="shared" si="12"/>
        <v>0</v>
      </c>
      <c r="I312" s="109">
        <f t="shared" si="13"/>
        <v>0</v>
      </c>
      <c r="L312" s="112"/>
    </row>
    <row r="313" spans="1:12" x14ac:dyDescent="0.25">
      <c r="A313" s="19" t="s">
        <v>2902</v>
      </c>
      <c r="B313" s="19" t="s">
        <v>626</v>
      </c>
      <c r="C313" s="20" t="s">
        <v>627</v>
      </c>
      <c r="D313" s="21">
        <v>0</v>
      </c>
      <c r="E313" s="88">
        <f>VLOOKUP(A313,'Previous week'!$A$3:$F$1765,6,FALSE)</f>
        <v>1</v>
      </c>
      <c r="F313" s="22">
        <f t="shared" si="14"/>
        <v>0</v>
      </c>
      <c r="G313" s="88">
        <f>VLOOKUP(A313,'Current week'!$A$3:$F$1765,6,0)</f>
        <v>1</v>
      </c>
      <c r="H313" s="101">
        <f t="shared" si="12"/>
        <v>0</v>
      </c>
      <c r="I313" s="101">
        <f t="shared" si="13"/>
        <v>0</v>
      </c>
      <c r="L313" s="112"/>
    </row>
    <row r="314" spans="1:12" x14ac:dyDescent="0.25">
      <c r="A314" s="23" t="s">
        <v>2903</v>
      </c>
      <c r="B314" s="23" t="s">
        <v>628</v>
      </c>
      <c r="C314" s="24" t="s">
        <v>629</v>
      </c>
      <c r="D314" s="25">
        <v>0</v>
      </c>
      <c r="E314" s="88">
        <f>VLOOKUP(A314,'Previous week'!$A$3:$F$1765,6,FALSE)</f>
        <v>1</v>
      </c>
      <c r="F314" s="22">
        <f t="shared" si="14"/>
        <v>0</v>
      </c>
      <c r="G314" s="88">
        <f>VLOOKUP(A314,'Current week'!$A$3:$F$1765,6,0)</f>
        <v>1</v>
      </c>
      <c r="H314" s="102">
        <f t="shared" si="12"/>
        <v>0</v>
      </c>
      <c r="I314" s="102">
        <f t="shared" si="13"/>
        <v>0</v>
      </c>
      <c r="L314" s="112"/>
    </row>
    <row r="315" spans="1:12" x14ac:dyDescent="0.25">
      <c r="A315" s="62" t="s">
        <v>2904</v>
      </c>
      <c r="B315" s="62" t="s">
        <v>630</v>
      </c>
      <c r="C315" s="63"/>
      <c r="D315" s="64">
        <v>0</v>
      </c>
      <c r="E315" s="97">
        <f>'Previous week'!F315</f>
        <v>0</v>
      </c>
      <c r="F315" s="65">
        <f t="shared" si="14"/>
        <v>0</v>
      </c>
      <c r="G315" s="97">
        <f>'Current week'!F315</f>
        <v>0</v>
      </c>
      <c r="H315" s="109">
        <f t="shared" si="12"/>
        <v>0</v>
      </c>
      <c r="I315" s="109">
        <f t="shared" si="13"/>
        <v>0</v>
      </c>
      <c r="L315" s="112"/>
    </row>
    <row r="316" spans="1:12" x14ac:dyDescent="0.25">
      <c r="A316" s="19" t="s">
        <v>2905</v>
      </c>
      <c r="B316" s="19" t="s">
        <v>631</v>
      </c>
      <c r="C316" s="20" t="s">
        <v>632</v>
      </c>
      <c r="D316" s="21">
        <v>0</v>
      </c>
      <c r="E316" s="88">
        <f>VLOOKUP(A316,'Previous week'!$A$3:$F$1765,6,FALSE)</f>
        <v>1</v>
      </c>
      <c r="F316" s="22">
        <f t="shared" si="14"/>
        <v>0</v>
      </c>
      <c r="G316" s="88">
        <f>VLOOKUP(A316,'Current week'!$A$3:$F$1765,6,0)</f>
        <v>1</v>
      </c>
      <c r="H316" s="101">
        <f t="shared" si="12"/>
        <v>0</v>
      </c>
      <c r="I316" s="101">
        <f t="shared" si="13"/>
        <v>0</v>
      </c>
      <c r="L316" s="112"/>
    </row>
    <row r="317" spans="1:12" x14ac:dyDescent="0.25">
      <c r="A317" s="23" t="s">
        <v>2906</v>
      </c>
      <c r="B317" s="23" t="s">
        <v>633</v>
      </c>
      <c r="C317" s="24" t="s">
        <v>634</v>
      </c>
      <c r="D317" s="25">
        <v>0</v>
      </c>
      <c r="E317" s="88">
        <f>VLOOKUP(A317,'Previous week'!$A$3:$F$1765,6,FALSE)</f>
        <v>1</v>
      </c>
      <c r="F317" s="22">
        <f t="shared" si="14"/>
        <v>0</v>
      </c>
      <c r="G317" s="88">
        <f>VLOOKUP(A317,'Current week'!$A$3:$F$1765,6,0)</f>
        <v>1</v>
      </c>
      <c r="H317" s="102">
        <f t="shared" si="12"/>
        <v>0</v>
      </c>
      <c r="I317" s="102">
        <f t="shared" si="13"/>
        <v>0</v>
      </c>
      <c r="L317" s="112"/>
    </row>
    <row r="318" spans="1:12" x14ac:dyDescent="0.25">
      <c r="A318" s="62" t="s">
        <v>2907</v>
      </c>
      <c r="B318" s="62" t="s">
        <v>635</v>
      </c>
      <c r="C318" s="63"/>
      <c r="D318" s="64">
        <v>0</v>
      </c>
      <c r="E318" s="97">
        <f>'Previous week'!F318</f>
        <v>0</v>
      </c>
      <c r="F318" s="65">
        <f t="shared" si="14"/>
        <v>0</v>
      </c>
      <c r="G318" s="97">
        <f>'Current week'!F318</f>
        <v>0</v>
      </c>
      <c r="H318" s="109">
        <f t="shared" si="12"/>
        <v>0</v>
      </c>
      <c r="I318" s="109">
        <f t="shared" si="13"/>
        <v>0</v>
      </c>
      <c r="L318" s="112"/>
    </row>
    <row r="319" spans="1:12" x14ac:dyDescent="0.25">
      <c r="A319" s="19" t="s">
        <v>2908</v>
      </c>
      <c r="B319" s="19" t="s">
        <v>636</v>
      </c>
      <c r="C319" s="20" t="s">
        <v>637</v>
      </c>
      <c r="D319" s="21">
        <v>0</v>
      </c>
      <c r="E319" s="88">
        <f>VLOOKUP(A319,'Previous week'!$A$3:$F$1765,6,FALSE)</f>
        <v>1</v>
      </c>
      <c r="F319" s="22">
        <f t="shared" si="14"/>
        <v>0</v>
      </c>
      <c r="G319" s="88">
        <f>VLOOKUP(A319,'Current week'!$A$3:$F$1765,6,0)</f>
        <v>1</v>
      </c>
      <c r="H319" s="101">
        <f t="shared" si="12"/>
        <v>0</v>
      </c>
      <c r="I319" s="101">
        <f t="shared" si="13"/>
        <v>0</v>
      </c>
      <c r="L319" s="112"/>
    </row>
    <row r="320" spans="1:12" x14ac:dyDescent="0.25">
      <c r="A320" s="23" t="s">
        <v>2909</v>
      </c>
      <c r="B320" s="23" t="s">
        <v>638</v>
      </c>
      <c r="C320" s="24" t="s">
        <v>639</v>
      </c>
      <c r="D320" s="25">
        <v>0</v>
      </c>
      <c r="E320" s="88">
        <f>VLOOKUP(A320,'Previous week'!$A$3:$F$1765,6,FALSE)</f>
        <v>1</v>
      </c>
      <c r="F320" s="22">
        <f t="shared" si="14"/>
        <v>0</v>
      </c>
      <c r="G320" s="88">
        <f>VLOOKUP(A320,'Current week'!$A$3:$F$1765,6,0)</f>
        <v>1</v>
      </c>
      <c r="H320" s="102">
        <f t="shared" si="12"/>
        <v>0</v>
      </c>
      <c r="I320" s="102">
        <f t="shared" si="13"/>
        <v>0</v>
      </c>
      <c r="L320" s="112"/>
    </row>
    <row r="321" spans="1:12" x14ac:dyDescent="0.25">
      <c r="A321" s="58" t="s">
        <v>2910</v>
      </c>
      <c r="B321" s="58" t="s">
        <v>640</v>
      </c>
      <c r="C321" s="59"/>
      <c r="D321" s="60">
        <v>0</v>
      </c>
      <c r="E321" s="96">
        <f>'Previous week'!F321</f>
        <v>0</v>
      </c>
      <c r="F321" s="61">
        <f t="shared" si="14"/>
        <v>0</v>
      </c>
      <c r="G321" s="96">
        <f>'Current week'!F321</f>
        <v>0</v>
      </c>
      <c r="H321" s="108">
        <f t="shared" si="12"/>
        <v>0</v>
      </c>
      <c r="I321" s="108">
        <f t="shared" si="13"/>
        <v>0</v>
      </c>
      <c r="L321" s="112"/>
    </row>
    <row r="322" spans="1:12" x14ac:dyDescent="0.25">
      <c r="A322" s="62" t="s">
        <v>2911</v>
      </c>
      <c r="B322" s="62" t="s">
        <v>641</v>
      </c>
      <c r="C322" s="63" t="s">
        <v>642</v>
      </c>
      <c r="D322" s="64">
        <v>0</v>
      </c>
      <c r="E322" s="97">
        <f>'Previous week'!F322</f>
        <v>1</v>
      </c>
      <c r="F322" s="65">
        <f t="shared" si="14"/>
        <v>0</v>
      </c>
      <c r="G322" s="97">
        <f>'Current week'!F322</f>
        <v>1</v>
      </c>
      <c r="H322" s="109">
        <f t="shared" ref="H322:H385" si="15">G322*D322</f>
        <v>0</v>
      </c>
      <c r="I322" s="109">
        <f t="shared" ref="I322:I385" si="16">F322*D322</f>
        <v>0</v>
      </c>
      <c r="L322" s="112"/>
    </row>
    <row r="323" spans="1:12" x14ac:dyDescent="0.25">
      <c r="A323" s="19" t="s">
        <v>2912</v>
      </c>
      <c r="B323" s="19" t="s">
        <v>643</v>
      </c>
      <c r="C323" s="20" t="s">
        <v>644</v>
      </c>
      <c r="D323" s="21">
        <v>0</v>
      </c>
      <c r="E323" s="88">
        <f>VLOOKUP(A323,'Previous week'!$A$3:$F$1765,6,FALSE)</f>
        <v>1</v>
      </c>
      <c r="F323" s="22">
        <f t="shared" ref="F323:F386" si="17">G323-E323</f>
        <v>0</v>
      </c>
      <c r="G323" s="88">
        <f>VLOOKUP(A323,'Current week'!$A$3:$F$1765,6,0)</f>
        <v>1</v>
      </c>
      <c r="H323" s="101">
        <f t="shared" si="15"/>
        <v>0</v>
      </c>
      <c r="I323" s="101">
        <f t="shared" si="16"/>
        <v>0</v>
      </c>
      <c r="L323" s="112"/>
    </row>
    <row r="324" spans="1:12" x14ac:dyDescent="0.25">
      <c r="A324" s="23" t="s">
        <v>2913</v>
      </c>
      <c r="B324" s="23" t="s">
        <v>218</v>
      </c>
      <c r="C324" s="24"/>
      <c r="D324" s="25">
        <v>0</v>
      </c>
      <c r="E324" s="88">
        <f>VLOOKUP(A324,'Previous week'!$A$3:$F$1765,6,FALSE)</f>
        <v>0</v>
      </c>
      <c r="F324" s="22">
        <f t="shared" si="17"/>
        <v>0</v>
      </c>
      <c r="G324" s="88">
        <f>VLOOKUP(A324,'Current week'!$A$3:$F$1765,6,0)</f>
        <v>0</v>
      </c>
      <c r="H324" s="102">
        <f t="shared" si="15"/>
        <v>0</v>
      </c>
      <c r="I324" s="102">
        <f t="shared" si="16"/>
        <v>0</v>
      </c>
      <c r="L324" s="112"/>
    </row>
    <row r="325" spans="1:12" x14ac:dyDescent="0.25">
      <c r="A325" s="62" t="s">
        <v>2914</v>
      </c>
      <c r="B325" s="62" t="s">
        <v>645</v>
      </c>
      <c r="C325" s="63" t="s">
        <v>646</v>
      </c>
      <c r="D325" s="64">
        <v>0</v>
      </c>
      <c r="E325" s="97">
        <f>'Previous week'!F325</f>
        <v>1</v>
      </c>
      <c r="F325" s="65">
        <f t="shared" si="17"/>
        <v>0</v>
      </c>
      <c r="G325" s="97">
        <f>'Current week'!F325</f>
        <v>1</v>
      </c>
      <c r="H325" s="109">
        <f t="shared" si="15"/>
        <v>0</v>
      </c>
      <c r="I325" s="109">
        <f t="shared" si="16"/>
        <v>0</v>
      </c>
      <c r="L325" s="112"/>
    </row>
    <row r="326" spans="1:12" x14ac:dyDescent="0.25">
      <c r="A326" s="19" t="s">
        <v>2915</v>
      </c>
      <c r="B326" s="19" t="s">
        <v>647</v>
      </c>
      <c r="C326" s="20" t="s">
        <v>648</v>
      </c>
      <c r="D326" s="21">
        <v>0</v>
      </c>
      <c r="E326" s="88">
        <f>VLOOKUP(A326,'Previous week'!$A$3:$F$1765,6,FALSE)</f>
        <v>1</v>
      </c>
      <c r="F326" s="22">
        <f t="shared" si="17"/>
        <v>0</v>
      </c>
      <c r="G326" s="88">
        <f>VLOOKUP(A326,'Current week'!$A$3:$F$1765,6,0)</f>
        <v>1</v>
      </c>
      <c r="H326" s="101">
        <f t="shared" si="15"/>
        <v>0</v>
      </c>
      <c r="I326" s="101">
        <f t="shared" si="16"/>
        <v>0</v>
      </c>
      <c r="L326" s="112"/>
    </row>
    <row r="327" spans="1:12" x14ac:dyDescent="0.25">
      <c r="A327" s="23" t="s">
        <v>2916</v>
      </c>
      <c r="B327" s="23" t="s">
        <v>649</v>
      </c>
      <c r="C327" s="24"/>
      <c r="D327" s="25">
        <v>0</v>
      </c>
      <c r="E327" s="88">
        <f>VLOOKUP(A327,'Previous week'!$A$3:$F$1765,6,FALSE)</f>
        <v>0</v>
      </c>
      <c r="F327" s="22">
        <f t="shared" si="17"/>
        <v>0</v>
      </c>
      <c r="G327" s="88">
        <f>VLOOKUP(A327,'Current week'!$A$3:$F$1765,6,0)</f>
        <v>0</v>
      </c>
      <c r="H327" s="102">
        <f t="shared" si="15"/>
        <v>0</v>
      </c>
      <c r="I327" s="102">
        <f t="shared" si="16"/>
        <v>0</v>
      </c>
      <c r="L327" s="112"/>
    </row>
    <row r="328" spans="1:12" x14ac:dyDescent="0.25">
      <c r="A328" s="62" t="s">
        <v>2917</v>
      </c>
      <c r="B328" s="62" t="s">
        <v>650</v>
      </c>
      <c r="C328" s="63" t="s">
        <v>651</v>
      </c>
      <c r="D328" s="64">
        <v>0</v>
      </c>
      <c r="E328" s="97">
        <f>'Previous week'!F328</f>
        <v>1</v>
      </c>
      <c r="F328" s="65">
        <f t="shared" si="17"/>
        <v>0</v>
      </c>
      <c r="G328" s="97">
        <f>'Current week'!F328</f>
        <v>1</v>
      </c>
      <c r="H328" s="109">
        <f t="shared" si="15"/>
        <v>0</v>
      </c>
      <c r="I328" s="109">
        <f t="shared" si="16"/>
        <v>0</v>
      </c>
      <c r="L328" s="112"/>
    </row>
    <row r="329" spans="1:12" x14ac:dyDescent="0.25">
      <c r="A329" s="19" t="s">
        <v>2918</v>
      </c>
      <c r="B329" s="19" t="s">
        <v>652</v>
      </c>
      <c r="C329" s="20" t="s">
        <v>653</v>
      </c>
      <c r="D329" s="21">
        <v>0</v>
      </c>
      <c r="E329" s="88">
        <f>VLOOKUP(A329,'Previous week'!$A$3:$F$1765,6,FALSE)</f>
        <v>1</v>
      </c>
      <c r="F329" s="22">
        <f t="shared" si="17"/>
        <v>0</v>
      </c>
      <c r="G329" s="88">
        <f>VLOOKUP(A329,'Current week'!$A$3:$F$1765,6,0)</f>
        <v>1</v>
      </c>
      <c r="H329" s="101">
        <f t="shared" si="15"/>
        <v>0</v>
      </c>
      <c r="I329" s="101">
        <f t="shared" si="16"/>
        <v>0</v>
      </c>
      <c r="L329" s="112"/>
    </row>
    <row r="330" spans="1:12" x14ac:dyDescent="0.25">
      <c r="A330" s="23" t="s">
        <v>2919</v>
      </c>
      <c r="B330" s="23" t="s">
        <v>654</v>
      </c>
      <c r="C330" s="24"/>
      <c r="D330" s="25">
        <v>0</v>
      </c>
      <c r="E330" s="88">
        <f>VLOOKUP(A330,'Previous week'!$A$3:$F$1765,6,FALSE)</f>
        <v>0</v>
      </c>
      <c r="F330" s="22">
        <f t="shared" si="17"/>
        <v>0</v>
      </c>
      <c r="G330" s="88">
        <f>VLOOKUP(A330,'Current week'!$A$3:$F$1765,6,0)</f>
        <v>0</v>
      </c>
      <c r="H330" s="102">
        <f t="shared" si="15"/>
        <v>0</v>
      </c>
      <c r="I330" s="102">
        <f t="shared" si="16"/>
        <v>0</v>
      </c>
      <c r="L330" s="112"/>
    </row>
    <row r="331" spans="1:12" x14ac:dyDescent="0.25">
      <c r="A331" s="62" t="s">
        <v>2920</v>
      </c>
      <c r="B331" s="62" t="s">
        <v>655</v>
      </c>
      <c r="C331" s="63" t="s">
        <v>656</v>
      </c>
      <c r="D331" s="64">
        <v>0</v>
      </c>
      <c r="E331" s="97">
        <f>'Previous week'!F331</f>
        <v>1</v>
      </c>
      <c r="F331" s="65">
        <f t="shared" si="17"/>
        <v>0</v>
      </c>
      <c r="G331" s="97">
        <f>'Current week'!F331</f>
        <v>1</v>
      </c>
      <c r="H331" s="109">
        <f t="shared" si="15"/>
        <v>0</v>
      </c>
      <c r="I331" s="109">
        <f t="shared" si="16"/>
        <v>0</v>
      </c>
      <c r="L331" s="112"/>
    </row>
    <row r="332" spans="1:12" x14ac:dyDescent="0.25">
      <c r="A332" s="19" t="s">
        <v>2921</v>
      </c>
      <c r="B332" s="19" t="s">
        <v>657</v>
      </c>
      <c r="C332" s="20" t="s">
        <v>658</v>
      </c>
      <c r="D332" s="21">
        <v>0</v>
      </c>
      <c r="E332" s="88">
        <f>VLOOKUP(A332,'Previous week'!$A$3:$F$1765,6,FALSE)</f>
        <v>1</v>
      </c>
      <c r="F332" s="22">
        <f t="shared" si="17"/>
        <v>0</v>
      </c>
      <c r="G332" s="88">
        <f>VLOOKUP(A332,'Current week'!$A$3:$F$1765,6,0)</f>
        <v>1</v>
      </c>
      <c r="H332" s="101">
        <f t="shared" si="15"/>
        <v>0</v>
      </c>
      <c r="I332" s="101">
        <f t="shared" si="16"/>
        <v>0</v>
      </c>
      <c r="L332" s="112"/>
    </row>
    <row r="333" spans="1:12" x14ac:dyDescent="0.25">
      <c r="A333" s="23" t="s">
        <v>2922</v>
      </c>
      <c r="B333" s="23" t="s">
        <v>659</v>
      </c>
      <c r="C333" s="24"/>
      <c r="D333" s="25">
        <v>0</v>
      </c>
      <c r="E333" s="88">
        <f>VLOOKUP(A333,'Previous week'!$A$3:$F$1765,6,FALSE)</f>
        <v>0</v>
      </c>
      <c r="F333" s="22">
        <f t="shared" si="17"/>
        <v>0</v>
      </c>
      <c r="G333" s="88">
        <f>VLOOKUP(A333,'Current week'!$A$3:$F$1765,6,0)</f>
        <v>0</v>
      </c>
      <c r="H333" s="102">
        <f t="shared" si="15"/>
        <v>0</v>
      </c>
      <c r="I333" s="102">
        <f t="shared" si="16"/>
        <v>0</v>
      </c>
      <c r="L333" s="112"/>
    </row>
    <row r="334" spans="1:12" x14ac:dyDescent="0.25">
      <c r="A334" s="62" t="s">
        <v>2923</v>
      </c>
      <c r="B334" s="62" t="s">
        <v>660</v>
      </c>
      <c r="C334" s="63" t="s">
        <v>661</v>
      </c>
      <c r="D334" s="64">
        <v>0</v>
      </c>
      <c r="E334" s="97">
        <f>'Previous week'!F334</f>
        <v>1</v>
      </c>
      <c r="F334" s="65">
        <f t="shared" si="17"/>
        <v>0</v>
      </c>
      <c r="G334" s="97">
        <f>'Current week'!F334</f>
        <v>1</v>
      </c>
      <c r="H334" s="109">
        <f t="shared" si="15"/>
        <v>0</v>
      </c>
      <c r="I334" s="109">
        <f t="shared" si="16"/>
        <v>0</v>
      </c>
      <c r="L334" s="112"/>
    </row>
    <row r="335" spans="1:12" x14ac:dyDescent="0.25">
      <c r="A335" s="19" t="s">
        <v>2924</v>
      </c>
      <c r="B335" s="19" t="s">
        <v>662</v>
      </c>
      <c r="C335" s="20" t="s">
        <v>663</v>
      </c>
      <c r="D335" s="21">
        <v>0</v>
      </c>
      <c r="E335" s="88">
        <f>VLOOKUP(A335,'Previous week'!$A$3:$F$1765,6,FALSE)</f>
        <v>1</v>
      </c>
      <c r="F335" s="22">
        <f t="shared" si="17"/>
        <v>0</v>
      </c>
      <c r="G335" s="88">
        <f>VLOOKUP(A335,'Current week'!$A$3:$F$1765,6,0)</f>
        <v>1</v>
      </c>
      <c r="H335" s="101">
        <f t="shared" si="15"/>
        <v>0</v>
      </c>
      <c r="I335" s="101">
        <f t="shared" si="16"/>
        <v>0</v>
      </c>
      <c r="L335" s="112"/>
    </row>
    <row r="336" spans="1:12" x14ac:dyDescent="0.25">
      <c r="A336" s="23" t="s">
        <v>2925</v>
      </c>
      <c r="B336" s="23" t="s">
        <v>664</v>
      </c>
      <c r="C336" s="24"/>
      <c r="D336" s="25">
        <v>0</v>
      </c>
      <c r="E336" s="88">
        <f>VLOOKUP(A336,'Previous week'!$A$3:$F$1765,6,FALSE)</f>
        <v>0</v>
      </c>
      <c r="F336" s="22">
        <f t="shared" si="17"/>
        <v>0</v>
      </c>
      <c r="G336" s="88">
        <f>VLOOKUP(A336,'Current week'!$A$3:$F$1765,6,0)</f>
        <v>0</v>
      </c>
      <c r="H336" s="102">
        <f t="shared" si="15"/>
        <v>0</v>
      </c>
      <c r="I336" s="102">
        <f t="shared" si="16"/>
        <v>0</v>
      </c>
      <c r="L336" s="112"/>
    </row>
    <row r="337" spans="1:12" x14ac:dyDescent="0.25">
      <c r="A337" s="62" t="s">
        <v>2926</v>
      </c>
      <c r="B337" s="62" t="s">
        <v>665</v>
      </c>
      <c r="C337" s="63" t="s">
        <v>666</v>
      </c>
      <c r="D337" s="64">
        <v>0</v>
      </c>
      <c r="E337" s="97">
        <f>'Previous week'!F337</f>
        <v>1</v>
      </c>
      <c r="F337" s="65">
        <f t="shared" si="17"/>
        <v>0</v>
      </c>
      <c r="G337" s="97">
        <f>'Current week'!F337</f>
        <v>1</v>
      </c>
      <c r="H337" s="109">
        <f t="shared" si="15"/>
        <v>0</v>
      </c>
      <c r="I337" s="109">
        <f t="shared" si="16"/>
        <v>0</v>
      </c>
      <c r="L337" s="112"/>
    </row>
    <row r="338" spans="1:12" x14ac:dyDescent="0.25">
      <c r="A338" s="19" t="s">
        <v>2927</v>
      </c>
      <c r="B338" s="19" t="s">
        <v>667</v>
      </c>
      <c r="C338" s="20" t="s">
        <v>668</v>
      </c>
      <c r="D338" s="21">
        <v>0</v>
      </c>
      <c r="E338" s="88">
        <f>VLOOKUP(A338,'Previous week'!$A$3:$F$1765,6,FALSE)</f>
        <v>1</v>
      </c>
      <c r="F338" s="22">
        <f t="shared" si="17"/>
        <v>0</v>
      </c>
      <c r="G338" s="88">
        <f>VLOOKUP(A338,'Current week'!$A$3:$F$1765,6,0)</f>
        <v>1</v>
      </c>
      <c r="H338" s="101">
        <f t="shared" si="15"/>
        <v>0</v>
      </c>
      <c r="I338" s="101">
        <f t="shared" si="16"/>
        <v>0</v>
      </c>
      <c r="L338" s="112"/>
    </row>
    <row r="339" spans="1:12" x14ac:dyDescent="0.25">
      <c r="A339" s="23" t="s">
        <v>2928</v>
      </c>
      <c r="B339" s="23" t="s">
        <v>669</v>
      </c>
      <c r="C339" s="24"/>
      <c r="D339" s="25">
        <v>0</v>
      </c>
      <c r="E339" s="88">
        <f>VLOOKUP(A339,'Previous week'!$A$3:$F$1765,6,FALSE)</f>
        <v>0</v>
      </c>
      <c r="F339" s="22">
        <f t="shared" si="17"/>
        <v>0</v>
      </c>
      <c r="G339" s="88">
        <f>VLOOKUP(A339,'Current week'!$A$3:$F$1765,6,0)</f>
        <v>0</v>
      </c>
      <c r="H339" s="102">
        <f t="shared" si="15"/>
        <v>0</v>
      </c>
      <c r="I339" s="102">
        <f t="shared" si="16"/>
        <v>0</v>
      </c>
      <c r="L339" s="112"/>
    </row>
    <row r="340" spans="1:12" x14ac:dyDescent="0.25">
      <c r="A340" s="62" t="s">
        <v>2929</v>
      </c>
      <c r="B340" s="62" t="s">
        <v>670</v>
      </c>
      <c r="C340" s="63" t="s">
        <v>671</v>
      </c>
      <c r="D340" s="64">
        <v>0</v>
      </c>
      <c r="E340" s="97">
        <f>'Previous week'!F340</f>
        <v>1</v>
      </c>
      <c r="F340" s="65">
        <f t="shared" si="17"/>
        <v>0</v>
      </c>
      <c r="G340" s="97">
        <f>'Current week'!F340</f>
        <v>1</v>
      </c>
      <c r="H340" s="109">
        <f t="shared" si="15"/>
        <v>0</v>
      </c>
      <c r="I340" s="109">
        <f t="shared" si="16"/>
        <v>0</v>
      </c>
      <c r="L340" s="112"/>
    </row>
    <row r="341" spans="1:12" x14ac:dyDescent="0.25">
      <c r="A341" s="19" t="s">
        <v>2930</v>
      </c>
      <c r="B341" s="19" t="s">
        <v>672</v>
      </c>
      <c r="C341" s="20" t="s">
        <v>673</v>
      </c>
      <c r="D341" s="21">
        <v>0</v>
      </c>
      <c r="E341" s="88">
        <f>VLOOKUP(A341,'Previous week'!$A$3:$F$1765,6,FALSE)</f>
        <v>1</v>
      </c>
      <c r="F341" s="22">
        <f t="shared" si="17"/>
        <v>0</v>
      </c>
      <c r="G341" s="88">
        <f>VLOOKUP(A341,'Current week'!$A$3:$F$1765,6,0)</f>
        <v>1</v>
      </c>
      <c r="H341" s="101">
        <f t="shared" si="15"/>
        <v>0</v>
      </c>
      <c r="I341" s="101">
        <f t="shared" si="16"/>
        <v>0</v>
      </c>
      <c r="L341" s="112"/>
    </row>
    <row r="342" spans="1:12" x14ac:dyDescent="0.25">
      <c r="A342" s="23" t="s">
        <v>2931</v>
      </c>
      <c r="B342" s="23" t="s">
        <v>674</v>
      </c>
      <c r="C342" s="24"/>
      <c r="D342" s="25">
        <v>0</v>
      </c>
      <c r="E342" s="88">
        <f>VLOOKUP(A342,'Previous week'!$A$3:$F$1765,6,FALSE)</f>
        <v>0</v>
      </c>
      <c r="F342" s="22">
        <f t="shared" si="17"/>
        <v>0</v>
      </c>
      <c r="G342" s="88">
        <f>VLOOKUP(A342,'Current week'!$A$3:$F$1765,6,0)</f>
        <v>0</v>
      </c>
      <c r="H342" s="102">
        <f t="shared" si="15"/>
        <v>0</v>
      </c>
      <c r="I342" s="102">
        <f t="shared" si="16"/>
        <v>0</v>
      </c>
      <c r="L342" s="112"/>
    </row>
    <row r="343" spans="1:12" x14ac:dyDescent="0.25">
      <c r="A343" s="62" t="s">
        <v>2932</v>
      </c>
      <c r="B343" s="62" t="s">
        <v>675</v>
      </c>
      <c r="C343" s="63" t="s">
        <v>676</v>
      </c>
      <c r="D343" s="64">
        <v>0</v>
      </c>
      <c r="E343" s="97">
        <f>'Previous week'!F343</f>
        <v>1</v>
      </c>
      <c r="F343" s="65">
        <f t="shared" si="17"/>
        <v>0</v>
      </c>
      <c r="G343" s="97">
        <f>'Current week'!F343</f>
        <v>1</v>
      </c>
      <c r="H343" s="109">
        <f t="shared" si="15"/>
        <v>0</v>
      </c>
      <c r="I343" s="109">
        <f t="shared" si="16"/>
        <v>0</v>
      </c>
      <c r="L343" s="112"/>
    </row>
    <row r="344" spans="1:12" x14ac:dyDescent="0.25">
      <c r="A344" s="19" t="s">
        <v>2933</v>
      </c>
      <c r="B344" s="19" t="s">
        <v>677</v>
      </c>
      <c r="C344" s="20" t="s">
        <v>678</v>
      </c>
      <c r="D344" s="21">
        <v>0</v>
      </c>
      <c r="E344" s="88">
        <f>VLOOKUP(A344,'Previous week'!$A$3:$F$1765,6,FALSE)</f>
        <v>1</v>
      </c>
      <c r="F344" s="22">
        <f t="shared" si="17"/>
        <v>0</v>
      </c>
      <c r="G344" s="88">
        <f>VLOOKUP(A344,'Current week'!$A$3:$F$1765,6,0)</f>
        <v>1</v>
      </c>
      <c r="H344" s="101">
        <f t="shared" si="15"/>
        <v>0</v>
      </c>
      <c r="I344" s="101">
        <f t="shared" si="16"/>
        <v>0</v>
      </c>
      <c r="L344" s="112"/>
    </row>
    <row r="345" spans="1:12" x14ac:dyDescent="0.25">
      <c r="A345" s="23" t="s">
        <v>2934</v>
      </c>
      <c r="B345" s="23" t="s">
        <v>679</v>
      </c>
      <c r="C345" s="24"/>
      <c r="D345" s="25">
        <v>0</v>
      </c>
      <c r="E345" s="88">
        <f>VLOOKUP(A345,'Previous week'!$A$3:$F$1765,6,FALSE)</f>
        <v>0</v>
      </c>
      <c r="F345" s="22">
        <f t="shared" si="17"/>
        <v>0</v>
      </c>
      <c r="G345" s="88">
        <f>VLOOKUP(A345,'Current week'!$A$3:$F$1765,6,0)</f>
        <v>0</v>
      </c>
      <c r="H345" s="102">
        <f t="shared" si="15"/>
        <v>0</v>
      </c>
      <c r="I345" s="102">
        <f t="shared" si="16"/>
        <v>0</v>
      </c>
      <c r="L345" s="112"/>
    </row>
    <row r="346" spans="1:12" x14ac:dyDescent="0.25">
      <c r="A346" s="62" t="s">
        <v>2935</v>
      </c>
      <c r="B346" s="62" t="s">
        <v>680</v>
      </c>
      <c r="C346" s="63" t="s">
        <v>681</v>
      </c>
      <c r="D346" s="64">
        <v>0</v>
      </c>
      <c r="E346" s="97">
        <f>'Previous week'!F346</f>
        <v>1</v>
      </c>
      <c r="F346" s="65">
        <f t="shared" si="17"/>
        <v>0</v>
      </c>
      <c r="G346" s="97">
        <f>'Current week'!F346</f>
        <v>1</v>
      </c>
      <c r="H346" s="109">
        <f t="shared" si="15"/>
        <v>0</v>
      </c>
      <c r="I346" s="109">
        <f t="shared" si="16"/>
        <v>0</v>
      </c>
      <c r="L346" s="112"/>
    </row>
    <row r="347" spans="1:12" x14ac:dyDescent="0.25">
      <c r="A347" s="19" t="s">
        <v>2936</v>
      </c>
      <c r="B347" s="19" t="s">
        <v>682</v>
      </c>
      <c r="C347" s="20" t="s">
        <v>683</v>
      </c>
      <c r="D347" s="21">
        <v>0</v>
      </c>
      <c r="E347" s="88">
        <f>VLOOKUP(A347,'Previous week'!$A$3:$F$1765,6,FALSE)</f>
        <v>1</v>
      </c>
      <c r="F347" s="22">
        <f t="shared" si="17"/>
        <v>0</v>
      </c>
      <c r="G347" s="88">
        <f>VLOOKUP(A347,'Current week'!$A$3:$F$1765,6,0)</f>
        <v>1</v>
      </c>
      <c r="H347" s="101">
        <f t="shared" si="15"/>
        <v>0</v>
      </c>
      <c r="I347" s="101">
        <f t="shared" si="16"/>
        <v>0</v>
      </c>
      <c r="L347" s="112"/>
    </row>
    <row r="348" spans="1:12" x14ac:dyDescent="0.25">
      <c r="A348" s="23" t="s">
        <v>2937</v>
      </c>
      <c r="B348" s="23" t="s">
        <v>684</v>
      </c>
      <c r="C348" s="24"/>
      <c r="D348" s="25">
        <v>0</v>
      </c>
      <c r="E348" s="88">
        <f>VLOOKUP(A348,'Previous week'!$A$3:$F$1765,6,FALSE)</f>
        <v>0</v>
      </c>
      <c r="F348" s="22">
        <f t="shared" si="17"/>
        <v>0</v>
      </c>
      <c r="G348" s="88">
        <f>VLOOKUP(A348,'Current week'!$A$3:$F$1765,6,0)</f>
        <v>0</v>
      </c>
      <c r="H348" s="102">
        <f t="shared" si="15"/>
        <v>0</v>
      </c>
      <c r="I348" s="102">
        <f t="shared" si="16"/>
        <v>0</v>
      </c>
      <c r="L348" s="112"/>
    </row>
    <row r="349" spans="1:12" x14ac:dyDescent="0.25">
      <c r="A349" s="62" t="s">
        <v>2938</v>
      </c>
      <c r="B349" s="62" t="s">
        <v>685</v>
      </c>
      <c r="C349" s="63" t="s">
        <v>686</v>
      </c>
      <c r="D349" s="64">
        <v>0</v>
      </c>
      <c r="E349" s="97">
        <f>'Previous week'!F349</f>
        <v>1</v>
      </c>
      <c r="F349" s="65">
        <f t="shared" si="17"/>
        <v>0</v>
      </c>
      <c r="G349" s="97">
        <f>'Current week'!F349</f>
        <v>1</v>
      </c>
      <c r="H349" s="109">
        <f t="shared" si="15"/>
        <v>0</v>
      </c>
      <c r="I349" s="109">
        <f t="shared" si="16"/>
        <v>0</v>
      </c>
      <c r="L349" s="112"/>
    </row>
    <row r="350" spans="1:12" x14ac:dyDescent="0.25">
      <c r="A350" s="19" t="s">
        <v>2939</v>
      </c>
      <c r="B350" s="19" t="s">
        <v>687</v>
      </c>
      <c r="C350" s="20" t="s">
        <v>688</v>
      </c>
      <c r="D350" s="21">
        <v>0</v>
      </c>
      <c r="E350" s="88">
        <f>VLOOKUP(A350,'Previous week'!$A$3:$F$1765,6,FALSE)</f>
        <v>1</v>
      </c>
      <c r="F350" s="22">
        <f t="shared" si="17"/>
        <v>0</v>
      </c>
      <c r="G350" s="88">
        <f>VLOOKUP(A350,'Current week'!$A$3:$F$1765,6,0)</f>
        <v>1</v>
      </c>
      <c r="H350" s="101">
        <f t="shared" si="15"/>
        <v>0</v>
      </c>
      <c r="I350" s="101">
        <f t="shared" si="16"/>
        <v>0</v>
      </c>
      <c r="L350" s="112"/>
    </row>
    <row r="351" spans="1:12" x14ac:dyDescent="0.25">
      <c r="A351" s="23" t="s">
        <v>2940</v>
      </c>
      <c r="B351" s="23" t="s">
        <v>689</v>
      </c>
      <c r="C351" s="24"/>
      <c r="D351" s="25">
        <v>0</v>
      </c>
      <c r="E351" s="88">
        <f>VLOOKUP(A351,'Previous week'!$A$3:$F$1765,6,FALSE)</f>
        <v>0</v>
      </c>
      <c r="F351" s="22">
        <f t="shared" si="17"/>
        <v>0</v>
      </c>
      <c r="G351" s="88">
        <f>VLOOKUP(A351,'Current week'!$A$3:$F$1765,6,0)</f>
        <v>0</v>
      </c>
      <c r="H351" s="102">
        <f t="shared" si="15"/>
        <v>0</v>
      </c>
      <c r="I351" s="102">
        <f t="shared" si="16"/>
        <v>0</v>
      </c>
      <c r="L351" s="112"/>
    </row>
    <row r="352" spans="1:12" x14ac:dyDescent="0.25">
      <c r="A352" s="62" t="s">
        <v>2941</v>
      </c>
      <c r="B352" s="62" t="s">
        <v>690</v>
      </c>
      <c r="C352" s="63" t="s">
        <v>691</v>
      </c>
      <c r="D352" s="64">
        <v>0</v>
      </c>
      <c r="E352" s="97">
        <f>'Previous week'!F352</f>
        <v>1</v>
      </c>
      <c r="F352" s="65">
        <f t="shared" si="17"/>
        <v>0</v>
      </c>
      <c r="G352" s="97">
        <f>'Current week'!F352</f>
        <v>1</v>
      </c>
      <c r="H352" s="109">
        <f t="shared" si="15"/>
        <v>0</v>
      </c>
      <c r="I352" s="109">
        <f t="shared" si="16"/>
        <v>0</v>
      </c>
      <c r="L352" s="112"/>
    </row>
    <row r="353" spans="1:12" x14ac:dyDescent="0.25">
      <c r="A353" s="19" t="s">
        <v>2942</v>
      </c>
      <c r="B353" s="19" t="s">
        <v>692</v>
      </c>
      <c r="C353" s="20" t="s">
        <v>693</v>
      </c>
      <c r="D353" s="21">
        <v>0</v>
      </c>
      <c r="E353" s="88">
        <f>VLOOKUP(A353,'Previous week'!$A$3:$F$1765,6,FALSE)</f>
        <v>1</v>
      </c>
      <c r="F353" s="22">
        <f t="shared" si="17"/>
        <v>0</v>
      </c>
      <c r="G353" s="88">
        <f>VLOOKUP(A353,'Current week'!$A$3:$F$1765,6,0)</f>
        <v>1</v>
      </c>
      <c r="H353" s="101">
        <f t="shared" si="15"/>
        <v>0</v>
      </c>
      <c r="I353" s="101">
        <f t="shared" si="16"/>
        <v>0</v>
      </c>
      <c r="L353" s="112"/>
    </row>
    <row r="354" spans="1:12" x14ac:dyDescent="0.25">
      <c r="A354" s="23" t="s">
        <v>2943</v>
      </c>
      <c r="B354" s="23" t="s">
        <v>694</v>
      </c>
      <c r="C354" s="24"/>
      <c r="D354" s="25">
        <v>0</v>
      </c>
      <c r="E354" s="88">
        <f>VLOOKUP(A354,'Previous week'!$A$3:$F$1765,6,FALSE)</f>
        <v>0</v>
      </c>
      <c r="F354" s="22">
        <f t="shared" si="17"/>
        <v>0</v>
      </c>
      <c r="G354" s="88">
        <f>VLOOKUP(A354,'Current week'!$A$3:$F$1765,6,0)</f>
        <v>0</v>
      </c>
      <c r="H354" s="102">
        <f t="shared" si="15"/>
        <v>0</v>
      </c>
      <c r="I354" s="102">
        <f t="shared" si="16"/>
        <v>0</v>
      </c>
      <c r="L354" s="112"/>
    </row>
    <row r="355" spans="1:12" x14ac:dyDescent="0.25">
      <c r="A355" s="62" t="s">
        <v>2944</v>
      </c>
      <c r="B355" s="62" t="s">
        <v>695</v>
      </c>
      <c r="C355" s="63" t="s">
        <v>696</v>
      </c>
      <c r="D355" s="64">
        <v>0</v>
      </c>
      <c r="E355" s="97">
        <f>'Previous week'!F355</f>
        <v>1</v>
      </c>
      <c r="F355" s="65">
        <f t="shared" si="17"/>
        <v>0</v>
      </c>
      <c r="G355" s="97">
        <f>'Current week'!F355</f>
        <v>1</v>
      </c>
      <c r="H355" s="109">
        <f t="shared" si="15"/>
        <v>0</v>
      </c>
      <c r="I355" s="109">
        <f t="shared" si="16"/>
        <v>0</v>
      </c>
      <c r="L355" s="112"/>
    </row>
    <row r="356" spans="1:12" x14ac:dyDescent="0.25">
      <c r="A356" s="19" t="s">
        <v>2945</v>
      </c>
      <c r="B356" s="19" t="s">
        <v>697</v>
      </c>
      <c r="C356" s="20" t="s">
        <v>698</v>
      </c>
      <c r="D356" s="21">
        <v>0</v>
      </c>
      <c r="E356" s="88">
        <f>VLOOKUP(A356,'Previous week'!$A$3:$F$1765,6,FALSE)</f>
        <v>1</v>
      </c>
      <c r="F356" s="22">
        <f t="shared" si="17"/>
        <v>0</v>
      </c>
      <c r="G356" s="88">
        <f>VLOOKUP(A356,'Current week'!$A$3:$F$1765,6,0)</f>
        <v>1</v>
      </c>
      <c r="H356" s="101">
        <f t="shared" si="15"/>
        <v>0</v>
      </c>
      <c r="I356" s="101">
        <f t="shared" si="16"/>
        <v>0</v>
      </c>
      <c r="L356" s="112"/>
    </row>
    <row r="357" spans="1:12" x14ac:dyDescent="0.25">
      <c r="A357" s="23" t="s">
        <v>2946</v>
      </c>
      <c r="B357" s="23" t="s">
        <v>699</v>
      </c>
      <c r="C357" s="24"/>
      <c r="D357" s="25">
        <v>1719130.43</v>
      </c>
      <c r="E357" s="88" t="e">
        <f>VLOOKUP(A357,'Previous week'!$A$3:$F$1765,6,FALSE)</f>
        <v>#N/A</v>
      </c>
      <c r="F357" s="22" t="e">
        <f t="shared" si="17"/>
        <v>#N/A</v>
      </c>
      <c r="G357" s="88" t="e">
        <f>VLOOKUP(A357,'Current week'!$A$3:$F$1765,6,0)</f>
        <v>#N/A</v>
      </c>
      <c r="H357" s="102" t="e">
        <f t="shared" si="15"/>
        <v>#N/A</v>
      </c>
      <c r="I357" s="102" t="e">
        <f t="shared" si="16"/>
        <v>#N/A</v>
      </c>
      <c r="L357" s="112"/>
    </row>
    <row r="358" spans="1:12" x14ac:dyDescent="0.25">
      <c r="A358" s="62" t="s">
        <v>2759</v>
      </c>
      <c r="B358" s="62" t="s">
        <v>76</v>
      </c>
      <c r="C358" s="63"/>
      <c r="D358" s="64">
        <v>253642.19</v>
      </c>
      <c r="E358" s="97">
        <f>'Previous week'!F358</f>
        <v>1</v>
      </c>
      <c r="F358" s="65">
        <f t="shared" si="17"/>
        <v>0</v>
      </c>
      <c r="G358" s="97">
        <f>'Current week'!F358</f>
        <v>1</v>
      </c>
      <c r="H358" s="109">
        <f t="shared" si="15"/>
        <v>253642.19</v>
      </c>
      <c r="I358" s="109">
        <f t="shared" si="16"/>
        <v>0</v>
      </c>
      <c r="L358" s="112"/>
    </row>
    <row r="359" spans="1:12" x14ac:dyDescent="0.25">
      <c r="A359" s="19" t="s">
        <v>2760</v>
      </c>
      <c r="B359" s="19" t="s">
        <v>77</v>
      </c>
      <c r="C359" s="20"/>
      <c r="D359" s="21">
        <v>28182.47</v>
      </c>
      <c r="E359" s="88">
        <f>VLOOKUP(A359,'Previous week'!$A$3:$F$1765,6,FALSE)</f>
        <v>0</v>
      </c>
      <c r="F359" s="22">
        <f t="shared" si="17"/>
        <v>0</v>
      </c>
      <c r="G359" s="88">
        <f>VLOOKUP(A359,'Current week'!$A$3:$F$1765,6,0)</f>
        <v>0</v>
      </c>
      <c r="H359" s="101">
        <f t="shared" si="15"/>
        <v>0</v>
      </c>
      <c r="I359" s="101">
        <f t="shared" si="16"/>
        <v>0</v>
      </c>
      <c r="L359" s="112"/>
    </row>
    <row r="360" spans="1:12" x14ac:dyDescent="0.25">
      <c r="A360" s="23" t="s">
        <v>2947</v>
      </c>
      <c r="B360" s="23" t="s">
        <v>700</v>
      </c>
      <c r="C360" s="24" t="s">
        <v>79</v>
      </c>
      <c r="D360" s="25">
        <v>0</v>
      </c>
      <c r="E360" s="88">
        <f>VLOOKUP(A360,'Previous week'!$A$3:$F$1765,6,FALSE)</f>
        <v>1</v>
      </c>
      <c r="F360" s="22">
        <f t="shared" si="17"/>
        <v>0</v>
      </c>
      <c r="G360" s="88">
        <f>VLOOKUP(A360,'Current week'!$A$3:$F$1765,6,0)</f>
        <v>1</v>
      </c>
      <c r="H360" s="102">
        <f t="shared" si="15"/>
        <v>0</v>
      </c>
      <c r="I360" s="102">
        <f t="shared" si="16"/>
        <v>0</v>
      </c>
      <c r="L360" s="112"/>
    </row>
    <row r="361" spans="1:12" x14ac:dyDescent="0.25">
      <c r="A361" s="62" t="s">
        <v>2948</v>
      </c>
      <c r="B361" s="62" t="s">
        <v>701</v>
      </c>
      <c r="C361" s="63" t="s">
        <v>133</v>
      </c>
      <c r="D361" s="64">
        <v>28182.47</v>
      </c>
      <c r="E361" s="97">
        <f>'Previous week'!F361</f>
        <v>1</v>
      </c>
      <c r="F361" s="65">
        <f t="shared" si="17"/>
        <v>0</v>
      </c>
      <c r="G361" s="97">
        <f>'Current week'!F361</f>
        <v>1</v>
      </c>
      <c r="H361" s="109">
        <f t="shared" si="15"/>
        <v>28182.47</v>
      </c>
      <c r="I361" s="109">
        <f t="shared" si="16"/>
        <v>0</v>
      </c>
      <c r="L361" s="112"/>
    </row>
    <row r="362" spans="1:12" x14ac:dyDescent="0.25">
      <c r="A362" s="19" t="s">
        <v>2763</v>
      </c>
      <c r="B362" s="19" t="s">
        <v>80</v>
      </c>
      <c r="C362" s="20"/>
      <c r="D362" s="21">
        <v>28182.47</v>
      </c>
      <c r="E362" s="88">
        <f>VLOOKUP(A362,'Previous week'!$A$3:$F$1765,6,FALSE)</f>
        <v>0</v>
      </c>
      <c r="F362" s="22">
        <f t="shared" si="17"/>
        <v>0</v>
      </c>
      <c r="G362" s="88">
        <f>VLOOKUP(A362,'Current week'!$A$3:$F$1765,6,0)</f>
        <v>0</v>
      </c>
      <c r="H362" s="101">
        <f t="shared" si="15"/>
        <v>0</v>
      </c>
      <c r="I362" s="101">
        <f t="shared" si="16"/>
        <v>0</v>
      </c>
      <c r="L362" s="112"/>
    </row>
    <row r="363" spans="1:12" x14ac:dyDescent="0.25">
      <c r="A363" s="23" t="s">
        <v>2949</v>
      </c>
      <c r="B363" s="23" t="s">
        <v>702</v>
      </c>
      <c r="C363" s="24" t="s">
        <v>82</v>
      </c>
      <c r="D363" s="25">
        <v>0</v>
      </c>
      <c r="E363" s="88">
        <f>VLOOKUP(A363,'Previous week'!$A$3:$F$1765,6,FALSE)</f>
        <v>1</v>
      </c>
      <c r="F363" s="22">
        <f t="shared" si="17"/>
        <v>0</v>
      </c>
      <c r="G363" s="88">
        <f>VLOOKUP(A363,'Current week'!$A$3:$F$1765,6,0)</f>
        <v>1</v>
      </c>
      <c r="H363" s="102">
        <f t="shared" si="15"/>
        <v>0</v>
      </c>
      <c r="I363" s="102">
        <f t="shared" si="16"/>
        <v>0</v>
      </c>
      <c r="L363" s="112"/>
    </row>
    <row r="364" spans="1:12" x14ac:dyDescent="0.25">
      <c r="A364" s="62" t="s">
        <v>2950</v>
      </c>
      <c r="B364" s="62" t="s">
        <v>703</v>
      </c>
      <c r="C364" s="63" t="s">
        <v>135</v>
      </c>
      <c r="D364" s="64">
        <v>28182.47</v>
      </c>
      <c r="E364" s="97">
        <f>'Previous week'!F364</f>
        <v>1</v>
      </c>
      <c r="F364" s="65">
        <f t="shared" si="17"/>
        <v>0</v>
      </c>
      <c r="G364" s="97">
        <f>'Current week'!F364</f>
        <v>1</v>
      </c>
      <c r="H364" s="109">
        <f t="shared" si="15"/>
        <v>28182.47</v>
      </c>
      <c r="I364" s="109">
        <f t="shared" si="16"/>
        <v>0</v>
      </c>
      <c r="L364" s="112"/>
    </row>
    <row r="365" spans="1:12" x14ac:dyDescent="0.25">
      <c r="A365" s="19" t="s">
        <v>2766</v>
      </c>
      <c r="B365" s="19" t="s">
        <v>83</v>
      </c>
      <c r="C365" s="20"/>
      <c r="D365" s="21">
        <v>28182.47</v>
      </c>
      <c r="E365" s="88">
        <f>VLOOKUP(A365,'Previous week'!$A$3:$F$1765,6,FALSE)</f>
        <v>0</v>
      </c>
      <c r="F365" s="22">
        <f t="shared" si="17"/>
        <v>0</v>
      </c>
      <c r="G365" s="88">
        <f>VLOOKUP(A365,'Current week'!$A$3:$F$1765,6,0)</f>
        <v>0</v>
      </c>
      <c r="H365" s="101">
        <f t="shared" si="15"/>
        <v>0</v>
      </c>
      <c r="I365" s="101">
        <f t="shared" si="16"/>
        <v>0</v>
      </c>
      <c r="L365" s="112"/>
    </row>
    <row r="366" spans="1:12" x14ac:dyDescent="0.25">
      <c r="A366" s="23" t="s">
        <v>2951</v>
      </c>
      <c r="B366" s="23" t="s">
        <v>704</v>
      </c>
      <c r="C366" s="24" t="s">
        <v>85</v>
      </c>
      <c r="D366" s="25">
        <v>0</v>
      </c>
      <c r="E366" s="88">
        <f>VLOOKUP(A366,'Previous week'!$A$3:$F$1765,6,FALSE)</f>
        <v>1</v>
      </c>
      <c r="F366" s="22">
        <f t="shared" si="17"/>
        <v>0</v>
      </c>
      <c r="G366" s="88">
        <f>VLOOKUP(A366,'Current week'!$A$3:$F$1765,6,0)</f>
        <v>1</v>
      </c>
      <c r="H366" s="102">
        <f t="shared" si="15"/>
        <v>0</v>
      </c>
      <c r="I366" s="102">
        <f t="shared" si="16"/>
        <v>0</v>
      </c>
      <c r="L366" s="112"/>
    </row>
    <row r="367" spans="1:12" x14ac:dyDescent="0.25">
      <c r="A367" s="62" t="s">
        <v>2952</v>
      </c>
      <c r="B367" s="62" t="s">
        <v>705</v>
      </c>
      <c r="C367" s="63" t="s">
        <v>137</v>
      </c>
      <c r="D367" s="64">
        <v>28182.47</v>
      </c>
      <c r="E367" s="97">
        <f>'Previous week'!F367</f>
        <v>1</v>
      </c>
      <c r="F367" s="65">
        <f t="shared" si="17"/>
        <v>0</v>
      </c>
      <c r="G367" s="97">
        <f>'Current week'!F367</f>
        <v>1</v>
      </c>
      <c r="H367" s="109">
        <f t="shared" si="15"/>
        <v>28182.47</v>
      </c>
      <c r="I367" s="109">
        <f t="shared" si="16"/>
        <v>0</v>
      </c>
      <c r="L367" s="112"/>
    </row>
    <row r="368" spans="1:12" x14ac:dyDescent="0.25">
      <c r="A368" s="19" t="s">
        <v>2769</v>
      </c>
      <c r="B368" s="19" t="s">
        <v>86</v>
      </c>
      <c r="C368" s="20"/>
      <c r="D368" s="21">
        <v>28182.47</v>
      </c>
      <c r="E368" s="88">
        <f>VLOOKUP(A368,'Previous week'!$A$3:$F$1765,6,FALSE)</f>
        <v>0</v>
      </c>
      <c r="F368" s="22">
        <f t="shared" si="17"/>
        <v>0</v>
      </c>
      <c r="G368" s="88">
        <f>VLOOKUP(A368,'Current week'!$A$3:$F$1765,6,0)</f>
        <v>0</v>
      </c>
      <c r="H368" s="101">
        <f t="shared" si="15"/>
        <v>0</v>
      </c>
      <c r="I368" s="101">
        <f t="shared" si="16"/>
        <v>0</v>
      </c>
      <c r="L368" s="112"/>
    </row>
    <row r="369" spans="1:12" x14ac:dyDescent="0.25">
      <c r="A369" s="23" t="s">
        <v>2953</v>
      </c>
      <c r="B369" s="23" t="s">
        <v>706</v>
      </c>
      <c r="C369" s="24" t="s">
        <v>88</v>
      </c>
      <c r="D369" s="25">
        <v>0</v>
      </c>
      <c r="E369" s="88">
        <f>VLOOKUP(A369,'Previous week'!$A$3:$F$1765,6,FALSE)</f>
        <v>1</v>
      </c>
      <c r="F369" s="22">
        <f t="shared" si="17"/>
        <v>0</v>
      </c>
      <c r="G369" s="88">
        <f>VLOOKUP(A369,'Current week'!$A$3:$F$1765,6,0)</f>
        <v>1</v>
      </c>
      <c r="H369" s="102">
        <f t="shared" si="15"/>
        <v>0</v>
      </c>
      <c r="I369" s="102">
        <f t="shared" si="16"/>
        <v>0</v>
      </c>
      <c r="L369" s="112"/>
    </row>
    <row r="370" spans="1:12" x14ac:dyDescent="0.25">
      <c r="A370" s="62" t="s">
        <v>2954</v>
      </c>
      <c r="B370" s="62" t="s">
        <v>707</v>
      </c>
      <c r="C370" s="63" t="s">
        <v>139</v>
      </c>
      <c r="D370" s="64">
        <v>28182.47</v>
      </c>
      <c r="E370" s="97">
        <f>'Previous week'!F370</f>
        <v>1</v>
      </c>
      <c r="F370" s="65">
        <f t="shared" si="17"/>
        <v>0</v>
      </c>
      <c r="G370" s="97">
        <f>'Current week'!F370</f>
        <v>1</v>
      </c>
      <c r="H370" s="109">
        <f t="shared" si="15"/>
        <v>28182.47</v>
      </c>
      <c r="I370" s="109">
        <f t="shared" si="16"/>
        <v>0</v>
      </c>
      <c r="L370" s="112"/>
    </row>
    <row r="371" spans="1:12" x14ac:dyDescent="0.25">
      <c r="A371" s="19" t="s">
        <v>2772</v>
      </c>
      <c r="B371" s="19" t="s">
        <v>89</v>
      </c>
      <c r="C371" s="20"/>
      <c r="D371" s="21">
        <v>28182.47</v>
      </c>
      <c r="E371" s="88">
        <f>VLOOKUP(A371,'Previous week'!$A$3:$F$1765,6,FALSE)</f>
        <v>0</v>
      </c>
      <c r="F371" s="22">
        <f t="shared" si="17"/>
        <v>0</v>
      </c>
      <c r="G371" s="88">
        <f>VLOOKUP(A371,'Current week'!$A$3:$F$1765,6,0)</f>
        <v>0</v>
      </c>
      <c r="H371" s="101">
        <f t="shared" si="15"/>
        <v>0</v>
      </c>
      <c r="I371" s="101">
        <f t="shared" si="16"/>
        <v>0</v>
      </c>
      <c r="L371" s="112"/>
    </row>
    <row r="372" spans="1:12" x14ac:dyDescent="0.25">
      <c r="A372" s="23" t="s">
        <v>2955</v>
      </c>
      <c r="B372" s="23" t="s">
        <v>708</v>
      </c>
      <c r="C372" s="24" t="s">
        <v>91</v>
      </c>
      <c r="D372" s="25">
        <v>0</v>
      </c>
      <c r="E372" s="88">
        <f>VLOOKUP(A372,'Previous week'!$A$3:$F$1765,6,FALSE)</f>
        <v>1</v>
      </c>
      <c r="F372" s="22">
        <f t="shared" si="17"/>
        <v>0</v>
      </c>
      <c r="G372" s="88">
        <f>VLOOKUP(A372,'Current week'!$A$3:$F$1765,6,0)</f>
        <v>1</v>
      </c>
      <c r="H372" s="102">
        <f t="shared" si="15"/>
        <v>0</v>
      </c>
      <c r="I372" s="102">
        <f t="shared" si="16"/>
        <v>0</v>
      </c>
      <c r="L372" s="112"/>
    </row>
    <row r="373" spans="1:12" x14ac:dyDescent="0.25">
      <c r="A373" s="62" t="s">
        <v>2956</v>
      </c>
      <c r="B373" s="62" t="s">
        <v>709</v>
      </c>
      <c r="C373" s="63" t="s">
        <v>710</v>
      </c>
      <c r="D373" s="64">
        <v>28182.47</v>
      </c>
      <c r="E373" s="97">
        <f>'Previous week'!F373</f>
        <v>1</v>
      </c>
      <c r="F373" s="65">
        <f t="shared" si="17"/>
        <v>0</v>
      </c>
      <c r="G373" s="97">
        <f>'Current week'!F373</f>
        <v>1</v>
      </c>
      <c r="H373" s="109">
        <f t="shared" si="15"/>
        <v>28182.47</v>
      </c>
      <c r="I373" s="109">
        <f t="shared" si="16"/>
        <v>0</v>
      </c>
      <c r="L373" s="112"/>
    </row>
    <row r="374" spans="1:12" x14ac:dyDescent="0.25">
      <c r="A374" s="19" t="s">
        <v>2775</v>
      </c>
      <c r="B374" s="19" t="s">
        <v>92</v>
      </c>
      <c r="C374" s="20"/>
      <c r="D374" s="21">
        <v>28182.47</v>
      </c>
      <c r="E374" s="88">
        <f>VLOOKUP(A374,'Previous week'!$A$3:$F$1765,6,FALSE)</f>
        <v>0</v>
      </c>
      <c r="F374" s="22">
        <f t="shared" si="17"/>
        <v>0</v>
      </c>
      <c r="G374" s="88">
        <f>VLOOKUP(A374,'Current week'!$A$3:$F$1765,6,0)</f>
        <v>0</v>
      </c>
      <c r="H374" s="101">
        <f t="shared" si="15"/>
        <v>0</v>
      </c>
      <c r="I374" s="101">
        <f t="shared" si="16"/>
        <v>0</v>
      </c>
      <c r="L374" s="112"/>
    </row>
    <row r="375" spans="1:12" x14ac:dyDescent="0.25">
      <c r="A375" s="23" t="s">
        <v>2957</v>
      </c>
      <c r="B375" s="23" t="s">
        <v>711</v>
      </c>
      <c r="C375" s="24" t="s">
        <v>94</v>
      </c>
      <c r="D375" s="25">
        <v>0</v>
      </c>
      <c r="E375" s="88">
        <f>VLOOKUP(A375,'Previous week'!$A$3:$F$1765,6,FALSE)</f>
        <v>1</v>
      </c>
      <c r="F375" s="22">
        <f t="shared" si="17"/>
        <v>0</v>
      </c>
      <c r="G375" s="88">
        <f>VLOOKUP(A375,'Current week'!$A$3:$F$1765,6,0)</f>
        <v>1</v>
      </c>
      <c r="H375" s="102">
        <f t="shared" si="15"/>
        <v>0</v>
      </c>
      <c r="I375" s="102">
        <f t="shared" si="16"/>
        <v>0</v>
      </c>
      <c r="L375" s="112"/>
    </row>
    <row r="376" spans="1:12" x14ac:dyDescent="0.25">
      <c r="A376" s="62" t="s">
        <v>2958</v>
      </c>
      <c r="B376" s="62" t="s">
        <v>712</v>
      </c>
      <c r="C376" s="63" t="s">
        <v>142</v>
      </c>
      <c r="D376" s="64">
        <v>28182.47</v>
      </c>
      <c r="E376" s="97">
        <f>'Previous week'!F376</f>
        <v>1</v>
      </c>
      <c r="F376" s="65">
        <f t="shared" si="17"/>
        <v>0</v>
      </c>
      <c r="G376" s="97">
        <f>'Current week'!F376</f>
        <v>1</v>
      </c>
      <c r="H376" s="109">
        <f t="shared" si="15"/>
        <v>28182.47</v>
      </c>
      <c r="I376" s="109">
        <f t="shared" si="16"/>
        <v>0</v>
      </c>
      <c r="L376" s="112"/>
    </row>
    <row r="377" spans="1:12" x14ac:dyDescent="0.25">
      <c r="A377" s="19" t="s">
        <v>2778</v>
      </c>
      <c r="B377" s="19" t="s">
        <v>95</v>
      </c>
      <c r="C377" s="20"/>
      <c r="D377" s="21">
        <v>28182.47</v>
      </c>
      <c r="E377" s="88">
        <f>VLOOKUP(A377,'Previous week'!$A$3:$F$1765,6,FALSE)</f>
        <v>0</v>
      </c>
      <c r="F377" s="22">
        <f t="shared" si="17"/>
        <v>0</v>
      </c>
      <c r="G377" s="88">
        <f>VLOOKUP(A377,'Current week'!$A$3:$F$1765,6,0)</f>
        <v>0</v>
      </c>
      <c r="H377" s="101">
        <f t="shared" si="15"/>
        <v>0</v>
      </c>
      <c r="I377" s="101">
        <f t="shared" si="16"/>
        <v>0</v>
      </c>
      <c r="L377" s="112"/>
    </row>
    <row r="378" spans="1:12" x14ac:dyDescent="0.25">
      <c r="A378" s="23" t="s">
        <v>2959</v>
      </c>
      <c r="B378" s="23" t="s">
        <v>713</v>
      </c>
      <c r="C378" s="24" t="s">
        <v>97</v>
      </c>
      <c r="D378" s="25">
        <v>0</v>
      </c>
      <c r="E378" s="88">
        <f>VLOOKUP(A378,'Previous week'!$A$3:$F$1765,6,FALSE)</f>
        <v>1</v>
      </c>
      <c r="F378" s="22">
        <f t="shared" si="17"/>
        <v>0</v>
      </c>
      <c r="G378" s="88">
        <f>VLOOKUP(A378,'Current week'!$A$3:$F$1765,6,0)</f>
        <v>1</v>
      </c>
      <c r="H378" s="102">
        <f t="shared" si="15"/>
        <v>0</v>
      </c>
      <c r="I378" s="102">
        <f t="shared" si="16"/>
        <v>0</v>
      </c>
      <c r="L378" s="112"/>
    </row>
    <row r="379" spans="1:12" x14ac:dyDescent="0.25">
      <c r="A379" s="58" t="s">
        <v>2960</v>
      </c>
      <c r="B379" s="58" t="s">
        <v>714</v>
      </c>
      <c r="C379" s="59" t="s">
        <v>144</v>
      </c>
      <c r="D379" s="60">
        <v>28182.47</v>
      </c>
      <c r="E379" s="96">
        <f>'Previous week'!F379</f>
        <v>1</v>
      </c>
      <c r="F379" s="61">
        <f t="shared" si="17"/>
        <v>0</v>
      </c>
      <c r="G379" s="96">
        <f>'Current week'!F379</f>
        <v>1</v>
      </c>
      <c r="H379" s="108">
        <f t="shared" si="15"/>
        <v>28182.47</v>
      </c>
      <c r="I379" s="108">
        <f t="shared" si="16"/>
        <v>0</v>
      </c>
      <c r="L379" s="112"/>
    </row>
    <row r="380" spans="1:12" x14ac:dyDescent="0.25">
      <c r="A380" s="62" t="s">
        <v>2781</v>
      </c>
      <c r="B380" s="62" t="s">
        <v>98</v>
      </c>
      <c r="C380" s="63"/>
      <c r="D380" s="64">
        <v>28182.47</v>
      </c>
      <c r="E380" s="97">
        <f>'Previous week'!F380</f>
        <v>1</v>
      </c>
      <c r="F380" s="65">
        <f t="shared" si="17"/>
        <v>0</v>
      </c>
      <c r="G380" s="97">
        <f>'Current week'!F380</f>
        <v>1</v>
      </c>
      <c r="H380" s="109">
        <f t="shared" si="15"/>
        <v>28182.47</v>
      </c>
      <c r="I380" s="109">
        <f t="shared" si="16"/>
        <v>0</v>
      </c>
      <c r="L380" s="112"/>
    </row>
    <row r="381" spans="1:12" x14ac:dyDescent="0.25">
      <c r="A381" s="19" t="s">
        <v>2961</v>
      </c>
      <c r="B381" s="19" t="s">
        <v>715</v>
      </c>
      <c r="C381" s="20" t="s">
        <v>100</v>
      </c>
      <c r="D381" s="21">
        <v>0</v>
      </c>
      <c r="E381" s="88">
        <f>VLOOKUP(A381,'Previous week'!$A$3:$F$1765,6,FALSE)</f>
        <v>1</v>
      </c>
      <c r="F381" s="22">
        <f t="shared" si="17"/>
        <v>0</v>
      </c>
      <c r="G381" s="88">
        <f>VLOOKUP(A381,'Current week'!$A$3:$F$1765,6,0)</f>
        <v>1</v>
      </c>
      <c r="H381" s="101">
        <f t="shared" si="15"/>
        <v>0</v>
      </c>
      <c r="I381" s="101">
        <f t="shared" si="16"/>
        <v>0</v>
      </c>
      <c r="L381" s="112"/>
    </row>
    <row r="382" spans="1:12" x14ac:dyDescent="0.25">
      <c r="A382" s="23" t="s">
        <v>2962</v>
      </c>
      <c r="B382" s="23" t="s">
        <v>716</v>
      </c>
      <c r="C382" s="24" t="s">
        <v>146</v>
      </c>
      <c r="D382" s="25">
        <v>28182.47</v>
      </c>
      <c r="E382" s="88">
        <f>VLOOKUP(A382,'Previous week'!$A$3:$F$1765,6,FALSE)</f>
        <v>1</v>
      </c>
      <c r="F382" s="22">
        <f t="shared" si="17"/>
        <v>0</v>
      </c>
      <c r="G382" s="88">
        <f>VLOOKUP(A382,'Current week'!$A$3:$F$1765,6,0)</f>
        <v>1</v>
      </c>
      <c r="H382" s="102">
        <f t="shared" si="15"/>
        <v>28182.47</v>
      </c>
      <c r="I382" s="102">
        <f t="shared" si="16"/>
        <v>0</v>
      </c>
      <c r="L382" s="112"/>
    </row>
    <row r="383" spans="1:12" x14ac:dyDescent="0.25">
      <c r="A383" s="62" t="s">
        <v>2784</v>
      </c>
      <c r="B383" s="62" t="s">
        <v>101</v>
      </c>
      <c r="C383" s="63"/>
      <c r="D383" s="64">
        <v>28182.47</v>
      </c>
      <c r="E383" s="97">
        <f>'Previous week'!F383</f>
        <v>1</v>
      </c>
      <c r="F383" s="65">
        <f t="shared" si="17"/>
        <v>0</v>
      </c>
      <c r="G383" s="97">
        <f>'Current week'!F383</f>
        <v>1</v>
      </c>
      <c r="H383" s="109">
        <f t="shared" si="15"/>
        <v>28182.47</v>
      </c>
      <c r="I383" s="109">
        <f t="shared" si="16"/>
        <v>0</v>
      </c>
      <c r="L383" s="112"/>
    </row>
    <row r="384" spans="1:12" x14ac:dyDescent="0.25">
      <c r="A384" s="19" t="s">
        <v>2963</v>
      </c>
      <c r="B384" s="19" t="s">
        <v>717</v>
      </c>
      <c r="C384" s="20" t="s">
        <v>103</v>
      </c>
      <c r="D384" s="21">
        <v>0</v>
      </c>
      <c r="E384" s="88">
        <f>VLOOKUP(A384,'Previous week'!$A$3:$F$1765,6,FALSE)</f>
        <v>1</v>
      </c>
      <c r="F384" s="22">
        <f t="shared" si="17"/>
        <v>0</v>
      </c>
      <c r="G384" s="88">
        <f>VLOOKUP(A384,'Current week'!$A$3:$F$1765,6,0)</f>
        <v>1</v>
      </c>
      <c r="H384" s="101">
        <f t="shared" si="15"/>
        <v>0</v>
      </c>
      <c r="I384" s="101">
        <f t="shared" si="16"/>
        <v>0</v>
      </c>
      <c r="L384" s="112"/>
    </row>
    <row r="385" spans="1:12" x14ac:dyDescent="0.25">
      <c r="A385" s="23" t="s">
        <v>2964</v>
      </c>
      <c r="B385" s="23" t="s">
        <v>718</v>
      </c>
      <c r="C385" s="24" t="s">
        <v>148</v>
      </c>
      <c r="D385" s="25">
        <v>28182.47</v>
      </c>
      <c r="E385" s="88">
        <f>VLOOKUP(A385,'Previous week'!$A$3:$F$1765,6,FALSE)</f>
        <v>1</v>
      </c>
      <c r="F385" s="22">
        <f t="shared" si="17"/>
        <v>0</v>
      </c>
      <c r="G385" s="88">
        <f>VLOOKUP(A385,'Current week'!$A$3:$F$1765,6,0)</f>
        <v>1</v>
      </c>
      <c r="H385" s="102">
        <f t="shared" si="15"/>
        <v>28182.47</v>
      </c>
      <c r="I385" s="102">
        <f t="shared" si="16"/>
        <v>0</v>
      </c>
      <c r="L385" s="112"/>
    </row>
    <row r="386" spans="1:12" x14ac:dyDescent="0.25">
      <c r="A386" s="41" t="s">
        <v>2787</v>
      </c>
      <c r="B386" s="41" t="s">
        <v>131</v>
      </c>
      <c r="C386" s="42"/>
      <c r="D386" s="66">
        <v>84547.4</v>
      </c>
      <c r="E386" s="91"/>
      <c r="F386" s="67">
        <f t="shared" si="17"/>
        <v>0</v>
      </c>
      <c r="G386" s="91"/>
      <c r="H386" s="103"/>
      <c r="I386" s="103"/>
      <c r="L386" s="112"/>
    </row>
    <row r="387" spans="1:12" x14ac:dyDescent="0.25">
      <c r="A387" s="50" t="s">
        <v>2788</v>
      </c>
      <c r="B387" s="50" t="s">
        <v>128</v>
      </c>
      <c r="C387" s="51"/>
      <c r="D387" s="52">
        <v>28182.47</v>
      </c>
      <c r="E387" s="93"/>
      <c r="F387" s="53">
        <f t="shared" ref="F387:F450" si="18">G387-E387</f>
        <v>0</v>
      </c>
      <c r="G387" s="93"/>
      <c r="H387" s="106"/>
      <c r="I387" s="106"/>
      <c r="L387" s="112"/>
    </row>
    <row r="388" spans="1:12" x14ac:dyDescent="0.25">
      <c r="A388" s="54" t="s">
        <v>2965</v>
      </c>
      <c r="B388" s="54" t="s">
        <v>719</v>
      </c>
      <c r="C388" s="55" t="s">
        <v>130</v>
      </c>
      <c r="D388" s="56">
        <v>0</v>
      </c>
      <c r="E388" s="94">
        <f>'Previous week'!F388</f>
        <v>1</v>
      </c>
      <c r="F388" s="57">
        <f t="shared" si="18"/>
        <v>0</v>
      </c>
      <c r="G388" s="94">
        <f>'Current week'!F388</f>
        <v>1</v>
      </c>
      <c r="H388" s="107">
        <f t="shared" ref="H388:H449" si="19">G388*D388</f>
        <v>0</v>
      </c>
      <c r="I388" s="107">
        <f t="shared" ref="I388:I449" si="20">F388*D388</f>
        <v>0</v>
      </c>
      <c r="L388" s="112"/>
    </row>
    <row r="389" spans="1:12" x14ac:dyDescent="0.25">
      <c r="A389" s="19" t="s">
        <v>2966</v>
      </c>
      <c r="B389" s="19" t="s">
        <v>720</v>
      </c>
      <c r="C389" s="20" t="s">
        <v>159</v>
      </c>
      <c r="D389" s="21">
        <v>28182.47</v>
      </c>
      <c r="E389" s="88">
        <f>VLOOKUP(A389,'Previous week'!$A$3:$F$1765,6,FALSE)</f>
        <v>1</v>
      </c>
      <c r="F389" s="22">
        <f t="shared" si="18"/>
        <v>0</v>
      </c>
      <c r="G389" s="88">
        <f>VLOOKUP(A389,'Current week'!$A$3:$F$1765,6,0)</f>
        <v>1</v>
      </c>
      <c r="H389" s="101">
        <f t="shared" si="19"/>
        <v>28182.47</v>
      </c>
      <c r="I389" s="101">
        <f t="shared" si="20"/>
        <v>0</v>
      </c>
      <c r="L389" s="112"/>
    </row>
    <row r="390" spans="1:12" x14ac:dyDescent="0.25">
      <c r="A390" s="23" t="s">
        <v>2791</v>
      </c>
      <c r="B390" s="23" t="s">
        <v>473</v>
      </c>
      <c r="C390" s="24"/>
      <c r="D390" s="25">
        <v>28182.47</v>
      </c>
      <c r="E390" s="88">
        <f>VLOOKUP(A390,'Previous week'!$A$3:$F$1765,6,FALSE)</f>
        <v>0</v>
      </c>
      <c r="F390" s="22">
        <f t="shared" si="18"/>
        <v>0</v>
      </c>
      <c r="G390" s="88">
        <f>VLOOKUP(A390,'Current week'!$A$3:$F$1765,6,0)</f>
        <v>0</v>
      </c>
      <c r="H390" s="102">
        <f t="shared" si="19"/>
        <v>0</v>
      </c>
      <c r="I390" s="102">
        <f t="shared" si="20"/>
        <v>0</v>
      </c>
      <c r="L390" s="112"/>
    </row>
    <row r="391" spans="1:12" x14ac:dyDescent="0.25">
      <c r="A391" s="54" t="s">
        <v>2967</v>
      </c>
      <c r="B391" s="54" t="s">
        <v>721</v>
      </c>
      <c r="C391" s="55" t="s">
        <v>722</v>
      </c>
      <c r="D391" s="56">
        <v>0</v>
      </c>
      <c r="E391" s="94">
        <f>'Previous week'!F391</f>
        <v>1</v>
      </c>
      <c r="F391" s="57">
        <f t="shared" si="18"/>
        <v>0</v>
      </c>
      <c r="G391" s="94">
        <f>'Current week'!F391</f>
        <v>1</v>
      </c>
      <c r="H391" s="107">
        <f t="shared" si="19"/>
        <v>0</v>
      </c>
      <c r="I391" s="107">
        <f t="shared" si="20"/>
        <v>0</v>
      </c>
      <c r="L391" s="112"/>
    </row>
    <row r="392" spans="1:12" x14ac:dyDescent="0.25">
      <c r="A392" s="19" t="s">
        <v>2968</v>
      </c>
      <c r="B392" s="19" t="s">
        <v>723</v>
      </c>
      <c r="C392" s="20" t="s">
        <v>724</v>
      </c>
      <c r="D392" s="21">
        <v>28182.47</v>
      </c>
      <c r="E392" s="88">
        <f>VLOOKUP(A392,'Previous week'!$A$3:$F$1765,6,FALSE)</f>
        <v>1</v>
      </c>
      <c r="F392" s="22">
        <f t="shared" si="18"/>
        <v>0</v>
      </c>
      <c r="G392" s="88">
        <f>VLOOKUP(A392,'Current week'!$A$3:$F$1765,6,0)</f>
        <v>1</v>
      </c>
      <c r="H392" s="101">
        <f t="shared" si="19"/>
        <v>28182.47</v>
      </c>
      <c r="I392" s="101">
        <f t="shared" si="20"/>
        <v>0</v>
      </c>
      <c r="L392" s="112"/>
    </row>
    <row r="393" spans="1:12" x14ac:dyDescent="0.25">
      <c r="A393" s="23" t="s">
        <v>2794</v>
      </c>
      <c r="B393" s="23" t="s">
        <v>478</v>
      </c>
      <c r="C393" s="24"/>
      <c r="D393" s="25">
        <v>28182.47</v>
      </c>
      <c r="E393" s="88">
        <f>VLOOKUP(A393,'Previous week'!$A$3:$F$1765,6,FALSE)</f>
        <v>0</v>
      </c>
      <c r="F393" s="22">
        <f t="shared" si="18"/>
        <v>0</v>
      </c>
      <c r="G393" s="88">
        <f>VLOOKUP(A393,'Current week'!$A$3:$F$1765,6,0)</f>
        <v>0</v>
      </c>
      <c r="H393" s="102">
        <f t="shared" si="19"/>
        <v>0</v>
      </c>
      <c r="I393" s="102">
        <f t="shared" si="20"/>
        <v>0</v>
      </c>
      <c r="L393" s="112"/>
    </row>
    <row r="394" spans="1:12" x14ac:dyDescent="0.25">
      <c r="A394" s="54" t="s">
        <v>2969</v>
      </c>
      <c r="B394" s="54" t="s">
        <v>725</v>
      </c>
      <c r="C394" s="55" t="s">
        <v>726</v>
      </c>
      <c r="D394" s="56">
        <v>0</v>
      </c>
      <c r="E394" s="94">
        <f>'Previous week'!F394</f>
        <v>1</v>
      </c>
      <c r="F394" s="57">
        <f t="shared" si="18"/>
        <v>0</v>
      </c>
      <c r="G394" s="94">
        <f>'Current week'!F394</f>
        <v>1</v>
      </c>
      <c r="H394" s="107">
        <f t="shared" si="19"/>
        <v>0</v>
      </c>
      <c r="I394" s="107">
        <f t="shared" si="20"/>
        <v>0</v>
      </c>
      <c r="L394" s="112"/>
    </row>
    <row r="395" spans="1:12" x14ac:dyDescent="0.25">
      <c r="A395" s="19" t="s">
        <v>2970</v>
      </c>
      <c r="B395" s="19" t="s">
        <v>727</v>
      </c>
      <c r="C395" s="20" t="s">
        <v>728</v>
      </c>
      <c r="D395" s="21">
        <v>28182.47</v>
      </c>
      <c r="E395" s="88">
        <f>VLOOKUP(A395,'Previous week'!$A$3:$F$1765,6,FALSE)</f>
        <v>1</v>
      </c>
      <c r="F395" s="22">
        <f t="shared" si="18"/>
        <v>0</v>
      </c>
      <c r="G395" s="88">
        <f>VLOOKUP(A395,'Current week'!$A$3:$F$1765,6,0)</f>
        <v>1</v>
      </c>
      <c r="H395" s="101">
        <f t="shared" si="19"/>
        <v>28182.47</v>
      </c>
      <c r="I395" s="101">
        <f t="shared" si="20"/>
        <v>0</v>
      </c>
      <c r="L395" s="112"/>
    </row>
    <row r="396" spans="1:12" x14ac:dyDescent="0.25">
      <c r="A396" s="23" t="s">
        <v>2797</v>
      </c>
      <c r="B396" s="23" t="s">
        <v>483</v>
      </c>
      <c r="C396" s="24"/>
      <c r="D396" s="25">
        <v>56364.93</v>
      </c>
      <c r="E396" s="88">
        <f>VLOOKUP(A396,'Previous week'!$A$3:$F$1765,6,FALSE)</f>
        <v>0</v>
      </c>
      <c r="F396" s="22">
        <f t="shared" si="18"/>
        <v>0</v>
      </c>
      <c r="G396" s="88">
        <f>VLOOKUP(A396,'Current week'!$A$3:$F$1765,6,0)</f>
        <v>0</v>
      </c>
      <c r="H396" s="102">
        <f t="shared" si="19"/>
        <v>0</v>
      </c>
      <c r="I396" s="102">
        <f t="shared" si="20"/>
        <v>0</v>
      </c>
      <c r="L396" s="112"/>
    </row>
    <row r="397" spans="1:12" x14ac:dyDescent="0.25">
      <c r="A397" s="54" t="s">
        <v>2788</v>
      </c>
      <c r="B397" s="54" t="s">
        <v>128</v>
      </c>
      <c r="C397" s="55"/>
      <c r="D397" s="56">
        <v>28182.47</v>
      </c>
      <c r="E397" s="94">
        <f>'Previous week'!F397</f>
        <v>1</v>
      </c>
      <c r="F397" s="57">
        <f t="shared" si="18"/>
        <v>0</v>
      </c>
      <c r="G397" s="94">
        <f>'Current week'!F397</f>
        <v>1</v>
      </c>
      <c r="H397" s="107">
        <f t="shared" si="19"/>
        <v>28182.47</v>
      </c>
      <c r="I397" s="107">
        <f t="shared" si="20"/>
        <v>0</v>
      </c>
      <c r="L397" s="112"/>
    </row>
    <row r="398" spans="1:12" x14ac:dyDescent="0.25">
      <c r="A398" s="19" t="s">
        <v>2971</v>
      </c>
      <c r="B398" s="19" t="s">
        <v>729</v>
      </c>
      <c r="C398" s="20" t="s">
        <v>130</v>
      </c>
      <c r="D398" s="21">
        <v>0</v>
      </c>
      <c r="E398" s="88">
        <f>VLOOKUP(A398,'Previous week'!$A$3:$F$1765,6,FALSE)</f>
        <v>1</v>
      </c>
      <c r="F398" s="22">
        <f t="shared" si="18"/>
        <v>0</v>
      </c>
      <c r="G398" s="88">
        <f>VLOOKUP(A398,'Current week'!$A$3:$F$1765,6,0)</f>
        <v>1</v>
      </c>
      <c r="H398" s="101">
        <f t="shared" si="19"/>
        <v>0</v>
      </c>
      <c r="I398" s="101">
        <f t="shared" si="20"/>
        <v>0</v>
      </c>
      <c r="L398" s="112"/>
    </row>
    <row r="399" spans="1:12" x14ac:dyDescent="0.25">
      <c r="A399" s="23" t="s">
        <v>2972</v>
      </c>
      <c r="B399" s="23" t="s">
        <v>730</v>
      </c>
      <c r="C399" s="24" t="s">
        <v>159</v>
      </c>
      <c r="D399" s="25">
        <v>28182.47</v>
      </c>
      <c r="E399" s="88">
        <f>VLOOKUP(A399,'Previous week'!$A$3:$F$1765,6,FALSE)</f>
        <v>1</v>
      </c>
      <c r="F399" s="22">
        <f t="shared" si="18"/>
        <v>0</v>
      </c>
      <c r="G399" s="88">
        <f>VLOOKUP(A399,'Current week'!$A$3:$F$1765,6,0)</f>
        <v>1</v>
      </c>
      <c r="H399" s="102">
        <f t="shared" si="19"/>
        <v>28182.47</v>
      </c>
      <c r="I399" s="102">
        <f t="shared" si="20"/>
        <v>0</v>
      </c>
      <c r="L399" s="112"/>
    </row>
    <row r="400" spans="1:12" x14ac:dyDescent="0.25">
      <c r="A400" s="54" t="s">
        <v>2800</v>
      </c>
      <c r="B400" s="54" t="s">
        <v>486</v>
      </c>
      <c r="C400" s="55"/>
      <c r="D400" s="56">
        <v>28182.47</v>
      </c>
      <c r="E400" s="94">
        <f>'Previous week'!F400</f>
        <v>1</v>
      </c>
      <c r="F400" s="57">
        <f t="shared" si="18"/>
        <v>0</v>
      </c>
      <c r="G400" s="94">
        <f>'Current week'!F400</f>
        <v>1</v>
      </c>
      <c r="H400" s="107">
        <f t="shared" si="19"/>
        <v>28182.47</v>
      </c>
      <c r="I400" s="107">
        <f t="shared" si="20"/>
        <v>0</v>
      </c>
      <c r="L400" s="112"/>
    </row>
    <row r="401" spans="1:12" x14ac:dyDescent="0.25">
      <c r="A401" s="19" t="s">
        <v>2973</v>
      </c>
      <c r="B401" s="19" t="s">
        <v>731</v>
      </c>
      <c r="C401" s="20" t="s">
        <v>732</v>
      </c>
      <c r="D401" s="21">
        <v>0</v>
      </c>
      <c r="E401" s="88">
        <f>VLOOKUP(A401,'Previous week'!$A$3:$F$1765,6,FALSE)</f>
        <v>1</v>
      </c>
      <c r="F401" s="22">
        <f t="shared" si="18"/>
        <v>0</v>
      </c>
      <c r="G401" s="88">
        <f>VLOOKUP(A401,'Current week'!$A$3:$F$1765,6,0)</f>
        <v>1</v>
      </c>
      <c r="H401" s="101">
        <f t="shared" si="19"/>
        <v>0</v>
      </c>
      <c r="I401" s="101">
        <f t="shared" si="20"/>
        <v>0</v>
      </c>
      <c r="L401" s="112"/>
    </row>
    <row r="402" spans="1:12" x14ac:dyDescent="0.25">
      <c r="A402" s="23" t="s">
        <v>2974</v>
      </c>
      <c r="B402" s="23" t="s">
        <v>733</v>
      </c>
      <c r="C402" s="24" t="s">
        <v>734</v>
      </c>
      <c r="D402" s="25">
        <v>28182.47</v>
      </c>
      <c r="E402" s="88">
        <f>VLOOKUP(A402,'Previous week'!$A$3:$F$1765,6,FALSE)</f>
        <v>1</v>
      </c>
      <c r="F402" s="22">
        <f t="shared" si="18"/>
        <v>0</v>
      </c>
      <c r="G402" s="88">
        <f>VLOOKUP(A402,'Current week'!$A$3:$F$1765,6,0)</f>
        <v>1</v>
      </c>
      <c r="H402" s="102">
        <f t="shared" si="19"/>
        <v>28182.47</v>
      </c>
      <c r="I402" s="102">
        <f t="shared" si="20"/>
        <v>0</v>
      </c>
      <c r="L402" s="112"/>
    </row>
    <row r="403" spans="1:12" x14ac:dyDescent="0.25">
      <c r="A403" s="54" t="s">
        <v>2803</v>
      </c>
      <c r="B403" s="54" t="s">
        <v>491</v>
      </c>
      <c r="C403" s="55"/>
      <c r="D403" s="56">
        <v>84547.4</v>
      </c>
      <c r="E403" s="94">
        <f>'Previous week'!F403</f>
        <v>1</v>
      </c>
      <c r="F403" s="57">
        <f t="shared" si="18"/>
        <v>0</v>
      </c>
      <c r="G403" s="94">
        <f>'Current week'!F403</f>
        <v>1</v>
      </c>
      <c r="H403" s="107">
        <f t="shared" si="19"/>
        <v>84547.4</v>
      </c>
      <c r="I403" s="107">
        <f t="shared" si="20"/>
        <v>0</v>
      </c>
      <c r="L403" s="112"/>
    </row>
    <row r="404" spans="1:12" x14ac:dyDescent="0.25">
      <c r="A404" s="19" t="s">
        <v>2804</v>
      </c>
      <c r="B404" s="19" t="s">
        <v>121</v>
      </c>
      <c r="C404" s="20"/>
      <c r="D404" s="21">
        <v>28182.47</v>
      </c>
      <c r="E404" s="88">
        <f>VLOOKUP(A404,'Previous week'!$A$3:$F$1765,6,FALSE)</f>
        <v>0</v>
      </c>
      <c r="F404" s="22">
        <f t="shared" si="18"/>
        <v>0</v>
      </c>
      <c r="G404" s="88">
        <f>VLOOKUP(A404,'Current week'!$A$3:$F$1765,6,0)</f>
        <v>0</v>
      </c>
      <c r="H404" s="101">
        <f t="shared" si="19"/>
        <v>0</v>
      </c>
      <c r="I404" s="101">
        <f t="shared" si="20"/>
        <v>0</v>
      </c>
      <c r="L404" s="112"/>
    </row>
    <row r="405" spans="1:12" x14ac:dyDescent="0.25">
      <c r="A405" s="23" t="s">
        <v>2975</v>
      </c>
      <c r="B405" s="23" t="s">
        <v>735</v>
      </c>
      <c r="C405" s="24" t="s">
        <v>123</v>
      </c>
      <c r="D405" s="25">
        <v>0</v>
      </c>
      <c r="E405" s="88">
        <f>VLOOKUP(A405,'Previous week'!$A$3:$F$1765,6,FALSE)</f>
        <v>1</v>
      </c>
      <c r="F405" s="22">
        <f t="shared" si="18"/>
        <v>0</v>
      </c>
      <c r="G405" s="88">
        <f>VLOOKUP(A405,'Current week'!$A$3:$F$1765,6,0)</f>
        <v>1</v>
      </c>
      <c r="H405" s="102">
        <f t="shared" si="19"/>
        <v>0</v>
      </c>
      <c r="I405" s="102">
        <f t="shared" si="20"/>
        <v>0</v>
      </c>
      <c r="L405" s="112"/>
    </row>
    <row r="406" spans="1:12" x14ac:dyDescent="0.25">
      <c r="A406" s="54" t="s">
        <v>2976</v>
      </c>
      <c r="B406" s="54" t="s">
        <v>736</v>
      </c>
      <c r="C406" s="55" t="s">
        <v>155</v>
      </c>
      <c r="D406" s="56">
        <v>28182.47</v>
      </c>
      <c r="E406" s="94">
        <f>'Previous week'!F406</f>
        <v>1</v>
      </c>
      <c r="F406" s="57">
        <f t="shared" si="18"/>
        <v>0</v>
      </c>
      <c r="G406" s="94">
        <f>'Current week'!F406</f>
        <v>1</v>
      </c>
      <c r="H406" s="107">
        <f t="shared" si="19"/>
        <v>28182.47</v>
      </c>
      <c r="I406" s="107">
        <f t="shared" si="20"/>
        <v>0</v>
      </c>
      <c r="L406" s="112"/>
    </row>
    <row r="407" spans="1:12" x14ac:dyDescent="0.25">
      <c r="A407" s="19" t="s">
        <v>2807</v>
      </c>
      <c r="B407" s="19" t="s">
        <v>494</v>
      </c>
      <c r="C407" s="20"/>
      <c r="D407" s="21">
        <v>28182.47</v>
      </c>
      <c r="E407" s="88">
        <f>VLOOKUP(A407,'Previous week'!$A$3:$F$1765,6,FALSE)</f>
        <v>0</v>
      </c>
      <c r="F407" s="22">
        <f t="shared" si="18"/>
        <v>0</v>
      </c>
      <c r="G407" s="88">
        <f>VLOOKUP(A407,'Current week'!$A$3:$F$1765,6,0)</f>
        <v>0</v>
      </c>
      <c r="H407" s="101">
        <f t="shared" si="19"/>
        <v>0</v>
      </c>
      <c r="I407" s="101">
        <f t="shared" si="20"/>
        <v>0</v>
      </c>
      <c r="L407" s="112"/>
    </row>
    <row r="408" spans="1:12" x14ac:dyDescent="0.25">
      <c r="A408" s="23" t="s">
        <v>2977</v>
      </c>
      <c r="B408" s="23" t="s">
        <v>737</v>
      </c>
      <c r="C408" s="24" t="s">
        <v>738</v>
      </c>
      <c r="D408" s="25">
        <v>0</v>
      </c>
      <c r="E408" s="88">
        <f>VLOOKUP(A408,'Previous week'!$A$3:$F$1765,6,FALSE)</f>
        <v>1</v>
      </c>
      <c r="F408" s="22">
        <f t="shared" si="18"/>
        <v>0</v>
      </c>
      <c r="G408" s="88">
        <f>VLOOKUP(A408,'Current week'!$A$3:$F$1765,6,0)</f>
        <v>1</v>
      </c>
      <c r="H408" s="102">
        <f t="shared" si="19"/>
        <v>0</v>
      </c>
      <c r="I408" s="102">
        <f t="shared" si="20"/>
        <v>0</v>
      </c>
      <c r="L408" s="112"/>
    </row>
    <row r="409" spans="1:12" x14ac:dyDescent="0.25">
      <c r="A409" s="54" t="s">
        <v>2978</v>
      </c>
      <c r="B409" s="54" t="s">
        <v>739</v>
      </c>
      <c r="C409" s="55" t="s">
        <v>740</v>
      </c>
      <c r="D409" s="56">
        <v>28182.47</v>
      </c>
      <c r="E409" s="94">
        <f>'Previous week'!F409</f>
        <v>1</v>
      </c>
      <c r="F409" s="57">
        <f t="shared" si="18"/>
        <v>0</v>
      </c>
      <c r="G409" s="94">
        <f>'Current week'!F409</f>
        <v>1</v>
      </c>
      <c r="H409" s="107">
        <f t="shared" si="19"/>
        <v>28182.47</v>
      </c>
      <c r="I409" s="107">
        <f t="shared" si="20"/>
        <v>0</v>
      </c>
      <c r="L409" s="112"/>
    </row>
    <row r="410" spans="1:12" x14ac:dyDescent="0.25">
      <c r="A410" s="19" t="s">
        <v>2810</v>
      </c>
      <c r="B410" s="19" t="s">
        <v>499</v>
      </c>
      <c r="C410" s="20"/>
      <c r="D410" s="21">
        <v>28182.47</v>
      </c>
      <c r="E410" s="88">
        <f>VLOOKUP(A410,'Previous week'!$A$3:$F$1765,6,FALSE)</f>
        <v>0</v>
      </c>
      <c r="F410" s="22">
        <f t="shared" si="18"/>
        <v>0</v>
      </c>
      <c r="G410" s="88">
        <f>VLOOKUP(A410,'Current week'!$A$3:$F$1765,6,0)</f>
        <v>0</v>
      </c>
      <c r="H410" s="101">
        <f t="shared" si="19"/>
        <v>0</v>
      </c>
      <c r="I410" s="101">
        <f t="shared" si="20"/>
        <v>0</v>
      </c>
      <c r="L410" s="112"/>
    </row>
    <row r="411" spans="1:12" x14ac:dyDescent="0.25">
      <c r="A411" s="23" t="s">
        <v>2979</v>
      </c>
      <c r="B411" s="23" t="s">
        <v>741</v>
      </c>
      <c r="C411" s="24" t="s">
        <v>742</v>
      </c>
      <c r="D411" s="25">
        <v>0</v>
      </c>
      <c r="E411" s="88">
        <f>VLOOKUP(A411,'Previous week'!$A$3:$F$1765,6,FALSE)</f>
        <v>1</v>
      </c>
      <c r="F411" s="22">
        <f t="shared" si="18"/>
        <v>0</v>
      </c>
      <c r="G411" s="88">
        <f>VLOOKUP(A411,'Current week'!$A$3:$F$1765,6,0)</f>
        <v>1</v>
      </c>
      <c r="H411" s="102">
        <f t="shared" si="19"/>
        <v>0</v>
      </c>
      <c r="I411" s="102">
        <f t="shared" si="20"/>
        <v>0</v>
      </c>
      <c r="L411" s="112"/>
    </row>
    <row r="412" spans="1:12" x14ac:dyDescent="0.25">
      <c r="A412" s="54" t="s">
        <v>2980</v>
      </c>
      <c r="B412" s="54" t="s">
        <v>743</v>
      </c>
      <c r="C412" s="55" t="s">
        <v>744</v>
      </c>
      <c r="D412" s="56">
        <v>28182.47</v>
      </c>
      <c r="E412" s="94">
        <f>'Previous week'!F412</f>
        <v>1</v>
      </c>
      <c r="F412" s="57">
        <f t="shared" si="18"/>
        <v>0</v>
      </c>
      <c r="G412" s="94">
        <f>'Current week'!F412</f>
        <v>1</v>
      </c>
      <c r="H412" s="107">
        <f t="shared" si="19"/>
        <v>28182.47</v>
      </c>
      <c r="I412" s="107">
        <f t="shared" si="20"/>
        <v>0</v>
      </c>
      <c r="L412" s="112"/>
    </row>
    <row r="413" spans="1:12" x14ac:dyDescent="0.25">
      <c r="A413" s="19" t="s">
        <v>2813</v>
      </c>
      <c r="B413" s="19" t="s">
        <v>504</v>
      </c>
      <c r="C413" s="20"/>
      <c r="D413" s="21">
        <v>84547.4</v>
      </c>
      <c r="E413" s="88">
        <f>VLOOKUP(A413,'Previous week'!$A$3:$F$1765,6,FALSE)</f>
        <v>0</v>
      </c>
      <c r="F413" s="22">
        <f t="shared" si="18"/>
        <v>0</v>
      </c>
      <c r="G413" s="88">
        <f>VLOOKUP(A413,'Current week'!$A$3:$F$1765,6,0)</f>
        <v>0</v>
      </c>
      <c r="H413" s="101">
        <f t="shared" si="19"/>
        <v>0</v>
      </c>
      <c r="I413" s="101">
        <f t="shared" si="20"/>
        <v>0</v>
      </c>
      <c r="L413" s="112"/>
    </row>
    <row r="414" spans="1:12" x14ac:dyDescent="0.25">
      <c r="A414" s="23" t="s">
        <v>2804</v>
      </c>
      <c r="B414" s="23" t="s">
        <v>121</v>
      </c>
      <c r="C414" s="24"/>
      <c r="D414" s="25">
        <v>28182.47</v>
      </c>
      <c r="E414" s="88">
        <f>VLOOKUP(A414,'Previous week'!$A$3:$F$1765,6,FALSE)</f>
        <v>0</v>
      </c>
      <c r="F414" s="22">
        <f t="shared" si="18"/>
        <v>0</v>
      </c>
      <c r="G414" s="88">
        <f>VLOOKUP(A414,'Current week'!$A$3:$F$1765,6,0)</f>
        <v>0</v>
      </c>
      <c r="H414" s="102">
        <f t="shared" si="19"/>
        <v>0</v>
      </c>
      <c r="I414" s="102">
        <f t="shared" si="20"/>
        <v>0</v>
      </c>
      <c r="L414" s="112"/>
    </row>
    <row r="415" spans="1:12" x14ac:dyDescent="0.25">
      <c r="A415" s="54" t="s">
        <v>2981</v>
      </c>
      <c r="B415" s="54" t="s">
        <v>745</v>
      </c>
      <c r="C415" s="55" t="s">
        <v>123</v>
      </c>
      <c r="D415" s="56">
        <v>0</v>
      </c>
      <c r="E415" s="94">
        <f>'Previous week'!F415</f>
        <v>1</v>
      </c>
      <c r="F415" s="57">
        <f t="shared" si="18"/>
        <v>0</v>
      </c>
      <c r="G415" s="94">
        <f>'Current week'!F415</f>
        <v>1</v>
      </c>
      <c r="H415" s="107">
        <f t="shared" si="19"/>
        <v>0</v>
      </c>
      <c r="I415" s="107">
        <f t="shared" si="20"/>
        <v>0</v>
      </c>
      <c r="L415" s="112"/>
    </row>
    <row r="416" spans="1:12" x14ac:dyDescent="0.25">
      <c r="A416" s="19" t="s">
        <v>2982</v>
      </c>
      <c r="B416" s="19" t="s">
        <v>746</v>
      </c>
      <c r="C416" s="20" t="s">
        <v>155</v>
      </c>
      <c r="D416" s="21">
        <v>28182.47</v>
      </c>
      <c r="E416" s="88">
        <f>VLOOKUP(A416,'Previous week'!$A$3:$F$1765,6,FALSE)</f>
        <v>1</v>
      </c>
      <c r="F416" s="22">
        <f t="shared" si="18"/>
        <v>0</v>
      </c>
      <c r="G416" s="88">
        <f>VLOOKUP(A416,'Current week'!$A$3:$F$1765,6,0)</f>
        <v>1</v>
      </c>
      <c r="H416" s="101">
        <f t="shared" si="19"/>
        <v>28182.47</v>
      </c>
      <c r="I416" s="101">
        <f t="shared" si="20"/>
        <v>0</v>
      </c>
      <c r="L416" s="112"/>
    </row>
    <row r="417" spans="1:12" x14ac:dyDescent="0.25">
      <c r="A417" s="23" t="s">
        <v>2807</v>
      </c>
      <c r="B417" s="23" t="s">
        <v>494</v>
      </c>
      <c r="C417" s="24"/>
      <c r="D417" s="25">
        <v>28182.47</v>
      </c>
      <c r="E417" s="88">
        <f>VLOOKUP(A417,'Previous week'!$A$3:$F$1765,6,FALSE)</f>
        <v>0</v>
      </c>
      <c r="F417" s="22">
        <f t="shared" si="18"/>
        <v>0</v>
      </c>
      <c r="G417" s="88">
        <f>VLOOKUP(A417,'Current week'!$A$3:$F$1765,6,0)</f>
        <v>0</v>
      </c>
      <c r="H417" s="102">
        <f t="shared" si="19"/>
        <v>0</v>
      </c>
      <c r="I417" s="102">
        <f t="shared" si="20"/>
        <v>0</v>
      </c>
      <c r="L417" s="112"/>
    </row>
    <row r="418" spans="1:12" x14ac:dyDescent="0.25">
      <c r="A418" s="50" t="s">
        <v>2983</v>
      </c>
      <c r="B418" s="50" t="s">
        <v>747</v>
      </c>
      <c r="C418" s="51" t="s">
        <v>738</v>
      </c>
      <c r="D418" s="68">
        <v>0</v>
      </c>
      <c r="E418" s="93"/>
      <c r="F418" s="69">
        <f t="shared" si="18"/>
        <v>0</v>
      </c>
      <c r="G418" s="93"/>
      <c r="H418" s="106"/>
      <c r="I418" s="106"/>
      <c r="L418" s="112"/>
    </row>
    <row r="419" spans="1:12" x14ac:dyDescent="0.25">
      <c r="A419" s="54" t="s">
        <v>2984</v>
      </c>
      <c r="B419" s="54" t="s">
        <v>748</v>
      </c>
      <c r="C419" s="55" t="s">
        <v>740</v>
      </c>
      <c r="D419" s="56">
        <v>28182.47</v>
      </c>
      <c r="E419" s="94">
        <f>'Previous week'!F419</f>
        <v>1</v>
      </c>
      <c r="F419" s="57">
        <f t="shared" si="18"/>
        <v>0</v>
      </c>
      <c r="G419" s="94">
        <f>'Current week'!F419</f>
        <v>1</v>
      </c>
      <c r="H419" s="107">
        <f t="shared" si="19"/>
        <v>28182.47</v>
      </c>
      <c r="I419" s="107">
        <f t="shared" si="20"/>
        <v>0</v>
      </c>
      <c r="L419" s="112"/>
    </row>
    <row r="420" spans="1:12" x14ac:dyDescent="0.25">
      <c r="A420" s="19" t="s">
        <v>2818</v>
      </c>
      <c r="B420" s="19" t="s">
        <v>124</v>
      </c>
      <c r="C420" s="20"/>
      <c r="D420" s="21">
        <v>28182.47</v>
      </c>
      <c r="E420" s="88">
        <f>VLOOKUP(A420,'Previous week'!$A$3:$F$1765,6,FALSE)</f>
        <v>0</v>
      </c>
      <c r="F420" s="22">
        <f t="shared" si="18"/>
        <v>0</v>
      </c>
      <c r="G420" s="88">
        <f>VLOOKUP(A420,'Current week'!$A$3:$F$1765,6,0)</f>
        <v>0</v>
      </c>
      <c r="H420" s="101">
        <f t="shared" si="19"/>
        <v>0</v>
      </c>
      <c r="I420" s="101">
        <f t="shared" si="20"/>
        <v>0</v>
      </c>
      <c r="L420" s="112"/>
    </row>
    <row r="421" spans="1:12" x14ac:dyDescent="0.25">
      <c r="A421" s="23" t="s">
        <v>2985</v>
      </c>
      <c r="B421" s="23" t="s">
        <v>749</v>
      </c>
      <c r="C421" s="24" t="s">
        <v>126</v>
      </c>
      <c r="D421" s="25">
        <v>0</v>
      </c>
      <c r="E421" s="88">
        <f>VLOOKUP(A421,'Previous week'!$A$3:$F$1765,6,FALSE)</f>
        <v>1</v>
      </c>
      <c r="F421" s="22">
        <f t="shared" si="18"/>
        <v>0</v>
      </c>
      <c r="G421" s="88">
        <f>VLOOKUP(A421,'Current week'!$A$3:$F$1765,6,0)</f>
        <v>1</v>
      </c>
      <c r="H421" s="102">
        <f t="shared" si="19"/>
        <v>0</v>
      </c>
      <c r="I421" s="102">
        <f t="shared" si="20"/>
        <v>0</v>
      </c>
      <c r="L421" s="112"/>
    </row>
    <row r="422" spans="1:12" x14ac:dyDescent="0.25">
      <c r="A422" s="54" t="s">
        <v>2986</v>
      </c>
      <c r="B422" s="54" t="s">
        <v>750</v>
      </c>
      <c r="C422" s="55" t="s">
        <v>157</v>
      </c>
      <c r="D422" s="56">
        <v>28182.47</v>
      </c>
      <c r="E422" s="94">
        <f>'Previous week'!F422</f>
        <v>1</v>
      </c>
      <c r="F422" s="57">
        <f t="shared" si="18"/>
        <v>0</v>
      </c>
      <c r="G422" s="94">
        <f>'Current week'!F422</f>
        <v>1</v>
      </c>
      <c r="H422" s="107">
        <f t="shared" si="19"/>
        <v>28182.47</v>
      </c>
      <c r="I422" s="107">
        <f t="shared" si="20"/>
        <v>0</v>
      </c>
      <c r="L422" s="112"/>
    </row>
    <row r="423" spans="1:12" x14ac:dyDescent="0.25">
      <c r="A423" s="19" t="s">
        <v>2821</v>
      </c>
      <c r="B423" s="19" t="s">
        <v>104</v>
      </c>
      <c r="C423" s="20"/>
      <c r="D423" s="21">
        <v>281824.65999999997</v>
      </c>
      <c r="E423" s="88">
        <f>VLOOKUP(A423,'Previous week'!$A$3:$F$1765,6,FALSE)</f>
        <v>0</v>
      </c>
      <c r="F423" s="22">
        <f t="shared" si="18"/>
        <v>0</v>
      </c>
      <c r="G423" s="88">
        <f>VLOOKUP(A423,'Current week'!$A$3:$F$1765,6,0)</f>
        <v>0</v>
      </c>
      <c r="H423" s="101">
        <f t="shared" si="19"/>
        <v>0</v>
      </c>
      <c r="I423" s="101">
        <f t="shared" si="20"/>
        <v>0</v>
      </c>
      <c r="L423" s="112"/>
    </row>
    <row r="424" spans="1:12" x14ac:dyDescent="0.25">
      <c r="A424" s="23" t="s">
        <v>2822</v>
      </c>
      <c r="B424" s="23" t="s">
        <v>511</v>
      </c>
      <c r="C424" s="24"/>
      <c r="D424" s="25">
        <v>28182.47</v>
      </c>
      <c r="E424" s="88">
        <f>VLOOKUP(A424,'Previous week'!$A$3:$F$1765,6,FALSE)</f>
        <v>0</v>
      </c>
      <c r="F424" s="22">
        <f t="shared" si="18"/>
        <v>0</v>
      </c>
      <c r="G424" s="88">
        <f>VLOOKUP(A424,'Current week'!$A$3:$F$1765,6,0)</f>
        <v>0</v>
      </c>
      <c r="H424" s="102">
        <f t="shared" si="19"/>
        <v>0</v>
      </c>
      <c r="I424" s="102">
        <f t="shared" si="20"/>
        <v>0</v>
      </c>
      <c r="L424" s="112"/>
    </row>
    <row r="425" spans="1:12" x14ac:dyDescent="0.25">
      <c r="A425" s="54" t="s">
        <v>2987</v>
      </c>
      <c r="B425" s="54" t="s">
        <v>751</v>
      </c>
      <c r="C425" s="55" t="s">
        <v>752</v>
      </c>
      <c r="D425" s="70">
        <v>0</v>
      </c>
      <c r="E425" s="94">
        <f>'Previous week'!F425</f>
        <v>1</v>
      </c>
      <c r="F425" s="57">
        <f t="shared" si="18"/>
        <v>0</v>
      </c>
      <c r="G425" s="94">
        <f>'Current week'!F425</f>
        <v>1</v>
      </c>
      <c r="H425" s="107">
        <f t="shared" si="19"/>
        <v>0</v>
      </c>
      <c r="I425" s="107">
        <f t="shared" si="20"/>
        <v>0</v>
      </c>
      <c r="L425" s="112"/>
    </row>
    <row r="426" spans="1:12" x14ac:dyDescent="0.25">
      <c r="A426" s="19" t="s">
        <v>2988</v>
      </c>
      <c r="B426" s="19" t="s">
        <v>753</v>
      </c>
      <c r="C426" s="20" t="s">
        <v>754</v>
      </c>
      <c r="D426" s="21">
        <v>28182.47</v>
      </c>
      <c r="E426" s="88">
        <f>VLOOKUP(A426,'Previous week'!$A$3:$F$1765,6,FALSE)</f>
        <v>1</v>
      </c>
      <c r="F426" s="22">
        <f t="shared" si="18"/>
        <v>0</v>
      </c>
      <c r="G426" s="88">
        <f>VLOOKUP(A426,'Current week'!$A$3:$F$1765,6,0)</f>
        <v>1</v>
      </c>
      <c r="H426" s="101">
        <f t="shared" si="19"/>
        <v>28182.47</v>
      </c>
      <c r="I426" s="101">
        <f t="shared" si="20"/>
        <v>0</v>
      </c>
      <c r="L426" s="112"/>
    </row>
    <row r="427" spans="1:12" x14ac:dyDescent="0.25">
      <c r="A427" s="23" t="s">
        <v>2825</v>
      </c>
      <c r="B427" s="23" t="s">
        <v>105</v>
      </c>
      <c r="C427" s="24"/>
      <c r="D427" s="71">
        <v>28182.47</v>
      </c>
      <c r="E427" s="88">
        <f>VLOOKUP(A427,'Previous week'!$A$3:$F$1765,6,FALSE)</f>
        <v>0</v>
      </c>
      <c r="F427" s="22">
        <f t="shared" si="18"/>
        <v>0</v>
      </c>
      <c r="G427" s="88">
        <f>VLOOKUP(A427,'Current week'!$A$3:$F$1765,6,0)</f>
        <v>0</v>
      </c>
      <c r="H427" s="102">
        <f t="shared" si="19"/>
        <v>0</v>
      </c>
      <c r="I427" s="102">
        <f>F427*D427</f>
        <v>0</v>
      </c>
      <c r="L427" s="112"/>
    </row>
    <row r="428" spans="1:12" x14ac:dyDescent="0.25">
      <c r="A428" s="54" t="s">
        <v>2989</v>
      </c>
      <c r="B428" s="54" t="s">
        <v>755</v>
      </c>
      <c r="C428" s="55" t="s">
        <v>107</v>
      </c>
      <c r="D428" s="56">
        <v>0</v>
      </c>
      <c r="E428" s="94">
        <f>'Previous week'!F428</f>
        <v>1</v>
      </c>
      <c r="F428" s="57">
        <f t="shared" si="18"/>
        <v>0</v>
      </c>
      <c r="G428" s="94">
        <f>'Current week'!F428</f>
        <v>1</v>
      </c>
      <c r="H428" s="107">
        <f t="shared" si="19"/>
        <v>0</v>
      </c>
      <c r="I428" s="107">
        <f t="shared" si="20"/>
        <v>0</v>
      </c>
      <c r="L428" s="112"/>
    </row>
    <row r="429" spans="1:12" x14ac:dyDescent="0.25">
      <c r="A429" s="19" t="s">
        <v>2990</v>
      </c>
      <c r="B429" s="19" t="s">
        <v>756</v>
      </c>
      <c r="C429" s="20" t="s">
        <v>757</v>
      </c>
      <c r="D429" s="21">
        <v>28182.47</v>
      </c>
      <c r="E429" s="88">
        <f>VLOOKUP(A429,'Previous week'!$A$3:$F$1765,6,FALSE)</f>
        <v>1</v>
      </c>
      <c r="F429" s="22">
        <f t="shared" si="18"/>
        <v>0</v>
      </c>
      <c r="G429" s="88">
        <f>VLOOKUP(A429,'Current week'!$A$3:$F$1765,6,0)</f>
        <v>1</v>
      </c>
      <c r="H429" s="101">
        <f t="shared" si="19"/>
        <v>28182.47</v>
      </c>
      <c r="I429" s="101">
        <f t="shared" si="20"/>
        <v>0</v>
      </c>
      <c r="L429" s="112"/>
    </row>
    <row r="430" spans="1:12" x14ac:dyDescent="0.25">
      <c r="A430" s="23" t="s">
        <v>2828</v>
      </c>
      <c r="B430" s="23" t="s">
        <v>108</v>
      </c>
      <c r="C430" s="24"/>
      <c r="D430" s="25">
        <v>28182.47</v>
      </c>
      <c r="E430" s="88">
        <f>VLOOKUP(A430,'Previous week'!$A$3:$F$1765,6,FALSE)</f>
        <v>0</v>
      </c>
      <c r="F430" s="22">
        <f t="shared" si="18"/>
        <v>0</v>
      </c>
      <c r="G430" s="88">
        <f>VLOOKUP(A430,'Current week'!$A$3:$F$1765,6,0)</f>
        <v>0</v>
      </c>
      <c r="H430" s="102">
        <f t="shared" si="19"/>
        <v>0</v>
      </c>
      <c r="I430" s="102">
        <f t="shared" si="20"/>
        <v>0</v>
      </c>
      <c r="L430" s="112"/>
    </row>
    <row r="431" spans="1:12" x14ac:dyDescent="0.25">
      <c r="A431" s="54" t="s">
        <v>2991</v>
      </c>
      <c r="B431" s="54" t="s">
        <v>758</v>
      </c>
      <c r="C431" s="55" t="s">
        <v>110</v>
      </c>
      <c r="D431" s="70">
        <v>0</v>
      </c>
      <c r="E431" s="94">
        <f>'Previous week'!F431</f>
        <v>1</v>
      </c>
      <c r="F431" s="57">
        <f t="shared" si="18"/>
        <v>0</v>
      </c>
      <c r="G431" s="94">
        <f>'Current week'!F431</f>
        <v>1</v>
      </c>
      <c r="H431" s="107">
        <f t="shared" si="19"/>
        <v>0</v>
      </c>
      <c r="I431" s="107">
        <f t="shared" si="20"/>
        <v>0</v>
      </c>
      <c r="L431" s="112"/>
    </row>
    <row r="432" spans="1:12" x14ac:dyDescent="0.25">
      <c r="A432" s="19" t="s">
        <v>2992</v>
      </c>
      <c r="B432" s="19" t="s">
        <v>759</v>
      </c>
      <c r="C432" s="20" t="s">
        <v>760</v>
      </c>
      <c r="D432" s="21">
        <v>28182.47</v>
      </c>
      <c r="E432" s="88">
        <f>VLOOKUP(A432,'Previous week'!$A$3:$F$1765,6,FALSE)</f>
        <v>1</v>
      </c>
      <c r="F432" s="22">
        <f t="shared" si="18"/>
        <v>0</v>
      </c>
      <c r="G432" s="88">
        <f>VLOOKUP(A432,'Current week'!$A$3:$F$1765,6,0)</f>
        <v>1</v>
      </c>
      <c r="H432" s="101">
        <f t="shared" si="19"/>
        <v>28182.47</v>
      </c>
      <c r="I432" s="101">
        <f t="shared" si="20"/>
        <v>0</v>
      </c>
      <c r="L432" s="112"/>
    </row>
    <row r="433" spans="1:12" x14ac:dyDescent="0.25">
      <c r="A433" s="23" t="s">
        <v>2831</v>
      </c>
      <c r="B433" s="23" t="s">
        <v>111</v>
      </c>
      <c r="C433" s="24"/>
      <c r="D433" s="71">
        <v>28182.47</v>
      </c>
      <c r="E433" s="88">
        <f>VLOOKUP(A433,'Previous week'!$A$3:$F$1765,6,FALSE)</f>
        <v>0</v>
      </c>
      <c r="F433" s="22">
        <f t="shared" si="18"/>
        <v>0</v>
      </c>
      <c r="G433" s="88">
        <f>VLOOKUP(A433,'Current week'!$A$3:$F$1765,6,0)</f>
        <v>0</v>
      </c>
      <c r="H433" s="102">
        <f t="shared" si="19"/>
        <v>0</v>
      </c>
      <c r="I433" s="102">
        <f t="shared" si="20"/>
        <v>0</v>
      </c>
      <c r="L433" s="112"/>
    </row>
    <row r="434" spans="1:12" x14ac:dyDescent="0.25">
      <c r="A434" s="54" t="s">
        <v>2993</v>
      </c>
      <c r="B434" s="54" t="s">
        <v>761</v>
      </c>
      <c r="C434" s="55" t="s">
        <v>113</v>
      </c>
      <c r="D434" s="70">
        <v>0</v>
      </c>
      <c r="E434" s="94">
        <f>'Previous week'!F434</f>
        <v>1</v>
      </c>
      <c r="F434" s="57">
        <f t="shared" si="18"/>
        <v>0</v>
      </c>
      <c r="G434" s="94">
        <f>'Current week'!F434</f>
        <v>1</v>
      </c>
      <c r="H434" s="107">
        <f t="shared" si="19"/>
        <v>0</v>
      </c>
      <c r="I434" s="107">
        <f t="shared" si="20"/>
        <v>0</v>
      </c>
      <c r="L434" s="112"/>
    </row>
    <row r="435" spans="1:12" x14ac:dyDescent="0.25">
      <c r="A435" s="19" t="s">
        <v>2994</v>
      </c>
      <c r="B435" s="19" t="s">
        <v>762</v>
      </c>
      <c r="C435" s="20" t="s">
        <v>763</v>
      </c>
      <c r="D435" s="21">
        <v>28182.47</v>
      </c>
      <c r="E435" s="88">
        <f>VLOOKUP(A435,'Previous week'!$A$3:$F$1765,6,FALSE)</f>
        <v>1</v>
      </c>
      <c r="F435" s="22">
        <f t="shared" si="18"/>
        <v>0</v>
      </c>
      <c r="G435" s="88">
        <f>VLOOKUP(A435,'Current week'!$A$3:$F$1765,6,0)</f>
        <v>1</v>
      </c>
      <c r="H435" s="101">
        <f t="shared" si="19"/>
        <v>28182.47</v>
      </c>
      <c r="I435" s="101">
        <f t="shared" si="20"/>
        <v>0</v>
      </c>
      <c r="L435" s="112"/>
    </row>
    <row r="436" spans="1:12" x14ac:dyDescent="0.25">
      <c r="A436" s="23" t="s">
        <v>2834</v>
      </c>
      <c r="B436" s="23" t="s">
        <v>522</v>
      </c>
      <c r="C436" s="24"/>
      <c r="D436" s="71">
        <v>28182.47</v>
      </c>
      <c r="E436" s="88">
        <f>VLOOKUP(A436,'Previous week'!$A$3:$F$1765,6,FALSE)</f>
        <v>0</v>
      </c>
      <c r="F436" s="22">
        <f t="shared" si="18"/>
        <v>0</v>
      </c>
      <c r="G436" s="88">
        <f>VLOOKUP(A436,'Current week'!$A$3:$F$1765,6,0)</f>
        <v>0</v>
      </c>
      <c r="H436" s="102">
        <f t="shared" si="19"/>
        <v>0</v>
      </c>
      <c r="I436" s="102">
        <f t="shared" si="20"/>
        <v>0</v>
      </c>
      <c r="L436" s="112"/>
    </row>
    <row r="437" spans="1:12" x14ac:dyDescent="0.25">
      <c r="A437" s="54" t="s">
        <v>2995</v>
      </c>
      <c r="B437" s="54" t="s">
        <v>764</v>
      </c>
      <c r="C437" s="55" t="s">
        <v>765</v>
      </c>
      <c r="D437" s="70">
        <v>0</v>
      </c>
      <c r="E437" s="94">
        <f>'Previous week'!F437</f>
        <v>1</v>
      </c>
      <c r="F437" s="57">
        <f t="shared" si="18"/>
        <v>0</v>
      </c>
      <c r="G437" s="94">
        <f>'Current week'!F437</f>
        <v>1</v>
      </c>
      <c r="H437" s="107">
        <f t="shared" si="19"/>
        <v>0</v>
      </c>
      <c r="I437" s="107">
        <f t="shared" si="20"/>
        <v>0</v>
      </c>
      <c r="L437" s="112"/>
    </row>
    <row r="438" spans="1:12" x14ac:dyDescent="0.25">
      <c r="A438" s="19" t="s">
        <v>2996</v>
      </c>
      <c r="B438" s="19" t="s">
        <v>766</v>
      </c>
      <c r="C438" s="20" t="s">
        <v>767</v>
      </c>
      <c r="D438" s="21">
        <v>28182.47</v>
      </c>
      <c r="E438" s="88">
        <f>VLOOKUP(A438,'Previous week'!$A$3:$F$1765,6,FALSE)</f>
        <v>1</v>
      </c>
      <c r="F438" s="22">
        <f t="shared" si="18"/>
        <v>0</v>
      </c>
      <c r="G438" s="88">
        <f>VLOOKUP(A438,'Current week'!$A$3:$F$1765,6,0)</f>
        <v>1</v>
      </c>
      <c r="H438" s="101">
        <f t="shared" si="19"/>
        <v>28182.47</v>
      </c>
      <c r="I438" s="101">
        <f t="shared" si="20"/>
        <v>0</v>
      </c>
      <c r="L438" s="112"/>
    </row>
    <row r="439" spans="1:12" x14ac:dyDescent="0.25">
      <c r="A439" s="23" t="s">
        <v>2837</v>
      </c>
      <c r="B439" s="23" t="s">
        <v>527</v>
      </c>
      <c r="C439" s="24"/>
      <c r="D439" s="71">
        <v>28182.47</v>
      </c>
      <c r="E439" s="88">
        <f>VLOOKUP(A439,'Previous week'!$A$3:$F$1765,6,FALSE)</f>
        <v>0</v>
      </c>
      <c r="F439" s="22">
        <f t="shared" si="18"/>
        <v>0</v>
      </c>
      <c r="G439" s="88">
        <f>VLOOKUP(A439,'Current week'!$A$3:$F$1765,6,0)</f>
        <v>0</v>
      </c>
      <c r="H439" s="102">
        <f t="shared" si="19"/>
        <v>0</v>
      </c>
      <c r="I439" s="102">
        <f t="shared" si="20"/>
        <v>0</v>
      </c>
      <c r="L439" s="112"/>
    </row>
    <row r="440" spans="1:12" x14ac:dyDescent="0.25">
      <c r="A440" s="54" t="s">
        <v>2997</v>
      </c>
      <c r="B440" s="54" t="s">
        <v>768</v>
      </c>
      <c r="C440" s="55" t="s">
        <v>769</v>
      </c>
      <c r="D440" s="70">
        <v>0</v>
      </c>
      <c r="E440" s="94">
        <f>'Previous week'!F440</f>
        <v>1</v>
      </c>
      <c r="F440" s="57">
        <f t="shared" si="18"/>
        <v>0</v>
      </c>
      <c r="G440" s="94">
        <f>'Current week'!F440</f>
        <v>1</v>
      </c>
      <c r="H440" s="107">
        <f t="shared" si="19"/>
        <v>0</v>
      </c>
      <c r="I440" s="107">
        <f t="shared" si="20"/>
        <v>0</v>
      </c>
      <c r="L440" s="112"/>
    </row>
    <row r="441" spans="1:12" x14ac:dyDescent="0.25">
      <c r="A441" s="19" t="s">
        <v>2998</v>
      </c>
      <c r="B441" s="19" t="s">
        <v>770</v>
      </c>
      <c r="C441" s="20" t="s">
        <v>771</v>
      </c>
      <c r="D441" s="21">
        <v>28182.47</v>
      </c>
      <c r="E441" s="88">
        <f>VLOOKUP(A441,'Previous week'!$A$3:$F$1765,6,FALSE)</f>
        <v>1</v>
      </c>
      <c r="F441" s="22">
        <f t="shared" si="18"/>
        <v>0</v>
      </c>
      <c r="G441" s="88">
        <f>VLOOKUP(A441,'Current week'!$A$3:$F$1765,6,0)</f>
        <v>1</v>
      </c>
      <c r="H441" s="101">
        <f t="shared" si="19"/>
        <v>28182.47</v>
      </c>
      <c r="I441" s="101">
        <f t="shared" si="20"/>
        <v>0</v>
      </c>
      <c r="L441" s="112"/>
    </row>
    <row r="442" spans="1:12" x14ac:dyDescent="0.25">
      <c r="A442" s="23" t="s">
        <v>2840</v>
      </c>
      <c r="B442" s="23" t="s">
        <v>532</v>
      </c>
      <c r="C442" s="24"/>
      <c r="D442" s="71">
        <v>28182.47</v>
      </c>
      <c r="E442" s="88">
        <f>VLOOKUP(A442,'Previous week'!$A$3:$F$1765,6,FALSE)</f>
        <v>0</v>
      </c>
      <c r="F442" s="22">
        <f t="shared" si="18"/>
        <v>0</v>
      </c>
      <c r="G442" s="88">
        <f>VLOOKUP(A442,'Current week'!$A$3:$F$1765,6,0)</f>
        <v>0</v>
      </c>
      <c r="H442" s="102">
        <f t="shared" si="19"/>
        <v>0</v>
      </c>
      <c r="I442" s="102">
        <f t="shared" si="20"/>
        <v>0</v>
      </c>
      <c r="L442" s="112"/>
    </row>
    <row r="443" spans="1:12" x14ac:dyDescent="0.25">
      <c r="A443" s="54" t="s">
        <v>2999</v>
      </c>
      <c r="B443" s="54" t="s">
        <v>772</v>
      </c>
      <c r="C443" s="55" t="s">
        <v>773</v>
      </c>
      <c r="D443" s="70">
        <v>0</v>
      </c>
      <c r="E443" s="94">
        <f>'Previous week'!F443</f>
        <v>1</v>
      </c>
      <c r="F443" s="57">
        <f t="shared" si="18"/>
        <v>0</v>
      </c>
      <c r="G443" s="94">
        <f>'Current week'!F443</f>
        <v>1</v>
      </c>
      <c r="H443" s="107">
        <f t="shared" si="19"/>
        <v>0</v>
      </c>
      <c r="I443" s="107">
        <f t="shared" si="20"/>
        <v>0</v>
      </c>
      <c r="L443" s="112"/>
    </row>
    <row r="444" spans="1:12" x14ac:dyDescent="0.25">
      <c r="A444" s="19" t="s">
        <v>3000</v>
      </c>
      <c r="B444" s="19" t="s">
        <v>774</v>
      </c>
      <c r="C444" s="20" t="s">
        <v>775</v>
      </c>
      <c r="D444" s="21">
        <v>28182.47</v>
      </c>
      <c r="E444" s="88">
        <f>VLOOKUP(A444,'Previous week'!$A$3:$F$1765,6,FALSE)</f>
        <v>1</v>
      </c>
      <c r="F444" s="22">
        <f t="shared" si="18"/>
        <v>0</v>
      </c>
      <c r="G444" s="88">
        <f>VLOOKUP(A444,'Current week'!$A$3:$F$1765,6,0)</f>
        <v>1</v>
      </c>
      <c r="H444" s="101">
        <f t="shared" si="19"/>
        <v>28182.47</v>
      </c>
      <c r="I444" s="101">
        <f t="shared" si="20"/>
        <v>0</v>
      </c>
      <c r="L444" s="112"/>
    </row>
    <row r="445" spans="1:12" x14ac:dyDescent="0.25">
      <c r="A445" s="23" t="s">
        <v>2843</v>
      </c>
      <c r="B445" s="23" t="s">
        <v>114</v>
      </c>
      <c r="C445" s="24"/>
      <c r="D445" s="71">
        <v>28182.47</v>
      </c>
      <c r="E445" s="88">
        <f>VLOOKUP(A445,'Previous week'!$A$3:$F$1765,6,FALSE)</f>
        <v>0</v>
      </c>
      <c r="F445" s="22">
        <f t="shared" si="18"/>
        <v>0</v>
      </c>
      <c r="G445" s="88">
        <f>VLOOKUP(A445,'Current week'!$A$3:$F$1765,6,0)</f>
        <v>0</v>
      </c>
      <c r="H445" s="102">
        <f t="shared" si="19"/>
        <v>0</v>
      </c>
      <c r="I445" s="102">
        <f t="shared" si="20"/>
        <v>0</v>
      </c>
      <c r="L445" s="112"/>
    </row>
    <row r="446" spans="1:12" x14ac:dyDescent="0.25">
      <c r="A446" s="54" t="s">
        <v>3001</v>
      </c>
      <c r="B446" s="54" t="s">
        <v>776</v>
      </c>
      <c r="C446" s="55" t="s">
        <v>116</v>
      </c>
      <c r="D446" s="70">
        <v>0</v>
      </c>
      <c r="E446" s="94">
        <f>'Previous week'!F446</f>
        <v>1</v>
      </c>
      <c r="F446" s="57">
        <f t="shared" si="18"/>
        <v>0</v>
      </c>
      <c r="G446" s="94">
        <f>'Current week'!F446</f>
        <v>1</v>
      </c>
      <c r="H446" s="107">
        <f t="shared" si="19"/>
        <v>0</v>
      </c>
      <c r="I446" s="107">
        <f t="shared" si="20"/>
        <v>0</v>
      </c>
      <c r="L446" s="112"/>
    </row>
    <row r="447" spans="1:12" x14ac:dyDescent="0.25">
      <c r="A447" s="19" t="s">
        <v>3002</v>
      </c>
      <c r="B447" s="19" t="s">
        <v>777</v>
      </c>
      <c r="C447" s="20" t="s">
        <v>778</v>
      </c>
      <c r="D447" s="21">
        <v>28182.47</v>
      </c>
      <c r="E447" s="88">
        <f>VLOOKUP(A447,'Previous week'!$A$3:$F$1765,6,FALSE)</f>
        <v>1</v>
      </c>
      <c r="F447" s="22">
        <f t="shared" si="18"/>
        <v>0</v>
      </c>
      <c r="G447" s="88">
        <f>VLOOKUP(A447,'Current week'!$A$3:$F$1765,6,0)</f>
        <v>1</v>
      </c>
      <c r="H447" s="101">
        <f t="shared" si="19"/>
        <v>28182.47</v>
      </c>
      <c r="I447" s="101">
        <f t="shared" si="20"/>
        <v>0</v>
      </c>
      <c r="L447" s="112"/>
    </row>
    <row r="448" spans="1:12" x14ac:dyDescent="0.25">
      <c r="A448" s="23" t="s">
        <v>2846</v>
      </c>
      <c r="B448" s="23" t="s">
        <v>539</v>
      </c>
      <c r="C448" s="24"/>
      <c r="D448" s="71">
        <v>28182.47</v>
      </c>
      <c r="E448" s="88">
        <f>VLOOKUP(A448,'Previous week'!$A$3:$F$1765,6,FALSE)</f>
        <v>0</v>
      </c>
      <c r="F448" s="22">
        <f t="shared" si="18"/>
        <v>0</v>
      </c>
      <c r="G448" s="88">
        <f>VLOOKUP(A448,'Current week'!$A$3:$F$1765,6,0)</f>
        <v>0</v>
      </c>
      <c r="H448" s="102">
        <f t="shared" si="19"/>
        <v>0</v>
      </c>
      <c r="I448" s="102">
        <f t="shared" si="20"/>
        <v>0</v>
      </c>
      <c r="L448" s="112"/>
    </row>
    <row r="449" spans="1:12" x14ac:dyDescent="0.25">
      <c r="A449" s="54" t="s">
        <v>3003</v>
      </c>
      <c r="B449" s="54" t="s">
        <v>779</v>
      </c>
      <c r="C449" s="55" t="s">
        <v>780</v>
      </c>
      <c r="D449" s="56">
        <v>0</v>
      </c>
      <c r="E449" s="94">
        <f>'Previous week'!F449</f>
        <v>1</v>
      </c>
      <c r="F449" s="57">
        <f t="shared" si="18"/>
        <v>0</v>
      </c>
      <c r="G449" s="94">
        <f>'Current week'!F449</f>
        <v>1</v>
      </c>
      <c r="H449" s="107">
        <f t="shared" si="19"/>
        <v>0</v>
      </c>
      <c r="I449" s="107">
        <f t="shared" si="20"/>
        <v>0</v>
      </c>
      <c r="L449" s="112"/>
    </row>
    <row r="450" spans="1:12" x14ac:dyDescent="0.25">
      <c r="A450" s="19" t="s">
        <v>3004</v>
      </c>
      <c r="B450" s="19" t="s">
        <v>781</v>
      </c>
      <c r="C450" s="20" t="s">
        <v>782</v>
      </c>
      <c r="D450" s="21">
        <v>28182.47</v>
      </c>
      <c r="E450" s="88">
        <f>VLOOKUP(A450,'Previous week'!$A$3:$F$1765,6,FALSE)</f>
        <v>1</v>
      </c>
      <c r="F450" s="22">
        <f t="shared" si="18"/>
        <v>0</v>
      </c>
      <c r="G450" s="88">
        <f>VLOOKUP(A450,'Current week'!$A$3:$F$1765,6,0)</f>
        <v>1</v>
      </c>
      <c r="H450" s="101">
        <f t="shared" ref="H450:H513" si="21">G450*D450</f>
        <v>28182.47</v>
      </c>
      <c r="I450" s="101">
        <f t="shared" ref="I450:I513" si="22">F450*D450</f>
        <v>0</v>
      </c>
      <c r="L450" s="112"/>
    </row>
    <row r="451" spans="1:12" x14ac:dyDescent="0.25">
      <c r="A451" s="23" t="s">
        <v>2849</v>
      </c>
      <c r="B451" s="23" t="s">
        <v>117</v>
      </c>
      <c r="C451" s="24"/>
      <c r="D451" s="25">
        <v>28182.47</v>
      </c>
      <c r="E451" s="88">
        <f>VLOOKUP(A451,'Previous week'!$A$3:$F$1765,6,FALSE)</f>
        <v>0</v>
      </c>
      <c r="F451" s="22">
        <f t="shared" ref="F451:F514" si="23">G451-E451</f>
        <v>0</v>
      </c>
      <c r="G451" s="88">
        <f>VLOOKUP(A451,'Current week'!$A$3:$F$1765,6,0)</f>
        <v>0</v>
      </c>
      <c r="H451" s="102">
        <f t="shared" si="21"/>
        <v>0</v>
      </c>
      <c r="I451" s="102">
        <f t="shared" si="22"/>
        <v>0</v>
      </c>
      <c r="L451" s="112"/>
    </row>
    <row r="452" spans="1:12" x14ac:dyDescent="0.25">
      <c r="A452" s="54" t="s">
        <v>3005</v>
      </c>
      <c r="B452" s="54" t="s">
        <v>783</v>
      </c>
      <c r="C452" s="55" t="s">
        <v>119</v>
      </c>
      <c r="D452" s="70">
        <v>0</v>
      </c>
      <c r="E452" s="94">
        <f>'Previous week'!F452</f>
        <v>1</v>
      </c>
      <c r="F452" s="57">
        <f t="shared" si="23"/>
        <v>0</v>
      </c>
      <c r="G452" s="94">
        <f>'Current week'!F452</f>
        <v>1</v>
      </c>
      <c r="H452" s="107">
        <f t="shared" si="21"/>
        <v>0</v>
      </c>
      <c r="I452" s="107">
        <f t="shared" si="22"/>
        <v>0</v>
      </c>
      <c r="L452" s="112"/>
    </row>
    <row r="453" spans="1:12" x14ac:dyDescent="0.25">
      <c r="A453" s="19" t="s">
        <v>3006</v>
      </c>
      <c r="B453" s="19" t="s">
        <v>784</v>
      </c>
      <c r="C453" s="20" t="s">
        <v>785</v>
      </c>
      <c r="D453" s="21">
        <v>28182.47</v>
      </c>
      <c r="E453" s="88">
        <f>VLOOKUP(A453,'Previous week'!$A$3:$F$1765,6,FALSE)</f>
        <v>1</v>
      </c>
      <c r="F453" s="22">
        <f t="shared" si="23"/>
        <v>0</v>
      </c>
      <c r="G453" s="88">
        <f>VLOOKUP(A453,'Current week'!$A$3:$F$1765,6,0)</f>
        <v>1</v>
      </c>
      <c r="H453" s="101">
        <f t="shared" si="21"/>
        <v>28182.47</v>
      </c>
      <c r="I453" s="101">
        <f t="shared" si="22"/>
        <v>0</v>
      </c>
      <c r="L453" s="112"/>
    </row>
    <row r="454" spans="1:12" x14ac:dyDescent="0.25">
      <c r="A454" s="23" t="s">
        <v>2852</v>
      </c>
      <c r="B454" s="23" t="s">
        <v>546</v>
      </c>
      <c r="C454" s="24"/>
      <c r="D454" s="71">
        <v>28182.47</v>
      </c>
      <c r="E454" s="88">
        <f>VLOOKUP(A454,'Previous week'!$A$3:$F$1765,6,FALSE)</f>
        <v>0</v>
      </c>
      <c r="F454" s="22">
        <f t="shared" si="23"/>
        <v>0</v>
      </c>
      <c r="G454" s="88">
        <f>VLOOKUP(A454,'Current week'!$A$3:$F$1765,6,0)</f>
        <v>0</v>
      </c>
      <c r="H454" s="102">
        <f t="shared" si="21"/>
        <v>0</v>
      </c>
      <c r="I454" s="102">
        <f t="shared" si="22"/>
        <v>0</v>
      </c>
      <c r="L454" s="112"/>
    </row>
    <row r="455" spans="1:12" x14ac:dyDescent="0.25">
      <c r="A455" s="54" t="s">
        <v>2822</v>
      </c>
      <c r="B455" s="54" t="s">
        <v>511</v>
      </c>
      <c r="C455" s="55"/>
      <c r="D455" s="70">
        <v>28182.47</v>
      </c>
      <c r="E455" s="94">
        <f>'Previous week'!F455</f>
        <v>1</v>
      </c>
      <c r="F455" s="57">
        <f t="shared" si="23"/>
        <v>0</v>
      </c>
      <c r="G455" s="94">
        <f>'Current week'!F455</f>
        <v>1</v>
      </c>
      <c r="H455" s="107">
        <f t="shared" si="21"/>
        <v>28182.47</v>
      </c>
      <c r="I455" s="107">
        <f t="shared" si="22"/>
        <v>0</v>
      </c>
      <c r="L455" s="112"/>
    </row>
    <row r="456" spans="1:12" x14ac:dyDescent="0.25">
      <c r="A456" s="19" t="s">
        <v>3007</v>
      </c>
      <c r="B456" s="19" t="s">
        <v>786</v>
      </c>
      <c r="C456" s="20" t="s">
        <v>752</v>
      </c>
      <c r="D456" s="21">
        <v>0</v>
      </c>
      <c r="E456" s="88">
        <f>VLOOKUP(A456,'Previous week'!$A$3:$F$1765,6,FALSE)</f>
        <v>1</v>
      </c>
      <c r="F456" s="22">
        <f t="shared" si="23"/>
        <v>0</v>
      </c>
      <c r="G456" s="88">
        <f>VLOOKUP(A456,'Current week'!$A$3:$F$1765,6,0)</f>
        <v>1</v>
      </c>
      <c r="H456" s="101">
        <f t="shared" si="21"/>
        <v>0</v>
      </c>
      <c r="I456" s="101">
        <f t="shared" si="22"/>
        <v>0</v>
      </c>
      <c r="L456" s="112"/>
    </row>
    <row r="457" spans="1:12" x14ac:dyDescent="0.25">
      <c r="A457" s="23" t="s">
        <v>3008</v>
      </c>
      <c r="B457" s="23" t="s">
        <v>787</v>
      </c>
      <c r="C457" s="24" t="s">
        <v>788</v>
      </c>
      <c r="D457" s="71">
        <v>28182.47</v>
      </c>
      <c r="E457" s="88">
        <f>VLOOKUP(A457,'Previous week'!$A$3:$F$1765,6,FALSE)</f>
        <v>1</v>
      </c>
      <c r="F457" s="22">
        <f t="shared" si="23"/>
        <v>0</v>
      </c>
      <c r="G457" s="88">
        <f>VLOOKUP(A457,'Current week'!$A$3:$F$1765,6,0)</f>
        <v>1</v>
      </c>
      <c r="H457" s="102">
        <f t="shared" si="21"/>
        <v>28182.47</v>
      </c>
      <c r="I457" s="102">
        <f t="shared" si="22"/>
        <v>0</v>
      </c>
      <c r="L457" s="112"/>
    </row>
    <row r="458" spans="1:12" x14ac:dyDescent="0.25">
      <c r="A458" s="50" t="s">
        <v>2855</v>
      </c>
      <c r="B458" s="50" t="s">
        <v>549</v>
      </c>
      <c r="C458" s="51"/>
      <c r="D458" s="68">
        <v>845473.98</v>
      </c>
      <c r="E458" s="93"/>
      <c r="F458" s="53">
        <f t="shared" si="23"/>
        <v>0</v>
      </c>
      <c r="G458" s="93"/>
      <c r="H458" s="106"/>
      <c r="I458" s="106"/>
      <c r="L458" s="112"/>
    </row>
    <row r="459" spans="1:12" x14ac:dyDescent="0.25">
      <c r="A459" s="54" t="s">
        <v>2856</v>
      </c>
      <c r="B459" s="54" t="s">
        <v>550</v>
      </c>
      <c r="C459" s="55"/>
      <c r="D459" s="70">
        <v>28182.47</v>
      </c>
      <c r="E459" s="94">
        <f>'Previous week'!F459</f>
        <v>1</v>
      </c>
      <c r="F459" s="57">
        <f t="shared" si="23"/>
        <v>0</v>
      </c>
      <c r="G459" s="94">
        <f>'Current week'!F459</f>
        <v>1</v>
      </c>
      <c r="H459" s="107">
        <f t="shared" si="21"/>
        <v>28182.47</v>
      </c>
      <c r="I459" s="107">
        <f t="shared" si="22"/>
        <v>0</v>
      </c>
      <c r="L459" s="112"/>
    </row>
    <row r="460" spans="1:12" x14ac:dyDescent="0.25">
      <c r="A460" s="19" t="s">
        <v>3009</v>
      </c>
      <c r="B460" s="19" t="s">
        <v>789</v>
      </c>
      <c r="C460" s="20" t="s">
        <v>790</v>
      </c>
      <c r="D460" s="21">
        <v>0</v>
      </c>
      <c r="E460" s="88">
        <f>VLOOKUP(A460,'Previous week'!$A$3:$F$1765,6,FALSE)</f>
        <v>1</v>
      </c>
      <c r="F460" s="22">
        <f t="shared" si="23"/>
        <v>0</v>
      </c>
      <c r="G460" s="88">
        <f>VLOOKUP(A460,'Current week'!$A$3:$F$1765,6,0)</f>
        <v>1</v>
      </c>
      <c r="H460" s="101">
        <f t="shared" si="21"/>
        <v>0</v>
      </c>
      <c r="I460" s="101">
        <f t="shared" si="22"/>
        <v>0</v>
      </c>
      <c r="L460" s="112"/>
    </row>
    <row r="461" spans="1:12" x14ac:dyDescent="0.25">
      <c r="A461" s="23" t="s">
        <v>3010</v>
      </c>
      <c r="B461" s="23" t="s">
        <v>791</v>
      </c>
      <c r="C461" s="24" t="s">
        <v>792</v>
      </c>
      <c r="D461" s="71">
        <v>28182.47</v>
      </c>
      <c r="E461" s="88">
        <f>VLOOKUP(A461,'Previous week'!$A$3:$F$1765,6,FALSE)</f>
        <v>1</v>
      </c>
      <c r="F461" s="22">
        <f t="shared" si="23"/>
        <v>0</v>
      </c>
      <c r="G461" s="88">
        <f>VLOOKUP(A461,'Current week'!$A$3:$F$1765,6,0)</f>
        <v>1</v>
      </c>
      <c r="H461" s="102">
        <f t="shared" si="21"/>
        <v>28182.47</v>
      </c>
      <c r="I461" s="102">
        <f t="shared" si="22"/>
        <v>0</v>
      </c>
      <c r="L461" s="112"/>
    </row>
    <row r="462" spans="1:12" x14ac:dyDescent="0.25">
      <c r="A462" s="54" t="s">
        <v>2859</v>
      </c>
      <c r="B462" s="54" t="s">
        <v>555</v>
      </c>
      <c r="C462" s="55"/>
      <c r="D462" s="70">
        <v>28182.47</v>
      </c>
      <c r="E462" s="94">
        <f>'Previous week'!F462</f>
        <v>1</v>
      </c>
      <c r="F462" s="57">
        <f t="shared" si="23"/>
        <v>0</v>
      </c>
      <c r="G462" s="94">
        <f>'Current week'!F462</f>
        <v>1</v>
      </c>
      <c r="H462" s="107">
        <f t="shared" si="21"/>
        <v>28182.47</v>
      </c>
      <c r="I462" s="107">
        <f t="shared" si="22"/>
        <v>0</v>
      </c>
      <c r="L462" s="112"/>
    </row>
    <row r="463" spans="1:12" x14ac:dyDescent="0.25">
      <c r="A463" s="19" t="s">
        <v>3011</v>
      </c>
      <c r="B463" s="19" t="s">
        <v>793</v>
      </c>
      <c r="C463" s="20" t="s">
        <v>794</v>
      </c>
      <c r="D463" s="21">
        <v>0</v>
      </c>
      <c r="E463" s="88">
        <f>VLOOKUP(A463,'Previous week'!$A$3:$F$1765,6,FALSE)</f>
        <v>1</v>
      </c>
      <c r="F463" s="22">
        <f t="shared" si="23"/>
        <v>0</v>
      </c>
      <c r="G463" s="88">
        <f>VLOOKUP(A463,'Current week'!$A$3:$F$1765,6,0)</f>
        <v>1</v>
      </c>
      <c r="H463" s="101">
        <f t="shared" si="21"/>
        <v>0</v>
      </c>
      <c r="I463" s="101">
        <f t="shared" si="22"/>
        <v>0</v>
      </c>
      <c r="L463" s="112"/>
    </row>
    <row r="464" spans="1:12" x14ac:dyDescent="0.25">
      <c r="A464" s="23" t="s">
        <v>3012</v>
      </c>
      <c r="B464" s="23" t="s">
        <v>795</v>
      </c>
      <c r="C464" s="24" t="s">
        <v>796</v>
      </c>
      <c r="D464" s="71">
        <v>28182.47</v>
      </c>
      <c r="E464" s="88">
        <f>VLOOKUP(A464,'Previous week'!$A$3:$F$1765,6,FALSE)</f>
        <v>1</v>
      </c>
      <c r="F464" s="22">
        <f t="shared" si="23"/>
        <v>0</v>
      </c>
      <c r="G464" s="88">
        <f>VLOOKUP(A464,'Current week'!$A$3:$F$1765,6,0)</f>
        <v>1</v>
      </c>
      <c r="H464" s="102">
        <f t="shared" si="21"/>
        <v>28182.47</v>
      </c>
      <c r="I464" s="102">
        <f t="shared" si="22"/>
        <v>0</v>
      </c>
      <c r="L464" s="112"/>
    </row>
    <row r="465" spans="1:12" x14ac:dyDescent="0.25">
      <c r="A465" s="54" t="s">
        <v>2862</v>
      </c>
      <c r="B465" s="54" t="s">
        <v>560</v>
      </c>
      <c r="C465" s="55"/>
      <c r="D465" s="70">
        <v>28182.47</v>
      </c>
      <c r="E465" s="94">
        <f>'Previous week'!F465</f>
        <v>1</v>
      </c>
      <c r="F465" s="57">
        <f t="shared" si="23"/>
        <v>0</v>
      </c>
      <c r="G465" s="94">
        <f>'Current week'!F465</f>
        <v>1</v>
      </c>
      <c r="H465" s="107">
        <f t="shared" si="21"/>
        <v>28182.47</v>
      </c>
      <c r="I465" s="107">
        <f t="shared" si="22"/>
        <v>0</v>
      </c>
      <c r="L465" s="112"/>
    </row>
    <row r="466" spans="1:12" x14ac:dyDescent="0.25">
      <c r="A466" s="19" t="s">
        <v>3013</v>
      </c>
      <c r="B466" s="19" t="s">
        <v>797</v>
      </c>
      <c r="C466" s="20" t="s">
        <v>798</v>
      </c>
      <c r="D466" s="21">
        <v>0</v>
      </c>
      <c r="E466" s="88">
        <f>VLOOKUP(A466,'Previous week'!$A$3:$F$1765,6,FALSE)</f>
        <v>1</v>
      </c>
      <c r="F466" s="22">
        <f t="shared" si="23"/>
        <v>0</v>
      </c>
      <c r="G466" s="88">
        <f>VLOOKUP(A466,'Current week'!$A$3:$F$1765,6,0)</f>
        <v>1</v>
      </c>
      <c r="H466" s="101">
        <f t="shared" si="21"/>
        <v>0</v>
      </c>
      <c r="I466" s="101">
        <f t="shared" si="22"/>
        <v>0</v>
      </c>
      <c r="L466" s="112"/>
    </row>
    <row r="467" spans="1:12" x14ac:dyDescent="0.25">
      <c r="A467" s="23" t="s">
        <v>3014</v>
      </c>
      <c r="B467" s="23" t="s">
        <v>799</v>
      </c>
      <c r="C467" s="24" t="s">
        <v>800</v>
      </c>
      <c r="D467" s="71">
        <v>28182.47</v>
      </c>
      <c r="E467" s="88">
        <f>VLOOKUP(A467,'Previous week'!$A$3:$F$1765,6,FALSE)</f>
        <v>1</v>
      </c>
      <c r="F467" s="22">
        <f t="shared" si="23"/>
        <v>0</v>
      </c>
      <c r="G467" s="88">
        <f>VLOOKUP(A467,'Current week'!$A$3:$F$1765,6,0)</f>
        <v>1</v>
      </c>
      <c r="H467" s="102">
        <f t="shared" si="21"/>
        <v>28182.47</v>
      </c>
      <c r="I467" s="102">
        <f t="shared" si="22"/>
        <v>0</v>
      </c>
      <c r="L467" s="112"/>
    </row>
    <row r="468" spans="1:12" x14ac:dyDescent="0.25">
      <c r="A468" s="50" t="s">
        <v>2865</v>
      </c>
      <c r="B468" s="50" t="s">
        <v>565</v>
      </c>
      <c r="C468" s="51"/>
      <c r="D468" s="68">
        <v>28182.47</v>
      </c>
      <c r="E468" s="93"/>
      <c r="F468" s="53">
        <f t="shared" si="23"/>
        <v>0</v>
      </c>
      <c r="G468" s="93"/>
      <c r="H468" s="106"/>
      <c r="I468" s="106"/>
      <c r="L468" s="112"/>
    </row>
    <row r="469" spans="1:12" x14ac:dyDescent="0.25">
      <c r="A469" s="54" t="s">
        <v>3015</v>
      </c>
      <c r="B469" s="54" t="s">
        <v>801</v>
      </c>
      <c r="C469" s="55" t="s">
        <v>802</v>
      </c>
      <c r="D469" s="70">
        <v>0</v>
      </c>
      <c r="E469" s="94">
        <f>'Previous week'!F469</f>
        <v>1</v>
      </c>
      <c r="F469" s="57">
        <f t="shared" si="23"/>
        <v>0</v>
      </c>
      <c r="G469" s="94">
        <f>'Current week'!F469</f>
        <v>1</v>
      </c>
      <c r="H469" s="107">
        <f t="shared" si="21"/>
        <v>0</v>
      </c>
      <c r="I469" s="107">
        <f t="shared" si="22"/>
        <v>0</v>
      </c>
      <c r="L469" s="112"/>
    </row>
    <row r="470" spans="1:12" x14ac:dyDescent="0.25">
      <c r="A470" s="19" t="s">
        <v>3016</v>
      </c>
      <c r="B470" s="19" t="s">
        <v>803</v>
      </c>
      <c r="C470" s="20" t="s">
        <v>804</v>
      </c>
      <c r="D470" s="21">
        <v>28182.47</v>
      </c>
      <c r="E470" s="88">
        <f>VLOOKUP(A470,'Previous week'!$A$3:$F$1765,6,FALSE)</f>
        <v>1</v>
      </c>
      <c r="F470" s="22">
        <f t="shared" si="23"/>
        <v>0</v>
      </c>
      <c r="G470" s="88">
        <f>VLOOKUP(A470,'Current week'!$A$3:$F$1765,6,0)</f>
        <v>1</v>
      </c>
      <c r="H470" s="101">
        <f t="shared" si="21"/>
        <v>28182.47</v>
      </c>
      <c r="I470" s="101">
        <f t="shared" si="22"/>
        <v>0</v>
      </c>
      <c r="L470" s="112"/>
    </row>
    <row r="471" spans="1:12" x14ac:dyDescent="0.25">
      <c r="A471" s="23" t="s">
        <v>2868</v>
      </c>
      <c r="B471" s="23" t="s">
        <v>570</v>
      </c>
      <c r="C471" s="24"/>
      <c r="D471" s="71">
        <v>28182.47</v>
      </c>
      <c r="E471" s="88">
        <f>VLOOKUP(A471,'Previous week'!$A$3:$F$1765,6,FALSE)</f>
        <v>0</v>
      </c>
      <c r="F471" s="22">
        <f t="shared" si="23"/>
        <v>0</v>
      </c>
      <c r="G471" s="88">
        <f>VLOOKUP(A471,'Current week'!$A$3:$F$1765,6,0)</f>
        <v>0</v>
      </c>
      <c r="H471" s="102">
        <f t="shared" si="21"/>
        <v>0</v>
      </c>
      <c r="I471" s="102">
        <f t="shared" si="22"/>
        <v>0</v>
      </c>
      <c r="L471" s="112"/>
    </row>
    <row r="472" spans="1:12" x14ac:dyDescent="0.25">
      <c r="A472" s="54" t="s">
        <v>3017</v>
      </c>
      <c r="B472" s="54" t="s">
        <v>805</v>
      </c>
      <c r="C472" s="55" t="s">
        <v>806</v>
      </c>
      <c r="D472" s="56">
        <v>0</v>
      </c>
      <c r="E472" s="94">
        <f>'Previous week'!F472</f>
        <v>1</v>
      </c>
      <c r="F472" s="57">
        <f t="shared" si="23"/>
        <v>0</v>
      </c>
      <c r="G472" s="94">
        <f>'Current week'!F472</f>
        <v>1</v>
      </c>
      <c r="H472" s="107">
        <f t="shared" si="21"/>
        <v>0</v>
      </c>
      <c r="I472" s="107">
        <f t="shared" si="22"/>
        <v>0</v>
      </c>
      <c r="L472" s="112"/>
    </row>
    <row r="473" spans="1:12" x14ac:dyDescent="0.25">
      <c r="A473" s="19" t="s">
        <v>3018</v>
      </c>
      <c r="B473" s="19" t="s">
        <v>807</v>
      </c>
      <c r="C473" s="20" t="s">
        <v>808</v>
      </c>
      <c r="D473" s="21">
        <v>28182.47</v>
      </c>
      <c r="E473" s="88">
        <f>VLOOKUP(A473,'Previous week'!$A$3:$F$1765,6,FALSE)</f>
        <v>1</v>
      </c>
      <c r="F473" s="22">
        <f t="shared" si="23"/>
        <v>0</v>
      </c>
      <c r="G473" s="88">
        <f>VLOOKUP(A473,'Current week'!$A$3:$F$1765,6,0)</f>
        <v>1</v>
      </c>
      <c r="H473" s="101">
        <f t="shared" si="21"/>
        <v>28182.47</v>
      </c>
      <c r="I473" s="101">
        <f t="shared" si="22"/>
        <v>0</v>
      </c>
      <c r="L473" s="112"/>
    </row>
    <row r="474" spans="1:12" x14ac:dyDescent="0.25">
      <c r="A474" s="23" t="s">
        <v>2871</v>
      </c>
      <c r="B474" s="23" t="s">
        <v>575</v>
      </c>
      <c r="C474" s="24"/>
      <c r="D474" s="25">
        <v>28182.47</v>
      </c>
      <c r="E474" s="88">
        <f>VLOOKUP(A474,'Previous week'!$A$3:$F$1765,6,FALSE)</f>
        <v>0</v>
      </c>
      <c r="F474" s="22">
        <f t="shared" si="23"/>
        <v>0</v>
      </c>
      <c r="G474" s="88">
        <f>VLOOKUP(A474,'Current week'!$A$3:$F$1765,6,0)</f>
        <v>0</v>
      </c>
      <c r="H474" s="102">
        <f t="shared" si="21"/>
        <v>0</v>
      </c>
      <c r="I474" s="102">
        <f t="shared" si="22"/>
        <v>0</v>
      </c>
      <c r="L474" s="112"/>
    </row>
    <row r="475" spans="1:12" x14ac:dyDescent="0.25">
      <c r="A475" s="54" t="s">
        <v>3019</v>
      </c>
      <c r="B475" s="54" t="s">
        <v>809</v>
      </c>
      <c r="C475" s="55" t="s">
        <v>810</v>
      </c>
      <c r="D475" s="70">
        <v>0</v>
      </c>
      <c r="E475" s="94">
        <f>'Previous week'!F475</f>
        <v>1</v>
      </c>
      <c r="F475" s="57">
        <f t="shared" si="23"/>
        <v>0</v>
      </c>
      <c r="G475" s="94">
        <f>'Current week'!F475</f>
        <v>1</v>
      </c>
      <c r="H475" s="107">
        <f t="shared" si="21"/>
        <v>0</v>
      </c>
      <c r="I475" s="107">
        <f t="shared" si="22"/>
        <v>0</v>
      </c>
      <c r="L475" s="112"/>
    </row>
    <row r="476" spans="1:12" x14ac:dyDescent="0.25">
      <c r="A476" s="19" t="s">
        <v>3020</v>
      </c>
      <c r="B476" s="19" t="s">
        <v>811</v>
      </c>
      <c r="C476" s="20" t="s">
        <v>812</v>
      </c>
      <c r="D476" s="21">
        <v>28182.47</v>
      </c>
      <c r="E476" s="88">
        <f>VLOOKUP(A476,'Previous week'!$A$3:$F$1765,6,FALSE)</f>
        <v>1</v>
      </c>
      <c r="F476" s="22">
        <f t="shared" si="23"/>
        <v>0</v>
      </c>
      <c r="G476" s="88">
        <f>VLOOKUP(A476,'Current week'!$A$3:$F$1765,6,0)</f>
        <v>1</v>
      </c>
      <c r="H476" s="101">
        <f t="shared" si="21"/>
        <v>28182.47</v>
      </c>
      <c r="I476" s="101">
        <f t="shared" si="22"/>
        <v>0</v>
      </c>
      <c r="L476" s="112"/>
    </row>
    <row r="477" spans="1:12" x14ac:dyDescent="0.25">
      <c r="A477" s="23" t="s">
        <v>2874</v>
      </c>
      <c r="B477" s="23" t="s">
        <v>580</v>
      </c>
      <c r="C477" s="24"/>
      <c r="D477" s="71">
        <v>28182.47</v>
      </c>
      <c r="E477" s="88">
        <f>VLOOKUP(A477,'Previous week'!$A$3:$F$1765,6,FALSE)</f>
        <v>0</v>
      </c>
      <c r="F477" s="22">
        <f t="shared" si="23"/>
        <v>0</v>
      </c>
      <c r="G477" s="88">
        <f>VLOOKUP(A477,'Current week'!$A$3:$F$1765,6,0)</f>
        <v>0</v>
      </c>
      <c r="H477" s="102">
        <f t="shared" si="21"/>
        <v>0</v>
      </c>
      <c r="I477" s="102">
        <f t="shared" si="22"/>
        <v>0</v>
      </c>
      <c r="L477" s="112"/>
    </row>
    <row r="478" spans="1:12" x14ac:dyDescent="0.25">
      <c r="A478" s="50" t="s">
        <v>3021</v>
      </c>
      <c r="B478" s="50" t="s">
        <v>813</v>
      </c>
      <c r="C478" s="51" t="s">
        <v>814</v>
      </c>
      <c r="D478" s="68">
        <v>0</v>
      </c>
      <c r="E478" s="93"/>
      <c r="F478" s="53">
        <f t="shared" si="23"/>
        <v>0</v>
      </c>
      <c r="G478" s="93"/>
      <c r="H478" s="106"/>
      <c r="I478" s="106"/>
      <c r="L478" s="112"/>
    </row>
    <row r="479" spans="1:12" x14ac:dyDescent="0.25">
      <c r="A479" s="54" t="s">
        <v>3022</v>
      </c>
      <c r="B479" s="54" t="s">
        <v>815</v>
      </c>
      <c r="C479" s="55" t="s">
        <v>816</v>
      </c>
      <c r="D479" s="70">
        <v>28182.47</v>
      </c>
      <c r="E479" s="94">
        <f>'Previous week'!F479</f>
        <v>1</v>
      </c>
      <c r="F479" s="57">
        <f t="shared" si="23"/>
        <v>0</v>
      </c>
      <c r="G479" s="94">
        <f>'Current week'!F479</f>
        <v>1</v>
      </c>
      <c r="H479" s="107">
        <f t="shared" si="21"/>
        <v>28182.47</v>
      </c>
      <c r="I479" s="107">
        <f t="shared" si="22"/>
        <v>0</v>
      </c>
      <c r="L479" s="112"/>
    </row>
    <row r="480" spans="1:12" x14ac:dyDescent="0.25">
      <c r="A480" s="19" t="s">
        <v>2877</v>
      </c>
      <c r="B480" s="19" t="s">
        <v>585</v>
      </c>
      <c r="C480" s="20"/>
      <c r="D480" s="21">
        <v>28182.47</v>
      </c>
      <c r="E480" s="88">
        <f>VLOOKUP(A480,'Previous week'!$A$3:$F$1765,6,FALSE)</f>
        <v>0</v>
      </c>
      <c r="F480" s="22">
        <f t="shared" si="23"/>
        <v>0</v>
      </c>
      <c r="G480" s="88">
        <f>VLOOKUP(A480,'Current week'!$A$3:$F$1765,6,0)</f>
        <v>0</v>
      </c>
      <c r="H480" s="101">
        <f t="shared" si="21"/>
        <v>0</v>
      </c>
      <c r="I480" s="101">
        <f t="shared" si="22"/>
        <v>0</v>
      </c>
      <c r="L480" s="112"/>
    </row>
    <row r="481" spans="1:12" x14ac:dyDescent="0.25">
      <c r="A481" s="23" t="s">
        <v>3023</v>
      </c>
      <c r="B481" s="23" t="s">
        <v>817</v>
      </c>
      <c r="C481" s="24" t="s">
        <v>818</v>
      </c>
      <c r="D481" s="71">
        <v>0</v>
      </c>
      <c r="E481" s="88">
        <f>VLOOKUP(A481,'Previous week'!$A$3:$F$1765,6,FALSE)</f>
        <v>1</v>
      </c>
      <c r="F481" s="22">
        <f t="shared" si="23"/>
        <v>0</v>
      </c>
      <c r="G481" s="88">
        <f>VLOOKUP(A481,'Current week'!$A$3:$F$1765,6,0)</f>
        <v>1</v>
      </c>
      <c r="H481" s="102">
        <f t="shared" si="21"/>
        <v>0</v>
      </c>
      <c r="I481" s="102">
        <f t="shared" si="22"/>
        <v>0</v>
      </c>
      <c r="L481" s="112"/>
    </row>
    <row r="482" spans="1:12" x14ac:dyDescent="0.25">
      <c r="A482" s="54" t="s">
        <v>3024</v>
      </c>
      <c r="B482" s="54" t="s">
        <v>819</v>
      </c>
      <c r="C482" s="55" t="s">
        <v>820</v>
      </c>
      <c r="D482" s="70">
        <v>28182.47</v>
      </c>
      <c r="E482" s="94">
        <f>'Previous week'!F482</f>
        <v>1</v>
      </c>
      <c r="F482" s="57">
        <f t="shared" si="23"/>
        <v>0</v>
      </c>
      <c r="G482" s="94">
        <f>'Current week'!F482</f>
        <v>1</v>
      </c>
      <c r="H482" s="107">
        <f t="shared" si="21"/>
        <v>28182.47</v>
      </c>
      <c r="I482" s="107">
        <f t="shared" si="22"/>
        <v>0</v>
      </c>
      <c r="L482" s="112"/>
    </row>
    <row r="483" spans="1:12" x14ac:dyDescent="0.25">
      <c r="A483" s="19" t="s">
        <v>2880</v>
      </c>
      <c r="B483" s="19" t="s">
        <v>590</v>
      </c>
      <c r="C483" s="20"/>
      <c r="D483" s="21">
        <v>28182.47</v>
      </c>
      <c r="E483" s="88">
        <f>VLOOKUP(A483,'Previous week'!$A$3:$F$1765,6,FALSE)</f>
        <v>0</v>
      </c>
      <c r="F483" s="22">
        <f t="shared" si="23"/>
        <v>0</v>
      </c>
      <c r="G483" s="88">
        <f>VLOOKUP(A483,'Current week'!$A$3:$F$1765,6,0)</f>
        <v>0</v>
      </c>
      <c r="H483" s="101">
        <f t="shared" si="21"/>
        <v>0</v>
      </c>
      <c r="I483" s="101">
        <f t="shared" si="22"/>
        <v>0</v>
      </c>
      <c r="L483" s="112"/>
    </row>
    <row r="484" spans="1:12" x14ac:dyDescent="0.25">
      <c r="A484" s="23" t="s">
        <v>3025</v>
      </c>
      <c r="B484" s="23" t="s">
        <v>821</v>
      </c>
      <c r="C484" s="24" t="s">
        <v>822</v>
      </c>
      <c r="D484" s="71">
        <v>0</v>
      </c>
      <c r="E484" s="88">
        <f>VLOOKUP(A484,'Previous week'!$A$3:$F$1765,6,FALSE)</f>
        <v>1</v>
      </c>
      <c r="F484" s="22">
        <f t="shared" si="23"/>
        <v>0</v>
      </c>
      <c r="G484" s="88">
        <f>VLOOKUP(A484,'Current week'!$A$3:$F$1765,6,0)</f>
        <v>1</v>
      </c>
      <c r="H484" s="102">
        <f t="shared" si="21"/>
        <v>0</v>
      </c>
      <c r="I484" s="102">
        <f t="shared" si="22"/>
        <v>0</v>
      </c>
      <c r="L484" s="112"/>
    </row>
    <row r="485" spans="1:12" x14ac:dyDescent="0.25">
      <c r="A485" s="50" t="s">
        <v>3026</v>
      </c>
      <c r="B485" s="50" t="s">
        <v>823</v>
      </c>
      <c r="C485" s="51" t="s">
        <v>824</v>
      </c>
      <c r="D485" s="68">
        <v>28182.47</v>
      </c>
      <c r="E485" s="93"/>
      <c r="F485" s="53">
        <f t="shared" si="23"/>
        <v>0</v>
      </c>
      <c r="G485" s="93"/>
      <c r="H485" s="106"/>
      <c r="I485" s="106"/>
      <c r="L485" s="112"/>
    </row>
    <row r="486" spans="1:12" x14ac:dyDescent="0.25">
      <c r="A486" s="54" t="s">
        <v>2883</v>
      </c>
      <c r="B486" s="54" t="s">
        <v>595</v>
      </c>
      <c r="C486" s="55"/>
      <c r="D486" s="70">
        <v>28182.47</v>
      </c>
      <c r="E486" s="94">
        <f>'Previous week'!F486</f>
        <v>1</v>
      </c>
      <c r="F486" s="57">
        <f t="shared" si="23"/>
        <v>0</v>
      </c>
      <c r="G486" s="94">
        <f>'Current week'!F486</f>
        <v>1</v>
      </c>
      <c r="H486" s="107">
        <f t="shared" si="21"/>
        <v>28182.47</v>
      </c>
      <c r="I486" s="107">
        <f t="shared" si="22"/>
        <v>0</v>
      </c>
      <c r="L486" s="112"/>
    </row>
    <row r="487" spans="1:12" x14ac:dyDescent="0.25">
      <c r="A487" s="19" t="s">
        <v>3027</v>
      </c>
      <c r="B487" s="19" t="s">
        <v>825</v>
      </c>
      <c r="C487" s="20" t="s">
        <v>826</v>
      </c>
      <c r="D487" s="21">
        <v>0</v>
      </c>
      <c r="E487" s="88">
        <f>VLOOKUP(A487,'Previous week'!$A$3:$F$1765,6,FALSE)</f>
        <v>1</v>
      </c>
      <c r="F487" s="22">
        <f t="shared" si="23"/>
        <v>0</v>
      </c>
      <c r="G487" s="88">
        <f>VLOOKUP(A487,'Current week'!$A$3:$F$1765,6,0)</f>
        <v>1</v>
      </c>
      <c r="H487" s="101">
        <f t="shared" si="21"/>
        <v>0</v>
      </c>
      <c r="I487" s="101">
        <f t="shared" si="22"/>
        <v>0</v>
      </c>
      <c r="L487" s="112"/>
    </row>
    <row r="488" spans="1:12" x14ac:dyDescent="0.25">
      <c r="A488" s="23" t="s">
        <v>3028</v>
      </c>
      <c r="B488" s="23" t="s">
        <v>827</v>
      </c>
      <c r="C488" s="24" t="s">
        <v>828</v>
      </c>
      <c r="D488" s="71">
        <v>28182.47</v>
      </c>
      <c r="E488" s="88">
        <f>VLOOKUP(A488,'Previous week'!$A$3:$F$1765,6,FALSE)</f>
        <v>1</v>
      </c>
      <c r="F488" s="22">
        <f t="shared" si="23"/>
        <v>0</v>
      </c>
      <c r="G488" s="88">
        <f>VLOOKUP(A488,'Current week'!$A$3:$F$1765,6,0)</f>
        <v>1</v>
      </c>
      <c r="H488" s="102">
        <f t="shared" si="21"/>
        <v>28182.47</v>
      </c>
      <c r="I488" s="102">
        <f t="shared" si="22"/>
        <v>0</v>
      </c>
      <c r="L488" s="112"/>
    </row>
    <row r="489" spans="1:12" x14ac:dyDescent="0.25">
      <c r="A489" s="54" t="s">
        <v>2886</v>
      </c>
      <c r="B489" s="54" t="s">
        <v>600</v>
      </c>
      <c r="C489" s="55"/>
      <c r="D489" s="70">
        <v>28182.47</v>
      </c>
      <c r="E489" s="94">
        <f>'Previous week'!F489</f>
        <v>1</v>
      </c>
      <c r="F489" s="57">
        <f t="shared" si="23"/>
        <v>0</v>
      </c>
      <c r="G489" s="94">
        <f>'Current week'!F489</f>
        <v>1</v>
      </c>
      <c r="H489" s="107">
        <f t="shared" si="21"/>
        <v>28182.47</v>
      </c>
      <c r="I489" s="107">
        <f t="shared" si="22"/>
        <v>0</v>
      </c>
      <c r="L489" s="112"/>
    </row>
    <row r="490" spans="1:12" x14ac:dyDescent="0.25">
      <c r="A490" s="19" t="s">
        <v>3029</v>
      </c>
      <c r="B490" s="19" t="s">
        <v>829</v>
      </c>
      <c r="C490" s="20" t="s">
        <v>830</v>
      </c>
      <c r="D490" s="21">
        <v>0</v>
      </c>
      <c r="E490" s="88">
        <f>VLOOKUP(A490,'Previous week'!$A$3:$F$1765,6,FALSE)</f>
        <v>1</v>
      </c>
      <c r="F490" s="22">
        <f t="shared" si="23"/>
        <v>0</v>
      </c>
      <c r="G490" s="88">
        <f>VLOOKUP(A490,'Current week'!$A$3:$F$1765,6,0)</f>
        <v>1</v>
      </c>
      <c r="H490" s="101">
        <f t="shared" si="21"/>
        <v>0</v>
      </c>
      <c r="I490" s="101">
        <f t="shared" si="22"/>
        <v>0</v>
      </c>
      <c r="L490" s="112"/>
    </row>
    <row r="491" spans="1:12" x14ac:dyDescent="0.25">
      <c r="A491" s="23" t="s">
        <v>3030</v>
      </c>
      <c r="B491" s="23" t="s">
        <v>831</v>
      </c>
      <c r="C491" s="24" t="s">
        <v>832</v>
      </c>
      <c r="D491" s="71">
        <v>28182.47</v>
      </c>
      <c r="E491" s="88">
        <f>VLOOKUP(A491,'Previous week'!$A$3:$F$1765,6,FALSE)</f>
        <v>1</v>
      </c>
      <c r="F491" s="22">
        <f t="shared" si="23"/>
        <v>0</v>
      </c>
      <c r="G491" s="88">
        <f>VLOOKUP(A491,'Current week'!$A$3:$F$1765,6,0)</f>
        <v>1</v>
      </c>
      <c r="H491" s="102">
        <f t="shared" si="21"/>
        <v>28182.47</v>
      </c>
      <c r="I491" s="102">
        <f t="shared" si="22"/>
        <v>0</v>
      </c>
      <c r="L491" s="112"/>
    </row>
    <row r="492" spans="1:12" x14ac:dyDescent="0.25">
      <c r="A492" s="54" t="s">
        <v>2889</v>
      </c>
      <c r="B492" s="54" t="s">
        <v>605</v>
      </c>
      <c r="C492" s="55"/>
      <c r="D492" s="70">
        <v>28182.47</v>
      </c>
      <c r="E492" s="94">
        <f>'Previous week'!F492</f>
        <v>1</v>
      </c>
      <c r="F492" s="57">
        <f t="shared" si="23"/>
        <v>0</v>
      </c>
      <c r="G492" s="94">
        <f>'Current week'!F492</f>
        <v>1</v>
      </c>
      <c r="H492" s="107">
        <f t="shared" si="21"/>
        <v>28182.47</v>
      </c>
      <c r="I492" s="107">
        <f t="shared" si="22"/>
        <v>0</v>
      </c>
      <c r="L492" s="112"/>
    </row>
    <row r="493" spans="1:12" x14ac:dyDescent="0.25">
      <c r="A493" s="19" t="s">
        <v>3031</v>
      </c>
      <c r="B493" s="19" t="s">
        <v>833</v>
      </c>
      <c r="C493" s="20" t="s">
        <v>834</v>
      </c>
      <c r="D493" s="21">
        <v>0</v>
      </c>
      <c r="E493" s="88">
        <f>VLOOKUP(A493,'Previous week'!$A$3:$F$1765,6,FALSE)</f>
        <v>1</v>
      </c>
      <c r="F493" s="22">
        <f t="shared" si="23"/>
        <v>0</v>
      </c>
      <c r="G493" s="88">
        <f>VLOOKUP(A493,'Current week'!$A$3:$F$1765,6,0)</f>
        <v>1</v>
      </c>
      <c r="H493" s="101">
        <f t="shared" si="21"/>
        <v>0</v>
      </c>
      <c r="I493" s="101">
        <f t="shared" si="22"/>
        <v>0</v>
      </c>
      <c r="L493" s="112"/>
    </row>
    <row r="494" spans="1:12" x14ac:dyDescent="0.25">
      <c r="A494" s="23" t="s">
        <v>3032</v>
      </c>
      <c r="B494" s="23" t="s">
        <v>835</v>
      </c>
      <c r="C494" s="24" t="s">
        <v>836</v>
      </c>
      <c r="D494" s="71">
        <v>28182.47</v>
      </c>
      <c r="E494" s="88">
        <f>VLOOKUP(A494,'Previous week'!$A$3:$F$1765,6,FALSE)</f>
        <v>1</v>
      </c>
      <c r="F494" s="22">
        <f t="shared" si="23"/>
        <v>0</v>
      </c>
      <c r="G494" s="88">
        <f>VLOOKUP(A494,'Current week'!$A$3:$F$1765,6,0)</f>
        <v>1</v>
      </c>
      <c r="H494" s="102">
        <f t="shared" si="21"/>
        <v>28182.47</v>
      </c>
      <c r="I494" s="102">
        <f t="shared" si="22"/>
        <v>0</v>
      </c>
      <c r="L494" s="112"/>
    </row>
    <row r="495" spans="1:12" x14ac:dyDescent="0.25">
      <c r="A495" s="54" t="s">
        <v>2892</v>
      </c>
      <c r="B495" s="54" t="s">
        <v>610</v>
      </c>
      <c r="C495" s="55"/>
      <c r="D495" s="70">
        <v>28182.47</v>
      </c>
      <c r="E495" s="94">
        <f>'Previous week'!F495</f>
        <v>1</v>
      </c>
      <c r="F495" s="57">
        <f t="shared" si="23"/>
        <v>0</v>
      </c>
      <c r="G495" s="94">
        <f>'Current week'!F495</f>
        <v>1</v>
      </c>
      <c r="H495" s="107">
        <f t="shared" si="21"/>
        <v>28182.47</v>
      </c>
      <c r="I495" s="107">
        <f t="shared" si="22"/>
        <v>0</v>
      </c>
      <c r="L495" s="112"/>
    </row>
    <row r="496" spans="1:12" x14ac:dyDescent="0.25">
      <c r="A496" s="19" t="s">
        <v>3033</v>
      </c>
      <c r="B496" s="19" t="s">
        <v>837</v>
      </c>
      <c r="C496" s="20" t="s">
        <v>838</v>
      </c>
      <c r="D496" s="21">
        <v>0</v>
      </c>
      <c r="E496" s="88">
        <f>VLOOKUP(A496,'Previous week'!$A$3:$F$1765,6,FALSE)</f>
        <v>1</v>
      </c>
      <c r="F496" s="22">
        <f t="shared" si="23"/>
        <v>0</v>
      </c>
      <c r="G496" s="88">
        <f>VLOOKUP(A496,'Current week'!$A$3:$F$1765,6,0)</f>
        <v>1</v>
      </c>
      <c r="H496" s="101">
        <f t="shared" si="21"/>
        <v>0</v>
      </c>
      <c r="I496" s="101">
        <f t="shared" si="22"/>
        <v>0</v>
      </c>
      <c r="L496" s="112"/>
    </row>
    <row r="497" spans="1:12" x14ac:dyDescent="0.25">
      <c r="A497" s="23" t="s">
        <v>3034</v>
      </c>
      <c r="B497" s="23" t="s">
        <v>839</v>
      </c>
      <c r="C497" s="24" t="s">
        <v>840</v>
      </c>
      <c r="D497" s="71">
        <v>28182.47</v>
      </c>
      <c r="E497" s="88">
        <f>VLOOKUP(A497,'Previous week'!$A$3:$F$1765,6,FALSE)</f>
        <v>1</v>
      </c>
      <c r="F497" s="22">
        <f t="shared" si="23"/>
        <v>0</v>
      </c>
      <c r="G497" s="88">
        <f>VLOOKUP(A497,'Current week'!$A$3:$F$1765,6,0)</f>
        <v>1</v>
      </c>
      <c r="H497" s="102">
        <f t="shared" si="21"/>
        <v>28182.47</v>
      </c>
      <c r="I497" s="102">
        <f t="shared" si="22"/>
        <v>0</v>
      </c>
      <c r="L497" s="112"/>
    </row>
    <row r="498" spans="1:12" x14ac:dyDescent="0.25">
      <c r="A498" s="50" t="s">
        <v>2895</v>
      </c>
      <c r="B498" s="50" t="s">
        <v>615</v>
      </c>
      <c r="C498" s="51"/>
      <c r="D498" s="68">
        <v>28182.47</v>
      </c>
      <c r="E498" s="93"/>
      <c r="F498" s="69">
        <f t="shared" si="23"/>
        <v>0</v>
      </c>
      <c r="G498" s="93"/>
      <c r="H498" s="106"/>
      <c r="I498" s="106"/>
      <c r="L498" s="112"/>
    </row>
    <row r="499" spans="1:12" x14ac:dyDescent="0.25">
      <c r="A499" s="58" t="s">
        <v>3035</v>
      </c>
      <c r="B499" s="58" t="s">
        <v>841</v>
      </c>
      <c r="C499" s="59" t="s">
        <v>842</v>
      </c>
      <c r="D499" s="60">
        <v>0</v>
      </c>
      <c r="E499" s="96">
        <f>'Previous week'!F499</f>
        <v>1</v>
      </c>
      <c r="F499" s="61">
        <f t="shared" si="23"/>
        <v>0</v>
      </c>
      <c r="G499" s="96">
        <f>'Current week'!F499</f>
        <v>1</v>
      </c>
      <c r="H499" s="108">
        <f t="shared" si="21"/>
        <v>0</v>
      </c>
      <c r="I499" s="108">
        <f t="shared" si="22"/>
        <v>0</v>
      </c>
      <c r="L499" s="112"/>
    </row>
    <row r="500" spans="1:12" x14ac:dyDescent="0.25">
      <c r="A500" s="62" t="s">
        <v>3036</v>
      </c>
      <c r="B500" s="62" t="s">
        <v>843</v>
      </c>
      <c r="C500" s="63" t="s">
        <v>844</v>
      </c>
      <c r="D500" s="64">
        <v>28182.47</v>
      </c>
      <c r="E500" s="97">
        <f>'Previous week'!F500</f>
        <v>1</v>
      </c>
      <c r="F500" s="65">
        <f t="shared" si="23"/>
        <v>0</v>
      </c>
      <c r="G500" s="97">
        <f>'Current week'!F500</f>
        <v>1</v>
      </c>
      <c r="H500" s="109">
        <f t="shared" si="21"/>
        <v>28182.47</v>
      </c>
      <c r="I500" s="109">
        <f t="shared" si="22"/>
        <v>0</v>
      </c>
      <c r="L500" s="112"/>
    </row>
    <row r="501" spans="1:12" x14ac:dyDescent="0.25">
      <c r="A501" s="19" t="s">
        <v>2898</v>
      </c>
      <c r="B501" s="19" t="s">
        <v>620</v>
      </c>
      <c r="C501" s="20"/>
      <c r="D501" s="21">
        <v>28182.47</v>
      </c>
      <c r="E501" s="88">
        <f>VLOOKUP(A501,'Previous week'!$A$3:$F$1765,6,FALSE)</f>
        <v>0</v>
      </c>
      <c r="F501" s="22">
        <f t="shared" si="23"/>
        <v>0</v>
      </c>
      <c r="G501" s="88">
        <f>VLOOKUP(A501,'Current week'!$A$3:$F$1765,6,0)</f>
        <v>0</v>
      </c>
      <c r="H501" s="101">
        <f t="shared" si="21"/>
        <v>0</v>
      </c>
      <c r="I501" s="101">
        <f t="shared" si="22"/>
        <v>0</v>
      </c>
      <c r="L501" s="112"/>
    </row>
    <row r="502" spans="1:12" x14ac:dyDescent="0.25">
      <c r="A502" s="23" t="s">
        <v>3037</v>
      </c>
      <c r="B502" s="23" t="s">
        <v>845</v>
      </c>
      <c r="C502" s="24" t="s">
        <v>846</v>
      </c>
      <c r="D502" s="25">
        <v>0</v>
      </c>
      <c r="E502" s="88">
        <f>VLOOKUP(A502,'Previous week'!$A$3:$F$1765,6,FALSE)</f>
        <v>1</v>
      </c>
      <c r="F502" s="22">
        <f t="shared" si="23"/>
        <v>0</v>
      </c>
      <c r="G502" s="88">
        <f>VLOOKUP(A502,'Current week'!$A$3:$F$1765,6,0)</f>
        <v>1</v>
      </c>
      <c r="H502" s="102">
        <f t="shared" si="21"/>
        <v>0</v>
      </c>
      <c r="I502" s="102">
        <f t="shared" si="22"/>
        <v>0</v>
      </c>
      <c r="L502" s="112"/>
    </row>
    <row r="503" spans="1:12" x14ac:dyDescent="0.25">
      <c r="A503" s="62" t="s">
        <v>3038</v>
      </c>
      <c r="B503" s="62" t="s">
        <v>847</v>
      </c>
      <c r="C503" s="63" t="s">
        <v>848</v>
      </c>
      <c r="D503" s="64">
        <v>28182.47</v>
      </c>
      <c r="E503" s="97">
        <f>'Previous week'!F503</f>
        <v>1</v>
      </c>
      <c r="F503" s="65">
        <f t="shared" si="23"/>
        <v>0</v>
      </c>
      <c r="G503" s="97">
        <f>'Current week'!F503</f>
        <v>1</v>
      </c>
      <c r="H503" s="109">
        <f t="shared" si="21"/>
        <v>28182.47</v>
      </c>
      <c r="I503" s="109">
        <f t="shared" si="22"/>
        <v>0</v>
      </c>
      <c r="L503" s="112"/>
    </row>
    <row r="504" spans="1:12" x14ac:dyDescent="0.25">
      <c r="A504" s="19" t="s">
        <v>2901</v>
      </c>
      <c r="B504" s="19" t="s">
        <v>625</v>
      </c>
      <c r="C504" s="20"/>
      <c r="D504" s="21">
        <v>28182.47</v>
      </c>
      <c r="E504" s="88">
        <f>VLOOKUP(A504,'Previous week'!$A$3:$F$1765,6,FALSE)</f>
        <v>0</v>
      </c>
      <c r="F504" s="22">
        <f t="shared" si="23"/>
        <v>0</v>
      </c>
      <c r="G504" s="88">
        <f>VLOOKUP(A504,'Current week'!$A$3:$F$1765,6,0)</f>
        <v>0</v>
      </c>
      <c r="H504" s="101">
        <f t="shared" si="21"/>
        <v>0</v>
      </c>
      <c r="I504" s="101">
        <f t="shared" si="22"/>
        <v>0</v>
      </c>
      <c r="L504" s="112"/>
    </row>
    <row r="505" spans="1:12" x14ac:dyDescent="0.25">
      <c r="A505" s="23" t="s">
        <v>3039</v>
      </c>
      <c r="B505" s="23" t="s">
        <v>849</v>
      </c>
      <c r="C505" s="24" t="s">
        <v>850</v>
      </c>
      <c r="D505" s="25">
        <v>0</v>
      </c>
      <c r="E505" s="88">
        <f>VLOOKUP(A505,'Previous week'!$A$3:$F$1765,6,FALSE)</f>
        <v>1</v>
      </c>
      <c r="F505" s="22">
        <f t="shared" si="23"/>
        <v>0</v>
      </c>
      <c r="G505" s="88">
        <f>VLOOKUP(A505,'Current week'!$A$3:$F$1765,6,0)</f>
        <v>1</v>
      </c>
      <c r="H505" s="102">
        <f t="shared" si="21"/>
        <v>0</v>
      </c>
      <c r="I505" s="102">
        <f t="shared" si="22"/>
        <v>0</v>
      </c>
      <c r="L505" s="112"/>
    </row>
    <row r="506" spans="1:12" x14ac:dyDescent="0.25">
      <c r="A506" s="62" t="s">
        <v>3040</v>
      </c>
      <c r="B506" s="62" t="s">
        <v>851</v>
      </c>
      <c r="C506" s="63" t="s">
        <v>852</v>
      </c>
      <c r="D506" s="64">
        <v>28182.47</v>
      </c>
      <c r="E506" s="97">
        <f>'Previous week'!F506</f>
        <v>1</v>
      </c>
      <c r="F506" s="65">
        <f t="shared" si="23"/>
        <v>0</v>
      </c>
      <c r="G506" s="97">
        <f>'Current week'!F506</f>
        <v>1</v>
      </c>
      <c r="H506" s="109">
        <f t="shared" si="21"/>
        <v>28182.47</v>
      </c>
      <c r="I506" s="109">
        <f t="shared" si="22"/>
        <v>0</v>
      </c>
      <c r="L506" s="112"/>
    </row>
    <row r="507" spans="1:12" x14ac:dyDescent="0.25">
      <c r="A507" s="19" t="s">
        <v>2904</v>
      </c>
      <c r="B507" s="19" t="s">
        <v>630</v>
      </c>
      <c r="C507" s="20"/>
      <c r="D507" s="21">
        <v>28182.47</v>
      </c>
      <c r="E507" s="88">
        <f>VLOOKUP(A507,'Previous week'!$A$3:$F$1765,6,FALSE)</f>
        <v>0</v>
      </c>
      <c r="F507" s="22">
        <f t="shared" si="23"/>
        <v>0</v>
      </c>
      <c r="G507" s="88">
        <f>VLOOKUP(A507,'Current week'!$A$3:$F$1765,6,0)</f>
        <v>0</v>
      </c>
      <c r="H507" s="101">
        <f t="shared" si="21"/>
        <v>0</v>
      </c>
      <c r="I507" s="101">
        <f t="shared" si="22"/>
        <v>0</v>
      </c>
      <c r="L507" s="112"/>
    </row>
    <row r="508" spans="1:12" x14ac:dyDescent="0.25">
      <c r="A508" s="23" t="s">
        <v>3041</v>
      </c>
      <c r="B508" s="23" t="s">
        <v>853</v>
      </c>
      <c r="C508" s="24" t="s">
        <v>854</v>
      </c>
      <c r="D508" s="25">
        <v>0</v>
      </c>
      <c r="E508" s="88">
        <f>VLOOKUP(A508,'Previous week'!$A$3:$F$1765,6,FALSE)</f>
        <v>1</v>
      </c>
      <c r="F508" s="22">
        <f t="shared" si="23"/>
        <v>0</v>
      </c>
      <c r="G508" s="88">
        <f>VLOOKUP(A508,'Current week'!$A$3:$F$1765,6,0)</f>
        <v>1</v>
      </c>
      <c r="H508" s="102">
        <f t="shared" si="21"/>
        <v>0</v>
      </c>
      <c r="I508" s="102">
        <f t="shared" si="22"/>
        <v>0</v>
      </c>
      <c r="L508" s="112"/>
    </row>
    <row r="509" spans="1:12" x14ac:dyDescent="0.25">
      <c r="A509" s="58" t="s">
        <v>3042</v>
      </c>
      <c r="B509" s="58" t="s">
        <v>855</v>
      </c>
      <c r="C509" s="59" t="s">
        <v>856</v>
      </c>
      <c r="D509" s="72">
        <v>28182.47</v>
      </c>
      <c r="E509" s="96">
        <f>'Previous week'!F509</f>
        <v>1</v>
      </c>
      <c r="F509" s="73">
        <f t="shared" si="23"/>
        <v>0</v>
      </c>
      <c r="G509" s="96">
        <f>'Current week'!F509</f>
        <v>1</v>
      </c>
      <c r="H509" s="108">
        <f t="shared" si="21"/>
        <v>28182.47</v>
      </c>
      <c r="I509" s="108">
        <f t="shared" si="22"/>
        <v>0</v>
      </c>
      <c r="L509" s="112"/>
    </row>
    <row r="510" spans="1:12" x14ac:dyDescent="0.25">
      <c r="A510" s="62" t="s">
        <v>2907</v>
      </c>
      <c r="B510" s="62" t="s">
        <v>635</v>
      </c>
      <c r="C510" s="63"/>
      <c r="D510" s="74">
        <v>28182.47</v>
      </c>
      <c r="E510" s="97">
        <f>'Previous week'!F510</f>
        <v>1</v>
      </c>
      <c r="F510" s="65">
        <f t="shared" si="23"/>
        <v>0</v>
      </c>
      <c r="G510" s="97">
        <f>'Current week'!F510</f>
        <v>1</v>
      </c>
      <c r="H510" s="109">
        <f t="shared" si="21"/>
        <v>28182.47</v>
      </c>
      <c r="I510" s="109">
        <f t="shared" si="22"/>
        <v>0</v>
      </c>
      <c r="L510" s="112"/>
    </row>
    <row r="511" spans="1:12" x14ac:dyDescent="0.25">
      <c r="A511" s="19" t="s">
        <v>3043</v>
      </c>
      <c r="B511" s="19" t="s">
        <v>857</v>
      </c>
      <c r="C511" s="20" t="s">
        <v>858</v>
      </c>
      <c r="D511" s="21">
        <v>0</v>
      </c>
      <c r="E511" s="88">
        <f>VLOOKUP(A511,'Previous week'!$A$3:$F$1765,6,FALSE)</f>
        <v>1</v>
      </c>
      <c r="F511" s="22">
        <f t="shared" si="23"/>
        <v>0</v>
      </c>
      <c r="G511" s="88">
        <f>VLOOKUP(A511,'Current week'!$A$3:$F$1765,6,0)</f>
        <v>1</v>
      </c>
      <c r="H511" s="101">
        <f t="shared" si="21"/>
        <v>0</v>
      </c>
      <c r="I511" s="101">
        <f t="shared" si="22"/>
        <v>0</v>
      </c>
      <c r="L511" s="112"/>
    </row>
    <row r="512" spans="1:12" x14ac:dyDescent="0.25">
      <c r="A512" s="23" t="s">
        <v>3044</v>
      </c>
      <c r="B512" s="23" t="s">
        <v>859</v>
      </c>
      <c r="C512" s="24" t="s">
        <v>860</v>
      </c>
      <c r="D512" s="71">
        <v>28182.47</v>
      </c>
      <c r="E512" s="88">
        <f>VLOOKUP(A512,'Previous week'!$A$3:$F$1765,6,FALSE)</f>
        <v>1</v>
      </c>
      <c r="F512" s="22">
        <f t="shared" si="23"/>
        <v>0</v>
      </c>
      <c r="G512" s="88">
        <f>VLOOKUP(A512,'Current week'!$A$3:$F$1765,6,0)</f>
        <v>1</v>
      </c>
      <c r="H512" s="102">
        <f t="shared" si="21"/>
        <v>28182.47</v>
      </c>
      <c r="I512" s="102">
        <f t="shared" si="22"/>
        <v>0</v>
      </c>
      <c r="L512" s="112"/>
    </row>
    <row r="513" spans="1:12" x14ac:dyDescent="0.25">
      <c r="A513" s="62" t="s">
        <v>2910</v>
      </c>
      <c r="B513" s="62" t="s">
        <v>640</v>
      </c>
      <c r="C513" s="63"/>
      <c r="D513" s="74">
        <v>28182.47</v>
      </c>
      <c r="E513" s="97">
        <f>'Previous week'!F513</f>
        <v>1</v>
      </c>
      <c r="F513" s="65">
        <f t="shared" si="23"/>
        <v>0</v>
      </c>
      <c r="G513" s="97">
        <f>'Current week'!F513</f>
        <v>1</v>
      </c>
      <c r="H513" s="109">
        <f t="shared" si="21"/>
        <v>28182.47</v>
      </c>
      <c r="I513" s="109">
        <f t="shared" si="22"/>
        <v>0</v>
      </c>
      <c r="L513" s="112"/>
    </row>
    <row r="514" spans="1:12" x14ac:dyDescent="0.25">
      <c r="A514" s="19" t="s">
        <v>3045</v>
      </c>
      <c r="B514" s="19" t="s">
        <v>861</v>
      </c>
      <c r="C514" s="20" t="s">
        <v>862</v>
      </c>
      <c r="D514" s="21">
        <v>0</v>
      </c>
      <c r="E514" s="88">
        <f>VLOOKUP(A514,'Previous week'!$A$3:$F$1765,6,FALSE)</f>
        <v>1</v>
      </c>
      <c r="F514" s="22">
        <f t="shared" si="23"/>
        <v>0</v>
      </c>
      <c r="G514" s="88">
        <f>VLOOKUP(A514,'Current week'!$A$3:$F$1765,6,0)</f>
        <v>1</v>
      </c>
      <c r="H514" s="101">
        <f t="shared" ref="H514:H573" si="24">G514*D514</f>
        <v>0</v>
      </c>
      <c r="I514" s="101">
        <f t="shared" ref="I514:I573" si="25">F514*D514</f>
        <v>0</v>
      </c>
      <c r="L514" s="112"/>
    </row>
    <row r="515" spans="1:12" x14ac:dyDescent="0.25">
      <c r="A515" s="23" t="s">
        <v>3046</v>
      </c>
      <c r="B515" s="23" t="s">
        <v>863</v>
      </c>
      <c r="C515" s="24" t="s">
        <v>864</v>
      </c>
      <c r="D515" s="71">
        <v>28182.47</v>
      </c>
      <c r="E515" s="88">
        <f>VLOOKUP(A515,'Previous week'!$A$3:$F$1765,6,FALSE)</f>
        <v>1</v>
      </c>
      <c r="F515" s="22">
        <f t="shared" ref="F515:F578" si="26">G515-E515</f>
        <v>0</v>
      </c>
      <c r="G515" s="88">
        <f>VLOOKUP(A515,'Current week'!$A$3:$F$1765,6,0)</f>
        <v>1</v>
      </c>
      <c r="H515" s="102">
        <f t="shared" si="24"/>
        <v>28182.47</v>
      </c>
      <c r="I515" s="102">
        <f t="shared" si="25"/>
        <v>0</v>
      </c>
      <c r="L515" s="112"/>
    </row>
    <row r="516" spans="1:12" x14ac:dyDescent="0.25">
      <c r="A516" s="62" t="s">
        <v>2913</v>
      </c>
      <c r="B516" s="62" t="s">
        <v>218</v>
      </c>
      <c r="C516" s="63"/>
      <c r="D516" s="74">
        <v>28182.47</v>
      </c>
      <c r="E516" s="97">
        <f>'Previous week'!F516</f>
        <v>1</v>
      </c>
      <c r="F516" s="65">
        <f t="shared" si="26"/>
        <v>0</v>
      </c>
      <c r="G516" s="97">
        <f>'Current week'!F516</f>
        <v>1</v>
      </c>
      <c r="H516" s="109">
        <f t="shared" si="24"/>
        <v>28182.47</v>
      </c>
      <c r="I516" s="109">
        <f t="shared" si="25"/>
        <v>0</v>
      </c>
      <c r="L516" s="112"/>
    </row>
    <row r="517" spans="1:12" x14ac:dyDescent="0.25">
      <c r="A517" s="19" t="s">
        <v>3047</v>
      </c>
      <c r="B517" s="19" t="s">
        <v>865</v>
      </c>
      <c r="C517" s="20" t="s">
        <v>866</v>
      </c>
      <c r="D517" s="21">
        <v>0</v>
      </c>
      <c r="E517" s="88">
        <f>VLOOKUP(A517,'Previous week'!$A$3:$F$1765,6,FALSE)</f>
        <v>1</v>
      </c>
      <c r="F517" s="22">
        <f t="shared" si="26"/>
        <v>0</v>
      </c>
      <c r="G517" s="88">
        <f>VLOOKUP(A517,'Current week'!$A$3:$F$1765,6,0)</f>
        <v>1</v>
      </c>
      <c r="H517" s="101">
        <f t="shared" si="24"/>
        <v>0</v>
      </c>
      <c r="I517" s="101">
        <f t="shared" si="25"/>
        <v>0</v>
      </c>
      <c r="L517" s="112"/>
    </row>
    <row r="518" spans="1:12" x14ac:dyDescent="0.25">
      <c r="A518" s="23" t="s">
        <v>3048</v>
      </c>
      <c r="B518" s="23" t="s">
        <v>867</v>
      </c>
      <c r="C518" s="24" t="s">
        <v>868</v>
      </c>
      <c r="D518" s="71">
        <v>28182.47</v>
      </c>
      <c r="E518" s="88">
        <f>VLOOKUP(A518,'Previous week'!$A$3:$F$1765,6,FALSE)</f>
        <v>1</v>
      </c>
      <c r="F518" s="22">
        <f t="shared" si="26"/>
        <v>0</v>
      </c>
      <c r="G518" s="88">
        <f>VLOOKUP(A518,'Current week'!$A$3:$F$1765,6,0)</f>
        <v>1</v>
      </c>
      <c r="H518" s="102">
        <f t="shared" si="24"/>
        <v>28182.47</v>
      </c>
      <c r="I518" s="102">
        <f t="shared" si="25"/>
        <v>0</v>
      </c>
      <c r="L518" s="112"/>
    </row>
    <row r="519" spans="1:12" x14ac:dyDescent="0.25">
      <c r="A519" s="62" t="s">
        <v>2916</v>
      </c>
      <c r="B519" s="62" t="s">
        <v>649</v>
      </c>
      <c r="C519" s="63"/>
      <c r="D519" s="74">
        <v>28182.47</v>
      </c>
      <c r="E519" s="97">
        <f>'Previous week'!F519</f>
        <v>1</v>
      </c>
      <c r="F519" s="65">
        <f t="shared" si="26"/>
        <v>0</v>
      </c>
      <c r="G519" s="97">
        <f>'Current week'!F519</f>
        <v>1</v>
      </c>
      <c r="H519" s="109">
        <f t="shared" si="24"/>
        <v>28182.47</v>
      </c>
      <c r="I519" s="109">
        <f t="shared" si="25"/>
        <v>0</v>
      </c>
      <c r="L519" s="112"/>
    </row>
    <row r="520" spans="1:12" x14ac:dyDescent="0.25">
      <c r="A520" s="19" t="s">
        <v>3049</v>
      </c>
      <c r="B520" s="19" t="s">
        <v>869</v>
      </c>
      <c r="C520" s="20" t="s">
        <v>870</v>
      </c>
      <c r="D520" s="21">
        <v>0</v>
      </c>
      <c r="E520" s="88">
        <f>VLOOKUP(A520,'Previous week'!$A$3:$F$1765,6,FALSE)</f>
        <v>1</v>
      </c>
      <c r="F520" s="22">
        <f t="shared" si="26"/>
        <v>0</v>
      </c>
      <c r="G520" s="88">
        <f>VLOOKUP(A520,'Current week'!$A$3:$F$1765,6,0)</f>
        <v>1</v>
      </c>
      <c r="H520" s="101">
        <f t="shared" si="24"/>
        <v>0</v>
      </c>
      <c r="I520" s="101">
        <f t="shared" si="25"/>
        <v>0</v>
      </c>
      <c r="L520" s="112"/>
    </row>
    <row r="521" spans="1:12" x14ac:dyDescent="0.25">
      <c r="A521" s="23" t="s">
        <v>3050</v>
      </c>
      <c r="B521" s="23" t="s">
        <v>871</v>
      </c>
      <c r="C521" s="24" t="s">
        <v>872</v>
      </c>
      <c r="D521" s="71">
        <v>28182.47</v>
      </c>
      <c r="E521" s="88">
        <f>VLOOKUP(A521,'Previous week'!$A$3:$F$1765,6,FALSE)</f>
        <v>1</v>
      </c>
      <c r="F521" s="22">
        <f t="shared" si="26"/>
        <v>0</v>
      </c>
      <c r="G521" s="88">
        <f>VLOOKUP(A521,'Current week'!$A$3:$F$1765,6,0)</f>
        <v>1</v>
      </c>
      <c r="H521" s="102">
        <f t="shared" si="24"/>
        <v>28182.47</v>
      </c>
      <c r="I521" s="102">
        <f t="shared" si="25"/>
        <v>0</v>
      </c>
      <c r="L521" s="112"/>
    </row>
    <row r="522" spans="1:12" x14ac:dyDescent="0.25">
      <c r="A522" s="62" t="s">
        <v>2919</v>
      </c>
      <c r="B522" s="62" t="s">
        <v>654</v>
      </c>
      <c r="C522" s="63"/>
      <c r="D522" s="74">
        <v>28182.47</v>
      </c>
      <c r="E522" s="97">
        <f>'Previous week'!F522</f>
        <v>1</v>
      </c>
      <c r="F522" s="65">
        <f t="shared" si="26"/>
        <v>0</v>
      </c>
      <c r="G522" s="97">
        <f>'Current week'!F522</f>
        <v>1</v>
      </c>
      <c r="H522" s="109">
        <f t="shared" si="24"/>
        <v>28182.47</v>
      </c>
      <c r="I522" s="109">
        <f t="shared" si="25"/>
        <v>0</v>
      </c>
      <c r="L522" s="112"/>
    </row>
    <row r="523" spans="1:12" x14ac:dyDescent="0.25">
      <c r="A523" s="19" t="s">
        <v>3051</v>
      </c>
      <c r="B523" s="19" t="s">
        <v>873</v>
      </c>
      <c r="C523" s="20" t="s">
        <v>874</v>
      </c>
      <c r="D523" s="21">
        <v>0</v>
      </c>
      <c r="E523" s="88">
        <f>VLOOKUP(A523,'Previous week'!$A$3:$F$1765,6,FALSE)</f>
        <v>1</v>
      </c>
      <c r="F523" s="22">
        <f t="shared" si="26"/>
        <v>0</v>
      </c>
      <c r="G523" s="88">
        <f>VLOOKUP(A523,'Current week'!$A$3:$F$1765,6,0)</f>
        <v>1</v>
      </c>
      <c r="H523" s="101">
        <f t="shared" si="24"/>
        <v>0</v>
      </c>
      <c r="I523" s="101">
        <f t="shared" si="25"/>
        <v>0</v>
      </c>
      <c r="L523" s="112"/>
    </row>
    <row r="524" spans="1:12" x14ac:dyDescent="0.25">
      <c r="A524" s="23" t="s">
        <v>3052</v>
      </c>
      <c r="B524" s="23" t="s">
        <v>875</v>
      </c>
      <c r="C524" s="24" t="s">
        <v>876</v>
      </c>
      <c r="D524" s="71">
        <v>28182.47</v>
      </c>
      <c r="E524" s="88">
        <f>VLOOKUP(A524,'Previous week'!$A$3:$F$1765,6,FALSE)</f>
        <v>1</v>
      </c>
      <c r="F524" s="22">
        <f t="shared" si="26"/>
        <v>0</v>
      </c>
      <c r="G524" s="88">
        <f>VLOOKUP(A524,'Current week'!$A$3:$F$1765,6,0)</f>
        <v>1</v>
      </c>
      <c r="H524" s="102">
        <f t="shared" si="24"/>
        <v>28182.47</v>
      </c>
      <c r="I524" s="102">
        <f t="shared" si="25"/>
        <v>0</v>
      </c>
      <c r="L524" s="112"/>
    </row>
    <row r="525" spans="1:12" x14ac:dyDescent="0.25">
      <c r="A525" s="62" t="s">
        <v>2922</v>
      </c>
      <c r="B525" s="62" t="s">
        <v>659</v>
      </c>
      <c r="C525" s="63"/>
      <c r="D525" s="74">
        <v>28182.47</v>
      </c>
      <c r="E525" s="97">
        <f>'Previous week'!F525</f>
        <v>1</v>
      </c>
      <c r="F525" s="65">
        <f t="shared" si="26"/>
        <v>0</v>
      </c>
      <c r="G525" s="97">
        <f>'Current week'!F525</f>
        <v>1</v>
      </c>
      <c r="H525" s="109">
        <f t="shared" si="24"/>
        <v>28182.47</v>
      </c>
      <c r="I525" s="109">
        <f t="shared" si="25"/>
        <v>0</v>
      </c>
      <c r="L525" s="112"/>
    </row>
    <row r="526" spans="1:12" x14ac:dyDescent="0.25">
      <c r="A526" s="19" t="s">
        <v>3053</v>
      </c>
      <c r="B526" s="19" t="s">
        <v>877</v>
      </c>
      <c r="C526" s="20" t="s">
        <v>878</v>
      </c>
      <c r="D526" s="21">
        <v>0</v>
      </c>
      <c r="E526" s="88">
        <f>VLOOKUP(A526,'Previous week'!$A$3:$F$1765,6,FALSE)</f>
        <v>1</v>
      </c>
      <c r="F526" s="22">
        <f t="shared" si="26"/>
        <v>0</v>
      </c>
      <c r="G526" s="88">
        <f>VLOOKUP(A526,'Current week'!$A$3:$F$1765,6,0)</f>
        <v>1</v>
      </c>
      <c r="H526" s="101">
        <f t="shared" si="24"/>
        <v>0</v>
      </c>
      <c r="I526" s="101">
        <f t="shared" si="25"/>
        <v>0</v>
      </c>
      <c r="L526" s="112"/>
    </row>
    <row r="527" spans="1:12" x14ac:dyDescent="0.25">
      <c r="A527" s="23" t="s">
        <v>3054</v>
      </c>
      <c r="B527" s="23" t="s">
        <v>879</v>
      </c>
      <c r="C527" s="24" t="s">
        <v>880</v>
      </c>
      <c r="D527" s="71">
        <v>28182.47</v>
      </c>
      <c r="E527" s="88">
        <f>VLOOKUP(A527,'Previous week'!$A$3:$F$1765,6,FALSE)</f>
        <v>1</v>
      </c>
      <c r="F527" s="22">
        <f t="shared" si="26"/>
        <v>0</v>
      </c>
      <c r="G527" s="88">
        <f>VLOOKUP(A527,'Current week'!$A$3:$F$1765,6,0)</f>
        <v>1</v>
      </c>
      <c r="H527" s="102">
        <f t="shared" si="24"/>
        <v>28182.47</v>
      </c>
      <c r="I527" s="102">
        <f t="shared" si="25"/>
        <v>0</v>
      </c>
      <c r="L527" s="112"/>
    </row>
    <row r="528" spans="1:12" x14ac:dyDescent="0.25">
      <c r="A528" s="62" t="s">
        <v>2925</v>
      </c>
      <c r="B528" s="62" t="s">
        <v>664</v>
      </c>
      <c r="C528" s="63"/>
      <c r="D528" s="74">
        <v>28182.47</v>
      </c>
      <c r="E528" s="97">
        <f>'Previous week'!F528</f>
        <v>1</v>
      </c>
      <c r="F528" s="65">
        <f t="shared" si="26"/>
        <v>0</v>
      </c>
      <c r="G528" s="97">
        <f>'Current week'!F528</f>
        <v>1</v>
      </c>
      <c r="H528" s="109">
        <f t="shared" si="24"/>
        <v>28182.47</v>
      </c>
      <c r="I528" s="109">
        <f t="shared" si="25"/>
        <v>0</v>
      </c>
      <c r="L528" s="112"/>
    </row>
    <row r="529" spans="1:12" x14ac:dyDescent="0.25">
      <c r="A529" s="19" t="s">
        <v>3055</v>
      </c>
      <c r="B529" s="19" t="s">
        <v>881</v>
      </c>
      <c r="C529" s="20" t="s">
        <v>882</v>
      </c>
      <c r="D529" s="21">
        <v>0</v>
      </c>
      <c r="E529" s="88">
        <f>VLOOKUP(A529,'Previous week'!$A$3:$F$1765,6,FALSE)</f>
        <v>1</v>
      </c>
      <c r="F529" s="22">
        <f t="shared" si="26"/>
        <v>0</v>
      </c>
      <c r="G529" s="88">
        <f>VLOOKUP(A529,'Current week'!$A$3:$F$1765,6,0)</f>
        <v>1</v>
      </c>
      <c r="H529" s="101">
        <f t="shared" si="24"/>
        <v>0</v>
      </c>
      <c r="I529" s="101">
        <f t="shared" si="25"/>
        <v>0</v>
      </c>
      <c r="L529" s="112"/>
    </row>
    <row r="530" spans="1:12" x14ac:dyDescent="0.25">
      <c r="A530" s="23" t="s">
        <v>3056</v>
      </c>
      <c r="B530" s="23" t="s">
        <v>883</v>
      </c>
      <c r="C530" s="24" t="s">
        <v>884</v>
      </c>
      <c r="D530" s="71">
        <v>28182.47</v>
      </c>
      <c r="E530" s="88">
        <f>VLOOKUP(A530,'Previous week'!$A$3:$F$1765,6,FALSE)</f>
        <v>1</v>
      </c>
      <c r="F530" s="22">
        <f t="shared" si="26"/>
        <v>0</v>
      </c>
      <c r="G530" s="88">
        <f>VLOOKUP(A530,'Current week'!$A$3:$F$1765,6,0)</f>
        <v>1</v>
      </c>
      <c r="H530" s="102">
        <f t="shared" si="24"/>
        <v>28182.47</v>
      </c>
      <c r="I530" s="102">
        <f t="shared" si="25"/>
        <v>0</v>
      </c>
      <c r="L530" s="112"/>
    </row>
    <row r="531" spans="1:12" x14ac:dyDescent="0.25">
      <c r="A531" s="62" t="s">
        <v>2928</v>
      </c>
      <c r="B531" s="62" t="s">
        <v>669</v>
      </c>
      <c r="C531" s="63"/>
      <c r="D531" s="74">
        <v>28182.47</v>
      </c>
      <c r="E531" s="97">
        <f>'Previous week'!F531</f>
        <v>1</v>
      </c>
      <c r="F531" s="65">
        <f t="shared" si="26"/>
        <v>0</v>
      </c>
      <c r="G531" s="97">
        <f>'Current week'!F531</f>
        <v>1</v>
      </c>
      <c r="H531" s="109">
        <f t="shared" si="24"/>
        <v>28182.47</v>
      </c>
      <c r="I531" s="109">
        <f t="shared" si="25"/>
        <v>0</v>
      </c>
      <c r="L531" s="112"/>
    </row>
    <row r="532" spans="1:12" x14ac:dyDescent="0.25">
      <c r="A532" s="19" t="s">
        <v>3057</v>
      </c>
      <c r="B532" s="19" t="s">
        <v>885</v>
      </c>
      <c r="C532" s="20" t="s">
        <v>886</v>
      </c>
      <c r="D532" s="21">
        <v>0</v>
      </c>
      <c r="E532" s="88">
        <f>VLOOKUP(A532,'Previous week'!$A$3:$F$1765,6,FALSE)</f>
        <v>1</v>
      </c>
      <c r="F532" s="22">
        <f t="shared" si="26"/>
        <v>0</v>
      </c>
      <c r="G532" s="88">
        <f>VLOOKUP(A532,'Current week'!$A$3:$F$1765,6,0)</f>
        <v>1</v>
      </c>
      <c r="H532" s="101">
        <f t="shared" si="24"/>
        <v>0</v>
      </c>
      <c r="I532" s="101">
        <f t="shared" si="25"/>
        <v>0</v>
      </c>
      <c r="L532" s="112"/>
    </row>
    <row r="533" spans="1:12" x14ac:dyDescent="0.25">
      <c r="A533" s="23" t="s">
        <v>3058</v>
      </c>
      <c r="B533" s="23" t="s">
        <v>887</v>
      </c>
      <c r="C533" s="24" t="s">
        <v>888</v>
      </c>
      <c r="D533" s="71">
        <v>28182.47</v>
      </c>
      <c r="E533" s="88">
        <f>VLOOKUP(A533,'Previous week'!$A$3:$F$1765,6,FALSE)</f>
        <v>1</v>
      </c>
      <c r="F533" s="22">
        <f t="shared" si="26"/>
        <v>0</v>
      </c>
      <c r="G533" s="88">
        <f>VLOOKUP(A533,'Current week'!$A$3:$F$1765,6,0)</f>
        <v>1</v>
      </c>
      <c r="H533" s="102">
        <f t="shared" si="24"/>
        <v>28182.47</v>
      </c>
      <c r="I533" s="102">
        <f t="shared" si="25"/>
        <v>0</v>
      </c>
      <c r="L533" s="112"/>
    </row>
    <row r="534" spans="1:12" x14ac:dyDescent="0.25">
      <c r="A534" s="62" t="s">
        <v>2931</v>
      </c>
      <c r="B534" s="62" t="s">
        <v>674</v>
      </c>
      <c r="C534" s="63"/>
      <c r="D534" s="74">
        <v>28182.47</v>
      </c>
      <c r="E534" s="97">
        <f>'Previous week'!F534</f>
        <v>1</v>
      </c>
      <c r="F534" s="65">
        <f t="shared" si="26"/>
        <v>0</v>
      </c>
      <c r="G534" s="97">
        <f>'Current week'!F534</f>
        <v>1</v>
      </c>
      <c r="H534" s="109">
        <f t="shared" si="24"/>
        <v>28182.47</v>
      </c>
      <c r="I534" s="109">
        <f t="shared" si="25"/>
        <v>0</v>
      </c>
      <c r="L534" s="112"/>
    </row>
    <row r="535" spans="1:12" x14ac:dyDescent="0.25">
      <c r="A535" s="19" t="s">
        <v>3059</v>
      </c>
      <c r="B535" s="19" t="s">
        <v>889</v>
      </c>
      <c r="C535" s="20" t="s">
        <v>890</v>
      </c>
      <c r="D535" s="21">
        <v>0</v>
      </c>
      <c r="E535" s="88">
        <f>VLOOKUP(A535,'Previous week'!$A$3:$F$1765,6,FALSE)</f>
        <v>1</v>
      </c>
      <c r="F535" s="22">
        <f t="shared" si="26"/>
        <v>0</v>
      </c>
      <c r="G535" s="88">
        <f>VLOOKUP(A535,'Current week'!$A$3:$F$1765,6,0)</f>
        <v>1</v>
      </c>
      <c r="H535" s="101">
        <f t="shared" si="24"/>
        <v>0</v>
      </c>
      <c r="I535" s="101">
        <f t="shared" si="25"/>
        <v>0</v>
      </c>
      <c r="L535" s="112"/>
    </row>
    <row r="536" spans="1:12" x14ac:dyDescent="0.25">
      <c r="A536" s="23" t="s">
        <v>3060</v>
      </c>
      <c r="B536" s="23" t="s">
        <v>891</v>
      </c>
      <c r="C536" s="24" t="s">
        <v>892</v>
      </c>
      <c r="D536" s="71">
        <v>28182.47</v>
      </c>
      <c r="E536" s="88">
        <f>VLOOKUP(A536,'Previous week'!$A$3:$F$1765,6,FALSE)</f>
        <v>1</v>
      </c>
      <c r="F536" s="22">
        <f t="shared" si="26"/>
        <v>0</v>
      </c>
      <c r="G536" s="88">
        <f>VLOOKUP(A536,'Current week'!$A$3:$F$1765,6,0)</f>
        <v>1</v>
      </c>
      <c r="H536" s="102">
        <f t="shared" si="24"/>
        <v>28182.47</v>
      </c>
      <c r="I536" s="102">
        <f t="shared" si="25"/>
        <v>0</v>
      </c>
      <c r="L536" s="112"/>
    </row>
    <row r="537" spans="1:12" x14ac:dyDescent="0.25">
      <c r="A537" s="62" t="s">
        <v>2934</v>
      </c>
      <c r="B537" s="62" t="s">
        <v>679</v>
      </c>
      <c r="C537" s="63"/>
      <c r="D537" s="74">
        <v>28182.47</v>
      </c>
      <c r="E537" s="97">
        <f>'Previous week'!F537</f>
        <v>1</v>
      </c>
      <c r="F537" s="65">
        <f t="shared" si="26"/>
        <v>0</v>
      </c>
      <c r="G537" s="97">
        <f>'Current week'!F537</f>
        <v>1</v>
      </c>
      <c r="H537" s="109">
        <f t="shared" si="24"/>
        <v>28182.47</v>
      </c>
      <c r="I537" s="109">
        <f t="shared" si="25"/>
        <v>0</v>
      </c>
      <c r="L537" s="112"/>
    </row>
    <row r="538" spans="1:12" x14ac:dyDescent="0.25">
      <c r="A538" s="19" t="s">
        <v>3061</v>
      </c>
      <c r="B538" s="19" t="s">
        <v>893</v>
      </c>
      <c r="C538" s="20" t="s">
        <v>894</v>
      </c>
      <c r="D538" s="21">
        <v>0</v>
      </c>
      <c r="E538" s="88">
        <f>VLOOKUP(A538,'Previous week'!$A$3:$F$1765,6,FALSE)</f>
        <v>1</v>
      </c>
      <c r="F538" s="22">
        <f t="shared" si="26"/>
        <v>0</v>
      </c>
      <c r="G538" s="88">
        <f>VLOOKUP(A538,'Current week'!$A$3:$F$1765,6,0)</f>
        <v>1</v>
      </c>
      <c r="H538" s="101">
        <f t="shared" si="24"/>
        <v>0</v>
      </c>
      <c r="I538" s="101">
        <f t="shared" si="25"/>
        <v>0</v>
      </c>
      <c r="L538" s="112"/>
    </row>
    <row r="539" spans="1:12" x14ac:dyDescent="0.25">
      <c r="A539" s="23" t="s">
        <v>3062</v>
      </c>
      <c r="B539" s="23" t="s">
        <v>895</v>
      </c>
      <c r="C539" s="24" t="s">
        <v>896</v>
      </c>
      <c r="D539" s="71">
        <v>28182.47</v>
      </c>
      <c r="E539" s="88">
        <f>VLOOKUP(A539,'Previous week'!$A$3:$F$1765,6,FALSE)</f>
        <v>1</v>
      </c>
      <c r="F539" s="22">
        <f t="shared" si="26"/>
        <v>0</v>
      </c>
      <c r="G539" s="88">
        <f>VLOOKUP(A539,'Current week'!$A$3:$F$1765,6,0)</f>
        <v>1</v>
      </c>
      <c r="H539" s="102">
        <f t="shared" si="24"/>
        <v>28182.47</v>
      </c>
      <c r="I539" s="102">
        <f t="shared" si="25"/>
        <v>0</v>
      </c>
      <c r="L539" s="112"/>
    </row>
    <row r="540" spans="1:12" x14ac:dyDescent="0.25">
      <c r="A540" s="62" t="s">
        <v>2937</v>
      </c>
      <c r="B540" s="62" t="s">
        <v>684</v>
      </c>
      <c r="C540" s="63"/>
      <c r="D540" s="74">
        <v>28182.47</v>
      </c>
      <c r="E540" s="97">
        <f>'Previous week'!F540</f>
        <v>1</v>
      </c>
      <c r="F540" s="65">
        <f t="shared" si="26"/>
        <v>0</v>
      </c>
      <c r="G540" s="97">
        <f>'Current week'!F540</f>
        <v>1</v>
      </c>
      <c r="H540" s="109">
        <f t="shared" si="24"/>
        <v>28182.47</v>
      </c>
      <c r="I540" s="109">
        <f t="shared" si="25"/>
        <v>0</v>
      </c>
      <c r="L540" s="112"/>
    </row>
    <row r="541" spans="1:12" x14ac:dyDescent="0.25">
      <c r="A541" s="19" t="s">
        <v>3063</v>
      </c>
      <c r="B541" s="19" t="s">
        <v>897</v>
      </c>
      <c r="C541" s="20" t="s">
        <v>898</v>
      </c>
      <c r="D541" s="21">
        <v>0</v>
      </c>
      <c r="E541" s="88">
        <f>VLOOKUP(A541,'Previous week'!$A$3:$F$1765,6,FALSE)</f>
        <v>1</v>
      </c>
      <c r="F541" s="22">
        <f t="shared" si="26"/>
        <v>0</v>
      </c>
      <c r="G541" s="88">
        <f>VLOOKUP(A541,'Current week'!$A$3:$F$1765,6,0)</f>
        <v>1</v>
      </c>
      <c r="H541" s="101">
        <f t="shared" si="24"/>
        <v>0</v>
      </c>
      <c r="I541" s="101">
        <f t="shared" si="25"/>
        <v>0</v>
      </c>
      <c r="L541" s="112"/>
    </row>
    <row r="542" spans="1:12" x14ac:dyDescent="0.25">
      <c r="A542" s="23" t="s">
        <v>3064</v>
      </c>
      <c r="B542" s="23" t="s">
        <v>899</v>
      </c>
      <c r="C542" s="24" t="s">
        <v>900</v>
      </c>
      <c r="D542" s="71">
        <v>28182.47</v>
      </c>
      <c r="E542" s="88">
        <f>VLOOKUP(A542,'Previous week'!$A$3:$F$1765,6,FALSE)</f>
        <v>1</v>
      </c>
      <c r="F542" s="22">
        <f t="shared" si="26"/>
        <v>0</v>
      </c>
      <c r="G542" s="88">
        <f>VLOOKUP(A542,'Current week'!$A$3:$F$1765,6,0)</f>
        <v>1</v>
      </c>
      <c r="H542" s="102">
        <f t="shared" si="24"/>
        <v>28182.47</v>
      </c>
      <c r="I542" s="102">
        <f t="shared" si="25"/>
        <v>0</v>
      </c>
      <c r="L542" s="112"/>
    </row>
    <row r="543" spans="1:12" x14ac:dyDescent="0.25">
      <c r="A543" s="62" t="s">
        <v>2940</v>
      </c>
      <c r="B543" s="62" t="s">
        <v>689</v>
      </c>
      <c r="C543" s="63"/>
      <c r="D543" s="74">
        <v>28182.47</v>
      </c>
      <c r="E543" s="97">
        <f>'Previous week'!F543</f>
        <v>1</v>
      </c>
      <c r="F543" s="65">
        <f t="shared" si="26"/>
        <v>0</v>
      </c>
      <c r="G543" s="97">
        <f>'Current week'!F543</f>
        <v>1</v>
      </c>
      <c r="H543" s="109">
        <f t="shared" si="24"/>
        <v>28182.47</v>
      </c>
      <c r="I543" s="109">
        <f t="shared" si="25"/>
        <v>0</v>
      </c>
      <c r="L543" s="112"/>
    </row>
    <row r="544" spans="1:12" x14ac:dyDescent="0.25">
      <c r="A544" s="19" t="s">
        <v>3065</v>
      </c>
      <c r="B544" s="19" t="s">
        <v>901</v>
      </c>
      <c r="C544" s="20" t="s">
        <v>902</v>
      </c>
      <c r="D544" s="21">
        <v>0</v>
      </c>
      <c r="E544" s="88">
        <f>VLOOKUP(A544,'Previous week'!$A$3:$F$1765,6,FALSE)</f>
        <v>1</v>
      </c>
      <c r="F544" s="22">
        <f t="shared" si="26"/>
        <v>0</v>
      </c>
      <c r="G544" s="88">
        <f>VLOOKUP(A544,'Current week'!$A$3:$F$1765,6,0)</f>
        <v>1</v>
      </c>
      <c r="H544" s="101">
        <f t="shared" si="24"/>
        <v>0</v>
      </c>
      <c r="I544" s="101">
        <f t="shared" si="25"/>
        <v>0</v>
      </c>
      <c r="L544" s="112"/>
    </row>
    <row r="545" spans="1:12" x14ac:dyDescent="0.25">
      <c r="A545" s="23" t="s">
        <v>3066</v>
      </c>
      <c r="B545" s="23" t="s">
        <v>903</v>
      </c>
      <c r="C545" s="24" t="s">
        <v>904</v>
      </c>
      <c r="D545" s="71">
        <v>28182.47</v>
      </c>
      <c r="E545" s="88">
        <f>VLOOKUP(A545,'Previous week'!$A$3:$F$1765,6,FALSE)</f>
        <v>1</v>
      </c>
      <c r="F545" s="22">
        <f t="shared" si="26"/>
        <v>0</v>
      </c>
      <c r="G545" s="88">
        <f>VLOOKUP(A545,'Current week'!$A$3:$F$1765,6,0)</f>
        <v>1</v>
      </c>
      <c r="H545" s="102">
        <f t="shared" si="24"/>
        <v>28182.47</v>
      </c>
      <c r="I545" s="102">
        <f t="shared" si="25"/>
        <v>0</v>
      </c>
      <c r="L545" s="112"/>
    </row>
    <row r="546" spans="1:12" x14ac:dyDescent="0.25">
      <c r="A546" s="62" t="s">
        <v>2943</v>
      </c>
      <c r="B546" s="62" t="s">
        <v>694</v>
      </c>
      <c r="C546" s="63"/>
      <c r="D546" s="64">
        <v>28182.47</v>
      </c>
      <c r="E546" s="97">
        <f>'Previous week'!F546</f>
        <v>1</v>
      </c>
      <c r="F546" s="65">
        <f t="shared" si="26"/>
        <v>0</v>
      </c>
      <c r="G546" s="97">
        <f>'Current week'!F546</f>
        <v>1</v>
      </c>
      <c r="H546" s="109">
        <f t="shared" si="24"/>
        <v>28182.47</v>
      </c>
      <c r="I546" s="109">
        <f t="shared" si="25"/>
        <v>0</v>
      </c>
      <c r="L546" s="112"/>
    </row>
    <row r="547" spans="1:12" x14ac:dyDescent="0.25">
      <c r="A547" s="19" t="s">
        <v>3067</v>
      </c>
      <c r="B547" s="19" t="s">
        <v>905</v>
      </c>
      <c r="C547" s="20" t="s">
        <v>906</v>
      </c>
      <c r="D547" s="21">
        <v>0</v>
      </c>
      <c r="E547" s="88">
        <f>VLOOKUP(A547,'Previous week'!$A$3:$F$1765,6,FALSE)</f>
        <v>1</v>
      </c>
      <c r="F547" s="22">
        <f t="shared" si="26"/>
        <v>0</v>
      </c>
      <c r="G547" s="88">
        <f>VLOOKUP(A547,'Current week'!$A$3:$F$1765,6,0)</f>
        <v>1</v>
      </c>
      <c r="H547" s="101">
        <f t="shared" si="24"/>
        <v>0</v>
      </c>
      <c r="I547" s="101">
        <f t="shared" si="25"/>
        <v>0</v>
      </c>
      <c r="L547" s="112"/>
    </row>
    <row r="548" spans="1:12" x14ac:dyDescent="0.25">
      <c r="A548" s="23" t="s">
        <v>3068</v>
      </c>
      <c r="B548" s="23" t="s">
        <v>907</v>
      </c>
      <c r="C548" s="24" t="s">
        <v>908</v>
      </c>
      <c r="D548" s="25">
        <v>28182.47</v>
      </c>
      <c r="E548" s="88">
        <f>VLOOKUP(A548,'Previous week'!$A$3:$F$1765,6,FALSE)</f>
        <v>1</v>
      </c>
      <c r="F548" s="22">
        <f t="shared" si="26"/>
        <v>0</v>
      </c>
      <c r="G548" s="88">
        <f>VLOOKUP(A548,'Current week'!$A$3:$F$1765,6,0)</f>
        <v>1</v>
      </c>
      <c r="H548" s="102">
        <f t="shared" si="24"/>
        <v>28182.47</v>
      </c>
      <c r="I548" s="102">
        <f t="shared" si="25"/>
        <v>0</v>
      </c>
      <c r="L548" s="112"/>
    </row>
    <row r="549" spans="1:12" x14ac:dyDescent="0.25">
      <c r="A549" s="62" t="s">
        <v>3069</v>
      </c>
      <c r="B549" s="62" t="s">
        <v>909</v>
      </c>
      <c r="C549" s="63"/>
      <c r="D549" s="74">
        <v>11460869.58</v>
      </c>
      <c r="E549" s="97">
        <f>'Previous week'!F549</f>
        <v>1</v>
      </c>
      <c r="F549" s="65">
        <f t="shared" si="26"/>
        <v>0</v>
      </c>
      <c r="G549" s="97">
        <f>'Current week'!F549</f>
        <v>1</v>
      </c>
      <c r="H549" s="109">
        <f t="shared" si="24"/>
        <v>11460869.58</v>
      </c>
      <c r="I549" s="109">
        <f t="shared" si="25"/>
        <v>0</v>
      </c>
      <c r="L549" s="112"/>
    </row>
    <row r="550" spans="1:12" x14ac:dyDescent="0.25">
      <c r="A550" s="19" t="s">
        <v>3070</v>
      </c>
      <c r="B550" s="19" t="s">
        <v>160</v>
      </c>
      <c r="C550" s="20"/>
      <c r="D550" s="21">
        <v>5193206.54</v>
      </c>
      <c r="E550" s="88">
        <f>VLOOKUP(A550,'Previous week'!$A$3:$F$1765,6,FALSE)</f>
        <v>1</v>
      </c>
      <c r="F550" s="22">
        <f t="shared" si="26"/>
        <v>0</v>
      </c>
      <c r="G550" s="88">
        <f>VLOOKUP(A550,'Current week'!$A$3:$F$1765,6,0)</f>
        <v>1</v>
      </c>
      <c r="H550" s="101">
        <f t="shared" si="24"/>
        <v>5193206.54</v>
      </c>
      <c r="I550" s="101">
        <f t="shared" si="25"/>
        <v>0</v>
      </c>
      <c r="L550" s="112"/>
    </row>
    <row r="551" spans="1:12" x14ac:dyDescent="0.25">
      <c r="A551" s="23" t="s">
        <v>2759</v>
      </c>
      <c r="B551" s="23" t="s">
        <v>161</v>
      </c>
      <c r="C551" s="24"/>
      <c r="D551" s="71">
        <v>1611684.79</v>
      </c>
      <c r="E551" s="88">
        <f>VLOOKUP(A551,'Previous week'!$A$3:$F$1765,6,FALSE)</f>
        <v>0</v>
      </c>
      <c r="F551" s="22">
        <f t="shared" si="26"/>
        <v>0</v>
      </c>
      <c r="G551" s="88">
        <f>VLOOKUP(A551,'Current week'!$A$3:$F$1765,6,0)</f>
        <v>0</v>
      </c>
      <c r="H551" s="102">
        <f t="shared" si="24"/>
        <v>0</v>
      </c>
      <c r="I551" s="102">
        <f t="shared" si="25"/>
        <v>0</v>
      </c>
      <c r="L551" s="112"/>
    </row>
    <row r="552" spans="1:12" x14ac:dyDescent="0.25">
      <c r="A552" s="62" t="s">
        <v>2760</v>
      </c>
      <c r="B552" s="62" t="s">
        <v>162</v>
      </c>
      <c r="C552" s="63"/>
      <c r="D552" s="74">
        <v>179076.09</v>
      </c>
      <c r="E552" s="97">
        <f>'Previous week'!F552</f>
        <v>1</v>
      </c>
      <c r="F552" s="65">
        <f t="shared" si="26"/>
        <v>0</v>
      </c>
      <c r="G552" s="97">
        <f>'Current week'!F552</f>
        <v>1</v>
      </c>
      <c r="H552" s="109">
        <f t="shared" si="24"/>
        <v>179076.09</v>
      </c>
      <c r="I552" s="109">
        <f t="shared" si="25"/>
        <v>0</v>
      </c>
      <c r="L552" s="112"/>
    </row>
    <row r="553" spans="1:12" x14ac:dyDescent="0.25">
      <c r="A553" s="19" t="s">
        <v>3071</v>
      </c>
      <c r="B553" s="19" t="s">
        <v>910</v>
      </c>
      <c r="C553" s="20" t="s">
        <v>163</v>
      </c>
      <c r="D553" s="21">
        <v>0</v>
      </c>
      <c r="E553" s="88">
        <f>VLOOKUP(A553,'Previous week'!$A$3:$F$1765,6,FALSE)</f>
        <v>1</v>
      </c>
      <c r="F553" s="22">
        <f t="shared" si="26"/>
        <v>0</v>
      </c>
      <c r="G553" s="88">
        <f>VLOOKUP(A553,'Current week'!$A$3:$F$1765,6,0)</f>
        <v>1</v>
      </c>
      <c r="H553" s="101">
        <f t="shared" si="24"/>
        <v>0</v>
      </c>
      <c r="I553" s="101">
        <f t="shared" si="25"/>
        <v>0</v>
      </c>
      <c r="L553" s="112"/>
    </row>
    <row r="554" spans="1:12" x14ac:dyDescent="0.25">
      <c r="A554" s="23" t="s">
        <v>3072</v>
      </c>
      <c r="B554" s="23" t="s">
        <v>911</v>
      </c>
      <c r="C554" s="24" t="s">
        <v>164</v>
      </c>
      <c r="D554" s="71">
        <v>0</v>
      </c>
      <c r="E554" s="88">
        <f>VLOOKUP(A554,'Previous week'!$A$3:$F$1765,6,FALSE)</f>
        <v>1</v>
      </c>
      <c r="F554" s="22">
        <f t="shared" si="26"/>
        <v>0</v>
      </c>
      <c r="G554" s="88">
        <f>VLOOKUP(A554,'Current week'!$A$3:$F$1765,6,0)</f>
        <v>1</v>
      </c>
      <c r="H554" s="102">
        <f t="shared" si="24"/>
        <v>0</v>
      </c>
      <c r="I554" s="102">
        <f t="shared" si="25"/>
        <v>0</v>
      </c>
      <c r="L554" s="112"/>
    </row>
    <row r="555" spans="1:12" x14ac:dyDescent="0.25">
      <c r="A555" s="62" t="s">
        <v>3073</v>
      </c>
      <c r="B555" s="62" t="s">
        <v>912</v>
      </c>
      <c r="C555" s="63" t="s">
        <v>913</v>
      </c>
      <c r="D555" s="74">
        <v>89538.05</v>
      </c>
      <c r="E555" s="97">
        <f>'Previous week'!F555</f>
        <v>1</v>
      </c>
      <c r="F555" s="65">
        <f t="shared" si="26"/>
        <v>0</v>
      </c>
      <c r="G555" s="97">
        <f>'Current week'!F555</f>
        <v>1</v>
      </c>
      <c r="H555" s="109">
        <f t="shared" si="24"/>
        <v>89538.05</v>
      </c>
      <c r="I555" s="109">
        <f t="shared" si="25"/>
        <v>0</v>
      </c>
      <c r="L555" s="112"/>
    </row>
    <row r="556" spans="1:12" x14ac:dyDescent="0.25">
      <c r="A556" s="19" t="s">
        <v>3074</v>
      </c>
      <c r="B556" s="19" t="s">
        <v>914</v>
      </c>
      <c r="C556" s="20" t="s">
        <v>915</v>
      </c>
      <c r="D556" s="21">
        <v>89538.05</v>
      </c>
      <c r="E556" s="88">
        <f>VLOOKUP(A556,'Previous week'!$A$3:$F$1765,6,FALSE)</f>
        <v>1</v>
      </c>
      <c r="F556" s="22">
        <f t="shared" si="26"/>
        <v>0</v>
      </c>
      <c r="G556" s="88">
        <f>VLOOKUP(A556,'Current week'!$A$3:$F$1765,6,0)</f>
        <v>1</v>
      </c>
      <c r="H556" s="101">
        <f t="shared" si="24"/>
        <v>89538.05</v>
      </c>
      <c r="I556" s="101">
        <f t="shared" si="25"/>
        <v>0</v>
      </c>
      <c r="L556" s="112"/>
    </row>
    <row r="557" spans="1:12" x14ac:dyDescent="0.25">
      <c r="A557" s="23" t="s">
        <v>2763</v>
      </c>
      <c r="B557" s="23" t="s">
        <v>165</v>
      </c>
      <c r="C557" s="24"/>
      <c r="D557" s="71">
        <v>179076.09</v>
      </c>
      <c r="E557" s="88">
        <f>VLOOKUP(A557,'Previous week'!$A$3:$F$1765,6,FALSE)</f>
        <v>0</v>
      </c>
      <c r="F557" s="22">
        <f t="shared" si="26"/>
        <v>0</v>
      </c>
      <c r="G557" s="88">
        <f>VLOOKUP(A557,'Current week'!$A$3:$F$1765,6,0)</f>
        <v>0</v>
      </c>
      <c r="H557" s="102">
        <f t="shared" si="24"/>
        <v>0</v>
      </c>
      <c r="I557" s="102">
        <f t="shared" si="25"/>
        <v>0</v>
      </c>
      <c r="L557" s="112"/>
    </row>
    <row r="558" spans="1:12" x14ac:dyDescent="0.25">
      <c r="A558" s="62" t="s">
        <v>3075</v>
      </c>
      <c r="B558" s="62" t="s">
        <v>916</v>
      </c>
      <c r="C558" s="63" t="s">
        <v>166</v>
      </c>
      <c r="D558" s="74">
        <v>0</v>
      </c>
      <c r="E558" s="97">
        <f>'Previous week'!F558</f>
        <v>1</v>
      </c>
      <c r="F558" s="65">
        <f t="shared" si="26"/>
        <v>0</v>
      </c>
      <c r="G558" s="97">
        <f>'Current week'!F558</f>
        <v>1</v>
      </c>
      <c r="H558" s="109">
        <f t="shared" si="24"/>
        <v>0</v>
      </c>
      <c r="I558" s="109">
        <f t="shared" si="25"/>
        <v>0</v>
      </c>
      <c r="L558" s="112"/>
    </row>
    <row r="559" spans="1:12" x14ac:dyDescent="0.25">
      <c r="A559" s="19" t="s">
        <v>3076</v>
      </c>
      <c r="B559" s="19" t="s">
        <v>917</v>
      </c>
      <c r="C559" s="20" t="s">
        <v>167</v>
      </c>
      <c r="D559" s="21">
        <v>179076.09</v>
      </c>
      <c r="E559" s="88">
        <f>VLOOKUP(A559,'Previous week'!$A$3:$F$1765,6,FALSE)</f>
        <v>1</v>
      </c>
      <c r="F559" s="22">
        <f t="shared" si="26"/>
        <v>0</v>
      </c>
      <c r="G559" s="88">
        <f>VLOOKUP(A559,'Current week'!$A$3:$F$1765,6,0)</f>
        <v>1</v>
      </c>
      <c r="H559" s="101">
        <f t="shared" si="24"/>
        <v>179076.09</v>
      </c>
      <c r="I559" s="101">
        <f t="shared" si="25"/>
        <v>0</v>
      </c>
      <c r="L559" s="112"/>
    </row>
    <row r="560" spans="1:12" x14ac:dyDescent="0.25">
      <c r="A560" s="23" t="s">
        <v>2766</v>
      </c>
      <c r="B560" s="23" t="s">
        <v>168</v>
      </c>
      <c r="C560" s="24"/>
      <c r="D560" s="71">
        <v>179076.09</v>
      </c>
      <c r="E560" s="88">
        <f>VLOOKUP(A560,'Previous week'!$A$3:$F$1765,6,FALSE)</f>
        <v>0</v>
      </c>
      <c r="F560" s="22">
        <f t="shared" si="26"/>
        <v>0</v>
      </c>
      <c r="G560" s="88">
        <f>VLOOKUP(A560,'Current week'!$A$3:$F$1765,6,0)</f>
        <v>0</v>
      </c>
      <c r="H560" s="102">
        <f t="shared" si="24"/>
        <v>0</v>
      </c>
      <c r="I560" s="102">
        <f t="shared" si="25"/>
        <v>0</v>
      </c>
      <c r="L560" s="112"/>
    </row>
    <row r="561" spans="1:12" x14ac:dyDescent="0.25">
      <c r="A561" s="62" t="s">
        <v>3077</v>
      </c>
      <c r="B561" s="62" t="s">
        <v>918</v>
      </c>
      <c r="C561" s="63" t="s">
        <v>169</v>
      </c>
      <c r="D561" s="64">
        <v>0</v>
      </c>
      <c r="E561" s="97">
        <f>'Previous week'!F561</f>
        <v>1</v>
      </c>
      <c r="F561" s="65">
        <f t="shared" si="26"/>
        <v>0</v>
      </c>
      <c r="G561" s="97">
        <f>'Current week'!F561</f>
        <v>1</v>
      </c>
      <c r="H561" s="109">
        <f t="shared" si="24"/>
        <v>0</v>
      </c>
      <c r="I561" s="109">
        <f t="shared" si="25"/>
        <v>0</v>
      </c>
      <c r="L561" s="112"/>
    </row>
    <row r="562" spans="1:12" x14ac:dyDescent="0.25">
      <c r="A562" s="19" t="s">
        <v>3078</v>
      </c>
      <c r="B562" s="19" t="s">
        <v>919</v>
      </c>
      <c r="C562" s="20" t="s">
        <v>920</v>
      </c>
      <c r="D562" s="21">
        <v>0</v>
      </c>
      <c r="E562" s="88">
        <f>VLOOKUP(A562,'Previous week'!$A$3:$F$1765,6,FALSE)</f>
        <v>1</v>
      </c>
      <c r="F562" s="22">
        <f t="shared" si="26"/>
        <v>0</v>
      </c>
      <c r="G562" s="88">
        <f>VLOOKUP(A562,'Current week'!$A$3:$F$1765,6,0)</f>
        <v>1</v>
      </c>
      <c r="H562" s="101">
        <f t="shared" si="24"/>
        <v>0</v>
      </c>
      <c r="I562" s="101">
        <f t="shared" si="25"/>
        <v>0</v>
      </c>
      <c r="L562" s="112"/>
    </row>
    <row r="563" spans="1:12" x14ac:dyDescent="0.25">
      <c r="A563" s="23" t="s">
        <v>3079</v>
      </c>
      <c r="B563" s="23" t="s">
        <v>921</v>
      </c>
      <c r="C563" s="24" t="s">
        <v>170</v>
      </c>
      <c r="D563" s="25">
        <v>179076.09</v>
      </c>
      <c r="E563" s="88">
        <f>VLOOKUP(A563,'Previous week'!$A$3:$F$1765,6,FALSE)</f>
        <v>1</v>
      </c>
      <c r="F563" s="22">
        <f t="shared" si="26"/>
        <v>0</v>
      </c>
      <c r="G563" s="88">
        <f>VLOOKUP(A563,'Current week'!$A$3:$F$1765,6,0)</f>
        <v>1</v>
      </c>
      <c r="H563" s="102">
        <f t="shared" si="24"/>
        <v>179076.09</v>
      </c>
      <c r="I563" s="102">
        <f t="shared" si="25"/>
        <v>0</v>
      </c>
      <c r="L563" s="112"/>
    </row>
    <row r="564" spans="1:12" x14ac:dyDescent="0.25">
      <c r="A564" s="62" t="s">
        <v>2769</v>
      </c>
      <c r="B564" s="62" t="s">
        <v>171</v>
      </c>
      <c r="C564" s="63"/>
      <c r="D564" s="74">
        <v>179076.09</v>
      </c>
      <c r="E564" s="97">
        <f>'Previous week'!F564</f>
        <v>1</v>
      </c>
      <c r="F564" s="65">
        <f t="shared" si="26"/>
        <v>0</v>
      </c>
      <c r="G564" s="97">
        <f>'Current week'!F564</f>
        <v>1</v>
      </c>
      <c r="H564" s="109">
        <f t="shared" si="24"/>
        <v>179076.09</v>
      </c>
      <c r="I564" s="109">
        <f t="shared" si="25"/>
        <v>0</v>
      </c>
      <c r="L564" s="112"/>
    </row>
    <row r="565" spans="1:12" x14ac:dyDescent="0.25">
      <c r="A565" s="19" t="s">
        <v>3080</v>
      </c>
      <c r="B565" s="19" t="s">
        <v>922</v>
      </c>
      <c r="C565" s="20" t="s">
        <v>923</v>
      </c>
      <c r="D565" s="21">
        <v>0</v>
      </c>
      <c r="E565" s="88">
        <f>VLOOKUP(A565,'Previous week'!$A$3:$F$1765,6,FALSE)</f>
        <v>1</v>
      </c>
      <c r="F565" s="22">
        <f t="shared" si="26"/>
        <v>0</v>
      </c>
      <c r="G565" s="88">
        <f>VLOOKUP(A565,'Current week'!$A$3:$F$1765,6,0)</f>
        <v>1</v>
      </c>
      <c r="H565" s="101">
        <f t="shared" si="24"/>
        <v>0</v>
      </c>
      <c r="I565" s="101">
        <f t="shared" si="25"/>
        <v>0</v>
      </c>
      <c r="L565" s="112"/>
    </row>
    <row r="566" spans="1:12" x14ac:dyDescent="0.25">
      <c r="A566" s="23" t="s">
        <v>3081</v>
      </c>
      <c r="B566" s="23" t="s">
        <v>924</v>
      </c>
      <c r="C566" s="24" t="s">
        <v>925</v>
      </c>
      <c r="D566" s="71">
        <v>89538.05</v>
      </c>
      <c r="E566" s="88">
        <f>VLOOKUP(A566,'Previous week'!$A$3:$F$1765,6,FALSE)</f>
        <v>1</v>
      </c>
      <c r="F566" s="22">
        <f t="shared" si="26"/>
        <v>0</v>
      </c>
      <c r="G566" s="88">
        <f>VLOOKUP(A566,'Current week'!$A$3:$F$1765,6,0)</f>
        <v>1</v>
      </c>
      <c r="H566" s="102">
        <f t="shared" si="24"/>
        <v>89538.05</v>
      </c>
      <c r="I566" s="102">
        <f t="shared" si="25"/>
        <v>0</v>
      </c>
      <c r="L566" s="112"/>
    </row>
    <row r="567" spans="1:12" x14ac:dyDescent="0.25">
      <c r="A567" s="58" t="s">
        <v>3082</v>
      </c>
      <c r="B567" s="58" t="s">
        <v>926</v>
      </c>
      <c r="C567" s="59" t="s">
        <v>927</v>
      </c>
      <c r="D567" s="72">
        <v>89538.05</v>
      </c>
      <c r="E567" s="96">
        <f>'Previous week'!F567</f>
        <v>1</v>
      </c>
      <c r="F567" s="61">
        <f t="shared" si="26"/>
        <v>0</v>
      </c>
      <c r="G567" s="96">
        <f>'Current week'!F567</f>
        <v>1</v>
      </c>
      <c r="H567" s="108">
        <f t="shared" si="24"/>
        <v>89538.05</v>
      </c>
      <c r="I567" s="108">
        <f t="shared" si="25"/>
        <v>0</v>
      </c>
      <c r="L567" s="112"/>
    </row>
    <row r="568" spans="1:12" x14ac:dyDescent="0.25">
      <c r="A568" s="62" t="s">
        <v>2772</v>
      </c>
      <c r="B568" s="62" t="s">
        <v>172</v>
      </c>
      <c r="C568" s="63"/>
      <c r="D568" s="74">
        <v>179076.09</v>
      </c>
      <c r="E568" s="97">
        <f>'Previous week'!F568</f>
        <v>1</v>
      </c>
      <c r="F568" s="65">
        <f t="shared" si="26"/>
        <v>0</v>
      </c>
      <c r="G568" s="97">
        <f>'Current week'!F568</f>
        <v>1</v>
      </c>
      <c r="H568" s="109">
        <f t="shared" si="24"/>
        <v>179076.09</v>
      </c>
      <c r="I568" s="109">
        <f t="shared" si="25"/>
        <v>0</v>
      </c>
      <c r="L568" s="112"/>
    </row>
    <row r="569" spans="1:12" x14ac:dyDescent="0.25">
      <c r="A569" s="19" t="s">
        <v>3083</v>
      </c>
      <c r="B569" s="19" t="s">
        <v>928</v>
      </c>
      <c r="C569" s="20" t="s">
        <v>173</v>
      </c>
      <c r="D569" s="21">
        <v>0</v>
      </c>
      <c r="E569" s="88">
        <f>VLOOKUP(A569,'Previous week'!$A$3:$F$1765,6,FALSE)</f>
        <v>1</v>
      </c>
      <c r="F569" s="22">
        <f t="shared" si="26"/>
        <v>0</v>
      </c>
      <c r="G569" s="88">
        <f>VLOOKUP(A569,'Current week'!$A$3:$F$1765,6,0)</f>
        <v>1</v>
      </c>
      <c r="H569" s="101">
        <f t="shared" si="24"/>
        <v>0</v>
      </c>
      <c r="I569" s="101">
        <f t="shared" si="25"/>
        <v>0</v>
      </c>
      <c r="L569" s="112"/>
    </row>
    <row r="570" spans="1:12" x14ac:dyDescent="0.25">
      <c r="A570" s="23" t="s">
        <v>3084</v>
      </c>
      <c r="B570" s="23" t="s">
        <v>929</v>
      </c>
      <c r="C570" s="24" t="s">
        <v>174</v>
      </c>
      <c r="D570" s="71">
        <v>179076.09</v>
      </c>
      <c r="E570" s="88">
        <f>VLOOKUP(A570,'Previous week'!$A$3:$F$1765,6,FALSE)</f>
        <v>1</v>
      </c>
      <c r="F570" s="22">
        <f t="shared" si="26"/>
        <v>0</v>
      </c>
      <c r="G570" s="88">
        <f>VLOOKUP(A570,'Current week'!$A$3:$F$1765,6,0)</f>
        <v>1</v>
      </c>
      <c r="H570" s="102">
        <f t="shared" si="24"/>
        <v>179076.09</v>
      </c>
      <c r="I570" s="102">
        <f t="shared" si="25"/>
        <v>0</v>
      </c>
      <c r="L570" s="112"/>
    </row>
    <row r="571" spans="1:12" x14ac:dyDescent="0.25">
      <c r="A571" s="62" t="s">
        <v>2775</v>
      </c>
      <c r="B571" s="62" t="s">
        <v>175</v>
      </c>
      <c r="C571" s="63"/>
      <c r="D571" s="64">
        <v>179076.09</v>
      </c>
      <c r="E571" s="97">
        <f>'Previous week'!F571</f>
        <v>1</v>
      </c>
      <c r="F571" s="65">
        <f t="shared" si="26"/>
        <v>0</v>
      </c>
      <c r="G571" s="97">
        <f>'Current week'!F571</f>
        <v>1</v>
      </c>
      <c r="H571" s="109">
        <f t="shared" si="24"/>
        <v>179076.09</v>
      </c>
      <c r="I571" s="109">
        <f t="shared" si="25"/>
        <v>0</v>
      </c>
      <c r="L571" s="112"/>
    </row>
    <row r="572" spans="1:12" x14ac:dyDescent="0.25">
      <c r="A572" s="19" t="s">
        <v>3085</v>
      </c>
      <c r="B572" s="19" t="s">
        <v>930</v>
      </c>
      <c r="C572" s="20" t="s">
        <v>176</v>
      </c>
      <c r="D572" s="21">
        <v>0</v>
      </c>
      <c r="E572" s="88">
        <f>VLOOKUP(A572,'Previous week'!$A$3:$F$1765,6,FALSE)</f>
        <v>1</v>
      </c>
      <c r="F572" s="22">
        <f t="shared" si="26"/>
        <v>0</v>
      </c>
      <c r="G572" s="88">
        <f>VLOOKUP(A572,'Current week'!$A$3:$F$1765,6,0)</f>
        <v>1</v>
      </c>
      <c r="H572" s="101">
        <f t="shared" si="24"/>
        <v>0</v>
      </c>
      <c r="I572" s="101">
        <f t="shared" si="25"/>
        <v>0</v>
      </c>
      <c r="L572" s="112"/>
    </row>
    <row r="573" spans="1:12" x14ac:dyDescent="0.25">
      <c r="A573" s="23" t="s">
        <v>3086</v>
      </c>
      <c r="B573" s="23" t="s">
        <v>931</v>
      </c>
      <c r="C573" s="24" t="s">
        <v>177</v>
      </c>
      <c r="D573" s="25">
        <v>0</v>
      </c>
      <c r="E573" s="88">
        <f>VLOOKUP(A573,'Previous week'!$A$3:$F$1765,6,FALSE)</f>
        <v>1</v>
      </c>
      <c r="F573" s="22">
        <f t="shared" si="26"/>
        <v>0</v>
      </c>
      <c r="G573" s="88">
        <f>VLOOKUP(A573,'Current week'!$A$3:$F$1765,6,0)</f>
        <v>1</v>
      </c>
      <c r="H573" s="102">
        <f t="shared" si="24"/>
        <v>0</v>
      </c>
      <c r="I573" s="102">
        <f t="shared" si="25"/>
        <v>0</v>
      </c>
      <c r="L573" s="112"/>
    </row>
    <row r="574" spans="1:12" x14ac:dyDescent="0.25">
      <c r="A574" s="11" t="s">
        <v>3087</v>
      </c>
      <c r="B574" s="11" t="s">
        <v>932</v>
      </c>
      <c r="C574" s="12" t="s">
        <v>178</v>
      </c>
      <c r="D574" s="39">
        <v>179076.09</v>
      </c>
      <c r="E574" s="86"/>
      <c r="F574" s="40">
        <f t="shared" si="26"/>
        <v>0</v>
      </c>
      <c r="G574" s="86"/>
      <c r="H574" s="99"/>
      <c r="I574" s="99"/>
      <c r="L574" s="112"/>
    </row>
    <row r="575" spans="1:12" x14ac:dyDescent="0.25">
      <c r="A575" s="26" t="s">
        <v>2778</v>
      </c>
      <c r="B575" s="26" t="s">
        <v>179</v>
      </c>
      <c r="C575" s="27"/>
      <c r="D575" s="49">
        <v>179076.09</v>
      </c>
      <c r="E575" s="89"/>
      <c r="F575" s="18">
        <f t="shared" si="26"/>
        <v>0</v>
      </c>
      <c r="G575" s="89"/>
      <c r="H575" s="100"/>
      <c r="I575" s="100"/>
      <c r="L575" s="112"/>
    </row>
    <row r="576" spans="1:12" x14ac:dyDescent="0.25">
      <c r="A576" s="41" t="s">
        <v>3088</v>
      </c>
      <c r="B576" s="41" t="s">
        <v>933</v>
      </c>
      <c r="C576" s="42" t="s">
        <v>180</v>
      </c>
      <c r="D576" s="43">
        <v>0</v>
      </c>
      <c r="E576" s="91"/>
      <c r="F576" s="44">
        <f t="shared" si="26"/>
        <v>0</v>
      </c>
      <c r="G576" s="91"/>
      <c r="H576" s="103"/>
      <c r="I576" s="103"/>
      <c r="L576" s="112"/>
    </row>
    <row r="577" spans="1:12" x14ac:dyDescent="0.25">
      <c r="A577" s="45" t="s">
        <v>3089</v>
      </c>
      <c r="B577" s="45" t="s">
        <v>934</v>
      </c>
      <c r="C577" s="46" t="s">
        <v>181</v>
      </c>
      <c r="D577" s="47">
        <v>0</v>
      </c>
      <c r="E577" s="92"/>
      <c r="F577" s="48">
        <f t="shared" si="26"/>
        <v>0</v>
      </c>
      <c r="G577" s="92"/>
      <c r="H577" s="106"/>
      <c r="I577" s="106"/>
      <c r="L577" s="112"/>
    </row>
    <row r="578" spans="1:12" x14ac:dyDescent="0.25">
      <c r="A578" s="19" t="s">
        <v>3090</v>
      </c>
      <c r="B578" s="19" t="s">
        <v>935</v>
      </c>
      <c r="C578" s="20" t="s">
        <v>182</v>
      </c>
      <c r="D578" s="21">
        <v>179076.09</v>
      </c>
      <c r="E578" s="88">
        <f>VLOOKUP(A578,'Previous week'!$A$3:$F$1765,6,FALSE)</f>
        <v>1</v>
      </c>
      <c r="F578" s="22">
        <f t="shared" si="26"/>
        <v>0</v>
      </c>
      <c r="G578" s="88">
        <f>VLOOKUP(A578,'Current week'!$A$3:$F$1765,6,0)</f>
        <v>1</v>
      </c>
      <c r="H578" s="101">
        <f t="shared" ref="H578:H641" si="27">G578*D578</f>
        <v>179076.09</v>
      </c>
      <c r="I578" s="101">
        <f t="shared" ref="I578:I641" si="28">F578*D578</f>
        <v>0</v>
      </c>
      <c r="L578" s="112"/>
    </row>
    <row r="579" spans="1:12" x14ac:dyDescent="0.25">
      <c r="A579" s="33" t="s">
        <v>2781</v>
      </c>
      <c r="B579" s="33" t="s">
        <v>183</v>
      </c>
      <c r="C579" s="34"/>
      <c r="D579" s="35">
        <v>179076.09</v>
      </c>
      <c r="E579" s="88">
        <f>VLOOKUP(A579,'Previous week'!$A$3:$F$1765,6,FALSE)</f>
        <v>0</v>
      </c>
      <c r="F579" s="22">
        <f t="shared" ref="F579:F642" si="29">G579-E579</f>
        <v>0</v>
      </c>
      <c r="G579" s="88">
        <f>VLOOKUP(A579,'Current week'!$A$3:$F$1765,6,0)</f>
        <v>0</v>
      </c>
      <c r="H579" s="104">
        <f t="shared" si="27"/>
        <v>0</v>
      </c>
      <c r="I579" s="104">
        <f t="shared" si="28"/>
        <v>0</v>
      </c>
      <c r="L579" s="112"/>
    </row>
    <row r="580" spans="1:12" x14ac:dyDescent="0.25">
      <c r="A580" s="23" t="s">
        <v>3091</v>
      </c>
      <c r="B580" s="23" t="s">
        <v>936</v>
      </c>
      <c r="C580" s="24" t="s">
        <v>184</v>
      </c>
      <c r="D580" s="25">
        <v>0</v>
      </c>
      <c r="E580" s="88">
        <f>VLOOKUP(A580,'Previous week'!$A$3:$F$1765,6,FALSE)</f>
        <v>1</v>
      </c>
      <c r="F580" s="22">
        <f t="shared" si="29"/>
        <v>0</v>
      </c>
      <c r="G580" s="88">
        <f>VLOOKUP(A580,'Current week'!$A$3:$F$1765,6,0)</f>
        <v>1</v>
      </c>
      <c r="H580" s="102">
        <f t="shared" si="27"/>
        <v>0</v>
      </c>
      <c r="I580" s="102">
        <f t="shared" si="28"/>
        <v>0</v>
      </c>
      <c r="L580" s="112"/>
    </row>
    <row r="581" spans="1:12" x14ac:dyDescent="0.25">
      <c r="A581" s="45" t="s">
        <v>3092</v>
      </c>
      <c r="B581" s="45" t="s">
        <v>937</v>
      </c>
      <c r="C581" s="46" t="s">
        <v>938</v>
      </c>
      <c r="D581" s="47">
        <v>0</v>
      </c>
      <c r="E581" s="92"/>
      <c r="F581" s="48">
        <f t="shared" si="29"/>
        <v>0</v>
      </c>
      <c r="G581" s="92"/>
      <c r="H581" s="106"/>
      <c r="I581" s="106"/>
      <c r="L581" s="112"/>
    </row>
    <row r="582" spans="1:12" x14ac:dyDescent="0.25">
      <c r="A582" s="19" t="s">
        <v>3093</v>
      </c>
      <c r="B582" s="19" t="s">
        <v>939</v>
      </c>
      <c r="C582" s="20" t="s">
        <v>185</v>
      </c>
      <c r="D582" s="21">
        <v>179076.09</v>
      </c>
      <c r="E582" s="88">
        <f>VLOOKUP(A582,'Previous week'!$A$3:$F$1765,6,FALSE)</f>
        <v>1</v>
      </c>
      <c r="F582" s="22">
        <f t="shared" si="29"/>
        <v>0</v>
      </c>
      <c r="G582" s="88">
        <f>VLOOKUP(A582,'Current week'!$A$3:$F$1765,6,0)</f>
        <v>1</v>
      </c>
      <c r="H582" s="101">
        <f t="shared" si="27"/>
        <v>179076.09</v>
      </c>
      <c r="I582" s="101">
        <f t="shared" si="28"/>
        <v>0</v>
      </c>
      <c r="L582" s="112"/>
    </row>
    <row r="583" spans="1:12" x14ac:dyDescent="0.25">
      <c r="A583" s="23" t="s">
        <v>2784</v>
      </c>
      <c r="B583" s="23" t="s">
        <v>186</v>
      </c>
      <c r="C583" s="24"/>
      <c r="D583" s="25">
        <v>179076.09</v>
      </c>
      <c r="E583" s="88">
        <f>VLOOKUP(A583,'Previous week'!$A$3:$F$1765,6,FALSE)</f>
        <v>0</v>
      </c>
      <c r="F583" s="22">
        <f t="shared" si="29"/>
        <v>0</v>
      </c>
      <c r="G583" s="88">
        <f>VLOOKUP(A583,'Current week'!$A$3:$F$1765,6,0)</f>
        <v>0</v>
      </c>
      <c r="H583" s="102">
        <f t="shared" si="27"/>
        <v>0</v>
      </c>
      <c r="I583" s="102">
        <f t="shared" si="28"/>
        <v>0</v>
      </c>
      <c r="L583" s="112"/>
    </row>
    <row r="584" spans="1:12" x14ac:dyDescent="0.25">
      <c r="A584" s="45" t="s">
        <v>3094</v>
      </c>
      <c r="B584" s="45" t="s">
        <v>940</v>
      </c>
      <c r="C584" s="46" t="s">
        <v>187</v>
      </c>
      <c r="D584" s="47">
        <v>0</v>
      </c>
      <c r="E584" s="92"/>
      <c r="F584" s="48">
        <f t="shared" si="29"/>
        <v>0</v>
      </c>
      <c r="G584" s="92"/>
      <c r="H584" s="106"/>
      <c r="I584" s="106"/>
      <c r="L584" s="112"/>
    </row>
    <row r="585" spans="1:12" x14ac:dyDescent="0.25">
      <c r="A585" s="19" t="s">
        <v>3095</v>
      </c>
      <c r="B585" s="19" t="s">
        <v>941</v>
      </c>
      <c r="C585" s="20" t="s">
        <v>188</v>
      </c>
      <c r="D585" s="21">
        <v>0</v>
      </c>
      <c r="E585" s="88">
        <f>VLOOKUP(A585,'Previous week'!$A$3:$F$1765,6,FALSE)</f>
        <v>1</v>
      </c>
      <c r="F585" s="22">
        <f t="shared" si="29"/>
        <v>0</v>
      </c>
      <c r="G585" s="88">
        <f>VLOOKUP(A585,'Current week'!$A$3:$F$1765,6,0)</f>
        <v>1</v>
      </c>
      <c r="H585" s="101">
        <f t="shared" si="27"/>
        <v>0</v>
      </c>
      <c r="I585" s="101">
        <f t="shared" si="28"/>
        <v>0</v>
      </c>
      <c r="L585" s="112"/>
    </row>
    <row r="586" spans="1:12" x14ac:dyDescent="0.25">
      <c r="A586" s="23" t="s">
        <v>3096</v>
      </c>
      <c r="B586" s="23" t="s">
        <v>942</v>
      </c>
      <c r="C586" s="24" t="s">
        <v>189</v>
      </c>
      <c r="D586" s="25">
        <v>179076.09</v>
      </c>
      <c r="E586" s="88">
        <f>VLOOKUP(A586,'Previous week'!$A$3:$F$1765,6,FALSE)</f>
        <v>1</v>
      </c>
      <c r="F586" s="22">
        <f t="shared" si="29"/>
        <v>0</v>
      </c>
      <c r="G586" s="88">
        <f>VLOOKUP(A586,'Current week'!$A$3:$F$1765,6,0)</f>
        <v>1</v>
      </c>
      <c r="H586" s="102">
        <f t="shared" si="27"/>
        <v>179076.09</v>
      </c>
      <c r="I586" s="102">
        <f t="shared" si="28"/>
        <v>0</v>
      </c>
      <c r="L586" s="112"/>
    </row>
    <row r="587" spans="1:12" x14ac:dyDescent="0.25">
      <c r="A587" s="45" t="s">
        <v>3097</v>
      </c>
      <c r="B587" s="45" t="s">
        <v>943</v>
      </c>
      <c r="C587" s="46"/>
      <c r="D587" s="47">
        <v>716304.35</v>
      </c>
      <c r="E587" s="92"/>
      <c r="F587" s="48">
        <f t="shared" si="29"/>
        <v>0</v>
      </c>
      <c r="G587" s="92"/>
      <c r="H587" s="106"/>
      <c r="I587" s="106"/>
      <c r="L587" s="112"/>
    </row>
    <row r="588" spans="1:12" x14ac:dyDescent="0.25">
      <c r="A588" s="19" t="s">
        <v>3098</v>
      </c>
      <c r="B588" s="19" t="s">
        <v>944</v>
      </c>
      <c r="C588" s="20"/>
      <c r="D588" s="21">
        <v>179076.09</v>
      </c>
      <c r="E588" s="88">
        <f>VLOOKUP(A588,'Previous week'!$A$3:$F$1765,6,FALSE)</f>
        <v>1</v>
      </c>
      <c r="F588" s="22">
        <f t="shared" si="29"/>
        <v>0</v>
      </c>
      <c r="G588" s="88">
        <f>VLOOKUP(A588,'Current week'!$A$3:$F$1765,6,0)</f>
        <v>1</v>
      </c>
      <c r="H588" s="101">
        <f t="shared" si="27"/>
        <v>179076.09</v>
      </c>
      <c r="I588" s="101">
        <f t="shared" si="28"/>
        <v>0</v>
      </c>
      <c r="L588" s="112"/>
    </row>
    <row r="589" spans="1:12" x14ac:dyDescent="0.25">
      <c r="A589" s="33" t="s">
        <v>3099</v>
      </c>
      <c r="B589" s="33" t="s">
        <v>945</v>
      </c>
      <c r="C589" s="34" t="s">
        <v>946</v>
      </c>
      <c r="D589" s="35">
        <v>0</v>
      </c>
      <c r="E589" s="88">
        <f>VLOOKUP(A589,'Previous week'!$A$3:$F$1765,6,FALSE)</f>
        <v>1</v>
      </c>
      <c r="F589" s="22">
        <f t="shared" si="29"/>
        <v>0</v>
      </c>
      <c r="G589" s="88">
        <f>VLOOKUP(A589,'Current week'!$A$3:$F$1765,6,0)</f>
        <v>1</v>
      </c>
      <c r="H589" s="104">
        <f t="shared" si="27"/>
        <v>0</v>
      </c>
      <c r="I589" s="104">
        <f t="shared" si="28"/>
        <v>0</v>
      </c>
      <c r="L589" s="112"/>
    </row>
    <row r="590" spans="1:12" x14ac:dyDescent="0.25">
      <c r="A590" s="23" t="s">
        <v>3100</v>
      </c>
      <c r="B590" s="23" t="s">
        <v>947</v>
      </c>
      <c r="C590" s="24" t="s">
        <v>948</v>
      </c>
      <c r="D590" s="25">
        <v>0</v>
      </c>
      <c r="E590" s="88">
        <f>VLOOKUP(A590,'Previous week'!$A$3:$F$1765,6,FALSE)</f>
        <v>1</v>
      </c>
      <c r="F590" s="22">
        <f t="shared" si="29"/>
        <v>0</v>
      </c>
      <c r="G590" s="88">
        <f>VLOOKUP(A590,'Current week'!$A$3:$F$1765,6,0)</f>
        <v>1</v>
      </c>
      <c r="H590" s="102">
        <f t="shared" si="27"/>
        <v>0</v>
      </c>
      <c r="I590" s="102">
        <f t="shared" si="28"/>
        <v>0</v>
      </c>
      <c r="L590" s="112"/>
    </row>
    <row r="591" spans="1:12" x14ac:dyDescent="0.25">
      <c r="A591" s="45" t="s">
        <v>3101</v>
      </c>
      <c r="B591" s="45" t="s">
        <v>949</v>
      </c>
      <c r="C591" s="46" t="s">
        <v>950</v>
      </c>
      <c r="D591" s="47">
        <v>0</v>
      </c>
      <c r="E591" s="92"/>
      <c r="F591" s="48">
        <f t="shared" si="29"/>
        <v>0</v>
      </c>
      <c r="G591" s="92"/>
      <c r="H591" s="106"/>
      <c r="I591" s="106"/>
      <c r="L591" s="112"/>
    </row>
    <row r="592" spans="1:12" x14ac:dyDescent="0.25">
      <c r="A592" s="19" t="s">
        <v>3102</v>
      </c>
      <c r="B592" s="19" t="s">
        <v>951</v>
      </c>
      <c r="C592" s="20" t="s">
        <v>952</v>
      </c>
      <c r="D592" s="21">
        <v>179076.09</v>
      </c>
      <c r="E592" s="88">
        <f>VLOOKUP(A592,'Previous week'!$A$3:$F$1765,6,FALSE)</f>
        <v>1</v>
      </c>
      <c r="F592" s="22">
        <f t="shared" si="29"/>
        <v>0</v>
      </c>
      <c r="G592" s="88">
        <f>VLOOKUP(A592,'Current week'!$A$3:$F$1765,6,0)</f>
        <v>1</v>
      </c>
      <c r="H592" s="101">
        <f t="shared" si="27"/>
        <v>179076.09</v>
      </c>
      <c r="I592" s="101">
        <f t="shared" si="28"/>
        <v>0</v>
      </c>
      <c r="L592" s="112"/>
    </row>
    <row r="593" spans="1:12" x14ac:dyDescent="0.25">
      <c r="A593" s="23" t="s">
        <v>3103</v>
      </c>
      <c r="B593" s="23" t="s">
        <v>953</v>
      </c>
      <c r="C593" s="24" t="s">
        <v>954</v>
      </c>
      <c r="D593" s="25">
        <v>0</v>
      </c>
      <c r="E593" s="88">
        <f>VLOOKUP(A593,'Previous week'!$A$3:$F$1765,6,FALSE)</f>
        <v>1</v>
      </c>
      <c r="F593" s="22">
        <f t="shared" si="29"/>
        <v>0</v>
      </c>
      <c r="G593" s="88">
        <f>VLOOKUP(A593,'Current week'!$A$3:$F$1765,6,0)</f>
        <v>1</v>
      </c>
      <c r="H593" s="102">
        <f t="shared" si="27"/>
        <v>0</v>
      </c>
      <c r="I593" s="102">
        <f t="shared" si="28"/>
        <v>0</v>
      </c>
      <c r="L593" s="112"/>
    </row>
    <row r="594" spans="1:12" x14ac:dyDescent="0.25">
      <c r="A594" s="45" t="s">
        <v>2788</v>
      </c>
      <c r="B594" s="45" t="s">
        <v>217</v>
      </c>
      <c r="C594" s="46"/>
      <c r="D594" s="47">
        <v>358152.18</v>
      </c>
      <c r="E594" s="92"/>
      <c r="F594" s="48">
        <f t="shared" si="29"/>
        <v>0</v>
      </c>
      <c r="G594" s="92"/>
      <c r="H594" s="106"/>
      <c r="I594" s="106"/>
      <c r="L594" s="112"/>
    </row>
    <row r="595" spans="1:12" x14ac:dyDescent="0.25">
      <c r="A595" s="19" t="s">
        <v>3104</v>
      </c>
      <c r="B595" s="19" t="s">
        <v>955</v>
      </c>
      <c r="C595" s="20" t="s">
        <v>956</v>
      </c>
      <c r="D595" s="21">
        <v>0</v>
      </c>
      <c r="E595" s="88">
        <f>VLOOKUP(A595,'Previous week'!$A$3:$F$1765,6,FALSE)</f>
        <v>1</v>
      </c>
      <c r="F595" s="22">
        <f t="shared" si="29"/>
        <v>0</v>
      </c>
      <c r="G595" s="88">
        <f>VLOOKUP(A595,'Current week'!$A$3:$F$1765,6,0)</f>
        <v>1</v>
      </c>
      <c r="H595" s="101">
        <f t="shared" si="27"/>
        <v>0</v>
      </c>
      <c r="I595" s="101">
        <f t="shared" si="28"/>
        <v>0</v>
      </c>
      <c r="L595" s="112"/>
    </row>
    <row r="596" spans="1:12" x14ac:dyDescent="0.25">
      <c r="A596" s="23" t="s">
        <v>3105</v>
      </c>
      <c r="B596" s="23" t="s">
        <v>957</v>
      </c>
      <c r="C596" s="24" t="s">
        <v>958</v>
      </c>
      <c r="D596" s="25">
        <v>0</v>
      </c>
      <c r="E596" s="88">
        <f>VLOOKUP(A596,'Previous week'!$A$3:$F$1765,6,FALSE)</f>
        <v>1</v>
      </c>
      <c r="F596" s="22">
        <f t="shared" si="29"/>
        <v>0</v>
      </c>
      <c r="G596" s="88">
        <f>VLOOKUP(A596,'Current week'!$A$3:$F$1765,6,0)</f>
        <v>1</v>
      </c>
      <c r="H596" s="102">
        <f t="shared" si="27"/>
        <v>0</v>
      </c>
      <c r="I596" s="102">
        <f t="shared" si="28"/>
        <v>0</v>
      </c>
      <c r="L596" s="112"/>
    </row>
    <row r="597" spans="1:12" x14ac:dyDescent="0.25">
      <c r="A597" s="45" t="s">
        <v>3106</v>
      </c>
      <c r="B597" s="45" t="s">
        <v>959</v>
      </c>
      <c r="C597" s="46" t="s">
        <v>960</v>
      </c>
      <c r="D597" s="47">
        <v>358152.18</v>
      </c>
      <c r="E597" s="92"/>
      <c r="F597" s="48">
        <f t="shared" si="29"/>
        <v>0</v>
      </c>
      <c r="G597" s="92"/>
      <c r="H597" s="106"/>
      <c r="I597" s="106"/>
      <c r="L597" s="112"/>
    </row>
    <row r="598" spans="1:12" x14ac:dyDescent="0.25">
      <c r="A598" s="19" t="s">
        <v>2794</v>
      </c>
      <c r="B598" s="19" t="s">
        <v>961</v>
      </c>
      <c r="C598" s="20"/>
      <c r="D598" s="21">
        <v>179076.09</v>
      </c>
      <c r="E598" s="88">
        <f>VLOOKUP(A598,'Previous week'!$A$3:$F$1765,6,FALSE)</f>
        <v>0</v>
      </c>
      <c r="F598" s="22">
        <f t="shared" si="29"/>
        <v>0</v>
      </c>
      <c r="G598" s="88">
        <f>VLOOKUP(A598,'Current week'!$A$3:$F$1765,6,0)</f>
        <v>0</v>
      </c>
      <c r="H598" s="101">
        <f t="shared" si="27"/>
        <v>0</v>
      </c>
      <c r="I598" s="101">
        <f t="shared" si="28"/>
        <v>0</v>
      </c>
      <c r="L598" s="112"/>
    </row>
    <row r="599" spans="1:12" x14ac:dyDescent="0.25">
      <c r="A599" s="33" t="s">
        <v>3107</v>
      </c>
      <c r="B599" s="33" t="s">
        <v>962</v>
      </c>
      <c r="C599" s="34" t="s">
        <v>963</v>
      </c>
      <c r="D599" s="35">
        <v>0</v>
      </c>
      <c r="E599" s="88">
        <f>VLOOKUP(A599,'Previous week'!$A$3:$F$1765,6,FALSE)</f>
        <v>1</v>
      </c>
      <c r="F599" s="22">
        <f t="shared" si="29"/>
        <v>0</v>
      </c>
      <c r="G599" s="88">
        <f>VLOOKUP(A599,'Current week'!$A$3:$F$1765,6,0)</f>
        <v>1</v>
      </c>
      <c r="H599" s="104">
        <f t="shared" si="27"/>
        <v>0</v>
      </c>
      <c r="I599" s="104">
        <f t="shared" si="28"/>
        <v>0</v>
      </c>
      <c r="L599" s="112"/>
    </row>
    <row r="600" spans="1:12" x14ac:dyDescent="0.25">
      <c r="A600" s="23" t="s">
        <v>3108</v>
      </c>
      <c r="B600" s="23" t="s">
        <v>964</v>
      </c>
      <c r="C600" s="24" t="s">
        <v>965</v>
      </c>
      <c r="D600" s="25">
        <v>0</v>
      </c>
      <c r="E600" s="88">
        <f>VLOOKUP(A600,'Previous week'!$A$3:$F$1765,6,FALSE)</f>
        <v>1</v>
      </c>
      <c r="F600" s="22">
        <f t="shared" si="29"/>
        <v>0</v>
      </c>
      <c r="G600" s="88">
        <f>VLOOKUP(A600,'Current week'!$A$3:$F$1765,6,0)</f>
        <v>1</v>
      </c>
      <c r="H600" s="102">
        <f t="shared" si="27"/>
        <v>0</v>
      </c>
      <c r="I600" s="102">
        <f t="shared" si="28"/>
        <v>0</v>
      </c>
      <c r="L600" s="112"/>
    </row>
    <row r="601" spans="1:12" x14ac:dyDescent="0.25">
      <c r="A601" s="45" t="s">
        <v>3109</v>
      </c>
      <c r="B601" s="45" t="s">
        <v>966</v>
      </c>
      <c r="C601" s="46" t="s">
        <v>967</v>
      </c>
      <c r="D601" s="47">
        <v>179076.09</v>
      </c>
      <c r="E601" s="92"/>
      <c r="F601" s="48">
        <f t="shared" si="29"/>
        <v>0</v>
      </c>
      <c r="G601" s="92"/>
      <c r="H601" s="106"/>
      <c r="I601" s="106"/>
      <c r="L601" s="112"/>
    </row>
    <row r="602" spans="1:12" x14ac:dyDescent="0.25">
      <c r="A602" s="19" t="s">
        <v>2797</v>
      </c>
      <c r="B602" s="19" t="s">
        <v>968</v>
      </c>
      <c r="C602" s="20"/>
      <c r="D602" s="21">
        <v>716304.35</v>
      </c>
      <c r="E602" s="88">
        <f>VLOOKUP(A602,'Previous week'!$A$3:$F$1765,6,FALSE)</f>
        <v>0</v>
      </c>
      <c r="F602" s="22">
        <f t="shared" si="29"/>
        <v>0</v>
      </c>
      <c r="G602" s="88">
        <f>VLOOKUP(A602,'Current week'!$A$3:$F$1765,6,0)</f>
        <v>0</v>
      </c>
      <c r="H602" s="101">
        <f t="shared" si="27"/>
        <v>0</v>
      </c>
      <c r="I602" s="101">
        <f t="shared" si="28"/>
        <v>0</v>
      </c>
      <c r="L602" s="112"/>
    </row>
    <row r="603" spans="1:12" x14ac:dyDescent="0.25">
      <c r="A603" s="33" t="s">
        <v>2788</v>
      </c>
      <c r="B603" s="33" t="s">
        <v>217</v>
      </c>
      <c r="C603" s="34"/>
      <c r="D603" s="35">
        <v>358152.18</v>
      </c>
      <c r="E603" s="88">
        <f>VLOOKUP(A603,'Previous week'!$A$3:$F$1765,6,FALSE)</f>
        <v>0</v>
      </c>
      <c r="F603" s="22">
        <f t="shared" si="29"/>
        <v>0</v>
      </c>
      <c r="G603" s="88">
        <f>VLOOKUP(A603,'Current week'!$A$3:$F$1765,6,0)</f>
        <v>0</v>
      </c>
      <c r="H603" s="104">
        <f t="shared" si="27"/>
        <v>0</v>
      </c>
      <c r="I603" s="104">
        <f t="shared" si="28"/>
        <v>0</v>
      </c>
      <c r="L603" s="112"/>
    </row>
    <row r="604" spans="1:12" x14ac:dyDescent="0.25">
      <c r="A604" s="23" t="s">
        <v>3110</v>
      </c>
      <c r="B604" s="23" t="s">
        <v>969</v>
      </c>
      <c r="C604" s="24" t="s">
        <v>956</v>
      </c>
      <c r="D604" s="25">
        <v>0</v>
      </c>
      <c r="E604" s="88">
        <f>VLOOKUP(A604,'Previous week'!$A$3:$F$1765,6,FALSE)</f>
        <v>1</v>
      </c>
      <c r="F604" s="22">
        <f t="shared" si="29"/>
        <v>0</v>
      </c>
      <c r="G604" s="88">
        <f>VLOOKUP(A604,'Current week'!$A$3:$F$1765,6,0)</f>
        <v>1</v>
      </c>
      <c r="H604" s="102">
        <f t="shared" si="27"/>
        <v>0</v>
      </c>
      <c r="I604" s="102">
        <f t="shared" si="28"/>
        <v>0</v>
      </c>
      <c r="L604" s="112"/>
    </row>
    <row r="605" spans="1:12" x14ac:dyDescent="0.25">
      <c r="A605" s="45" t="s">
        <v>3111</v>
      </c>
      <c r="B605" s="45" t="s">
        <v>970</v>
      </c>
      <c r="C605" s="46" t="s">
        <v>958</v>
      </c>
      <c r="D605" s="47">
        <v>0</v>
      </c>
      <c r="E605" s="92"/>
      <c r="F605" s="48">
        <f t="shared" si="29"/>
        <v>0</v>
      </c>
      <c r="G605" s="92"/>
      <c r="H605" s="106"/>
      <c r="I605" s="106"/>
      <c r="L605" s="112"/>
    </row>
    <row r="606" spans="1:12" x14ac:dyDescent="0.25">
      <c r="A606" s="19" t="s">
        <v>3112</v>
      </c>
      <c r="B606" s="19" t="s">
        <v>971</v>
      </c>
      <c r="C606" s="20" t="s">
        <v>960</v>
      </c>
      <c r="D606" s="21">
        <v>358152.18</v>
      </c>
      <c r="E606" s="88">
        <f>VLOOKUP(A606,'Previous week'!$A$3:$F$1765,6,FALSE)</f>
        <v>1</v>
      </c>
      <c r="F606" s="22">
        <f t="shared" si="29"/>
        <v>0</v>
      </c>
      <c r="G606" s="88">
        <f>VLOOKUP(A606,'Current week'!$A$3:$F$1765,6,0)</f>
        <v>1</v>
      </c>
      <c r="H606" s="101">
        <f t="shared" si="27"/>
        <v>358152.18</v>
      </c>
      <c r="I606" s="101">
        <f t="shared" si="28"/>
        <v>0</v>
      </c>
      <c r="L606" s="112"/>
    </row>
    <row r="607" spans="1:12" x14ac:dyDescent="0.25">
      <c r="A607" s="23" t="s">
        <v>2800</v>
      </c>
      <c r="B607" s="23" t="s">
        <v>972</v>
      </c>
      <c r="C607" s="24"/>
      <c r="D607" s="25">
        <v>358152.17</v>
      </c>
      <c r="E607" s="88">
        <f>VLOOKUP(A607,'Previous week'!$A$3:$F$1765,6,FALSE)</f>
        <v>0</v>
      </c>
      <c r="F607" s="22">
        <f t="shared" si="29"/>
        <v>0</v>
      </c>
      <c r="G607" s="88">
        <f>VLOOKUP(A607,'Current week'!$A$3:$F$1765,6,0)</f>
        <v>0</v>
      </c>
      <c r="H607" s="102">
        <f t="shared" si="27"/>
        <v>0</v>
      </c>
      <c r="I607" s="102">
        <f t="shared" si="28"/>
        <v>0</v>
      </c>
      <c r="L607" s="112"/>
    </row>
    <row r="608" spans="1:12" x14ac:dyDescent="0.25">
      <c r="A608" s="45" t="s">
        <v>3113</v>
      </c>
      <c r="B608" s="45" t="s">
        <v>973</v>
      </c>
      <c r="C608" s="46" t="s">
        <v>974</v>
      </c>
      <c r="D608" s="47">
        <v>0</v>
      </c>
      <c r="E608" s="92"/>
      <c r="F608" s="48">
        <f t="shared" si="29"/>
        <v>0</v>
      </c>
      <c r="G608" s="92"/>
      <c r="H608" s="106"/>
      <c r="I608" s="106"/>
      <c r="L608" s="112"/>
    </row>
    <row r="609" spans="1:12" x14ac:dyDescent="0.25">
      <c r="A609" s="19" t="s">
        <v>3114</v>
      </c>
      <c r="B609" s="19" t="s">
        <v>975</v>
      </c>
      <c r="C609" s="20" t="s">
        <v>976</v>
      </c>
      <c r="D609" s="21">
        <v>0</v>
      </c>
      <c r="E609" s="88">
        <f>VLOOKUP(A609,'Previous week'!$A$3:$F$1765,6,FALSE)</f>
        <v>1</v>
      </c>
      <c r="F609" s="22">
        <f t="shared" si="29"/>
        <v>0</v>
      </c>
      <c r="G609" s="88">
        <f>VLOOKUP(A609,'Current week'!$A$3:$F$1765,6,0)</f>
        <v>1</v>
      </c>
      <c r="H609" s="101">
        <f t="shared" si="27"/>
        <v>0</v>
      </c>
      <c r="I609" s="101">
        <f t="shared" si="28"/>
        <v>0</v>
      </c>
      <c r="L609" s="112"/>
    </row>
    <row r="610" spans="1:12" x14ac:dyDescent="0.25">
      <c r="A610" s="33" t="s">
        <v>3115</v>
      </c>
      <c r="B610" s="33" t="s">
        <v>977</v>
      </c>
      <c r="C610" s="34" t="s">
        <v>978</v>
      </c>
      <c r="D610" s="35">
        <v>0</v>
      </c>
      <c r="E610" s="88">
        <f>VLOOKUP(A610,'Previous week'!$A$3:$F$1765,6,FALSE)</f>
        <v>1</v>
      </c>
      <c r="F610" s="22">
        <f t="shared" si="29"/>
        <v>0</v>
      </c>
      <c r="G610" s="88">
        <f>VLOOKUP(A610,'Current week'!$A$3:$F$1765,6,0)</f>
        <v>1</v>
      </c>
      <c r="H610" s="104">
        <f t="shared" si="27"/>
        <v>0</v>
      </c>
      <c r="I610" s="104">
        <f t="shared" si="28"/>
        <v>0</v>
      </c>
      <c r="L610" s="112"/>
    </row>
    <row r="611" spans="1:12" x14ac:dyDescent="0.25">
      <c r="A611" s="23" t="s">
        <v>3116</v>
      </c>
      <c r="B611" s="23" t="s">
        <v>979</v>
      </c>
      <c r="C611" s="24" t="s">
        <v>980</v>
      </c>
      <c r="D611" s="25">
        <v>0</v>
      </c>
      <c r="E611" s="88">
        <f>VLOOKUP(A611,'Previous week'!$A$3:$F$1765,6,FALSE)</f>
        <v>1</v>
      </c>
      <c r="F611" s="22">
        <f t="shared" si="29"/>
        <v>0</v>
      </c>
      <c r="G611" s="88">
        <f>VLOOKUP(A611,'Current week'!$A$3:$F$1765,6,0)</f>
        <v>1</v>
      </c>
      <c r="H611" s="102">
        <f t="shared" si="27"/>
        <v>0</v>
      </c>
      <c r="I611" s="102">
        <f t="shared" si="28"/>
        <v>0</v>
      </c>
      <c r="L611" s="112"/>
    </row>
    <row r="612" spans="1:12" x14ac:dyDescent="0.25">
      <c r="A612" s="41" t="s">
        <v>3117</v>
      </c>
      <c r="B612" s="41" t="s">
        <v>981</v>
      </c>
      <c r="C612" s="42" t="s">
        <v>982</v>
      </c>
      <c r="D612" s="66">
        <v>358152.17</v>
      </c>
      <c r="E612" s="91"/>
      <c r="F612" s="44">
        <f t="shared" si="29"/>
        <v>0</v>
      </c>
      <c r="G612" s="91"/>
      <c r="H612" s="103"/>
      <c r="I612" s="103"/>
      <c r="L612" s="112"/>
    </row>
    <row r="613" spans="1:12" x14ac:dyDescent="0.25">
      <c r="A613" s="45" t="s">
        <v>2803</v>
      </c>
      <c r="B613" s="45" t="s">
        <v>983</v>
      </c>
      <c r="C613" s="46"/>
      <c r="D613" s="47">
        <v>179076.09</v>
      </c>
      <c r="E613" s="92"/>
      <c r="F613" s="48">
        <f t="shared" si="29"/>
        <v>0</v>
      </c>
      <c r="G613" s="92"/>
      <c r="H613" s="106"/>
      <c r="I613" s="106"/>
      <c r="L613" s="112"/>
    </row>
    <row r="614" spans="1:12" x14ac:dyDescent="0.25">
      <c r="A614" s="19" t="s">
        <v>2804</v>
      </c>
      <c r="B614" s="19" t="s">
        <v>211</v>
      </c>
      <c r="C614" s="20"/>
      <c r="D614" s="21">
        <v>179076.09</v>
      </c>
      <c r="E614" s="88">
        <f>VLOOKUP(A614,'Previous week'!$A$3:$F$1765,6,FALSE)</f>
        <v>0</v>
      </c>
      <c r="F614" s="22">
        <f t="shared" si="29"/>
        <v>0</v>
      </c>
      <c r="G614" s="88">
        <f>VLOOKUP(A614,'Current week'!$A$3:$F$1765,6,0)</f>
        <v>0</v>
      </c>
      <c r="H614" s="101">
        <f t="shared" si="27"/>
        <v>0</v>
      </c>
      <c r="I614" s="101">
        <f t="shared" si="28"/>
        <v>0</v>
      </c>
      <c r="L614" s="112"/>
    </row>
    <row r="615" spans="1:12" x14ac:dyDescent="0.25">
      <c r="A615" s="33" t="s">
        <v>3118</v>
      </c>
      <c r="B615" s="33" t="s">
        <v>984</v>
      </c>
      <c r="C615" s="34" t="s">
        <v>212</v>
      </c>
      <c r="D615" s="35">
        <v>0</v>
      </c>
      <c r="E615" s="88">
        <f>VLOOKUP(A615,'Previous week'!$A$3:$F$1765,6,FALSE)</f>
        <v>1</v>
      </c>
      <c r="F615" s="22">
        <f t="shared" si="29"/>
        <v>0</v>
      </c>
      <c r="G615" s="88">
        <f>VLOOKUP(A615,'Current week'!$A$3:$F$1765,6,0)</f>
        <v>1</v>
      </c>
      <c r="H615" s="104">
        <f t="shared" si="27"/>
        <v>0</v>
      </c>
      <c r="I615" s="104">
        <f t="shared" si="28"/>
        <v>0</v>
      </c>
      <c r="L615" s="112"/>
    </row>
    <row r="616" spans="1:12" x14ac:dyDescent="0.25">
      <c r="A616" s="23" t="s">
        <v>3119</v>
      </c>
      <c r="B616" s="23" t="s">
        <v>985</v>
      </c>
      <c r="C616" s="24" t="s">
        <v>213</v>
      </c>
      <c r="D616" s="25">
        <v>0</v>
      </c>
      <c r="E616" s="88">
        <f>VLOOKUP(A616,'Previous week'!$A$3:$F$1765,6,FALSE)</f>
        <v>1</v>
      </c>
      <c r="F616" s="22">
        <f t="shared" si="29"/>
        <v>0</v>
      </c>
      <c r="G616" s="88">
        <f>VLOOKUP(A616,'Current week'!$A$3:$F$1765,6,0)</f>
        <v>1</v>
      </c>
      <c r="H616" s="102">
        <f t="shared" si="27"/>
        <v>0</v>
      </c>
      <c r="I616" s="102">
        <f t="shared" si="28"/>
        <v>0</v>
      </c>
      <c r="L616" s="112"/>
    </row>
    <row r="617" spans="1:12" x14ac:dyDescent="0.25">
      <c r="A617" s="45" t="s">
        <v>3120</v>
      </c>
      <c r="B617" s="45" t="s">
        <v>986</v>
      </c>
      <c r="C617" s="46" t="s">
        <v>214</v>
      </c>
      <c r="D617" s="47">
        <v>179076.09</v>
      </c>
      <c r="E617" s="92"/>
      <c r="F617" s="48">
        <f t="shared" si="29"/>
        <v>0</v>
      </c>
      <c r="G617" s="92"/>
      <c r="H617" s="106"/>
      <c r="I617" s="106"/>
      <c r="L617" s="112"/>
    </row>
    <row r="618" spans="1:12" x14ac:dyDescent="0.25">
      <c r="A618" s="19" t="s">
        <v>2813</v>
      </c>
      <c r="B618" s="19" t="s">
        <v>987</v>
      </c>
      <c r="C618" s="20"/>
      <c r="D618" s="21">
        <v>179076.09</v>
      </c>
      <c r="E618" s="88">
        <f>VLOOKUP(A618,'Previous week'!$A$3:$F$1765,6,FALSE)</f>
        <v>0</v>
      </c>
      <c r="F618" s="22">
        <f t="shared" si="29"/>
        <v>0</v>
      </c>
      <c r="G618" s="88">
        <f>VLOOKUP(A618,'Current week'!$A$3:$F$1765,6,0)</f>
        <v>0</v>
      </c>
      <c r="H618" s="101">
        <f t="shared" si="27"/>
        <v>0</v>
      </c>
      <c r="I618" s="101">
        <f t="shared" si="28"/>
        <v>0</v>
      </c>
      <c r="L618" s="112"/>
    </row>
    <row r="619" spans="1:12" x14ac:dyDescent="0.25">
      <c r="A619" s="33" t="s">
        <v>2804</v>
      </c>
      <c r="B619" s="33" t="s">
        <v>211</v>
      </c>
      <c r="C619" s="34"/>
      <c r="D619" s="35">
        <v>179076.09</v>
      </c>
      <c r="E619" s="88">
        <f>VLOOKUP(A619,'Previous week'!$A$3:$F$1765,6,FALSE)</f>
        <v>0</v>
      </c>
      <c r="F619" s="22">
        <f t="shared" si="29"/>
        <v>0</v>
      </c>
      <c r="G619" s="88">
        <f>VLOOKUP(A619,'Current week'!$A$3:$F$1765,6,0)</f>
        <v>0</v>
      </c>
      <c r="H619" s="104">
        <f t="shared" si="27"/>
        <v>0</v>
      </c>
      <c r="I619" s="104">
        <f t="shared" si="28"/>
        <v>0</v>
      </c>
      <c r="L619" s="112"/>
    </row>
    <row r="620" spans="1:12" x14ac:dyDescent="0.25">
      <c r="A620" s="23" t="s">
        <v>3121</v>
      </c>
      <c r="B620" s="23" t="s">
        <v>988</v>
      </c>
      <c r="C620" s="24" t="s">
        <v>212</v>
      </c>
      <c r="D620" s="25">
        <v>0</v>
      </c>
      <c r="E620" s="88">
        <f>VLOOKUP(A620,'Previous week'!$A$3:$F$1765,6,FALSE)</f>
        <v>1</v>
      </c>
      <c r="F620" s="22">
        <f t="shared" si="29"/>
        <v>0</v>
      </c>
      <c r="G620" s="88">
        <f>VLOOKUP(A620,'Current week'!$A$3:$F$1765,6,0)</f>
        <v>1</v>
      </c>
      <c r="H620" s="102">
        <f t="shared" si="27"/>
        <v>0</v>
      </c>
      <c r="I620" s="102">
        <f t="shared" si="28"/>
        <v>0</v>
      </c>
      <c r="L620" s="112"/>
    </row>
    <row r="621" spans="1:12" x14ac:dyDescent="0.25">
      <c r="A621" s="45" t="s">
        <v>3122</v>
      </c>
      <c r="B621" s="45" t="s">
        <v>989</v>
      </c>
      <c r="C621" s="46" t="s">
        <v>213</v>
      </c>
      <c r="D621" s="75">
        <v>0</v>
      </c>
      <c r="E621" s="92"/>
      <c r="F621" s="48">
        <f t="shared" si="29"/>
        <v>0</v>
      </c>
      <c r="G621" s="92"/>
      <c r="H621" s="106"/>
      <c r="I621" s="106"/>
      <c r="L621" s="112"/>
    </row>
    <row r="622" spans="1:12" x14ac:dyDescent="0.25">
      <c r="A622" s="19" t="s">
        <v>3123</v>
      </c>
      <c r="B622" s="19" t="s">
        <v>990</v>
      </c>
      <c r="C622" s="20" t="s">
        <v>214</v>
      </c>
      <c r="D622" s="21">
        <v>179076.09</v>
      </c>
      <c r="E622" s="88">
        <f>VLOOKUP(A622,'Previous week'!$A$3:$F$1765,6,FALSE)</f>
        <v>1</v>
      </c>
      <c r="F622" s="22">
        <f t="shared" si="29"/>
        <v>0</v>
      </c>
      <c r="G622" s="88">
        <f>VLOOKUP(A622,'Current week'!$A$3:$F$1765,6,0)</f>
        <v>1</v>
      </c>
      <c r="H622" s="101">
        <f t="shared" si="27"/>
        <v>179076.09</v>
      </c>
      <c r="I622" s="101">
        <f t="shared" si="28"/>
        <v>0</v>
      </c>
      <c r="L622" s="112"/>
    </row>
    <row r="623" spans="1:12" x14ac:dyDescent="0.25">
      <c r="A623" s="33" t="s">
        <v>2821</v>
      </c>
      <c r="B623" s="33" t="s">
        <v>190</v>
      </c>
      <c r="C623" s="34"/>
      <c r="D623" s="35">
        <v>358152.17</v>
      </c>
      <c r="E623" s="88">
        <f>VLOOKUP(A623,'Previous week'!$A$3:$F$1765,6,FALSE)</f>
        <v>0</v>
      </c>
      <c r="F623" s="22">
        <f t="shared" si="29"/>
        <v>0</v>
      </c>
      <c r="G623" s="88">
        <f>VLOOKUP(A623,'Current week'!$A$3:$F$1765,6,0)</f>
        <v>0</v>
      </c>
      <c r="H623" s="104">
        <f t="shared" si="27"/>
        <v>0</v>
      </c>
      <c r="I623" s="104">
        <f t="shared" si="28"/>
        <v>0</v>
      </c>
      <c r="L623" s="112"/>
    </row>
    <row r="624" spans="1:12" x14ac:dyDescent="0.25">
      <c r="A624" s="23" t="s">
        <v>2822</v>
      </c>
      <c r="B624" s="23" t="s">
        <v>991</v>
      </c>
      <c r="C624" s="24"/>
      <c r="D624" s="71">
        <v>179076.09</v>
      </c>
      <c r="E624" s="88">
        <f>VLOOKUP(A624,'Previous week'!$A$3:$F$1765,6,FALSE)</f>
        <v>0</v>
      </c>
      <c r="F624" s="22">
        <f t="shared" si="29"/>
        <v>0</v>
      </c>
      <c r="G624" s="88">
        <f>VLOOKUP(A624,'Current week'!$A$3:$F$1765,6,0)</f>
        <v>0</v>
      </c>
      <c r="H624" s="102">
        <f t="shared" si="27"/>
        <v>0</v>
      </c>
      <c r="I624" s="102">
        <f t="shared" si="28"/>
        <v>0</v>
      </c>
      <c r="L624" s="112"/>
    </row>
    <row r="625" spans="1:12" x14ac:dyDescent="0.25">
      <c r="A625" s="45" t="s">
        <v>3124</v>
      </c>
      <c r="B625" s="45" t="s">
        <v>992</v>
      </c>
      <c r="C625" s="46" t="s">
        <v>993</v>
      </c>
      <c r="D625" s="47">
        <v>0</v>
      </c>
      <c r="E625" s="92"/>
      <c r="F625" s="48">
        <f t="shared" si="29"/>
        <v>0</v>
      </c>
      <c r="G625" s="92"/>
      <c r="H625" s="106"/>
      <c r="I625" s="106"/>
      <c r="L625" s="112"/>
    </row>
    <row r="626" spans="1:12" x14ac:dyDescent="0.25">
      <c r="A626" s="19" t="s">
        <v>3125</v>
      </c>
      <c r="B626" s="19" t="s">
        <v>994</v>
      </c>
      <c r="C626" s="20" t="s">
        <v>995</v>
      </c>
      <c r="D626" s="21">
        <v>0</v>
      </c>
      <c r="E626" s="88">
        <f>VLOOKUP(A626,'Previous week'!$A$3:$F$1765,6,FALSE)</f>
        <v>1</v>
      </c>
      <c r="F626" s="22">
        <f t="shared" si="29"/>
        <v>0</v>
      </c>
      <c r="G626" s="88">
        <f>VLOOKUP(A626,'Current week'!$A$3:$F$1765,6,0)</f>
        <v>1</v>
      </c>
      <c r="H626" s="101">
        <f t="shared" si="27"/>
        <v>0</v>
      </c>
      <c r="I626" s="101">
        <f t="shared" si="28"/>
        <v>0</v>
      </c>
      <c r="L626" s="112"/>
    </row>
    <row r="627" spans="1:12" x14ac:dyDescent="0.25">
      <c r="A627" s="33" t="s">
        <v>3126</v>
      </c>
      <c r="B627" s="33" t="s">
        <v>996</v>
      </c>
      <c r="C627" s="34" t="s">
        <v>997</v>
      </c>
      <c r="D627" s="35">
        <v>179076.09</v>
      </c>
      <c r="E627" s="88">
        <f>VLOOKUP(A627,'Previous week'!$A$3:$F$1765,6,FALSE)</f>
        <v>1</v>
      </c>
      <c r="F627" s="22">
        <f t="shared" si="29"/>
        <v>0</v>
      </c>
      <c r="G627" s="88">
        <f>VLOOKUP(A627,'Current week'!$A$3:$F$1765,6,0)</f>
        <v>1</v>
      </c>
      <c r="H627" s="104">
        <f t="shared" si="27"/>
        <v>179076.09</v>
      </c>
      <c r="I627" s="104">
        <f t="shared" si="28"/>
        <v>0</v>
      </c>
      <c r="L627" s="112"/>
    </row>
    <row r="628" spans="1:12" x14ac:dyDescent="0.25">
      <c r="A628" s="23" t="s">
        <v>2828</v>
      </c>
      <c r="B628" s="23" t="s">
        <v>191</v>
      </c>
      <c r="C628" s="24"/>
      <c r="D628" s="25">
        <v>179076.09</v>
      </c>
      <c r="E628" s="88">
        <f>VLOOKUP(A628,'Previous week'!$A$3:$F$1765,6,FALSE)</f>
        <v>0</v>
      </c>
      <c r="F628" s="22">
        <f t="shared" si="29"/>
        <v>0</v>
      </c>
      <c r="G628" s="88">
        <f>VLOOKUP(A628,'Current week'!$A$3:$F$1765,6,0)</f>
        <v>0</v>
      </c>
      <c r="H628" s="102">
        <f t="shared" si="27"/>
        <v>0</v>
      </c>
      <c r="I628" s="102">
        <f t="shared" si="28"/>
        <v>0</v>
      </c>
      <c r="L628" s="112"/>
    </row>
    <row r="629" spans="1:12" x14ac:dyDescent="0.25">
      <c r="A629" s="41" t="s">
        <v>3127</v>
      </c>
      <c r="B629" s="41" t="s">
        <v>998</v>
      </c>
      <c r="C629" s="42" t="s">
        <v>192</v>
      </c>
      <c r="D629" s="66">
        <v>0</v>
      </c>
      <c r="E629" s="91"/>
      <c r="F629" s="44">
        <f t="shared" si="29"/>
        <v>0</v>
      </c>
      <c r="G629" s="91"/>
      <c r="H629" s="103"/>
      <c r="I629" s="103"/>
      <c r="L629" s="112"/>
    </row>
    <row r="630" spans="1:12" x14ac:dyDescent="0.25">
      <c r="A630" s="45" t="s">
        <v>3128</v>
      </c>
      <c r="B630" s="45" t="s">
        <v>999</v>
      </c>
      <c r="C630" s="46" t="s">
        <v>193</v>
      </c>
      <c r="D630" s="75">
        <v>0</v>
      </c>
      <c r="E630" s="92"/>
      <c r="F630" s="48">
        <f t="shared" si="29"/>
        <v>0</v>
      </c>
      <c r="G630" s="92"/>
      <c r="H630" s="106"/>
      <c r="I630" s="106"/>
      <c r="L630" s="112"/>
    </row>
    <row r="631" spans="1:12" x14ac:dyDescent="0.25">
      <c r="A631" s="19" t="s">
        <v>3129</v>
      </c>
      <c r="B631" s="19" t="s">
        <v>1000</v>
      </c>
      <c r="C631" s="20" t="s">
        <v>194</v>
      </c>
      <c r="D631" s="21">
        <v>179076.09</v>
      </c>
      <c r="E631" s="88">
        <f>VLOOKUP(A631,'Previous week'!$A$3:$F$1765,6,FALSE)</f>
        <v>1</v>
      </c>
      <c r="F631" s="22">
        <f t="shared" si="29"/>
        <v>0</v>
      </c>
      <c r="G631" s="88">
        <f>VLOOKUP(A631,'Current week'!$A$3:$F$1765,6,0)</f>
        <v>1</v>
      </c>
      <c r="H631" s="101">
        <f t="shared" si="27"/>
        <v>179076.09</v>
      </c>
      <c r="I631" s="101">
        <f t="shared" si="28"/>
        <v>0</v>
      </c>
      <c r="L631" s="112"/>
    </row>
    <row r="632" spans="1:12" x14ac:dyDescent="0.25">
      <c r="A632" s="33" t="s">
        <v>2852</v>
      </c>
      <c r="B632" s="33" t="s">
        <v>219</v>
      </c>
      <c r="C632" s="34"/>
      <c r="D632" s="35">
        <v>179076.09</v>
      </c>
      <c r="E632" s="88">
        <f>VLOOKUP(A632,'Previous week'!$A$3:$F$1765,6,FALSE)</f>
        <v>0</v>
      </c>
      <c r="F632" s="22">
        <f t="shared" si="29"/>
        <v>0</v>
      </c>
      <c r="G632" s="88">
        <f>VLOOKUP(A632,'Current week'!$A$3:$F$1765,6,0)</f>
        <v>0</v>
      </c>
      <c r="H632" s="104">
        <f t="shared" si="27"/>
        <v>0</v>
      </c>
      <c r="I632" s="104">
        <f t="shared" si="28"/>
        <v>0</v>
      </c>
      <c r="L632" s="112"/>
    </row>
    <row r="633" spans="1:12" x14ac:dyDescent="0.25">
      <c r="A633" s="23" t="s">
        <v>2822</v>
      </c>
      <c r="B633" s="23" t="s">
        <v>991</v>
      </c>
      <c r="C633" s="24"/>
      <c r="D633" s="71">
        <v>179076.09</v>
      </c>
      <c r="E633" s="88">
        <f>VLOOKUP(A633,'Previous week'!$A$3:$F$1765,6,FALSE)</f>
        <v>0</v>
      </c>
      <c r="F633" s="22">
        <f t="shared" si="29"/>
        <v>0</v>
      </c>
      <c r="G633" s="88">
        <f>VLOOKUP(A633,'Current week'!$A$3:$F$1765,6,0)</f>
        <v>0</v>
      </c>
      <c r="H633" s="102">
        <f t="shared" si="27"/>
        <v>0</v>
      </c>
      <c r="I633" s="102">
        <f t="shared" si="28"/>
        <v>0</v>
      </c>
      <c r="L633" s="112"/>
    </row>
    <row r="634" spans="1:12" x14ac:dyDescent="0.25">
      <c r="A634" s="26" t="s">
        <v>3130</v>
      </c>
      <c r="B634" s="26" t="s">
        <v>1001</v>
      </c>
      <c r="C634" s="27" t="s">
        <v>993</v>
      </c>
      <c r="D634" s="49">
        <v>0</v>
      </c>
      <c r="E634" s="89"/>
      <c r="F634" s="18">
        <f t="shared" si="29"/>
        <v>0</v>
      </c>
      <c r="G634" s="89"/>
      <c r="H634" s="100"/>
      <c r="I634" s="100"/>
      <c r="L634" s="112"/>
    </row>
    <row r="635" spans="1:12" x14ac:dyDescent="0.25">
      <c r="A635" s="41" t="s">
        <v>3131</v>
      </c>
      <c r="B635" s="41" t="s">
        <v>1002</v>
      </c>
      <c r="C635" s="42" t="s">
        <v>995</v>
      </c>
      <c r="D635" s="66">
        <v>0</v>
      </c>
      <c r="E635" s="91"/>
      <c r="F635" s="44">
        <f t="shared" si="29"/>
        <v>0</v>
      </c>
      <c r="G635" s="91"/>
      <c r="H635" s="103"/>
      <c r="I635" s="103"/>
      <c r="L635" s="112"/>
    </row>
    <row r="636" spans="1:12" x14ac:dyDescent="0.25">
      <c r="A636" s="45" t="s">
        <v>3132</v>
      </c>
      <c r="B636" s="45" t="s">
        <v>1003</v>
      </c>
      <c r="C636" s="46" t="s">
        <v>997</v>
      </c>
      <c r="D636" s="75">
        <v>179076.09</v>
      </c>
      <c r="E636" s="92"/>
      <c r="F636" s="48">
        <f t="shared" si="29"/>
        <v>0</v>
      </c>
      <c r="G636" s="92"/>
      <c r="H636" s="106"/>
      <c r="I636" s="106"/>
      <c r="L636" s="112"/>
    </row>
    <row r="637" spans="1:12" x14ac:dyDescent="0.25">
      <c r="A637" s="19" t="s">
        <v>2855</v>
      </c>
      <c r="B637" s="19" t="s">
        <v>1004</v>
      </c>
      <c r="C637" s="20"/>
      <c r="D637" s="21">
        <v>1253532.6100000001</v>
      </c>
      <c r="E637" s="88">
        <f>VLOOKUP(A637,'Previous week'!$A$3:$F$1765,6,FALSE)</f>
        <v>0</v>
      </c>
      <c r="F637" s="22">
        <f t="shared" si="29"/>
        <v>0</v>
      </c>
      <c r="G637" s="88">
        <f>VLOOKUP(A637,'Current week'!$A$3:$F$1765,6,0)</f>
        <v>0</v>
      </c>
      <c r="H637" s="101">
        <f t="shared" si="27"/>
        <v>0</v>
      </c>
      <c r="I637" s="101">
        <f t="shared" si="28"/>
        <v>0</v>
      </c>
      <c r="L637" s="112"/>
    </row>
    <row r="638" spans="1:12" x14ac:dyDescent="0.25">
      <c r="A638" s="33" t="s">
        <v>2856</v>
      </c>
      <c r="B638" s="33" t="s">
        <v>1005</v>
      </c>
      <c r="C638" s="34"/>
      <c r="D638" s="35">
        <v>179076.09</v>
      </c>
      <c r="E638" s="88">
        <f>VLOOKUP(A638,'Previous week'!$A$3:$F$1765,6,FALSE)</f>
        <v>0</v>
      </c>
      <c r="F638" s="22">
        <f t="shared" si="29"/>
        <v>0</v>
      </c>
      <c r="G638" s="88">
        <f>VLOOKUP(A638,'Current week'!$A$3:$F$1765,6,0)</f>
        <v>0</v>
      </c>
      <c r="H638" s="104">
        <f t="shared" si="27"/>
        <v>0</v>
      </c>
      <c r="I638" s="104">
        <f t="shared" si="28"/>
        <v>0</v>
      </c>
      <c r="L638" s="112"/>
    </row>
    <row r="639" spans="1:12" x14ac:dyDescent="0.25">
      <c r="A639" s="23" t="s">
        <v>3133</v>
      </c>
      <c r="B639" s="23" t="s">
        <v>1006</v>
      </c>
      <c r="C639" s="24" t="s">
        <v>1007</v>
      </c>
      <c r="D639" s="71">
        <v>0</v>
      </c>
      <c r="E639" s="88">
        <f>VLOOKUP(A639,'Previous week'!$A$3:$F$1765,6,FALSE)</f>
        <v>1</v>
      </c>
      <c r="F639" s="22">
        <f t="shared" si="29"/>
        <v>0</v>
      </c>
      <c r="G639" s="88">
        <f>VLOOKUP(A639,'Current week'!$A$3:$F$1765,6,0)</f>
        <v>1</v>
      </c>
      <c r="H639" s="102">
        <f t="shared" si="27"/>
        <v>0</v>
      </c>
      <c r="I639" s="102">
        <f t="shared" si="28"/>
        <v>0</v>
      </c>
      <c r="L639" s="112"/>
    </row>
    <row r="640" spans="1:12" x14ac:dyDescent="0.25">
      <c r="A640" s="45" t="s">
        <v>3134</v>
      </c>
      <c r="B640" s="45" t="s">
        <v>1008</v>
      </c>
      <c r="C640" s="46" t="s">
        <v>1009</v>
      </c>
      <c r="D640" s="75">
        <v>0</v>
      </c>
      <c r="E640" s="92"/>
      <c r="F640" s="48">
        <f t="shared" si="29"/>
        <v>0</v>
      </c>
      <c r="G640" s="92"/>
      <c r="H640" s="106"/>
      <c r="I640" s="106"/>
      <c r="L640" s="112"/>
    </row>
    <row r="641" spans="1:12" x14ac:dyDescent="0.25">
      <c r="A641" s="19" t="s">
        <v>3135</v>
      </c>
      <c r="B641" s="19" t="s">
        <v>1010</v>
      </c>
      <c r="C641" s="20" t="s">
        <v>1011</v>
      </c>
      <c r="D641" s="21">
        <v>0</v>
      </c>
      <c r="E641" s="88">
        <f>VLOOKUP(A641,'Previous week'!$A$3:$F$1765,6,FALSE)</f>
        <v>1</v>
      </c>
      <c r="F641" s="22">
        <f t="shared" si="29"/>
        <v>0</v>
      </c>
      <c r="G641" s="88">
        <f>VLOOKUP(A641,'Current week'!$A$3:$F$1765,6,0)</f>
        <v>1</v>
      </c>
      <c r="H641" s="101">
        <f t="shared" si="27"/>
        <v>0</v>
      </c>
      <c r="I641" s="101">
        <f t="shared" si="28"/>
        <v>0</v>
      </c>
      <c r="L641" s="112"/>
    </row>
    <row r="642" spans="1:12" x14ac:dyDescent="0.25">
      <c r="A642" s="33" t="s">
        <v>3136</v>
      </c>
      <c r="B642" s="33" t="s">
        <v>1012</v>
      </c>
      <c r="C642" s="34" t="s">
        <v>1013</v>
      </c>
      <c r="D642" s="35">
        <v>0</v>
      </c>
      <c r="E642" s="88">
        <f>VLOOKUP(A642,'Previous week'!$A$3:$F$1765,6,FALSE)</f>
        <v>1</v>
      </c>
      <c r="F642" s="22">
        <f t="shared" si="29"/>
        <v>0</v>
      </c>
      <c r="G642" s="88">
        <f>VLOOKUP(A642,'Current week'!$A$3:$F$1765,6,0)</f>
        <v>1</v>
      </c>
      <c r="H642" s="104">
        <f t="shared" ref="H642:H705" si="30">G642*D642</f>
        <v>0</v>
      </c>
      <c r="I642" s="104">
        <f t="shared" ref="I642:I705" si="31">F642*D642</f>
        <v>0</v>
      </c>
      <c r="L642" s="112"/>
    </row>
    <row r="643" spans="1:12" x14ac:dyDescent="0.25">
      <c r="A643" s="23" t="s">
        <v>3137</v>
      </c>
      <c r="B643" s="23" t="s">
        <v>1014</v>
      </c>
      <c r="C643" s="24" t="s">
        <v>1015</v>
      </c>
      <c r="D643" s="71">
        <v>0</v>
      </c>
      <c r="E643" s="88">
        <f>VLOOKUP(A643,'Previous week'!$A$3:$F$1765,6,FALSE)</f>
        <v>1</v>
      </c>
      <c r="F643" s="22">
        <f t="shared" ref="F643:F706" si="32">G643-E643</f>
        <v>0</v>
      </c>
      <c r="G643" s="88">
        <f>VLOOKUP(A643,'Current week'!$A$3:$F$1765,6,0)</f>
        <v>1</v>
      </c>
      <c r="H643" s="102">
        <f t="shared" si="30"/>
        <v>0</v>
      </c>
      <c r="I643" s="102">
        <f t="shared" si="31"/>
        <v>0</v>
      </c>
      <c r="L643" s="112"/>
    </row>
    <row r="644" spans="1:12" x14ac:dyDescent="0.25">
      <c r="A644" s="45" t="s">
        <v>3138</v>
      </c>
      <c r="B644" s="45" t="s">
        <v>1016</v>
      </c>
      <c r="C644" s="46" t="s">
        <v>1017</v>
      </c>
      <c r="D644" s="75">
        <v>179076.09</v>
      </c>
      <c r="E644" s="92"/>
      <c r="F644" s="48">
        <f t="shared" si="32"/>
        <v>0</v>
      </c>
      <c r="G644" s="92"/>
      <c r="H644" s="106"/>
      <c r="I644" s="106"/>
      <c r="L644" s="112"/>
    </row>
    <row r="645" spans="1:12" x14ac:dyDescent="0.25">
      <c r="A645" s="19" t="s">
        <v>2859</v>
      </c>
      <c r="B645" s="19" t="s">
        <v>1018</v>
      </c>
      <c r="C645" s="20"/>
      <c r="D645" s="21">
        <v>179076.09</v>
      </c>
      <c r="E645" s="88">
        <f>VLOOKUP(A645,'Previous week'!$A$3:$F$1765,6,FALSE)</f>
        <v>0</v>
      </c>
      <c r="F645" s="22">
        <f t="shared" si="32"/>
        <v>0</v>
      </c>
      <c r="G645" s="88">
        <f>VLOOKUP(A645,'Current week'!$A$3:$F$1765,6,0)</f>
        <v>0</v>
      </c>
      <c r="H645" s="101">
        <f t="shared" si="30"/>
        <v>0</v>
      </c>
      <c r="I645" s="101">
        <f t="shared" si="31"/>
        <v>0</v>
      </c>
      <c r="L645" s="112"/>
    </row>
    <row r="646" spans="1:12" x14ac:dyDescent="0.25">
      <c r="A646" s="33" t="s">
        <v>3139</v>
      </c>
      <c r="B646" s="33" t="s">
        <v>1019</v>
      </c>
      <c r="C646" s="34" t="s">
        <v>1020</v>
      </c>
      <c r="D646" s="35">
        <v>0</v>
      </c>
      <c r="E646" s="88">
        <f>VLOOKUP(A646,'Previous week'!$A$3:$F$1765,6,FALSE)</f>
        <v>1</v>
      </c>
      <c r="F646" s="22">
        <f t="shared" si="32"/>
        <v>0</v>
      </c>
      <c r="G646" s="88">
        <f>VLOOKUP(A646,'Current week'!$A$3:$F$1765,6,0)</f>
        <v>1</v>
      </c>
      <c r="H646" s="104">
        <f t="shared" si="30"/>
        <v>0</v>
      </c>
      <c r="I646" s="104">
        <f t="shared" si="31"/>
        <v>0</v>
      </c>
      <c r="L646" s="112"/>
    </row>
    <row r="647" spans="1:12" x14ac:dyDescent="0.25">
      <c r="A647" s="23" t="s">
        <v>3140</v>
      </c>
      <c r="B647" s="23" t="s">
        <v>1021</v>
      </c>
      <c r="C647" s="24" t="s">
        <v>1022</v>
      </c>
      <c r="D647" s="71">
        <v>0</v>
      </c>
      <c r="E647" s="88">
        <f>VLOOKUP(A647,'Previous week'!$A$3:$F$1765,6,FALSE)</f>
        <v>1</v>
      </c>
      <c r="F647" s="22">
        <f t="shared" si="32"/>
        <v>0</v>
      </c>
      <c r="G647" s="88">
        <f>VLOOKUP(A647,'Current week'!$A$3:$F$1765,6,0)</f>
        <v>1</v>
      </c>
      <c r="H647" s="102">
        <f t="shared" si="30"/>
        <v>0</v>
      </c>
      <c r="I647" s="102">
        <f t="shared" si="31"/>
        <v>0</v>
      </c>
      <c r="L647" s="112"/>
    </row>
    <row r="648" spans="1:12" x14ac:dyDescent="0.25">
      <c r="A648" s="45" t="s">
        <v>3141</v>
      </c>
      <c r="B648" s="45" t="s">
        <v>1023</v>
      </c>
      <c r="C648" s="46" t="s">
        <v>1024</v>
      </c>
      <c r="D648" s="75">
        <v>0</v>
      </c>
      <c r="E648" s="92"/>
      <c r="F648" s="48">
        <f t="shared" si="32"/>
        <v>0</v>
      </c>
      <c r="G648" s="92"/>
      <c r="H648" s="106"/>
      <c r="I648" s="106"/>
      <c r="L648" s="112"/>
    </row>
    <row r="649" spans="1:12" x14ac:dyDescent="0.25">
      <c r="A649" s="19" t="s">
        <v>3142</v>
      </c>
      <c r="B649" s="19" t="s">
        <v>1025</v>
      </c>
      <c r="C649" s="20" t="s">
        <v>1026</v>
      </c>
      <c r="D649" s="21">
        <v>0</v>
      </c>
      <c r="E649" s="88">
        <f>VLOOKUP(A649,'Previous week'!$A$3:$F$1765,6,FALSE)</f>
        <v>1</v>
      </c>
      <c r="F649" s="22">
        <f t="shared" si="32"/>
        <v>0</v>
      </c>
      <c r="G649" s="88">
        <f>VLOOKUP(A649,'Current week'!$A$3:$F$1765,6,0)</f>
        <v>1</v>
      </c>
      <c r="H649" s="101">
        <f t="shared" si="30"/>
        <v>0</v>
      </c>
      <c r="I649" s="101">
        <f t="shared" si="31"/>
        <v>0</v>
      </c>
      <c r="L649" s="112"/>
    </row>
    <row r="650" spans="1:12" x14ac:dyDescent="0.25">
      <c r="A650" s="33" t="s">
        <v>3143</v>
      </c>
      <c r="B650" s="33" t="s">
        <v>1027</v>
      </c>
      <c r="C650" s="34" t="s">
        <v>1028</v>
      </c>
      <c r="D650" s="35">
        <v>0</v>
      </c>
      <c r="E650" s="88">
        <f>VLOOKUP(A650,'Previous week'!$A$3:$F$1765,6,FALSE)</f>
        <v>1</v>
      </c>
      <c r="F650" s="22">
        <f t="shared" si="32"/>
        <v>0</v>
      </c>
      <c r="G650" s="88">
        <f>VLOOKUP(A650,'Current week'!$A$3:$F$1765,6,0)</f>
        <v>1</v>
      </c>
      <c r="H650" s="104">
        <f t="shared" si="30"/>
        <v>0</v>
      </c>
      <c r="I650" s="104">
        <f t="shared" si="31"/>
        <v>0</v>
      </c>
      <c r="L650" s="112"/>
    </row>
    <row r="651" spans="1:12" x14ac:dyDescent="0.25">
      <c r="A651" s="23" t="s">
        <v>3144</v>
      </c>
      <c r="B651" s="23" t="s">
        <v>1029</v>
      </c>
      <c r="C651" s="24" t="s">
        <v>1030</v>
      </c>
      <c r="D651" s="71">
        <v>179076.09</v>
      </c>
      <c r="E651" s="88">
        <f>VLOOKUP(A651,'Previous week'!$A$3:$F$1765,6,FALSE)</f>
        <v>1</v>
      </c>
      <c r="F651" s="22">
        <f t="shared" si="32"/>
        <v>0</v>
      </c>
      <c r="G651" s="88">
        <f>VLOOKUP(A651,'Current week'!$A$3:$F$1765,6,0)</f>
        <v>1</v>
      </c>
      <c r="H651" s="102">
        <f t="shared" si="30"/>
        <v>179076.09</v>
      </c>
      <c r="I651" s="102">
        <f t="shared" si="31"/>
        <v>0</v>
      </c>
      <c r="L651" s="112"/>
    </row>
    <row r="652" spans="1:12" x14ac:dyDescent="0.25">
      <c r="A652" s="45" t="s">
        <v>3145</v>
      </c>
      <c r="B652" s="45" t="s">
        <v>1031</v>
      </c>
      <c r="C652" s="46"/>
      <c r="D652" s="75">
        <v>179076.09</v>
      </c>
      <c r="E652" s="92"/>
      <c r="F652" s="48">
        <f t="shared" si="32"/>
        <v>0</v>
      </c>
      <c r="G652" s="92"/>
      <c r="H652" s="106"/>
      <c r="I652" s="106"/>
      <c r="L652" s="112"/>
    </row>
    <row r="653" spans="1:12" x14ac:dyDescent="0.25">
      <c r="A653" s="19" t="s">
        <v>3146</v>
      </c>
      <c r="B653" s="19" t="s">
        <v>1032</v>
      </c>
      <c r="C653" s="20" t="s">
        <v>1033</v>
      </c>
      <c r="D653" s="21">
        <v>0</v>
      </c>
      <c r="E653" s="88">
        <f>VLOOKUP(A653,'Previous week'!$A$3:$F$1765,6,FALSE)</f>
        <v>1</v>
      </c>
      <c r="F653" s="22">
        <f t="shared" si="32"/>
        <v>0</v>
      </c>
      <c r="G653" s="88">
        <f>VLOOKUP(A653,'Current week'!$A$3:$F$1765,6,0)</f>
        <v>1</v>
      </c>
      <c r="H653" s="101">
        <f t="shared" si="30"/>
        <v>0</v>
      </c>
      <c r="I653" s="101">
        <f t="shared" si="31"/>
        <v>0</v>
      </c>
      <c r="L653" s="112"/>
    </row>
    <row r="654" spans="1:12" x14ac:dyDescent="0.25">
      <c r="A654" s="33" t="s">
        <v>3147</v>
      </c>
      <c r="B654" s="33" t="s">
        <v>1034</v>
      </c>
      <c r="C654" s="34" t="s">
        <v>1035</v>
      </c>
      <c r="D654" s="35">
        <v>0</v>
      </c>
      <c r="E654" s="88">
        <f>VLOOKUP(A654,'Previous week'!$A$3:$F$1765,6,FALSE)</f>
        <v>1</v>
      </c>
      <c r="F654" s="22">
        <f t="shared" si="32"/>
        <v>0</v>
      </c>
      <c r="G654" s="88">
        <f>VLOOKUP(A654,'Current week'!$A$3:$F$1765,6,0)</f>
        <v>1</v>
      </c>
      <c r="H654" s="104">
        <f t="shared" si="30"/>
        <v>0</v>
      </c>
      <c r="I654" s="104">
        <f t="shared" si="31"/>
        <v>0</v>
      </c>
      <c r="L654" s="112"/>
    </row>
    <row r="655" spans="1:12" x14ac:dyDescent="0.25">
      <c r="A655" s="23" t="s">
        <v>3148</v>
      </c>
      <c r="B655" s="23" t="s">
        <v>1036</v>
      </c>
      <c r="C655" s="24" t="s">
        <v>1037</v>
      </c>
      <c r="D655" s="71">
        <v>179076.09</v>
      </c>
      <c r="E655" s="88">
        <f>VLOOKUP(A655,'Previous week'!$A$3:$F$1765,6,FALSE)</f>
        <v>1</v>
      </c>
      <c r="F655" s="22">
        <f t="shared" si="32"/>
        <v>0</v>
      </c>
      <c r="G655" s="88">
        <f>VLOOKUP(A655,'Current week'!$A$3:$F$1765,6,0)</f>
        <v>1</v>
      </c>
      <c r="H655" s="102">
        <f t="shared" si="30"/>
        <v>179076.09</v>
      </c>
      <c r="I655" s="102">
        <f t="shared" si="31"/>
        <v>0</v>
      </c>
      <c r="L655" s="112"/>
    </row>
    <row r="656" spans="1:12" x14ac:dyDescent="0.25">
      <c r="A656" s="45" t="s">
        <v>2886</v>
      </c>
      <c r="B656" s="45" t="s">
        <v>1038</v>
      </c>
      <c r="C656" s="46"/>
      <c r="D656" s="75">
        <v>179076.09</v>
      </c>
      <c r="E656" s="92"/>
      <c r="F656" s="48">
        <f t="shared" si="32"/>
        <v>0</v>
      </c>
      <c r="G656" s="92"/>
      <c r="H656" s="106"/>
      <c r="I656" s="106"/>
      <c r="L656" s="112"/>
    </row>
    <row r="657" spans="1:12" x14ac:dyDescent="0.25">
      <c r="A657" s="19" t="s">
        <v>3149</v>
      </c>
      <c r="B657" s="19" t="s">
        <v>1039</v>
      </c>
      <c r="C657" s="20" t="s">
        <v>1040</v>
      </c>
      <c r="D657" s="21">
        <v>0</v>
      </c>
      <c r="E657" s="88">
        <f>VLOOKUP(A657,'Previous week'!$A$3:$F$1765,6,FALSE)</f>
        <v>1</v>
      </c>
      <c r="F657" s="22">
        <f t="shared" si="32"/>
        <v>0</v>
      </c>
      <c r="G657" s="88">
        <f>VLOOKUP(A657,'Current week'!$A$3:$F$1765,6,0)</f>
        <v>1</v>
      </c>
      <c r="H657" s="101">
        <f t="shared" si="30"/>
        <v>0</v>
      </c>
      <c r="I657" s="101">
        <f t="shared" si="31"/>
        <v>0</v>
      </c>
      <c r="L657" s="112"/>
    </row>
    <row r="658" spans="1:12" x14ac:dyDescent="0.25">
      <c r="A658" s="33" t="s">
        <v>3150</v>
      </c>
      <c r="B658" s="33" t="s">
        <v>1041</v>
      </c>
      <c r="C658" s="34" t="s">
        <v>1042</v>
      </c>
      <c r="D658" s="35">
        <v>0</v>
      </c>
      <c r="E658" s="88">
        <f>VLOOKUP(A658,'Previous week'!$A$3:$F$1765,6,FALSE)</f>
        <v>1</v>
      </c>
      <c r="F658" s="22">
        <f t="shared" si="32"/>
        <v>0</v>
      </c>
      <c r="G658" s="88">
        <f>VLOOKUP(A658,'Current week'!$A$3:$F$1765,6,0)</f>
        <v>1</v>
      </c>
      <c r="H658" s="104">
        <f t="shared" si="30"/>
        <v>0</v>
      </c>
      <c r="I658" s="104">
        <f t="shared" si="31"/>
        <v>0</v>
      </c>
      <c r="L658" s="112"/>
    </row>
    <row r="659" spans="1:12" x14ac:dyDescent="0.25">
      <c r="A659" s="23" t="s">
        <v>3151</v>
      </c>
      <c r="B659" s="23" t="s">
        <v>1043</v>
      </c>
      <c r="C659" s="24" t="s">
        <v>1044</v>
      </c>
      <c r="D659" s="71">
        <v>179076.09</v>
      </c>
      <c r="E659" s="88">
        <f>VLOOKUP(A659,'Previous week'!$A$3:$F$1765,6,FALSE)</f>
        <v>1</v>
      </c>
      <c r="F659" s="22">
        <f t="shared" si="32"/>
        <v>0</v>
      </c>
      <c r="G659" s="88">
        <f>VLOOKUP(A659,'Current week'!$A$3:$F$1765,6,0)</f>
        <v>1</v>
      </c>
      <c r="H659" s="102">
        <f t="shared" si="30"/>
        <v>179076.09</v>
      </c>
      <c r="I659" s="102">
        <f t="shared" si="31"/>
        <v>0</v>
      </c>
      <c r="L659" s="112"/>
    </row>
    <row r="660" spans="1:12" x14ac:dyDescent="0.25">
      <c r="A660" s="45" t="s">
        <v>2889</v>
      </c>
      <c r="B660" s="45" t="s">
        <v>1045</v>
      </c>
      <c r="C660" s="46"/>
      <c r="D660" s="75">
        <v>179076.09</v>
      </c>
      <c r="E660" s="92"/>
      <c r="F660" s="48">
        <f t="shared" si="32"/>
        <v>0</v>
      </c>
      <c r="G660" s="92"/>
      <c r="H660" s="106"/>
      <c r="I660" s="106"/>
      <c r="L660" s="112"/>
    </row>
    <row r="661" spans="1:12" x14ac:dyDescent="0.25">
      <c r="A661" s="19" t="s">
        <v>3152</v>
      </c>
      <c r="B661" s="19" t="s">
        <v>1046</v>
      </c>
      <c r="C661" s="20" t="s">
        <v>1047</v>
      </c>
      <c r="D661" s="21">
        <v>0</v>
      </c>
      <c r="E661" s="88">
        <f>VLOOKUP(A661,'Previous week'!$A$3:$F$1765,6,FALSE)</f>
        <v>1</v>
      </c>
      <c r="F661" s="22">
        <f t="shared" si="32"/>
        <v>0</v>
      </c>
      <c r="G661" s="88">
        <f>VLOOKUP(A661,'Current week'!$A$3:$F$1765,6,0)</f>
        <v>1</v>
      </c>
      <c r="H661" s="101">
        <f t="shared" si="30"/>
        <v>0</v>
      </c>
      <c r="I661" s="101">
        <f t="shared" si="31"/>
        <v>0</v>
      </c>
      <c r="L661" s="112"/>
    </row>
    <row r="662" spans="1:12" x14ac:dyDescent="0.25">
      <c r="A662" s="33" t="s">
        <v>3153</v>
      </c>
      <c r="B662" s="33" t="s">
        <v>1048</v>
      </c>
      <c r="C662" s="34" t="s">
        <v>1049</v>
      </c>
      <c r="D662" s="35">
        <v>0</v>
      </c>
      <c r="E662" s="88">
        <f>VLOOKUP(A662,'Previous week'!$A$3:$F$1765,6,FALSE)</f>
        <v>1</v>
      </c>
      <c r="F662" s="22">
        <f t="shared" si="32"/>
        <v>0</v>
      </c>
      <c r="G662" s="88">
        <f>VLOOKUP(A662,'Current week'!$A$3:$F$1765,6,0)</f>
        <v>1</v>
      </c>
      <c r="H662" s="104">
        <f t="shared" si="30"/>
        <v>0</v>
      </c>
      <c r="I662" s="104">
        <f t="shared" si="31"/>
        <v>0</v>
      </c>
      <c r="L662" s="112"/>
    </row>
    <row r="663" spans="1:12" x14ac:dyDescent="0.25">
      <c r="A663" s="23" t="s">
        <v>3154</v>
      </c>
      <c r="B663" s="23" t="s">
        <v>1050</v>
      </c>
      <c r="C663" s="24" t="s">
        <v>1051</v>
      </c>
      <c r="D663" s="71">
        <v>179076.09</v>
      </c>
      <c r="E663" s="88">
        <f>VLOOKUP(A663,'Previous week'!$A$3:$F$1765,6,FALSE)</f>
        <v>1</v>
      </c>
      <c r="F663" s="22">
        <f t="shared" si="32"/>
        <v>0</v>
      </c>
      <c r="G663" s="88">
        <f>VLOOKUP(A663,'Current week'!$A$3:$F$1765,6,0)</f>
        <v>1</v>
      </c>
      <c r="H663" s="102">
        <f t="shared" si="30"/>
        <v>179076.09</v>
      </c>
      <c r="I663" s="102">
        <f t="shared" si="31"/>
        <v>0</v>
      </c>
      <c r="L663" s="112"/>
    </row>
    <row r="664" spans="1:12" x14ac:dyDescent="0.25">
      <c r="A664" s="45" t="s">
        <v>2892</v>
      </c>
      <c r="B664" s="45" t="s">
        <v>1052</v>
      </c>
      <c r="C664" s="46"/>
      <c r="D664" s="75">
        <v>179076.09</v>
      </c>
      <c r="E664" s="92"/>
      <c r="F664" s="48">
        <f t="shared" si="32"/>
        <v>0</v>
      </c>
      <c r="G664" s="92"/>
      <c r="H664" s="106"/>
      <c r="I664" s="106"/>
      <c r="L664" s="112"/>
    </row>
    <row r="665" spans="1:12" x14ac:dyDescent="0.25">
      <c r="A665" s="19" t="s">
        <v>3155</v>
      </c>
      <c r="B665" s="19" t="s">
        <v>1053</v>
      </c>
      <c r="C665" s="20" t="s">
        <v>1054</v>
      </c>
      <c r="D665" s="21">
        <v>0</v>
      </c>
      <c r="E665" s="88">
        <f>VLOOKUP(A665,'Previous week'!$A$3:$F$1765,6,FALSE)</f>
        <v>1</v>
      </c>
      <c r="F665" s="22">
        <f t="shared" si="32"/>
        <v>0</v>
      </c>
      <c r="G665" s="88">
        <f>VLOOKUP(A665,'Current week'!$A$3:$F$1765,6,0)</f>
        <v>1</v>
      </c>
      <c r="H665" s="101">
        <f t="shared" si="30"/>
        <v>0</v>
      </c>
      <c r="I665" s="101">
        <f t="shared" si="31"/>
        <v>0</v>
      </c>
      <c r="L665" s="112"/>
    </row>
    <row r="666" spans="1:12" x14ac:dyDescent="0.25">
      <c r="A666" s="33" t="s">
        <v>3156</v>
      </c>
      <c r="B666" s="33" t="s">
        <v>1055</v>
      </c>
      <c r="C666" s="34" t="s">
        <v>1056</v>
      </c>
      <c r="D666" s="35">
        <v>0</v>
      </c>
      <c r="E666" s="88">
        <f>VLOOKUP(A666,'Previous week'!$A$3:$F$1765,6,FALSE)</f>
        <v>1</v>
      </c>
      <c r="F666" s="22">
        <f t="shared" si="32"/>
        <v>0</v>
      </c>
      <c r="G666" s="88">
        <f>VLOOKUP(A666,'Current week'!$A$3:$F$1765,6,0)</f>
        <v>1</v>
      </c>
      <c r="H666" s="104">
        <f t="shared" si="30"/>
        <v>0</v>
      </c>
      <c r="I666" s="104">
        <f t="shared" si="31"/>
        <v>0</v>
      </c>
      <c r="L666" s="112"/>
    </row>
    <row r="667" spans="1:12" x14ac:dyDescent="0.25">
      <c r="A667" s="23" t="s">
        <v>3157</v>
      </c>
      <c r="B667" s="23" t="s">
        <v>1057</v>
      </c>
      <c r="C667" s="24" t="s">
        <v>1058</v>
      </c>
      <c r="D667" s="71">
        <v>179076.09</v>
      </c>
      <c r="E667" s="88">
        <f>VLOOKUP(A667,'Previous week'!$A$3:$F$1765,6,FALSE)</f>
        <v>1</v>
      </c>
      <c r="F667" s="22">
        <f t="shared" si="32"/>
        <v>0</v>
      </c>
      <c r="G667" s="88">
        <f>VLOOKUP(A667,'Current week'!$A$3:$F$1765,6,0)</f>
        <v>1</v>
      </c>
      <c r="H667" s="102">
        <f t="shared" si="30"/>
        <v>179076.09</v>
      </c>
      <c r="I667" s="102">
        <f t="shared" si="31"/>
        <v>0</v>
      </c>
      <c r="L667" s="112"/>
    </row>
    <row r="668" spans="1:12" x14ac:dyDescent="0.25">
      <c r="A668" s="41" t="s">
        <v>2931</v>
      </c>
      <c r="B668" s="41" t="s">
        <v>1059</v>
      </c>
      <c r="C668" s="42"/>
      <c r="D668" s="66">
        <v>179076.09</v>
      </c>
      <c r="E668" s="91"/>
      <c r="F668" s="67">
        <f t="shared" si="32"/>
        <v>0</v>
      </c>
      <c r="G668" s="91"/>
      <c r="H668" s="103"/>
      <c r="I668" s="103"/>
      <c r="L668" s="112"/>
    </row>
    <row r="669" spans="1:12" x14ac:dyDescent="0.25">
      <c r="A669" s="45" t="s">
        <v>3158</v>
      </c>
      <c r="B669" s="45" t="s">
        <v>1060</v>
      </c>
      <c r="C669" s="46" t="s">
        <v>1061</v>
      </c>
      <c r="D669" s="75">
        <v>0</v>
      </c>
      <c r="E669" s="92"/>
      <c r="F669" s="48">
        <f t="shared" si="32"/>
        <v>0</v>
      </c>
      <c r="G669" s="92"/>
      <c r="H669" s="106"/>
      <c r="I669" s="106"/>
      <c r="L669" s="112"/>
    </row>
    <row r="670" spans="1:12" x14ac:dyDescent="0.25">
      <c r="A670" s="19" t="s">
        <v>3159</v>
      </c>
      <c r="B670" s="19" t="s">
        <v>1062</v>
      </c>
      <c r="C670" s="20" t="s">
        <v>1063</v>
      </c>
      <c r="D670" s="21">
        <v>0</v>
      </c>
      <c r="E670" s="88">
        <f>VLOOKUP(A670,'Previous week'!$A$3:$F$1765,6,FALSE)</f>
        <v>1</v>
      </c>
      <c r="F670" s="22">
        <f t="shared" si="32"/>
        <v>0</v>
      </c>
      <c r="G670" s="88">
        <f>VLOOKUP(A670,'Current week'!$A$3:$F$1765,6,0)</f>
        <v>1</v>
      </c>
      <c r="H670" s="101">
        <f t="shared" si="30"/>
        <v>0</v>
      </c>
      <c r="I670" s="101">
        <f t="shared" si="31"/>
        <v>0</v>
      </c>
      <c r="L670" s="112"/>
    </row>
    <row r="671" spans="1:12" x14ac:dyDescent="0.25">
      <c r="A671" s="33" t="s">
        <v>3160</v>
      </c>
      <c r="B671" s="33" t="s">
        <v>1064</v>
      </c>
      <c r="C671" s="34" t="s">
        <v>1065</v>
      </c>
      <c r="D671" s="35">
        <v>179076.09</v>
      </c>
      <c r="E671" s="88">
        <f>VLOOKUP(A671,'Previous week'!$A$3:$F$1765,6,FALSE)</f>
        <v>1</v>
      </c>
      <c r="F671" s="22">
        <f t="shared" si="32"/>
        <v>0</v>
      </c>
      <c r="G671" s="88">
        <f>VLOOKUP(A671,'Current week'!$A$3:$F$1765,6,0)</f>
        <v>1</v>
      </c>
      <c r="H671" s="104">
        <f t="shared" si="30"/>
        <v>179076.09</v>
      </c>
      <c r="I671" s="104">
        <f t="shared" si="31"/>
        <v>0</v>
      </c>
      <c r="L671" s="112"/>
    </row>
    <row r="672" spans="1:12" x14ac:dyDescent="0.25">
      <c r="A672" s="23" t="s">
        <v>3161</v>
      </c>
      <c r="B672" s="23" t="s">
        <v>195</v>
      </c>
      <c r="C672" s="24"/>
      <c r="D672" s="71">
        <v>6267663.0499999998</v>
      </c>
      <c r="E672" s="88">
        <f>VLOOKUP(A672,'Previous week'!$A$3:$F$1765,6,FALSE)</f>
        <v>1</v>
      </c>
      <c r="F672" s="22">
        <f t="shared" si="32"/>
        <v>0</v>
      </c>
      <c r="G672" s="88">
        <f>VLOOKUP(A672,'Current week'!$A$3:$F$1765,6,0)</f>
        <v>1</v>
      </c>
      <c r="H672" s="102">
        <f t="shared" si="30"/>
        <v>6267663.0499999998</v>
      </c>
      <c r="I672" s="102">
        <f t="shared" si="31"/>
        <v>0</v>
      </c>
      <c r="L672" s="112"/>
    </row>
    <row r="673" spans="1:12" x14ac:dyDescent="0.25">
      <c r="A673" s="45" t="s">
        <v>2803</v>
      </c>
      <c r="B673" s="45" t="s">
        <v>983</v>
      </c>
      <c r="C673" s="46"/>
      <c r="D673" s="75">
        <v>358152.17</v>
      </c>
      <c r="E673" s="92"/>
      <c r="F673" s="48">
        <f t="shared" si="32"/>
        <v>0</v>
      </c>
      <c r="G673" s="92"/>
      <c r="H673" s="106"/>
      <c r="I673" s="106"/>
      <c r="L673" s="112"/>
    </row>
    <row r="674" spans="1:12" x14ac:dyDescent="0.25">
      <c r="A674" s="19" t="s">
        <v>2807</v>
      </c>
      <c r="B674" s="19" t="s">
        <v>1066</v>
      </c>
      <c r="C674" s="20"/>
      <c r="D674" s="21">
        <v>179076.09</v>
      </c>
      <c r="E674" s="88">
        <f>VLOOKUP(A674,'Previous week'!$A$3:$F$1765,6,FALSE)</f>
        <v>0</v>
      </c>
      <c r="F674" s="22">
        <f t="shared" si="32"/>
        <v>0</v>
      </c>
      <c r="G674" s="88">
        <f>VLOOKUP(A674,'Current week'!$A$3:$F$1765,6,0)</f>
        <v>0</v>
      </c>
      <c r="H674" s="101">
        <f t="shared" si="30"/>
        <v>0</v>
      </c>
      <c r="I674" s="101">
        <f t="shared" si="31"/>
        <v>0</v>
      </c>
      <c r="L674" s="112"/>
    </row>
    <row r="675" spans="1:12" x14ac:dyDescent="0.25">
      <c r="A675" s="33" t="s">
        <v>3162</v>
      </c>
      <c r="B675" s="33" t="s">
        <v>1067</v>
      </c>
      <c r="C675" s="34" t="s">
        <v>1068</v>
      </c>
      <c r="D675" s="35">
        <v>0</v>
      </c>
      <c r="E675" s="88">
        <f>VLOOKUP(A675,'Previous week'!$A$3:$F$1765,6,FALSE)</f>
        <v>1</v>
      </c>
      <c r="F675" s="22">
        <f t="shared" si="32"/>
        <v>0</v>
      </c>
      <c r="G675" s="88">
        <f>VLOOKUP(A675,'Current week'!$A$3:$F$1765,6,0)</f>
        <v>1</v>
      </c>
      <c r="H675" s="104">
        <f t="shared" si="30"/>
        <v>0</v>
      </c>
      <c r="I675" s="104">
        <f t="shared" si="31"/>
        <v>0</v>
      </c>
      <c r="L675" s="112"/>
    </row>
    <row r="676" spans="1:12" x14ac:dyDescent="0.25">
      <c r="A676" s="23" t="s">
        <v>3163</v>
      </c>
      <c r="B676" s="23" t="s">
        <v>1069</v>
      </c>
      <c r="C676" s="24" t="s">
        <v>1070</v>
      </c>
      <c r="D676" s="71">
        <v>0</v>
      </c>
      <c r="E676" s="88">
        <f>VLOOKUP(A676,'Previous week'!$A$3:$F$1765,6,FALSE)</f>
        <v>1</v>
      </c>
      <c r="F676" s="22">
        <f t="shared" si="32"/>
        <v>0</v>
      </c>
      <c r="G676" s="88">
        <f>VLOOKUP(A676,'Current week'!$A$3:$F$1765,6,0)</f>
        <v>1</v>
      </c>
      <c r="H676" s="102">
        <f t="shared" si="30"/>
        <v>0</v>
      </c>
      <c r="I676" s="102">
        <f t="shared" si="31"/>
        <v>0</v>
      </c>
      <c r="L676" s="112"/>
    </row>
    <row r="677" spans="1:12" x14ac:dyDescent="0.25">
      <c r="A677" s="45" t="s">
        <v>3164</v>
      </c>
      <c r="B677" s="45" t="s">
        <v>1071</v>
      </c>
      <c r="C677" s="46" t="s">
        <v>1072</v>
      </c>
      <c r="D677" s="75">
        <v>0</v>
      </c>
      <c r="E677" s="92"/>
      <c r="F677" s="48">
        <f t="shared" si="32"/>
        <v>0</v>
      </c>
      <c r="G677" s="92"/>
      <c r="H677" s="106"/>
      <c r="I677" s="106"/>
      <c r="L677" s="112"/>
    </row>
    <row r="678" spans="1:12" x14ac:dyDescent="0.25">
      <c r="A678" s="19" t="s">
        <v>3165</v>
      </c>
      <c r="B678" s="19" t="s">
        <v>1073</v>
      </c>
      <c r="C678" s="20" t="s">
        <v>1074</v>
      </c>
      <c r="D678" s="21">
        <v>0</v>
      </c>
      <c r="E678" s="88">
        <f>VLOOKUP(A678,'Previous week'!$A$3:$F$1765,6,FALSE)</f>
        <v>1</v>
      </c>
      <c r="F678" s="22">
        <f t="shared" si="32"/>
        <v>0</v>
      </c>
      <c r="G678" s="88">
        <f>VLOOKUP(A678,'Current week'!$A$3:$F$1765,6,0)</f>
        <v>1</v>
      </c>
      <c r="H678" s="101">
        <f t="shared" si="30"/>
        <v>0</v>
      </c>
      <c r="I678" s="101">
        <f t="shared" si="31"/>
        <v>0</v>
      </c>
      <c r="L678" s="112"/>
    </row>
    <row r="679" spans="1:12" x14ac:dyDescent="0.25">
      <c r="A679" s="33" t="s">
        <v>3166</v>
      </c>
      <c r="B679" s="33" t="s">
        <v>1075</v>
      </c>
      <c r="C679" s="34" t="s">
        <v>1076</v>
      </c>
      <c r="D679" s="35">
        <v>0</v>
      </c>
      <c r="E679" s="88">
        <f>VLOOKUP(A679,'Previous week'!$A$3:$F$1765,6,FALSE)</f>
        <v>1</v>
      </c>
      <c r="F679" s="22">
        <f t="shared" si="32"/>
        <v>0</v>
      </c>
      <c r="G679" s="88">
        <f>VLOOKUP(A679,'Current week'!$A$3:$F$1765,6,0)</f>
        <v>1</v>
      </c>
      <c r="H679" s="104">
        <f t="shared" si="30"/>
        <v>0</v>
      </c>
      <c r="I679" s="104">
        <f t="shared" si="31"/>
        <v>0</v>
      </c>
      <c r="L679" s="112"/>
    </row>
    <row r="680" spans="1:12" x14ac:dyDescent="0.25">
      <c r="A680" s="23" t="s">
        <v>3167</v>
      </c>
      <c r="B680" s="23" t="s">
        <v>1077</v>
      </c>
      <c r="C680" s="24" t="s">
        <v>1078</v>
      </c>
      <c r="D680" s="71">
        <v>179076.09</v>
      </c>
      <c r="E680" s="88">
        <f>VLOOKUP(A680,'Previous week'!$A$3:$F$1765,6,FALSE)</f>
        <v>1</v>
      </c>
      <c r="F680" s="22">
        <f t="shared" si="32"/>
        <v>0</v>
      </c>
      <c r="G680" s="88">
        <f>VLOOKUP(A680,'Current week'!$A$3:$F$1765,6,0)</f>
        <v>1</v>
      </c>
      <c r="H680" s="102">
        <f t="shared" si="30"/>
        <v>179076.09</v>
      </c>
      <c r="I680" s="102">
        <f t="shared" si="31"/>
        <v>0</v>
      </c>
      <c r="L680" s="112"/>
    </row>
    <row r="681" spans="1:12" x14ac:dyDescent="0.25">
      <c r="A681" s="41" t="s">
        <v>3168</v>
      </c>
      <c r="B681" s="41" t="s">
        <v>1079</v>
      </c>
      <c r="C681" s="42" t="s">
        <v>1080</v>
      </c>
      <c r="D681" s="66">
        <v>0</v>
      </c>
      <c r="E681" s="91"/>
      <c r="F681" s="67">
        <f t="shared" si="32"/>
        <v>0</v>
      </c>
      <c r="G681" s="91"/>
      <c r="H681" s="103"/>
      <c r="I681" s="103"/>
      <c r="L681" s="112"/>
    </row>
    <row r="682" spans="1:12" x14ac:dyDescent="0.25">
      <c r="A682" s="45" t="s">
        <v>2810</v>
      </c>
      <c r="B682" s="45" t="s">
        <v>1081</v>
      </c>
      <c r="C682" s="46"/>
      <c r="D682" s="75">
        <v>179076.09</v>
      </c>
      <c r="E682" s="92"/>
      <c r="F682" s="48">
        <f t="shared" si="32"/>
        <v>0</v>
      </c>
      <c r="G682" s="92"/>
      <c r="H682" s="106"/>
      <c r="I682" s="106"/>
      <c r="L682" s="112"/>
    </row>
    <row r="683" spans="1:12" x14ac:dyDescent="0.25">
      <c r="A683" s="19" t="s">
        <v>3169</v>
      </c>
      <c r="B683" s="19" t="s">
        <v>1082</v>
      </c>
      <c r="C683" s="20" t="s">
        <v>1083</v>
      </c>
      <c r="D683" s="21">
        <v>0</v>
      </c>
      <c r="E683" s="88">
        <f>VLOOKUP(A683,'Previous week'!$A$3:$F$1765,6,FALSE)</f>
        <v>1</v>
      </c>
      <c r="F683" s="22">
        <f t="shared" si="32"/>
        <v>0</v>
      </c>
      <c r="G683" s="88">
        <f>VLOOKUP(A683,'Current week'!$A$3:$F$1765,6,0)</f>
        <v>1</v>
      </c>
      <c r="H683" s="101">
        <f t="shared" si="30"/>
        <v>0</v>
      </c>
      <c r="I683" s="101">
        <f t="shared" si="31"/>
        <v>0</v>
      </c>
      <c r="L683" s="112"/>
    </row>
    <row r="684" spans="1:12" x14ac:dyDescent="0.25">
      <c r="A684" s="33" t="s">
        <v>3170</v>
      </c>
      <c r="B684" s="33" t="s">
        <v>1084</v>
      </c>
      <c r="C684" s="34" t="s">
        <v>1085</v>
      </c>
      <c r="D684" s="35">
        <v>0</v>
      </c>
      <c r="E684" s="88">
        <f>VLOOKUP(A684,'Previous week'!$A$3:$F$1765,6,FALSE)</f>
        <v>1</v>
      </c>
      <c r="F684" s="22">
        <f t="shared" si="32"/>
        <v>0</v>
      </c>
      <c r="G684" s="88">
        <f>VLOOKUP(A684,'Current week'!$A$3:$F$1765,6,0)</f>
        <v>1</v>
      </c>
      <c r="H684" s="104">
        <f t="shared" si="30"/>
        <v>0</v>
      </c>
      <c r="I684" s="104">
        <f t="shared" si="31"/>
        <v>0</v>
      </c>
      <c r="L684" s="112"/>
    </row>
    <row r="685" spans="1:12" x14ac:dyDescent="0.25">
      <c r="A685" s="23" t="s">
        <v>3171</v>
      </c>
      <c r="B685" s="23" t="s">
        <v>1086</v>
      </c>
      <c r="C685" s="24" t="s">
        <v>1087</v>
      </c>
      <c r="D685" s="71">
        <v>0</v>
      </c>
      <c r="E685" s="88">
        <f>VLOOKUP(A685,'Previous week'!$A$3:$F$1765,6,FALSE)</f>
        <v>1</v>
      </c>
      <c r="F685" s="22">
        <f t="shared" si="32"/>
        <v>0</v>
      </c>
      <c r="G685" s="88">
        <f>VLOOKUP(A685,'Current week'!$A$3:$F$1765,6,0)</f>
        <v>1</v>
      </c>
      <c r="H685" s="102">
        <f t="shared" si="30"/>
        <v>0</v>
      </c>
      <c r="I685" s="102">
        <f t="shared" si="31"/>
        <v>0</v>
      </c>
      <c r="L685" s="112"/>
    </row>
    <row r="686" spans="1:12" x14ac:dyDescent="0.25">
      <c r="A686" s="45" t="s">
        <v>3172</v>
      </c>
      <c r="B686" s="45" t="s">
        <v>1088</v>
      </c>
      <c r="C686" s="46" t="s">
        <v>1089</v>
      </c>
      <c r="D686" s="75">
        <v>0</v>
      </c>
      <c r="E686" s="92"/>
      <c r="F686" s="48">
        <f t="shared" si="32"/>
        <v>0</v>
      </c>
      <c r="G686" s="92"/>
      <c r="H686" s="106"/>
      <c r="I686" s="106"/>
      <c r="L686" s="112"/>
    </row>
    <row r="687" spans="1:12" x14ac:dyDescent="0.25">
      <c r="A687" s="19" t="s">
        <v>3173</v>
      </c>
      <c r="B687" s="19" t="s">
        <v>1090</v>
      </c>
      <c r="C687" s="20" t="s">
        <v>1091</v>
      </c>
      <c r="D687" s="21">
        <v>0</v>
      </c>
      <c r="E687" s="88">
        <f>VLOOKUP(A687,'Previous week'!$A$3:$F$1765,6,FALSE)</f>
        <v>1</v>
      </c>
      <c r="F687" s="22">
        <f t="shared" si="32"/>
        <v>0</v>
      </c>
      <c r="G687" s="88">
        <f>VLOOKUP(A687,'Current week'!$A$3:$F$1765,6,0)</f>
        <v>1</v>
      </c>
      <c r="H687" s="101">
        <f t="shared" si="30"/>
        <v>0</v>
      </c>
      <c r="I687" s="101">
        <f t="shared" si="31"/>
        <v>0</v>
      </c>
      <c r="L687" s="112"/>
    </row>
    <row r="688" spans="1:12" x14ac:dyDescent="0.25">
      <c r="A688" s="33" t="s">
        <v>3174</v>
      </c>
      <c r="B688" s="33" t="s">
        <v>1092</v>
      </c>
      <c r="C688" s="34" t="s">
        <v>1093</v>
      </c>
      <c r="D688" s="35">
        <v>179076.09</v>
      </c>
      <c r="E688" s="88">
        <f>VLOOKUP(A688,'Previous week'!$A$3:$F$1765,6,FALSE)</f>
        <v>1</v>
      </c>
      <c r="F688" s="22">
        <f t="shared" si="32"/>
        <v>0</v>
      </c>
      <c r="G688" s="88">
        <f>VLOOKUP(A688,'Current week'!$A$3:$F$1765,6,0)</f>
        <v>1</v>
      </c>
      <c r="H688" s="104">
        <f t="shared" si="30"/>
        <v>179076.09</v>
      </c>
      <c r="I688" s="104">
        <f t="shared" si="31"/>
        <v>0</v>
      </c>
      <c r="L688" s="112"/>
    </row>
    <row r="689" spans="1:12" x14ac:dyDescent="0.25">
      <c r="A689" s="23" t="s">
        <v>3175</v>
      </c>
      <c r="B689" s="23" t="s">
        <v>1094</v>
      </c>
      <c r="C689" s="24" t="s">
        <v>1095</v>
      </c>
      <c r="D689" s="71">
        <v>0</v>
      </c>
      <c r="E689" s="88">
        <f>VLOOKUP(A689,'Previous week'!$A$3:$F$1765,6,FALSE)</f>
        <v>1</v>
      </c>
      <c r="F689" s="22">
        <f t="shared" si="32"/>
        <v>0</v>
      </c>
      <c r="G689" s="88">
        <f>VLOOKUP(A689,'Current week'!$A$3:$F$1765,6,0)</f>
        <v>1</v>
      </c>
      <c r="H689" s="102">
        <f t="shared" si="30"/>
        <v>0</v>
      </c>
      <c r="I689" s="102">
        <f t="shared" si="31"/>
        <v>0</v>
      </c>
      <c r="L689" s="112"/>
    </row>
    <row r="690" spans="1:12" x14ac:dyDescent="0.25">
      <c r="A690" s="45" t="s">
        <v>2813</v>
      </c>
      <c r="B690" s="45" t="s">
        <v>987</v>
      </c>
      <c r="C690" s="46"/>
      <c r="D690" s="47">
        <v>358152.17</v>
      </c>
      <c r="E690" s="92"/>
      <c r="F690" s="48">
        <f t="shared" si="32"/>
        <v>0</v>
      </c>
      <c r="G690" s="92"/>
      <c r="H690" s="106"/>
      <c r="I690" s="106"/>
      <c r="L690" s="112"/>
    </row>
    <row r="691" spans="1:12" x14ac:dyDescent="0.25">
      <c r="A691" s="19" t="s">
        <v>2807</v>
      </c>
      <c r="B691" s="19" t="s">
        <v>1066</v>
      </c>
      <c r="C691" s="20"/>
      <c r="D691" s="21">
        <v>179076.09</v>
      </c>
      <c r="E691" s="88">
        <f>VLOOKUP(A691,'Previous week'!$A$3:$F$1765,6,FALSE)</f>
        <v>0</v>
      </c>
      <c r="F691" s="22">
        <f t="shared" si="32"/>
        <v>0</v>
      </c>
      <c r="G691" s="88">
        <f>VLOOKUP(A691,'Current week'!$A$3:$F$1765,6,0)</f>
        <v>0</v>
      </c>
      <c r="H691" s="101">
        <f t="shared" si="30"/>
        <v>0</v>
      </c>
      <c r="I691" s="101">
        <f t="shared" si="31"/>
        <v>0</v>
      </c>
      <c r="L691" s="112"/>
    </row>
    <row r="692" spans="1:12" x14ac:dyDescent="0.25">
      <c r="A692" s="33" t="s">
        <v>3176</v>
      </c>
      <c r="B692" s="33" t="s">
        <v>1096</v>
      </c>
      <c r="C692" s="34" t="s">
        <v>1068</v>
      </c>
      <c r="D692" s="35">
        <v>0</v>
      </c>
      <c r="E692" s="88">
        <f>VLOOKUP(A692,'Previous week'!$A$3:$F$1765,6,FALSE)</f>
        <v>1</v>
      </c>
      <c r="F692" s="22">
        <f t="shared" si="32"/>
        <v>0</v>
      </c>
      <c r="G692" s="88">
        <f>VLOOKUP(A692,'Current week'!$A$3:$F$1765,6,0)</f>
        <v>1</v>
      </c>
      <c r="H692" s="104">
        <f t="shared" si="30"/>
        <v>0</v>
      </c>
      <c r="I692" s="104">
        <f t="shared" si="31"/>
        <v>0</v>
      </c>
      <c r="L692" s="112"/>
    </row>
    <row r="693" spans="1:12" x14ac:dyDescent="0.25">
      <c r="A693" s="23" t="s">
        <v>3177</v>
      </c>
      <c r="B693" s="23" t="s">
        <v>1097</v>
      </c>
      <c r="C693" s="24" t="s">
        <v>1070</v>
      </c>
      <c r="D693" s="25">
        <v>0</v>
      </c>
      <c r="E693" s="88">
        <f>VLOOKUP(A693,'Previous week'!$A$3:$F$1765,6,FALSE)</f>
        <v>1</v>
      </c>
      <c r="F693" s="22">
        <f t="shared" si="32"/>
        <v>0</v>
      </c>
      <c r="G693" s="88">
        <f>VLOOKUP(A693,'Current week'!$A$3:$F$1765,6,0)</f>
        <v>1</v>
      </c>
      <c r="H693" s="102">
        <f t="shared" si="30"/>
        <v>0</v>
      </c>
      <c r="I693" s="102">
        <f t="shared" si="31"/>
        <v>0</v>
      </c>
      <c r="L693" s="112"/>
    </row>
    <row r="694" spans="1:12" x14ac:dyDescent="0.25">
      <c r="A694" s="41" t="s">
        <v>3178</v>
      </c>
      <c r="B694" s="41" t="s">
        <v>1098</v>
      </c>
      <c r="C694" s="42" t="s">
        <v>1072</v>
      </c>
      <c r="D694" s="66">
        <v>0</v>
      </c>
      <c r="E694" s="91"/>
      <c r="F694" s="67">
        <f t="shared" si="32"/>
        <v>0</v>
      </c>
      <c r="G694" s="91"/>
      <c r="H694" s="103"/>
      <c r="I694" s="103"/>
      <c r="L694" s="112"/>
    </row>
    <row r="695" spans="1:12" x14ac:dyDescent="0.25">
      <c r="A695" s="45" t="s">
        <v>3179</v>
      </c>
      <c r="B695" s="45" t="s">
        <v>1099</v>
      </c>
      <c r="C695" s="46" t="s">
        <v>1074</v>
      </c>
      <c r="D695" s="75">
        <v>0</v>
      </c>
      <c r="E695" s="92"/>
      <c r="F695" s="48">
        <f t="shared" si="32"/>
        <v>0</v>
      </c>
      <c r="G695" s="92"/>
      <c r="H695" s="106"/>
      <c r="I695" s="106"/>
      <c r="L695" s="112"/>
    </row>
    <row r="696" spans="1:12" x14ac:dyDescent="0.25">
      <c r="A696" s="19" t="s">
        <v>3180</v>
      </c>
      <c r="B696" s="19" t="s">
        <v>1100</v>
      </c>
      <c r="C696" s="20" t="s">
        <v>1078</v>
      </c>
      <c r="D696" s="21">
        <v>179076.09</v>
      </c>
      <c r="E696" s="88">
        <f>VLOOKUP(A696,'Previous week'!$A$3:$F$1765,6,FALSE)</f>
        <v>1</v>
      </c>
      <c r="F696" s="22">
        <f t="shared" si="32"/>
        <v>0</v>
      </c>
      <c r="G696" s="88">
        <f>VLOOKUP(A696,'Current week'!$A$3:$F$1765,6,0)</f>
        <v>1</v>
      </c>
      <c r="H696" s="101">
        <f t="shared" si="30"/>
        <v>179076.09</v>
      </c>
      <c r="I696" s="101">
        <f t="shared" si="31"/>
        <v>0</v>
      </c>
      <c r="L696" s="112"/>
    </row>
    <row r="697" spans="1:12" x14ac:dyDescent="0.25">
      <c r="A697" s="33" t="s">
        <v>3181</v>
      </c>
      <c r="B697" s="33" t="s">
        <v>1101</v>
      </c>
      <c r="C697" s="34" t="s">
        <v>1080</v>
      </c>
      <c r="D697" s="35">
        <v>0</v>
      </c>
      <c r="E697" s="88">
        <f>VLOOKUP(A697,'Previous week'!$A$3:$F$1765,6,FALSE)</f>
        <v>1</v>
      </c>
      <c r="F697" s="22">
        <f t="shared" si="32"/>
        <v>0</v>
      </c>
      <c r="G697" s="88">
        <f>VLOOKUP(A697,'Current week'!$A$3:$F$1765,6,0)</f>
        <v>1</v>
      </c>
      <c r="H697" s="104">
        <f t="shared" si="30"/>
        <v>0</v>
      </c>
      <c r="I697" s="104">
        <f t="shared" si="31"/>
        <v>0</v>
      </c>
      <c r="L697" s="112"/>
    </row>
    <row r="698" spans="1:12" x14ac:dyDescent="0.25">
      <c r="A698" s="23" t="s">
        <v>3182</v>
      </c>
      <c r="B698" s="23" t="s">
        <v>1102</v>
      </c>
      <c r="C698" s="24"/>
      <c r="D698" s="71">
        <v>179076.09</v>
      </c>
      <c r="E698" s="88">
        <f>VLOOKUP(A698,'Previous week'!$A$3:$F$1765,6,FALSE)</f>
        <v>1</v>
      </c>
      <c r="F698" s="22">
        <f t="shared" si="32"/>
        <v>0</v>
      </c>
      <c r="G698" s="88">
        <f>VLOOKUP(A698,'Current week'!$A$3:$F$1765,6,0)</f>
        <v>1</v>
      </c>
      <c r="H698" s="102">
        <f t="shared" si="30"/>
        <v>179076.09</v>
      </c>
      <c r="I698" s="102">
        <f t="shared" si="31"/>
        <v>0</v>
      </c>
      <c r="L698" s="112"/>
    </row>
    <row r="699" spans="1:12" x14ac:dyDescent="0.25">
      <c r="A699" s="45" t="s">
        <v>3183</v>
      </c>
      <c r="B699" s="45" t="s">
        <v>1103</v>
      </c>
      <c r="C699" s="46" t="s">
        <v>215</v>
      </c>
      <c r="D699" s="75">
        <v>0</v>
      </c>
      <c r="E699" s="92"/>
      <c r="F699" s="48">
        <f t="shared" si="32"/>
        <v>0</v>
      </c>
      <c r="G699" s="92"/>
      <c r="H699" s="106"/>
      <c r="I699" s="106"/>
      <c r="L699" s="112"/>
    </row>
    <row r="700" spans="1:12" x14ac:dyDescent="0.25">
      <c r="A700" s="19" t="s">
        <v>3184</v>
      </c>
      <c r="B700" s="19" t="s">
        <v>1104</v>
      </c>
      <c r="C700" s="20" t="s">
        <v>1105</v>
      </c>
      <c r="D700" s="21">
        <v>0</v>
      </c>
      <c r="E700" s="88">
        <f>VLOOKUP(A700,'Previous week'!$A$3:$F$1765,6,FALSE)</f>
        <v>1</v>
      </c>
      <c r="F700" s="22">
        <f t="shared" si="32"/>
        <v>0</v>
      </c>
      <c r="G700" s="88">
        <f>VLOOKUP(A700,'Current week'!$A$3:$F$1765,6,0)</f>
        <v>1</v>
      </c>
      <c r="H700" s="101">
        <f t="shared" si="30"/>
        <v>0</v>
      </c>
      <c r="I700" s="101">
        <f t="shared" si="31"/>
        <v>0</v>
      </c>
      <c r="L700" s="112"/>
    </row>
    <row r="701" spans="1:12" x14ac:dyDescent="0.25">
      <c r="A701" s="33" t="s">
        <v>3185</v>
      </c>
      <c r="B701" s="33" t="s">
        <v>1106</v>
      </c>
      <c r="C701" s="34" t="s">
        <v>1107</v>
      </c>
      <c r="D701" s="35">
        <v>0</v>
      </c>
      <c r="E701" s="88">
        <f>VLOOKUP(A701,'Previous week'!$A$3:$F$1765,6,FALSE)</f>
        <v>1</v>
      </c>
      <c r="F701" s="22">
        <f t="shared" si="32"/>
        <v>0</v>
      </c>
      <c r="G701" s="88">
        <f>VLOOKUP(A701,'Current week'!$A$3:$F$1765,6,0)</f>
        <v>1</v>
      </c>
      <c r="H701" s="104">
        <f t="shared" si="30"/>
        <v>0</v>
      </c>
      <c r="I701" s="104">
        <f t="shared" si="31"/>
        <v>0</v>
      </c>
      <c r="L701" s="112"/>
    </row>
    <row r="702" spans="1:12" x14ac:dyDescent="0.25">
      <c r="A702" s="23" t="s">
        <v>3186</v>
      </c>
      <c r="B702" s="23" t="s">
        <v>1108</v>
      </c>
      <c r="C702" s="24" t="s">
        <v>1109</v>
      </c>
      <c r="D702" s="71">
        <v>0</v>
      </c>
      <c r="E702" s="88">
        <f>VLOOKUP(A702,'Previous week'!$A$3:$F$1765,6,FALSE)</f>
        <v>1</v>
      </c>
      <c r="F702" s="22">
        <f t="shared" si="32"/>
        <v>0</v>
      </c>
      <c r="G702" s="88">
        <f>VLOOKUP(A702,'Current week'!$A$3:$F$1765,6,0)</f>
        <v>1</v>
      </c>
      <c r="H702" s="102">
        <f t="shared" si="30"/>
        <v>0</v>
      </c>
      <c r="I702" s="102">
        <f t="shared" si="31"/>
        <v>0</v>
      </c>
      <c r="L702" s="112"/>
    </row>
    <row r="703" spans="1:12" x14ac:dyDescent="0.25">
      <c r="A703" s="41" t="s">
        <v>3187</v>
      </c>
      <c r="B703" s="41" t="s">
        <v>1110</v>
      </c>
      <c r="C703" s="42" t="s">
        <v>1111</v>
      </c>
      <c r="D703" s="66">
        <v>0</v>
      </c>
      <c r="E703" s="91"/>
      <c r="F703" s="67">
        <f t="shared" si="32"/>
        <v>0</v>
      </c>
      <c r="G703" s="91"/>
      <c r="H703" s="103"/>
      <c r="I703" s="103"/>
      <c r="L703" s="112"/>
    </row>
    <row r="704" spans="1:12" x14ac:dyDescent="0.25">
      <c r="A704" s="45" t="s">
        <v>3188</v>
      </c>
      <c r="B704" s="45" t="s">
        <v>1112</v>
      </c>
      <c r="C704" s="46" t="s">
        <v>216</v>
      </c>
      <c r="D704" s="75">
        <v>179076.09</v>
      </c>
      <c r="E704" s="92"/>
      <c r="F704" s="48">
        <f t="shared" si="32"/>
        <v>0</v>
      </c>
      <c r="G704" s="92"/>
      <c r="H704" s="106"/>
      <c r="I704" s="106"/>
      <c r="L704" s="112"/>
    </row>
    <row r="705" spans="1:12" x14ac:dyDescent="0.25">
      <c r="A705" s="19" t="s">
        <v>3189</v>
      </c>
      <c r="B705" s="19" t="s">
        <v>1113</v>
      </c>
      <c r="C705" s="20" t="s">
        <v>1114</v>
      </c>
      <c r="D705" s="21">
        <v>0</v>
      </c>
      <c r="E705" s="88">
        <f>VLOOKUP(A705,'Previous week'!$A$3:$F$1765,6,FALSE)</f>
        <v>1</v>
      </c>
      <c r="F705" s="22">
        <f t="shared" si="32"/>
        <v>0</v>
      </c>
      <c r="G705" s="88">
        <f>VLOOKUP(A705,'Current week'!$A$3:$F$1765,6,0)</f>
        <v>1</v>
      </c>
      <c r="H705" s="101">
        <f t="shared" si="30"/>
        <v>0</v>
      </c>
      <c r="I705" s="101">
        <f t="shared" si="31"/>
        <v>0</v>
      </c>
      <c r="L705" s="112"/>
    </row>
    <row r="706" spans="1:12" x14ac:dyDescent="0.25">
      <c r="A706" s="33" t="s">
        <v>2821</v>
      </c>
      <c r="B706" s="33" t="s">
        <v>190</v>
      </c>
      <c r="C706" s="34"/>
      <c r="D706" s="35">
        <v>1432608.7</v>
      </c>
      <c r="E706" s="88">
        <f>VLOOKUP(A706,'Previous week'!$A$3:$F$1765,6,FALSE)</f>
        <v>0</v>
      </c>
      <c r="F706" s="22">
        <f t="shared" si="32"/>
        <v>0</v>
      </c>
      <c r="G706" s="88">
        <f>VLOOKUP(A706,'Current week'!$A$3:$F$1765,6,0)</f>
        <v>0</v>
      </c>
      <c r="H706" s="104">
        <f t="shared" ref="H706:H769" si="33">G706*D706</f>
        <v>0</v>
      </c>
      <c r="I706" s="104">
        <f t="shared" ref="I706:I769" si="34">F706*D706</f>
        <v>0</v>
      </c>
      <c r="L706" s="112"/>
    </row>
    <row r="707" spans="1:12" x14ac:dyDescent="0.25">
      <c r="A707" s="23" t="s">
        <v>2831</v>
      </c>
      <c r="B707" s="23" t="s">
        <v>196</v>
      </c>
      <c r="C707" s="24"/>
      <c r="D707" s="71">
        <v>179076.09</v>
      </c>
      <c r="E707" s="88">
        <f>VLOOKUP(A707,'Previous week'!$A$3:$F$1765,6,FALSE)</f>
        <v>0</v>
      </c>
      <c r="F707" s="22">
        <f t="shared" ref="F707:F770" si="35">G707-E707</f>
        <v>0</v>
      </c>
      <c r="G707" s="88">
        <f>VLOOKUP(A707,'Current week'!$A$3:$F$1765,6,0)</f>
        <v>0</v>
      </c>
      <c r="H707" s="102">
        <f t="shared" si="33"/>
        <v>0</v>
      </c>
      <c r="I707" s="102">
        <f t="shared" si="34"/>
        <v>0</v>
      </c>
      <c r="L707" s="112"/>
    </row>
    <row r="708" spans="1:12" x14ac:dyDescent="0.25">
      <c r="A708" s="45" t="s">
        <v>3190</v>
      </c>
      <c r="B708" s="45" t="s">
        <v>1115</v>
      </c>
      <c r="C708" s="46" t="s">
        <v>197</v>
      </c>
      <c r="D708" s="75">
        <v>0</v>
      </c>
      <c r="E708" s="92"/>
      <c r="F708" s="48">
        <f t="shared" si="35"/>
        <v>0</v>
      </c>
      <c r="G708" s="92"/>
      <c r="H708" s="106"/>
      <c r="I708" s="106"/>
      <c r="L708" s="112"/>
    </row>
    <row r="709" spans="1:12" x14ac:dyDescent="0.25">
      <c r="A709" s="19" t="s">
        <v>3191</v>
      </c>
      <c r="B709" s="19" t="s">
        <v>1116</v>
      </c>
      <c r="C709" s="20" t="s">
        <v>1117</v>
      </c>
      <c r="D709" s="21">
        <v>0</v>
      </c>
      <c r="E709" s="88">
        <f>VLOOKUP(A709,'Previous week'!$A$3:$F$1765,6,FALSE)</f>
        <v>1</v>
      </c>
      <c r="F709" s="22">
        <f t="shared" si="35"/>
        <v>0</v>
      </c>
      <c r="G709" s="88">
        <f>VLOOKUP(A709,'Current week'!$A$3:$F$1765,6,0)</f>
        <v>1</v>
      </c>
      <c r="H709" s="101">
        <f t="shared" si="33"/>
        <v>0</v>
      </c>
      <c r="I709" s="101">
        <f t="shared" si="34"/>
        <v>0</v>
      </c>
      <c r="L709" s="112"/>
    </row>
    <row r="710" spans="1:12" x14ac:dyDescent="0.25">
      <c r="A710" s="33" t="s">
        <v>3192</v>
      </c>
      <c r="B710" s="33" t="s">
        <v>1118</v>
      </c>
      <c r="C710" s="34" t="s">
        <v>1119</v>
      </c>
      <c r="D710" s="35">
        <v>0</v>
      </c>
      <c r="E710" s="88">
        <f>VLOOKUP(A710,'Previous week'!$A$3:$F$1765,6,FALSE)</f>
        <v>1</v>
      </c>
      <c r="F710" s="22">
        <f t="shared" si="35"/>
        <v>0</v>
      </c>
      <c r="G710" s="88">
        <f>VLOOKUP(A710,'Current week'!$A$3:$F$1765,6,0)</f>
        <v>1</v>
      </c>
      <c r="H710" s="104">
        <f t="shared" si="33"/>
        <v>0</v>
      </c>
      <c r="I710" s="104">
        <f t="shared" si="34"/>
        <v>0</v>
      </c>
      <c r="L710" s="112"/>
    </row>
    <row r="711" spans="1:12" x14ac:dyDescent="0.25">
      <c r="A711" s="23" t="s">
        <v>3193</v>
      </c>
      <c r="B711" s="23" t="s">
        <v>1120</v>
      </c>
      <c r="C711" s="24" t="s">
        <v>198</v>
      </c>
      <c r="D711" s="71">
        <v>179076.09</v>
      </c>
      <c r="E711" s="88">
        <f>VLOOKUP(A711,'Previous week'!$A$3:$F$1765,6,FALSE)</f>
        <v>1</v>
      </c>
      <c r="F711" s="22">
        <f t="shared" si="35"/>
        <v>0</v>
      </c>
      <c r="G711" s="88">
        <f>VLOOKUP(A711,'Current week'!$A$3:$F$1765,6,0)</f>
        <v>1</v>
      </c>
      <c r="H711" s="102">
        <f t="shared" si="33"/>
        <v>179076.09</v>
      </c>
      <c r="I711" s="102">
        <f t="shared" si="34"/>
        <v>0</v>
      </c>
      <c r="L711" s="112"/>
    </row>
    <row r="712" spans="1:12" x14ac:dyDescent="0.25">
      <c r="A712" s="45" t="s">
        <v>3194</v>
      </c>
      <c r="B712" s="45" t="s">
        <v>1121</v>
      </c>
      <c r="C712" s="46" t="s">
        <v>1122</v>
      </c>
      <c r="D712" s="75">
        <v>0</v>
      </c>
      <c r="E712" s="92"/>
      <c r="F712" s="48">
        <f t="shared" si="35"/>
        <v>0</v>
      </c>
      <c r="G712" s="92"/>
      <c r="H712" s="106"/>
      <c r="I712" s="106"/>
      <c r="L712" s="112"/>
    </row>
    <row r="713" spans="1:12" x14ac:dyDescent="0.25">
      <c r="A713" s="19" t="s">
        <v>2837</v>
      </c>
      <c r="B713" s="19" t="s">
        <v>1123</v>
      </c>
      <c r="C713" s="20"/>
      <c r="D713" s="21">
        <v>179076.09</v>
      </c>
      <c r="E713" s="88">
        <f>VLOOKUP(A713,'Previous week'!$A$3:$F$1765,6,FALSE)</f>
        <v>0</v>
      </c>
      <c r="F713" s="22">
        <f t="shared" si="35"/>
        <v>0</v>
      </c>
      <c r="G713" s="88">
        <f>VLOOKUP(A713,'Current week'!$A$3:$F$1765,6,0)</f>
        <v>0</v>
      </c>
      <c r="H713" s="101">
        <f t="shared" si="33"/>
        <v>0</v>
      </c>
      <c r="I713" s="101">
        <f t="shared" si="34"/>
        <v>0</v>
      </c>
      <c r="L713" s="112"/>
    </row>
    <row r="714" spans="1:12" x14ac:dyDescent="0.25">
      <c r="A714" s="33" t="s">
        <v>3195</v>
      </c>
      <c r="B714" s="33" t="s">
        <v>1124</v>
      </c>
      <c r="C714" s="34" t="s">
        <v>1125</v>
      </c>
      <c r="D714" s="35">
        <v>0</v>
      </c>
      <c r="E714" s="88">
        <f>VLOOKUP(A714,'Previous week'!$A$3:$F$1765,6,FALSE)</f>
        <v>1</v>
      </c>
      <c r="F714" s="22">
        <f t="shared" si="35"/>
        <v>0</v>
      </c>
      <c r="G714" s="88">
        <f>VLOOKUP(A714,'Current week'!$A$3:$F$1765,6,0)</f>
        <v>1</v>
      </c>
      <c r="H714" s="104">
        <f t="shared" si="33"/>
        <v>0</v>
      </c>
      <c r="I714" s="104">
        <f t="shared" si="34"/>
        <v>0</v>
      </c>
      <c r="L714" s="112"/>
    </row>
    <row r="715" spans="1:12" x14ac:dyDescent="0.25">
      <c r="A715" s="23" t="s">
        <v>3196</v>
      </c>
      <c r="B715" s="23" t="s">
        <v>1126</v>
      </c>
      <c r="C715" s="24" t="s">
        <v>1127</v>
      </c>
      <c r="D715" s="71">
        <v>0</v>
      </c>
      <c r="E715" s="88">
        <f>VLOOKUP(A715,'Previous week'!$A$3:$F$1765,6,FALSE)</f>
        <v>1</v>
      </c>
      <c r="F715" s="22">
        <f t="shared" si="35"/>
        <v>0</v>
      </c>
      <c r="G715" s="88">
        <f>VLOOKUP(A715,'Current week'!$A$3:$F$1765,6,0)</f>
        <v>1</v>
      </c>
      <c r="H715" s="102">
        <f t="shared" si="33"/>
        <v>0</v>
      </c>
      <c r="I715" s="102">
        <f t="shared" si="34"/>
        <v>0</v>
      </c>
      <c r="L715" s="112"/>
    </row>
    <row r="716" spans="1:12" x14ac:dyDescent="0.25">
      <c r="A716" s="41" t="s">
        <v>3197</v>
      </c>
      <c r="B716" s="41" t="s">
        <v>1128</v>
      </c>
      <c r="C716" s="42" t="s">
        <v>1129</v>
      </c>
      <c r="D716" s="66">
        <v>0</v>
      </c>
      <c r="E716" s="91"/>
      <c r="F716" s="44">
        <f t="shared" si="35"/>
        <v>0</v>
      </c>
      <c r="G716" s="91"/>
      <c r="H716" s="103"/>
      <c r="I716" s="103"/>
      <c r="L716" s="112"/>
    </row>
    <row r="717" spans="1:12" x14ac:dyDescent="0.25">
      <c r="A717" s="50" t="s">
        <v>3198</v>
      </c>
      <c r="B717" s="50" t="s">
        <v>1130</v>
      </c>
      <c r="C717" s="51" t="s">
        <v>1131</v>
      </c>
      <c r="D717" s="52">
        <v>0</v>
      </c>
      <c r="E717" s="93"/>
      <c r="F717" s="53">
        <f t="shared" si="35"/>
        <v>0</v>
      </c>
      <c r="G717" s="93"/>
      <c r="H717" s="106"/>
      <c r="I717" s="106"/>
      <c r="L717" s="112"/>
    </row>
    <row r="718" spans="1:12" x14ac:dyDescent="0.25">
      <c r="A718" s="54" t="s">
        <v>3199</v>
      </c>
      <c r="B718" s="54" t="s">
        <v>1132</v>
      </c>
      <c r="C718" s="55" t="s">
        <v>1133</v>
      </c>
      <c r="D718" s="56">
        <v>0</v>
      </c>
      <c r="E718" s="94">
        <f>'Previous week'!F718</f>
        <v>1</v>
      </c>
      <c r="F718" s="57">
        <f t="shared" si="35"/>
        <v>0</v>
      </c>
      <c r="G718" s="94">
        <f>'Current week'!F718</f>
        <v>1</v>
      </c>
      <c r="H718" s="107">
        <f t="shared" si="33"/>
        <v>0</v>
      </c>
      <c r="I718" s="107">
        <f t="shared" si="34"/>
        <v>0</v>
      </c>
      <c r="L718" s="112"/>
    </row>
    <row r="719" spans="1:12" x14ac:dyDescent="0.25">
      <c r="A719" s="19" t="s">
        <v>3200</v>
      </c>
      <c r="B719" s="19" t="s">
        <v>1134</v>
      </c>
      <c r="C719" s="20" t="s">
        <v>1135</v>
      </c>
      <c r="D719" s="21">
        <v>179076.09</v>
      </c>
      <c r="E719" s="88">
        <f>VLOOKUP(A719,'Previous week'!$A$3:$F$1765,6,FALSE)</f>
        <v>1</v>
      </c>
      <c r="F719" s="22">
        <f t="shared" si="35"/>
        <v>0</v>
      </c>
      <c r="G719" s="88">
        <f>VLOOKUP(A719,'Current week'!$A$3:$F$1765,6,0)</f>
        <v>1</v>
      </c>
      <c r="H719" s="101">
        <f t="shared" si="33"/>
        <v>179076.09</v>
      </c>
      <c r="I719" s="101">
        <f t="shared" si="34"/>
        <v>0</v>
      </c>
      <c r="L719" s="112"/>
    </row>
    <row r="720" spans="1:12" x14ac:dyDescent="0.25">
      <c r="A720" s="33" t="s">
        <v>3201</v>
      </c>
      <c r="B720" s="33" t="s">
        <v>1136</v>
      </c>
      <c r="C720" s="34" t="s">
        <v>1137</v>
      </c>
      <c r="D720" s="35">
        <v>0</v>
      </c>
      <c r="E720" s="88">
        <f>VLOOKUP(A720,'Previous week'!$A$3:$F$1765,6,FALSE)</f>
        <v>1</v>
      </c>
      <c r="F720" s="22">
        <f t="shared" si="35"/>
        <v>0</v>
      </c>
      <c r="G720" s="88">
        <f>VLOOKUP(A720,'Current week'!$A$3:$F$1765,6,0)</f>
        <v>1</v>
      </c>
      <c r="H720" s="104">
        <f t="shared" si="33"/>
        <v>0</v>
      </c>
      <c r="I720" s="104">
        <f t="shared" si="34"/>
        <v>0</v>
      </c>
      <c r="L720" s="112"/>
    </row>
    <row r="721" spans="1:12" x14ac:dyDescent="0.25">
      <c r="A721" s="23" t="s">
        <v>2825</v>
      </c>
      <c r="B721" s="23" t="s">
        <v>202</v>
      </c>
      <c r="C721" s="24"/>
      <c r="D721" s="25">
        <v>179076.09</v>
      </c>
      <c r="E721" s="88">
        <f>VLOOKUP(A721,'Previous week'!$A$3:$F$1765,6,FALSE)</f>
        <v>0</v>
      </c>
      <c r="F721" s="22">
        <f t="shared" si="35"/>
        <v>0</v>
      </c>
      <c r="G721" s="88">
        <f>VLOOKUP(A721,'Current week'!$A$3:$F$1765,6,0)</f>
        <v>0</v>
      </c>
      <c r="H721" s="102">
        <f t="shared" si="33"/>
        <v>0</v>
      </c>
      <c r="I721" s="102">
        <f t="shared" si="34"/>
        <v>0</v>
      </c>
      <c r="L721" s="112"/>
    </row>
    <row r="722" spans="1:12" x14ac:dyDescent="0.25">
      <c r="A722" s="54" t="s">
        <v>3202</v>
      </c>
      <c r="B722" s="54" t="s">
        <v>1138</v>
      </c>
      <c r="C722" s="55" t="s">
        <v>203</v>
      </c>
      <c r="D722" s="56">
        <v>0</v>
      </c>
      <c r="E722" s="94">
        <f>'Previous week'!F722</f>
        <v>1</v>
      </c>
      <c r="F722" s="57">
        <f t="shared" si="35"/>
        <v>0</v>
      </c>
      <c r="G722" s="94">
        <f>'Current week'!F722</f>
        <v>1</v>
      </c>
      <c r="H722" s="107">
        <f t="shared" si="33"/>
        <v>0</v>
      </c>
      <c r="I722" s="107">
        <f t="shared" si="34"/>
        <v>0</v>
      </c>
      <c r="L722" s="112"/>
    </row>
    <row r="723" spans="1:12" x14ac:dyDescent="0.25">
      <c r="A723" s="19" t="s">
        <v>3203</v>
      </c>
      <c r="B723" s="19" t="s">
        <v>1139</v>
      </c>
      <c r="C723" s="20" t="s">
        <v>1140</v>
      </c>
      <c r="D723" s="21">
        <v>0</v>
      </c>
      <c r="E723" s="88">
        <f>VLOOKUP(A723,'Previous week'!$A$3:$F$1765,6,FALSE)</f>
        <v>1</v>
      </c>
      <c r="F723" s="22">
        <f t="shared" si="35"/>
        <v>0</v>
      </c>
      <c r="G723" s="88">
        <f>VLOOKUP(A723,'Current week'!$A$3:$F$1765,6,0)</f>
        <v>1</v>
      </c>
      <c r="H723" s="101">
        <f t="shared" si="33"/>
        <v>0</v>
      </c>
      <c r="I723" s="101">
        <f t="shared" si="34"/>
        <v>0</v>
      </c>
      <c r="L723" s="112"/>
    </row>
    <row r="724" spans="1:12" x14ac:dyDescent="0.25">
      <c r="A724" s="33" t="s">
        <v>3204</v>
      </c>
      <c r="B724" s="33" t="s">
        <v>1141</v>
      </c>
      <c r="C724" s="34" t="s">
        <v>1142</v>
      </c>
      <c r="D724" s="35">
        <v>0</v>
      </c>
      <c r="E724" s="88">
        <f>VLOOKUP(A724,'Previous week'!$A$3:$F$1765,6,FALSE)</f>
        <v>1</v>
      </c>
      <c r="F724" s="22">
        <f t="shared" si="35"/>
        <v>0</v>
      </c>
      <c r="G724" s="88">
        <f>VLOOKUP(A724,'Current week'!$A$3:$F$1765,6,0)</f>
        <v>1</v>
      </c>
      <c r="H724" s="104">
        <f t="shared" si="33"/>
        <v>0</v>
      </c>
      <c r="I724" s="104">
        <f t="shared" si="34"/>
        <v>0</v>
      </c>
      <c r="L724" s="112"/>
    </row>
    <row r="725" spans="1:12" x14ac:dyDescent="0.25">
      <c r="A725" s="23" t="s">
        <v>3205</v>
      </c>
      <c r="B725" s="23" t="s">
        <v>1143</v>
      </c>
      <c r="C725" s="24" t="s">
        <v>1144</v>
      </c>
      <c r="D725" s="25">
        <v>0</v>
      </c>
      <c r="E725" s="88">
        <f>VLOOKUP(A725,'Previous week'!$A$3:$F$1765,6,FALSE)</f>
        <v>1</v>
      </c>
      <c r="F725" s="22">
        <f t="shared" si="35"/>
        <v>0</v>
      </c>
      <c r="G725" s="88">
        <f>VLOOKUP(A725,'Current week'!$A$3:$F$1765,6,0)</f>
        <v>1</v>
      </c>
      <c r="H725" s="102">
        <f t="shared" si="33"/>
        <v>0</v>
      </c>
      <c r="I725" s="102">
        <f t="shared" si="34"/>
        <v>0</v>
      </c>
      <c r="L725" s="112"/>
    </row>
    <row r="726" spans="1:12" x14ac:dyDescent="0.25">
      <c r="A726" s="50" t="s">
        <v>3206</v>
      </c>
      <c r="B726" s="50" t="s">
        <v>1145</v>
      </c>
      <c r="C726" s="51" t="s">
        <v>204</v>
      </c>
      <c r="D726" s="68">
        <v>179076.09</v>
      </c>
      <c r="E726" s="93"/>
      <c r="F726" s="53">
        <f t="shared" si="35"/>
        <v>0</v>
      </c>
      <c r="G726" s="93"/>
      <c r="H726" s="106"/>
      <c r="I726" s="106"/>
      <c r="L726" s="112"/>
    </row>
    <row r="727" spans="1:12" x14ac:dyDescent="0.25">
      <c r="A727" s="54" t="s">
        <v>3207</v>
      </c>
      <c r="B727" s="54" t="s">
        <v>1146</v>
      </c>
      <c r="C727" s="55" t="s">
        <v>1147</v>
      </c>
      <c r="D727" s="70">
        <v>0</v>
      </c>
      <c r="E727" s="94">
        <f>'Previous week'!F727</f>
        <v>1</v>
      </c>
      <c r="F727" s="57">
        <f t="shared" si="35"/>
        <v>0</v>
      </c>
      <c r="G727" s="94">
        <f>'Current week'!F727</f>
        <v>1</v>
      </c>
      <c r="H727" s="107">
        <f t="shared" si="33"/>
        <v>0</v>
      </c>
      <c r="I727" s="107">
        <f t="shared" si="34"/>
        <v>0</v>
      </c>
      <c r="L727" s="112"/>
    </row>
    <row r="728" spans="1:12" x14ac:dyDescent="0.25">
      <c r="A728" s="19" t="s">
        <v>3208</v>
      </c>
      <c r="B728" s="19" t="s">
        <v>199</v>
      </c>
      <c r="C728" s="20"/>
      <c r="D728" s="21">
        <v>179076.09</v>
      </c>
      <c r="E728" s="88">
        <f>VLOOKUP(A728,'Previous week'!$A$3:$F$1765,6,FALSE)</f>
        <v>1</v>
      </c>
      <c r="F728" s="22">
        <f t="shared" si="35"/>
        <v>0</v>
      </c>
      <c r="G728" s="88">
        <f>VLOOKUP(A728,'Current week'!$A$3:$F$1765,6,0)</f>
        <v>1</v>
      </c>
      <c r="H728" s="101">
        <f t="shared" si="33"/>
        <v>179076.09</v>
      </c>
      <c r="I728" s="101">
        <f t="shared" si="34"/>
        <v>0</v>
      </c>
      <c r="L728" s="112"/>
    </row>
    <row r="729" spans="1:12" x14ac:dyDescent="0.25">
      <c r="A729" s="33" t="s">
        <v>3209</v>
      </c>
      <c r="B729" s="33" t="s">
        <v>1148</v>
      </c>
      <c r="C729" s="34" t="s">
        <v>200</v>
      </c>
      <c r="D729" s="35">
        <v>0</v>
      </c>
      <c r="E729" s="88">
        <f>VLOOKUP(A729,'Previous week'!$A$3:$F$1765,6,FALSE)</f>
        <v>1</v>
      </c>
      <c r="F729" s="22">
        <f t="shared" si="35"/>
        <v>0</v>
      </c>
      <c r="G729" s="88">
        <f>VLOOKUP(A729,'Current week'!$A$3:$F$1765,6,0)</f>
        <v>1</v>
      </c>
      <c r="H729" s="104">
        <f t="shared" si="33"/>
        <v>0</v>
      </c>
      <c r="I729" s="104">
        <f t="shared" si="34"/>
        <v>0</v>
      </c>
      <c r="L729" s="112"/>
    </row>
    <row r="730" spans="1:12" x14ac:dyDescent="0.25">
      <c r="A730" s="23" t="s">
        <v>3210</v>
      </c>
      <c r="B730" s="23" t="s">
        <v>1149</v>
      </c>
      <c r="C730" s="24" t="s">
        <v>1150</v>
      </c>
      <c r="D730" s="71">
        <v>0</v>
      </c>
      <c r="E730" s="88">
        <f>VLOOKUP(A730,'Previous week'!$A$3:$F$1765,6,FALSE)</f>
        <v>1</v>
      </c>
      <c r="F730" s="22">
        <f t="shared" si="35"/>
        <v>0</v>
      </c>
      <c r="G730" s="88">
        <f>VLOOKUP(A730,'Current week'!$A$3:$F$1765,6,0)</f>
        <v>1</v>
      </c>
      <c r="H730" s="102">
        <f t="shared" si="33"/>
        <v>0</v>
      </c>
      <c r="I730" s="102">
        <f t="shared" si="34"/>
        <v>0</v>
      </c>
      <c r="L730" s="112"/>
    </row>
    <row r="731" spans="1:12" x14ac:dyDescent="0.25">
      <c r="A731" s="54" t="s">
        <v>3211</v>
      </c>
      <c r="B731" s="54" t="s">
        <v>1151</v>
      </c>
      <c r="C731" s="55" t="s">
        <v>1152</v>
      </c>
      <c r="D731" s="70">
        <v>0</v>
      </c>
      <c r="E731" s="94">
        <f>'Previous week'!F731</f>
        <v>1</v>
      </c>
      <c r="F731" s="57">
        <f t="shared" si="35"/>
        <v>0</v>
      </c>
      <c r="G731" s="94">
        <f>'Current week'!F731</f>
        <v>1</v>
      </c>
      <c r="H731" s="107">
        <f t="shared" si="33"/>
        <v>0</v>
      </c>
      <c r="I731" s="107">
        <f t="shared" si="34"/>
        <v>0</v>
      </c>
      <c r="L731" s="112"/>
    </row>
    <row r="732" spans="1:12" x14ac:dyDescent="0.25">
      <c r="A732" s="19" t="s">
        <v>3212</v>
      </c>
      <c r="B732" s="19" t="s">
        <v>1153</v>
      </c>
      <c r="C732" s="20" t="s">
        <v>1154</v>
      </c>
      <c r="D732" s="21">
        <v>0</v>
      </c>
      <c r="E732" s="88">
        <f>VLOOKUP(A732,'Previous week'!$A$3:$F$1765,6,FALSE)</f>
        <v>1</v>
      </c>
      <c r="F732" s="22">
        <f t="shared" si="35"/>
        <v>0</v>
      </c>
      <c r="G732" s="88">
        <f>VLOOKUP(A732,'Current week'!$A$3:$F$1765,6,0)</f>
        <v>1</v>
      </c>
      <c r="H732" s="101">
        <f t="shared" si="33"/>
        <v>0</v>
      </c>
      <c r="I732" s="101">
        <f t="shared" si="34"/>
        <v>0</v>
      </c>
      <c r="L732" s="112"/>
    </row>
    <row r="733" spans="1:12" x14ac:dyDescent="0.25">
      <c r="A733" s="33" t="s">
        <v>3213</v>
      </c>
      <c r="B733" s="33" t="s">
        <v>1155</v>
      </c>
      <c r="C733" s="34" t="s">
        <v>201</v>
      </c>
      <c r="D733" s="35">
        <v>179076.09</v>
      </c>
      <c r="E733" s="88">
        <f>VLOOKUP(A733,'Previous week'!$A$3:$F$1765,6,FALSE)</f>
        <v>1</v>
      </c>
      <c r="F733" s="22">
        <f t="shared" si="35"/>
        <v>0</v>
      </c>
      <c r="G733" s="88">
        <f>VLOOKUP(A733,'Current week'!$A$3:$F$1765,6,0)</f>
        <v>1</v>
      </c>
      <c r="H733" s="104">
        <f t="shared" si="33"/>
        <v>179076.09</v>
      </c>
      <c r="I733" s="104">
        <f t="shared" si="34"/>
        <v>0</v>
      </c>
      <c r="L733" s="112"/>
    </row>
    <row r="734" spans="1:12" x14ac:dyDescent="0.25">
      <c r="A734" s="23" t="s">
        <v>3214</v>
      </c>
      <c r="B734" s="23" t="s">
        <v>1156</v>
      </c>
      <c r="C734" s="24" t="s">
        <v>1157</v>
      </c>
      <c r="D734" s="71">
        <v>0</v>
      </c>
      <c r="E734" s="88">
        <f>VLOOKUP(A734,'Previous week'!$A$3:$F$1765,6,FALSE)</f>
        <v>1</v>
      </c>
      <c r="F734" s="22">
        <f t="shared" si="35"/>
        <v>0</v>
      </c>
      <c r="G734" s="88">
        <f>VLOOKUP(A734,'Current week'!$A$3:$F$1765,6,0)</f>
        <v>1</v>
      </c>
      <c r="H734" s="102">
        <f t="shared" si="33"/>
        <v>0</v>
      </c>
      <c r="I734" s="102">
        <f t="shared" si="34"/>
        <v>0</v>
      </c>
      <c r="L734" s="112"/>
    </row>
    <row r="735" spans="1:12" x14ac:dyDescent="0.25">
      <c r="A735" s="54" t="s">
        <v>2843</v>
      </c>
      <c r="B735" s="54" t="s">
        <v>205</v>
      </c>
      <c r="C735" s="55"/>
      <c r="D735" s="70">
        <v>179076.09</v>
      </c>
      <c r="E735" s="94">
        <f>'Previous week'!F735</f>
        <v>1</v>
      </c>
      <c r="F735" s="57">
        <f t="shared" si="35"/>
        <v>0</v>
      </c>
      <c r="G735" s="94">
        <f>'Current week'!F735</f>
        <v>1</v>
      </c>
      <c r="H735" s="107">
        <f t="shared" si="33"/>
        <v>179076.09</v>
      </c>
      <c r="I735" s="107">
        <f t="shared" si="34"/>
        <v>0</v>
      </c>
      <c r="L735" s="112"/>
    </row>
    <row r="736" spans="1:12" x14ac:dyDescent="0.25">
      <c r="A736" s="19" t="s">
        <v>3215</v>
      </c>
      <c r="B736" s="19" t="s">
        <v>1158</v>
      </c>
      <c r="C736" s="20" t="s">
        <v>206</v>
      </c>
      <c r="D736" s="21">
        <v>0</v>
      </c>
      <c r="E736" s="88">
        <f>VLOOKUP(A736,'Previous week'!$A$3:$F$1765,6,FALSE)</f>
        <v>1</v>
      </c>
      <c r="F736" s="22">
        <f t="shared" si="35"/>
        <v>0</v>
      </c>
      <c r="G736" s="88">
        <f>VLOOKUP(A736,'Current week'!$A$3:$F$1765,6,0)</f>
        <v>1</v>
      </c>
      <c r="H736" s="101">
        <f t="shared" si="33"/>
        <v>0</v>
      </c>
      <c r="I736" s="101">
        <f t="shared" si="34"/>
        <v>0</v>
      </c>
      <c r="L736" s="112"/>
    </row>
    <row r="737" spans="1:12" x14ac:dyDescent="0.25">
      <c r="A737" s="33" t="s">
        <v>3216</v>
      </c>
      <c r="B737" s="33" t="s">
        <v>1159</v>
      </c>
      <c r="C737" s="34" t="s">
        <v>1160</v>
      </c>
      <c r="D737" s="35">
        <v>0</v>
      </c>
      <c r="E737" s="88">
        <f>VLOOKUP(A737,'Previous week'!$A$3:$F$1765,6,FALSE)</f>
        <v>1</v>
      </c>
      <c r="F737" s="22">
        <f t="shared" si="35"/>
        <v>0</v>
      </c>
      <c r="G737" s="88">
        <f>VLOOKUP(A737,'Current week'!$A$3:$F$1765,6,0)</f>
        <v>1</v>
      </c>
      <c r="H737" s="104">
        <f t="shared" si="33"/>
        <v>0</v>
      </c>
      <c r="I737" s="104">
        <f t="shared" si="34"/>
        <v>0</v>
      </c>
      <c r="L737" s="112"/>
    </row>
    <row r="738" spans="1:12" x14ac:dyDescent="0.25">
      <c r="A738" s="23" t="s">
        <v>3217</v>
      </c>
      <c r="B738" s="23" t="s">
        <v>1161</v>
      </c>
      <c r="C738" s="24" t="s">
        <v>1162</v>
      </c>
      <c r="D738" s="71">
        <v>0</v>
      </c>
      <c r="E738" s="88">
        <f>VLOOKUP(A738,'Previous week'!$A$3:$F$1765,6,FALSE)</f>
        <v>1</v>
      </c>
      <c r="F738" s="22">
        <f t="shared" si="35"/>
        <v>0</v>
      </c>
      <c r="G738" s="88">
        <f>VLOOKUP(A738,'Current week'!$A$3:$F$1765,6,0)</f>
        <v>1</v>
      </c>
      <c r="H738" s="102">
        <f t="shared" si="33"/>
        <v>0</v>
      </c>
      <c r="I738" s="102">
        <f t="shared" si="34"/>
        <v>0</v>
      </c>
      <c r="L738" s="112"/>
    </row>
    <row r="739" spans="1:12" x14ac:dyDescent="0.25">
      <c r="A739" s="54" t="s">
        <v>3218</v>
      </c>
      <c r="B739" s="54" t="s">
        <v>1163</v>
      </c>
      <c r="C739" s="55" t="s">
        <v>1164</v>
      </c>
      <c r="D739" s="70">
        <v>0</v>
      </c>
      <c r="E739" s="94">
        <f>'Previous week'!F739</f>
        <v>1</v>
      </c>
      <c r="F739" s="57">
        <f t="shared" si="35"/>
        <v>0</v>
      </c>
      <c r="G739" s="94">
        <f>'Current week'!F739</f>
        <v>1</v>
      </c>
      <c r="H739" s="107">
        <f t="shared" si="33"/>
        <v>0</v>
      </c>
      <c r="I739" s="107">
        <f t="shared" si="34"/>
        <v>0</v>
      </c>
      <c r="L739" s="112"/>
    </row>
    <row r="740" spans="1:12" x14ac:dyDescent="0.25">
      <c r="A740" s="19" t="s">
        <v>3219</v>
      </c>
      <c r="B740" s="19" t="s">
        <v>1165</v>
      </c>
      <c r="C740" s="20" t="s">
        <v>207</v>
      </c>
      <c r="D740" s="21">
        <v>179076.09</v>
      </c>
      <c r="E740" s="88">
        <f>VLOOKUP(A740,'Previous week'!$A$3:$F$1765,6,FALSE)</f>
        <v>1</v>
      </c>
      <c r="F740" s="22">
        <f t="shared" si="35"/>
        <v>0</v>
      </c>
      <c r="G740" s="88">
        <f>VLOOKUP(A740,'Current week'!$A$3:$F$1765,6,0)</f>
        <v>1</v>
      </c>
      <c r="H740" s="101">
        <f t="shared" si="33"/>
        <v>179076.09</v>
      </c>
      <c r="I740" s="101">
        <f t="shared" si="34"/>
        <v>0</v>
      </c>
      <c r="L740" s="112"/>
    </row>
    <row r="741" spans="1:12" x14ac:dyDescent="0.25">
      <c r="A741" s="33" t="s">
        <v>3220</v>
      </c>
      <c r="B741" s="33" t="s">
        <v>1166</v>
      </c>
      <c r="C741" s="34" t="s">
        <v>1167</v>
      </c>
      <c r="D741" s="35">
        <v>0</v>
      </c>
      <c r="E741" s="88">
        <f>VLOOKUP(A741,'Previous week'!$A$3:$F$1765,6,FALSE)</f>
        <v>1</v>
      </c>
      <c r="F741" s="22">
        <f t="shared" si="35"/>
        <v>0</v>
      </c>
      <c r="G741" s="88">
        <f>VLOOKUP(A741,'Current week'!$A$3:$F$1765,6,0)</f>
        <v>1</v>
      </c>
      <c r="H741" s="104">
        <f t="shared" si="33"/>
        <v>0</v>
      </c>
      <c r="I741" s="104">
        <f t="shared" si="34"/>
        <v>0</v>
      </c>
      <c r="L741" s="112"/>
    </row>
    <row r="742" spans="1:12" x14ac:dyDescent="0.25">
      <c r="A742" s="23" t="s">
        <v>2849</v>
      </c>
      <c r="B742" s="23" t="s">
        <v>208</v>
      </c>
      <c r="C742" s="24"/>
      <c r="D742" s="71">
        <v>179076.09</v>
      </c>
      <c r="E742" s="88">
        <f>VLOOKUP(A742,'Previous week'!$A$3:$F$1765,6,FALSE)</f>
        <v>0</v>
      </c>
      <c r="F742" s="22">
        <f t="shared" si="35"/>
        <v>0</v>
      </c>
      <c r="G742" s="88">
        <f>VLOOKUP(A742,'Current week'!$A$3:$F$1765,6,0)</f>
        <v>0</v>
      </c>
      <c r="H742" s="102">
        <f t="shared" si="33"/>
        <v>0</v>
      </c>
      <c r="I742" s="102">
        <f t="shared" si="34"/>
        <v>0</v>
      </c>
      <c r="L742" s="112"/>
    </row>
    <row r="743" spans="1:12" x14ac:dyDescent="0.25">
      <c r="A743" s="54" t="s">
        <v>3221</v>
      </c>
      <c r="B743" s="54" t="s">
        <v>1168</v>
      </c>
      <c r="C743" s="55" t="s">
        <v>209</v>
      </c>
      <c r="D743" s="70">
        <v>0</v>
      </c>
      <c r="E743" s="94">
        <f>'Previous week'!F743</f>
        <v>1</v>
      </c>
      <c r="F743" s="57">
        <f t="shared" si="35"/>
        <v>0</v>
      </c>
      <c r="G743" s="94">
        <f>'Current week'!F743</f>
        <v>1</v>
      </c>
      <c r="H743" s="107">
        <f t="shared" si="33"/>
        <v>0</v>
      </c>
      <c r="I743" s="107">
        <f t="shared" si="34"/>
        <v>0</v>
      </c>
      <c r="L743" s="112"/>
    </row>
    <row r="744" spans="1:12" x14ac:dyDescent="0.25">
      <c r="A744" s="19" t="s">
        <v>3222</v>
      </c>
      <c r="B744" s="19" t="s">
        <v>1169</v>
      </c>
      <c r="C744" s="20" t="s">
        <v>1170</v>
      </c>
      <c r="D744" s="21">
        <v>0</v>
      </c>
      <c r="E744" s="88">
        <f>VLOOKUP(A744,'Previous week'!$A$3:$F$1765,6,FALSE)</f>
        <v>1</v>
      </c>
      <c r="F744" s="22">
        <f t="shared" si="35"/>
        <v>0</v>
      </c>
      <c r="G744" s="88">
        <f>VLOOKUP(A744,'Current week'!$A$3:$F$1765,6,0)</f>
        <v>1</v>
      </c>
      <c r="H744" s="101">
        <f t="shared" si="33"/>
        <v>0</v>
      </c>
      <c r="I744" s="101">
        <f t="shared" si="34"/>
        <v>0</v>
      </c>
      <c r="L744" s="112"/>
    </row>
    <row r="745" spans="1:12" x14ac:dyDescent="0.25">
      <c r="A745" s="33" t="s">
        <v>3223</v>
      </c>
      <c r="B745" s="33" t="s">
        <v>1171</v>
      </c>
      <c r="C745" s="34" t="s">
        <v>1172</v>
      </c>
      <c r="D745" s="35">
        <v>0</v>
      </c>
      <c r="E745" s="88">
        <f>VLOOKUP(A745,'Previous week'!$A$3:$F$1765,6,FALSE)</f>
        <v>1</v>
      </c>
      <c r="F745" s="22">
        <f t="shared" si="35"/>
        <v>0</v>
      </c>
      <c r="G745" s="88">
        <f>VLOOKUP(A745,'Current week'!$A$3:$F$1765,6,0)</f>
        <v>1</v>
      </c>
      <c r="H745" s="104">
        <f t="shared" si="33"/>
        <v>0</v>
      </c>
      <c r="I745" s="104">
        <f t="shared" si="34"/>
        <v>0</v>
      </c>
      <c r="L745" s="112"/>
    </row>
    <row r="746" spans="1:12" x14ac:dyDescent="0.25">
      <c r="A746" s="23" t="s">
        <v>3224</v>
      </c>
      <c r="B746" s="23" t="s">
        <v>1173</v>
      </c>
      <c r="C746" s="24" t="s">
        <v>1174</v>
      </c>
      <c r="D746" s="71">
        <v>0</v>
      </c>
      <c r="E746" s="88">
        <f>VLOOKUP(A746,'Previous week'!$A$3:$F$1765,6,FALSE)</f>
        <v>1</v>
      </c>
      <c r="F746" s="22">
        <f t="shared" si="35"/>
        <v>0</v>
      </c>
      <c r="G746" s="88">
        <f>VLOOKUP(A746,'Current week'!$A$3:$F$1765,6,0)</f>
        <v>1</v>
      </c>
      <c r="H746" s="102">
        <f t="shared" si="33"/>
        <v>0</v>
      </c>
      <c r="I746" s="102">
        <f t="shared" si="34"/>
        <v>0</v>
      </c>
      <c r="L746" s="112"/>
    </row>
    <row r="747" spans="1:12" x14ac:dyDescent="0.25">
      <c r="A747" s="54" t="s">
        <v>3225</v>
      </c>
      <c r="B747" s="54" t="s">
        <v>1175</v>
      </c>
      <c r="C747" s="55" t="s">
        <v>210</v>
      </c>
      <c r="D747" s="70">
        <v>179076.09</v>
      </c>
      <c r="E747" s="94">
        <f>'Previous week'!F747</f>
        <v>1</v>
      </c>
      <c r="F747" s="57">
        <f t="shared" si="35"/>
        <v>0</v>
      </c>
      <c r="G747" s="94">
        <f>'Current week'!F747</f>
        <v>1</v>
      </c>
      <c r="H747" s="107">
        <f t="shared" si="33"/>
        <v>179076.09</v>
      </c>
      <c r="I747" s="107">
        <f t="shared" si="34"/>
        <v>0</v>
      </c>
      <c r="L747" s="112"/>
    </row>
    <row r="748" spans="1:12" x14ac:dyDescent="0.25">
      <c r="A748" s="19" t="s">
        <v>3226</v>
      </c>
      <c r="B748" s="19" t="s">
        <v>1176</v>
      </c>
      <c r="C748" s="20" t="s">
        <v>1177</v>
      </c>
      <c r="D748" s="21">
        <v>0</v>
      </c>
      <c r="E748" s="88">
        <f>VLOOKUP(A748,'Previous week'!$A$3:$F$1765,6,FALSE)</f>
        <v>1</v>
      </c>
      <c r="F748" s="22">
        <f t="shared" si="35"/>
        <v>0</v>
      </c>
      <c r="G748" s="88">
        <f>VLOOKUP(A748,'Current week'!$A$3:$F$1765,6,0)</f>
        <v>1</v>
      </c>
      <c r="H748" s="101">
        <f t="shared" si="33"/>
        <v>0</v>
      </c>
      <c r="I748" s="101">
        <f t="shared" si="34"/>
        <v>0</v>
      </c>
      <c r="L748" s="112"/>
    </row>
    <row r="749" spans="1:12" x14ac:dyDescent="0.25">
      <c r="A749" s="33" t="s">
        <v>2846</v>
      </c>
      <c r="B749" s="33" t="s">
        <v>1178</v>
      </c>
      <c r="C749" s="34"/>
      <c r="D749" s="35">
        <v>179076.09</v>
      </c>
      <c r="E749" s="88">
        <f>VLOOKUP(A749,'Previous week'!$A$3:$F$1765,6,FALSE)</f>
        <v>0</v>
      </c>
      <c r="F749" s="22">
        <f t="shared" si="35"/>
        <v>0</v>
      </c>
      <c r="G749" s="88">
        <f>VLOOKUP(A749,'Current week'!$A$3:$F$1765,6,0)</f>
        <v>0</v>
      </c>
      <c r="H749" s="104">
        <f t="shared" si="33"/>
        <v>0</v>
      </c>
      <c r="I749" s="104">
        <f t="shared" si="34"/>
        <v>0</v>
      </c>
      <c r="L749" s="112"/>
    </row>
    <row r="750" spans="1:12" x14ac:dyDescent="0.25">
      <c r="A750" s="23" t="s">
        <v>3227</v>
      </c>
      <c r="B750" s="23" t="s">
        <v>1179</v>
      </c>
      <c r="C750" s="24" t="s">
        <v>1180</v>
      </c>
      <c r="D750" s="71">
        <v>0</v>
      </c>
      <c r="E750" s="88">
        <f>VLOOKUP(A750,'Previous week'!$A$3:$F$1765,6,FALSE)</f>
        <v>1</v>
      </c>
      <c r="F750" s="22">
        <f t="shared" si="35"/>
        <v>0</v>
      </c>
      <c r="G750" s="88">
        <f>VLOOKUP(A750,'Current week'!$A$3:$F$1765,6,0)</f>
        <v>1</v>
      </c>
      <c r="H750" s="102">
        <f t="shared" si="33"/>
        <v>0</v>
      </c>
      <c r="I750" s="102">
        <f t="shared" si="34"/>
        <v>0</v>
      </c>
      <c r="L750" s="112"/>
    </row>
    <row r="751" spans="1:12" x14ac:dyDescent="0.25">
      <c r="A751" s="54" t="s">
        <v>3228</v>
      </c>
      <c r="B751" s="54" t="s">
        <v>1181</v>
      </c>
      <c r="C751" s="55" t="s">
        <v>1182</v>
      </c>
      <c r="D751" s="70">
        <v>0</v>
      </c>
      <c r="E751" s="94">
        <f>'Previous week'!F751</f>
        <v>1</v>
      </c>
      <c r="F751" s="57">
        <f t="shared" si="35"/>
        <v>0</v>
      </c>
      <c r="G751" s="94">
        <f>'Current week'!F751</f>
        <v>1</v>
      </c>
      <c r="H751" s="107">
        <f t="shared" si="33"/>
        <v>0</v>
      </c>
      <c r="I751" s="107">
        <f t="shared" si="34"/>
        <v>0</v>
      </c>
      <c r="L751" s="112"/>
    </row>
    <row r="752" spans="1:12" x14ac:dyDescent="0.25">
      <c r="A752" s="19" t="s">
        <v>3229</v>
      </c>
      <c r="B752" s="19" t="s">
        <v>1183</v>
      </c>
      <c r="C752" s="20" t="s">
        <v>1184</v>
      </c>
      <c r="D752" s="21">
        <v>0</v>
      </c>
      <c r="E752" s="88">
        <f>VLOOKUP(A752,'Previous week'!$A$3:$F$1765,6,FALSE)</f>
        <v>1</v>
      </c>
      <c r="F752" s="22">
        <f t="shared" si="35"/>
        <v>0</v>
      </c>
      <c r="G752" s="88">
        <f>VLOOKUP(A752,'Current week'!$A$3:$F$1765,6,0)</f>
        <v>1</v>
      </c>
      <c r="H752" s="101">
        <f t="shared" si="33"/>
        <v>0</v>
      </c>
      <c r="I752" s="101">
        <f t="shared" si="34"/>
        <v>0</v>
      </c>
      <c r="L752" s="112"/>
    </row>
    <row r="753" spans="1:12" x14ac:dyDescent="0.25">
      <c r="A753" s="33" t="s">
        <v>3230</v>
      </c>
      <c r="B753" s="33" t="s">
        <v>1185</v>
      </c>
      <c r="C753" s="34" t="s">
        <v>1186</v>
      </c>
      <c r="D753" s="35">
        <v>0</v>
      </c>
      <c r="E753" s="88">
        <f>VLOOKUP(A753,'Previous week'!$A$3:$F$1765,6,FALSE)</f>
        <v>1</v>
      </c>
      <c r="F753" s="22">
        <f t="shared" si="35"/>
        <v>0</v>
      </c>
      <c r="G753" s="88">
        <f>VLOOKUP(A753,'Current week'!$A$3:$F$1765,6,0)</f>
        <v>1</v>
      </c>
      <c r="H753" s="104">
        <f t="shared" si="33"/>
        <v>0</v>
      </c>
      <c r="I753" s="104">
        <f t="shared" si="34"/>
        <v>0</v>
      </c>
      <c r="L753" s="112"/>
    </row>
    <row r="754" spans="1:12" x14ac:dyDescent="0.25">
      <c r="A754" s="23" t="s">
        <v>3231</v>
      </c>
      <c r="B754" s="23" t="s">
        <v>1187</v>
      </c>
      <c r="C754" s="24" t="s">
        <v>1188</v>
      </c>
      <c r="D754" s="71">
        <v>179076.09</v>
      </c>
      <c r="E754" s="88">
        <f>VLOOKUP(A754,'Previous week'!$A$3:$F$1765,6,FALSE)</f>
        <v>1</v>
      </c>
      <c r="F754" s="22">
        <f t="shared" si="35"/>
        <v>0</v>
      </c>
      <c r="G754" s="88">
        <f>VLOOKUP(A754,'Current week'!$A$3:$F$1765,6,0)</f>
        <v>1</v>
      </c>
      <c r="H754" s="102">
        <f t="shared" si="33"/>
        <v>179076.09</v>
      </c>
      <c r="I754" s="102">
        <f t="shared" si="34"/>
        <v>0</v>
      </c>
      <c r="L754" s="112"/>
    </row>
    <row r="755" spans="1:12" x14ac:dyDescent="0.25">
      <c r="A755" s="54" t="s">
        <v>3232</v>
      </c>
      <c r="B755" s="54" t="s">
        <v>1189</v>
      </c>
      <c r="C755" s="55" t="s">
        <v>1190</v>
      </c>
      <c r="D755" s="70">
        <v>0</v>
      </c>
      <c r="E755" s="94">
        <f>'Previous week'!F755</f>
        <v>1</v>
      </c>
      <c r="F755" s="57">
        <f t="shared" si="35"/>
        <v>0</v>
      </c>
      <c r="G755" s="94">
        <f>'Current week'!F755</f>
        <v>1</v>
      </c>
      <c r="H755" s="107">
        <f t="shared" si="33"/>
        <v>0</v>
      </c>
      <c r="I755" s="107">
        <f t="shared" si="34"/>
        <v>0</v>
      </c>
      <c r="L755" s="112"/>
    </row>
    <row r="756" spans="1:12" x14ac:dyDescent="0.25">
      <c r="A756" s="19" t="s">
        <v>3233</v>
      </c>
      <c r="B756" s="19" t="s">
        <v>1191</v>
      </c>
      <c r="C756" s="20"/>
      <c r="D756" s="21">
        <v>179076.09</v>
      </c>
      <c r="E756" s="88">
        <f>VLOOKUP(A756,'Previous week'!$A$3:$F$1765,6,FALSE)</f>
        <v>1</v>
      </c>
      <c r="F756" s="22">
        <f t="shared" si="35"/>
        <v>0</v>
      </c>
      <c r="G756" s="88">
        <f>VLOOKUP(A756,'Current week'!$A$3:$F$1765,6,0)</f>
        <v>1</v>
      </c>
      <c r="H756" s="101">
        <f t="shared" si="33"/>
        <v>179076.09</v>
      </c>
      <c r="I756" s="101">
        <f t="shared" si="34"/>
        <v>0</v>
      </c>
      <c r="L756" s="112"/>
    </row>
    <row r="757" spans="1:12" x14ac:dyDescent="0.25">
      <c r="A757" s="33" t="s">
        <v>3234</v>
      </c>
      <c r="B757" s="33" t="s">
        <v>1192</v>
      </c>
      <c r="C757" s="34" t="s">
        <v>1193</v>
      </c>
      <c r="D757" s="35">
        <v>0</v>
      </c>
      <c r="E757" s="88">
        <f>VLOOKUP(A757,'Previous week'!$A$3:$F$1765,6,FALSE)</f>
        <v>1</v>
      </c>
      <c r="F757" s="22">
        <f t="shared" si="35"/>
        <v>0</v>
      </c>
      <c r="G757" s="88">
        <f>VLOOKUP(A757,'Current week'!$A$3:$F$1765,6,0)</f>
        <v>1</v>
      </c>
      <c r="H757" s="104">
        <f t="shared" si="33"/>
        <v>0</v>
      </c>
      <c r="I757" s="104">
        <f t="shared" si="34"/>
        <v>0</v>
      </c>
      <c r="L757" s="112"/>
    </row>
    <row r="758" spans="1:12" x14ac:dyDescent="0.25">
      <c r="A758" s="23" t="s">
        <v>3235</v>
      </c>
      <c r="B758" s="23" t="s">
        <v>1194</v>
      </c>
      <c r="C758" s="24" t="s">
        <v>1195</v>
      </c>
      <c r="D758" s="71">
        <v>0</v>
      </c>
      <c r="E758" s="88">
        <f>VLOOKUP(A758,'Previous week'!$A$3:$F$1765,6,FALSE)</f>
        <v>1</v>
      </c>
      <c r="F758" s="22">
        <f t="shared" si="35"/>
        <v>0</v>
      </c>
      <c r="G758" s="88">
        <f>VLOOKUP(A758,'Current week'!$A$3:$F$1765,6,0)</f>
        <v>1</v>
      </c>
      <c r="H758" s="102">
        <f t="shared" si="33"/>
        <v>0</v>
      </c>
      <c r="I758" s="102">
        <f t="shared" si="34"/>
        <v>0</v>
      </c>
      <c r="L758" s="112"/>
    </row>
    <row r="759" spans="1:12" x14ac:dyDescent="0.25">
      <c r="A759" s="54" t="s">
        <v>3236</v>
      </c>
      <c r="B759" s="54" t="s">
        <v>1196</v>
      </c>
      <c r="C759" s="55" t="s">
        <v>1197</v>
      </c>
      <c r="D759" s="70">
        <v>0</v>
      </c>
      <c r="E759" s="94">
        <f>'Previous week'!F759</f>
        <v>1</v>
      </c>
      <c r="F759" s="57">
        <f t="shared" si="35"/>
        <v>0</v>
      </c>
      <c r="G759" s="94">
        <f>'Current week'!F759</f>
        <v>1</v>
      </c>
      <c r="H759" s="107">
        <f t="shared" si="33"/>
        <v>0</v>
      </c>
      <c r="I759" s="107">
        <f t="shared" si="34"/>
        <v>0</v>
      </c>
      <c r="L759" s="112"/>
    </row>
    <row r="760" spans="1:12" x14ac:dyDescent="0.25">
      <c r="A760" s="19" t="s">
        <v>3237</v>
      </c>
      <c r="B760" s="19" t="s">
        <v>1198</v>
      </c>
      <c r="C760" s="20" t="s">
        <v>1199</v>
      </c>
      <c r="D760" s="21">
        <v>0</v>
      </c>
      <c r="E760" s="88">
        <f>VLOOKUP(A760,'Previous week'!$A$3:$F$1765,6,FALSE)</f>
        <v>1</v>
      </c>
      <c r="F760" s="22">
        <f t="shared" si="35"/>
        <v>0</v>
      </c>
      <c r="G760" s="88">
        <f>VLOOKUP(A760,'Current week'!$A$3:$F$1765,6,0)</f>
        <v>1</v>
      </c>
      <c r="H760" s="101">
        <f t="shared" si="33"/>
        <v>0</v>
      </c>
      <c r="I760" s="101">
        <f t="shared" si="34"/>
        <v>0</v>
      </c>
      <c r="L760" s="112"/>
    </row>
    <row r="761" spans="1:12" x14ac:dyDescent="0.25">
      <c r="A761" s="33" t="s">
        <v>3238</v>
      </c>
      <c r="B761" s="33" t="s">
        <v>1200</v>
      </c>
      <c r="C761" s="34" t="s">
        <v>1201</v>
      </c>
      <c r="D761" s="35">
        <v>179076.09</v>
      </c>
      <c r="E761" s="88">
        <f>VLOOKUP(A761,'Previous week'!$A$3:$F$1765,6,FALSE)</f>
        <v>1</v>
      </c>
      <c r="F761" s="22">
        <f t="shared" si="35"/>
        <v>0</v>
      </c>
      <c r="G761" s="88">
        <f>VLOOKUP(A761,'Current week'!$A$3:$F$1765,6,0)</f>
        <v>1</v>
      </c>
      <c r="H761" s="104">
        <f t="shared" si="33"/>
        <v>179076.09</v>
      </c>
      <c r="I761" s="104">
        <f t="shared" si="34"/>
        <v>0</v>
      </c>
      <c r="L761" s="112"/>
    </row>
    <row r="762" spans="1:12" x14ac:dyDescent="0.25">
      <c r="A762" s="23" t="s">
        <v>3239</v>
      </c>
      <c r="B762" s="23" t="s">
        <v>1202</v>
      </c>
      <c r="C762" s="24" t="s">
        <v>1203</v>
      </c>
      <c r="D762" s="71">
        <v>0</v>
      </c>
      <c r="E762" s="88">
        <f>VLOOKUP(A762,'Previous week'!$A$3:$F$1765,6,FALSE)</f>
        <v>1</v>
      </c>
      <c r="F762" s="22">
        <f t="shared" si="35"/>
        <v>0</v>
      </c>
      <c r="G762" s="88">
        <f>VLOOKUP(A762,'Current week'!$A$3:$F$1765,6,0)</f>
        <v>1</v>
      </c>
      <c r="H762" s="102">
        <f t="shared" si="33"/>
        <v>0</v>
      </c>
      <c r="I762" s="102">
        <f t="shared" si="34"/>
        <v>0</v>
      </c>
      <c r="L762" s="112"/>
    </row>
    <row r="763" spans="1:12" x14ac:dyDescent="0.25">
      <c r="A763" s="54" t="s">
        <v>2855</v>
      </c>
      <c r="B763" s="54" t="s">
        <v>1004</v>
      </c>
      <c r="C763" s="55"/>
      <c r="D763" s="70">
        <v>4118750</v>
      </c>
      <c r="E763" s="94">
        <f>'Previous week'!F763</f>
        <v>1</v>
      </c>
      <c r="F763" s="57">
        <f t="shared" si="35"/>
        <v>0</v>
      </c>
      <c r="G763" s="94">
        <f>'Current week'!F763</f>
        <v>1</v>
      </c>
      <c r="H763" s="107">
        <f t="shared" si="33"/>
        <v>4118750</v>
      </c>
      <c r="I763" s="107">
        <f t="shared" si="34"/>
        <v>0</v>
      </c>
      <c r="L763" s="112"/>
    </row>
    <row r="764" spans="1:12" x14ac:dyDescent="0.25">
      <c r="A764" s="19" t="s">
        <v>2868</v>
      </c>
      <c r="B764" s="19" t="s">
        <v>1204</v>
      </c>
      <c r="C764" s="20"/>
      <c r="D764" s="21">
        <v>179076.09</v>
      </c>
      <c r="E764" s="88">
        <f>VLOOKUP(A764,'Previous week'!$A$3:$F$1765,6,FALSE)</f>
        <v>0</v>
      </c>
      <c r="F764" s="22">
        <f t="shared" si="35"/>
        <v>0</v>
      </c>
      <c r="G764" s="88">
        <f>VLOOKUP(A764,'Current week'!$A$3:$F$1765,6,0)</f>
        <v>0</v>
      </c>
      <c r="H764" s="101">
        <f t="shared" si="33"/>
        <v>0</v>
      </c>
      <c r="I764" s="101">
        <f t="shared" si="34"/>
        <v>0</v>
      </c>
      <c r="L764" s="112"/>
    </row>
    <row r="765" spans="1:12" x14ac:dyDescent="0.25">
      <c r="A765" s="33" t="s">
        <v>3240</v>
      </c>
      <c r="B765" s="33" t="s">
        <v>1205</v>
      </c>
      <c r="C765" s="34" t="s">
        <v>1206</v>
      </c>
      <c r="D765" s="35">
        <v>0</v>
      </c>
      <c r="E765" s="88">
        <f>VLOOKUP(A765,'Previous week'!$A$3:$F$1765,6,FALSE)</f>
        <v>1</v>
      </c>
      <c r="F765" s="22">
        <f t="shared" si="35"/>
        <v>0</v>
      </c>
      <c r="G765" s="88">
        <f>VLOOKUP(A765,'Current week'!$A$3:$F$1765,6,0)</f>
        <v>1</v>
      </c>
      <c r="H765" s="104">
        <f t="shared" si="33"/>
        <v>0</v>
      </c>
      <c r="I765" s="104">
        <f t="shared" si="34"/>
        <v>0</v>
      </c>
      <c r="L765" s="112"/>
    </row>
    <row r="766" spans="1:12" x14ac:dyDescent="0.25">
      <c r="A766" s="23" t="s">
        <v>3241</v>
      </c>
      <c r="B766" s="23" t="s">
        <v>1207</v>
      </c>
      <c r="C766" s="24" t="s">
        <v>1208</v>
      </c>
      <c r="D766" s="71">
        <v>0</v>
      </c>
      <c r="E766" s="88">
        <f>VLOOKUP(A766,'Previous week'!$A$3:$F$1765,6,FALSE)</f>
        <v>1</v>
      </c>
      <c r="F766" s="22">
        <f t="shared" si="35"/>
        <v>0</v>
      </c>
      <c r="G766" s="88">
        <f>VLOOKUP(A766,'Current week'!$A$3:$F$1765,6,0)</f>
        <v>1</v>
      </c>
      <c r="H766" s="102">
        <f t="shared" si="33"/>
        <v>0</v>
      </c>
      <c r="I766" s="102">
        <f t="shared" si="34"/>
        <v>0</v>
      </c>
      <c r="L766" s="112"/>
    </row>
    <row r="767" spans="1:12" x14ac:dyDescent="0.25">
      <c r="A767" s="54" t="s">
        <v>3242</v>
      </c>
      <c r="B767" s="54" t="s">
        <v>1209</v>
      </c>
      <c r="C767" s="55" t="s">
        <v>1210</v>
      </c>
      <c r="D767" s="70">
        <v>0</v>
      </c>
      <c r="E767" s="94">
        <f>'Previous week'!F767</f>
        <v>1</v>
      </c>
      <c r="F767" s="57">
        <f t="shared" si="35"/>
        <v>0</v>
      </c>
      <c r="G767" s="94">
        <f>'Current week'!F767</f>
        <v>1</v>
      </c>
      <c r="H767" s="107">
        <f t="shared" si="33"/>
        <v>0</v>
      </c>
      <c r="I767" s="107">
        <f t="shared" si="34"/>
        <v>0</v>
      </c>
      <c r="L767" s="112"/>
    </row>
    <row r="768" spans="1:12" x14ac:dyDescent="0.25">
      <c r="A768" s="19" t="s">
        <v>3243</v>
      </c>
      <c r="B768" s="19" t="s">
        <v>1211</v>
      </c>
      <c r="C768" s="20" t="s">
        <v>1212</v>
      </c>
      <c r="D768" s="21">
        <v>0</v>
      </c>
      <c r="E768" s="88">
        <f>VLOOKUP(A768,'Previous week'!$A$3:$F$1765,6,FALSE)</f>
        <v>1</v>
      </c>
      <c r="F768" s="22">
        <f t="shared" si="35"/>
        <v>0</v>
      </c>
      <c r="G768" s="88">
        <f>VLOOKUP(A768,'Current week'!$A$3:$F$1765,6,0)</f>
        <v>1</v>
      </c>
      <c r="H768" s="101">
        <f t="shared" si="33"/>
        <v>0</v>
      </c>
      <c r="I768" s="101">
        <f t="shared" si="34"/>
        <v>0</v>
      </c>
      <c r="L768" s="112"/>
    </row>
    <row r="769" spans="1:12" x14ac:dyDescent="0.25">
      <c r="A769" s="33" t="s">
        <v>3244</v>
      </c>
      <c r="B769" s="33" t="s">
        <v>1213</v>
      </c>
      <c r="C769" s="34" t="s">
        <v>1214</v>
      </c>
      <c r="D769" s="35">
        <v>0</v>
      </c>
      <c r="E769" s="88">
        <f>VLOOKUP(A769,'Previous week'!$A$3:$F$1765,6,FALSE)</f>
        <v>1</v>
      </c>
      <c r="F769" s="22">
        <f t="shared" si="35"/>
        <v>0</v>
      </c>
      <c r="G769" s="88">
        <f>VLOOKUP(A769,'Current week'!$A$3:$F$1765,6,0)</f>
        <v>1</v>
      </c>
      <c r="H769" s="104">
        <f t="shared" si="33"/>
        <v>0</v>
      </c>
      <c r="I769" s="104">
        <f t="shared" si="34"/>
        <v>0</v>
      </c>
      <c r="L769" s="112"/>
    </row>
    <row r="770" spans="1:12" x14ac:dyDescent="0.25">
      <c r="A770" s="23" t="s">
        <v>3245</v>
      </c>
      <c r="B770" s="23" t="s">
        <v>1215</v>
      </c>
      <c r="C770" s="24" t="s">
        <v>1216</v>
      </c>
      <c r="D770" s="71">
        <v>179076.09</v>
      </c>
      <c r="E770" s="88">
        <f>VLOOKUP(A770,'Previous week'!$A$3:$F$1765,6,FALSE)</f>
        <v>1</v>
      </c>
      <c r="F770" s="22">
        <f t="shared" si="35"/>
        <v>0</v>
      </c>
      <c r="G770" s="88">
        <f>VLOOKUP(A770,'Current week'!$A$3:$F$1765,6,0)</f>
        <v>1</v>
      </c>
      <c r="H770" s="102">
        <f t="shared" ref="H770:H833" si="36">G770*D770</f>
        <v>179076.09</v>
      </c>
      <c r="I770" s="102">
        <f t="shared" ref="I770:I833" si="37">F770*D770</f>
        <v>0</v>
      </c>
      <c r="L770" s="112"/>
    </row>
    <row r="771" spans="1:12" x14ac:dyDescent="0.25">
      <c r="A771" s="54" t="s">
        <v>3246</v>
      </c>
      <c r="B771" s="54" t="s">
        <v>1217</v>
      </c>
      <c r="C771" s="55" t="s">
        <v>1218</v>
      </c>
      <c r="D771" s="70">
        <v>0</v>
      </c>
      <c r="E771" s="94">
        <f>'Previous week'!F771</f>
        <v>1</v>
      </c>
      <c r="F771" s="57">
        <f t="shared" ref="F771:F834" si="38">G771-E771</f>
        <v>0</v>
      </c>
      <c r="G771" s="94">
        <f>'Current week'!F771</f>
        <v>1</v>
      </c>
      <c r="H771" s="107">
        <f t="shared" si="36"/>
        <v>0</v>
      </c>
      <c r="I771" s="107">
        <f t="shared" si="37"/>
        <v>0</v>
      </c>
      <c r="L771" s="112"/>
    </row>
    <row r="772" spans="1:12" x14ac:dyDescent="0.25">
      <c r="A772" s="19" t="s">
        <v>2871</v>
      </c>
      <c r="B772" s="19" t="s">
        <v>1219</v>
      </c>
      <c r="C772" s="20"/>
      <c r="D772" s="21">
        <v>179076.09</v>
      </c>
      <c r="E772" s="88">
        <f>VLOOKUP(A772,'Previous week'!$A$3:$F$1765,6,FALSE)</f>
        <v>0</v>
      </c>
      <c r="F772" s="22">
        <f t="shared" si="38"/>
        <v>0</v>
      </c>
      <c r="G772" s="88">
        <f>VLOOKUP(A772,'Current week'!$A$3:$F$1765,6,0)</f>
        <v>0</v>
      </c>
      <c r="H772" s="101">
        <f t="shared" si="36"/>
        <v>0</v>
      </c>
      <c r="I772" s="101">
        <f t="shared" si="37"/>
        <v>0</v>
      </c>
      <c r="L772" s="112"/>
    </row>
    <row r="773" spans="1:12" x14ac:dyDescent="0.25">
      <c r="A773" s="33" t="s">
        <v>3247</v>
      </c>
      <c r="B773" s="33" t="s">
        <v>1220</v>
      </c>
      <c r="C773" s="34" t="s">
        <v>1221</v>
      </c>
      <c r="D773" s="35">
        <v>0</v>
      </c>
      <c r="E773" s="88">
        <f>VLOOKUP(A773,'Previous week'!$A$3:$F$1765,6,FALSE)</f>
        <v>1</v>
      </c>
      <c r="F773" s="22">
        <f t="shared" si="38"/>
        <v>0</v>
      </c>
      <c r="G773" s="88">
        <f>VLOOKUP(A773,'Current week'!$A$3:$F$1765,6,0)</f>
        <v>1</v>
      </c>
      <c r="H773" s="104">
        <f t="shared" si="36"/>
        <v>0</v>
      </c>
      <c r="I773" s="104">
        <f t="shared" si="37"/>
        <v>0</v>
      </c>
      <c r="L773" s="112"/>
    </row>
    <row r="774" spans="1:12" x14ac:dyDescent="0.25">
      <c r="A774" s="23" t="s">
        <v>3248</v>
      </c>
      <c r="B774" s="23" t="s">
        <v>1222</v>
      </c>
      <c r="C774" s="24" t="s">
        <v>1223</v>
      </c>
      <c r="D774" s="71">
        <v>0</v>
      </c>
      <c r="E774" s="88">
        <f>VLOOKUP(A774,'Previous week'!$A$3:$F$1765,6,FALSE)</f>
        <v>1</v>
      </c>
      <c r="F774" s="22">
        <f t="shared" si="38"/>
        <v>0</v>
      </c>
      <c r="G774" s="88">
        <f>VLOOKUP(A774,'Current week'!$A$3:$F$1765,6,0)</f>
        <v>1</v>
      </c>
      <c r="H774" s="102">
        <f t="shared" si="36"/>
        <v>0</v>
      </c>
      <c r="I774" s="102">
        <f t="shared" si="37"/>
        <v>0</v>
      </c>
      <c r="L774" s="112"/>
    </row>
    <row r="775" spans="1:12" x14ac:dyDescent="0.25">
      <c r="A775" s="54" t="s">
        <v>3249</v>
      </c>
      <c r="B775" s="54" t="s">
        <v>1224</v>
      </c>
      <c r="C775" s="55" t="s">
        <v>1225</v>
      </c>
      <c r="D775" s="56">
        <v>0</v>
      </c>
      <c r="E775" s="94">
        <f>'Previous week'!F775</f>
        <v>1</v>
      </c>
      <c r="F775" s="57">
        <f t="shared" si="38"/>
        <v>0</v>
      </c>
      <c r="G775" s="94">
        <f>'Current week'!F775</f>
        <v>1</v>
      </c>
      <c r="H775" s="107">
        <f t="shared" si="36"/>
        <v>0</v>
      </c>
      <c r="I775" s="107">
        <f t="shared" si="37"/>
        <v>0</v>
      </c>
      <c r="L775" s="112"/>
    </row>
    <row r="776" spans="1:12" x14ac:dyDescent="0.25">
      <c r="A776" s="19" t="s">
        <v>3250</v>
      </c>
      <c r="B776" s="19" t="s">
        <v>1226</v>
      </c>
      <c r="C776" s="20" t="s">
        <v>1227</v>
      </c>
      <c r="D776" s="21">
        <v>0</v>
      </c>
      <c r="E776" s="88">
        <f>VLOOKUP(A776,'Previous week'!$A$3:$F$1765,6,FALSE)</f>
        <v>1</v>
      </c>
      <c r="F776" s="22">
        <f t="shared" si="38"/>
        <v>0</v>
      </c>
      <c r="G776" s="88">
        <f>VLOOKUP(A776,'Current week'!$A$3:$F$1765,6,0)</f>
        <v>1</v>
      </c>
      <c r="H776" s="101">
        <f t="shared" si="36"/>
        <v>0</v>
      </c>
      <c r="I776" s="101">
        <f t="shared" si="37"/>
        <v>0</v>
      </c>
      <c r="L776" s="112"/>
    </row>
    <row r="777" spans="1:12" x14ac:dyDescent="0.25">
      <c r="A777" s="33" t="s">
        <v>3251</v>
      </c>
      <c r="B777" s="33" t="s">
        <v>1228</v>
      </c>
      <c r="C777" s="34" t="s">
        <v>1229</v>
      </c>
      <c r="D777" s="35">
        <v>0</v>
      </c>
      <c r="E777" s="88">
        <f>VLOOKUP(A777,'Previous week'!$A$3:$F$1765,6,FALSE)</f>
        <v>1</v>
      </c>
      <c r="F777" s="22">
        <f t="shared" si="38"/>
        <v>0</v>
      </c>
      <c r="G777" s="88">
        <f>VLOOKUP(A777,'Current week'!$A$3:$F$1765,6,0)</f>
        <v>1</v>
      </c>
      <c r="H777" s="104">
        <f t="shared" si="36"/>
        <v>0</v>
      </c>
      <c r="I777" s="104">
        <f t="shared" si="37"/>
        <v>0</v>
      </c>
      <c r="L777" s="112"/>
    </row>
    <row r="778" spans="1:12" x14ac:dyDescent="0.25">
      <c r="A778" s="23" t="s">
        <v>3252</v>
      </c>
      <c r="B778" s="23" t="s">
        <v>1230</v>
      </c>
      <c r="C778" s="24" t="s">
        <v>1231</v>
      </c>
      <c r="D778" s="25">
        <v>179076.09</v>
      </c>
      <c r="E778" s="88">
        <f>VLOOKUP(A778,'Previous week'!$A$3:$F$1765,6,FALSE)</f>
        <v>1</v>
      </c>
      <c r="F778" s="22">
        <f t="shared" si="38"/>
        <v>0</v>
      </c>
      <c r="G778" s="88">
        <f>VLOOKUP(A778,'Current week'!$A$3:$F$1765,6,0)</f>
        <v>1</v>
      </c>
      <c r="H778" s="102">
        <f t="shared" si="36"/>
        <v>179076.09</v>
      </c>
      <c r="I778" s="102">
        <f t="shared" si="37"/>
        <v>0</v>
      </c>
      <c r="L778" s="112"/>
    </row>
    <row r="779" spans="1:12" x14ac:dyDescent="0.25">
      <c r="A779" s="54" t="s">
        <v>3253</v>
      </c>
      <c r="B779" s="54" t="s">
        <v>1232</v>
      </c>
      <c r="C779" s="55" t="s">
        <v>1233</v>
      </c>
      <c r="D779" s="70">
        <v>0</v>
      </c>
      <c r="E779" s="94">
        <f>'Previous week'!F779</f>
        <v>1</v>
      </c>
      <c r="F779" s="57">
        <f t="shared" si="38"/>
        <v>0</v>
      </c>
      <c r="G779" s="94">
        <f>'Current week'!F779</f>
        <v>1</v>
      </c>
      <c r="H779" s="107">
        <f t="shared" si="36"/>
        <v>0</v>
      </c>
      <c r="I779" s="107">
        <f t="shared" si="37"/>
        <v>0</v>
      </c>
      <c r="L779" s="112"/>
    </row>
    <row r="780" spans="1:12" x14ac:dyDescent="0.25">
      <c r="A780" s="19" t="s">
        <v>2874</v>
      </c>
      <c r="B780" s="19" t="s">
        <v>1234</v>
      </c>
      <c r="C780" s="20"/>
      <c r="D780" s="21">
        <v>179076.09</v>
      </c>
      <c r="E780" s="88">
        <f>VLOOKUP(A780,'Previous week'!$A$3:$F$1765,6,FALSE)</f>
        <v>0</v>
      </c>
      <c r="F780" s="22">
        <f t="shared" si="38"/>
        <v>0</v>
      </c>
      <c r="G780" s="88">
        <f>VLOOKUP(A780,'Current week'!$A$3:$F$1765,6,0)</f>
        <v>0</v>
      </c>
      <c r="H780" s="101">
        <f t="shared" si="36"/>
        <v>0</v>
      </c>
      <c r="I780" s="101">
        <f t="shared" si="37"/>
        <v>0</v>
      </c>
      <c r="L780" s="112"/>
    </row>
    <row r="781" spans="1:12" x14ac:dyDescent="0.25">
      <c r="A781" s="33" t="s">
        <v>3254</v>
      </c>
      <c r="B781" s="33" t="s">
        <v>1235</v>
      </c>
      <c r="C781" s="34" t="s">
        <v>1236</v>
      </c>
      <c r="D781" s="35">
        <v>0</v>
      </c>
      <c r="E781" s="88">
        <f>VLOOKUP(A781,'Previous week'!$A$3:$F$1765,6,FALSE)</f>
        <v>1</v>
      </c>
      <c r="F781" s="22">
        <f t="shared" si="38"/>
        <v>0</v>
      </c>
      <c r="G781" s="88">
        <f>VLOOKUP(A781,'Current week'!$A$3:$F$1765,6,0)</f>
        <v>1</v>
      </c>
      <c r="H781" s="104">
        <f t="shared" si="36"/>
        <v>0</v>
      </c>
      <c r="I781" s="104">
        <f t="shared" si="37"/>
        <v>0</v>
      </c>
      <c r="L781" s="112"/>
    </row>
    <row r="782" spans="1:12" x14ac:dyDescent="0.25">
      <c r="A782" s="23" t="s">
        <v>3255</v>
      </c>
      <c r="B782" s="23" t="s">
        <v>1237</v>
      </c>
      <c r="C782" s="24" t="s">
        <v>1238</v>
      </c>
      <c r="D782" s="71">
        <v>0</v>
      </c>
      <c r="E782" s="88">
        <f>VLOOKUP(A782,'Previous week'!$A$3:$F$1765,6,FALSE)</f>
        <v>1</v>
      </c>
      <c r="F782" s="22">
        <f t="shared" si="38"/>
        <v>0</v>
      </c>
      <c r="G782" s="88">
        <f>VLOOKUP(A782,'Current week'!$A$3:$F$1765,6,0)</f>
        <v>1</v>
      </c>
      <c r="H782" s="102">
        <f t="shared" si="36"/>
        <v>0</v>
      </c>
      <c r="I782" s="102">
        <f t="shared" si="37"/>
        <v>0</v>
      </c>
      <c r="L782" s="112"/>
    </row>
    <row r="783" spans="1:12" x14ac:dyDescent="0.25">
      <c r="A783" s="54" t="s">
        <v>3256</v>
      </c>
      <c r="B783" s="54" t="s">
        <v>1239</v>
      </c>
      <c r="C783" s="55" t="s">
        <v>1240</v>
      </c>
      <c r="D783" s="70">
        <v>0</v>
      </c>
      <c r="E783" s="94">
        <f>'Previous week'!F783</f>
        <v>1</v>
      </c>
      <c r="F783" s="57">
        <f t="shared" si="38"/>
        <v>0</v>
      </c>
      <c r="G783" s="94">
        <f>'Current week'!F783</f>
        <v>1</v>
      </c>
      <c r="H783" s="107">
        <f t="shared" si="36"/>
        <v>0</v>
      </c>
      <c r="I783" s="107">
        <f t="shared" si="37"/>
        <v>0</v>
      </c>
      <c r="L783" s="112"/>
    </row>
    <row r="784" spans="1:12" x14ac:dyDescent="0.25">
      <c r="A784" s="19" t="s">
        <v>3257</v>
      </c>
      <c r="B784" s="19" t="s">
        <v>1241</v>
      </c>
      <c r="C784" s="20" t="s">
        <v>1242</v>
      </c>
      <c r="D784" s="21">
        <v>0</v>
      </c>
      <c r="E784" s="88">
        <f>VLOOKUP(A784,'Previous week'!$A$3:$F$1765,6,FALSE)</f>
        <v>1</v>
      </c>
      <c r="F784" s="22">
        <f t="shared" si="38"/>
        <v>0</v>
      </c>
      <c r="G784" s="88">
        <f>VLOOKUP(A784,'Current week'!$A$3:$F$1765,6,0)</f>
        <v>1</v>
      </c>
      <c r="H784" s="101">
        <f t="shared" si="36"/>
        <v>0</v>
      </c>
      <c r="I784" s="101">
        <f t="shared" si="37"/>
        <v>0</v>
      </c>
      <c r="L784" s="112"/>
    </row>
    <row r="785" spans="1:12" x14ac:dyDescent="0.25">
      <c r="A785" s="33" t="s">
        <v>3258</v>
      </c>
      <c r="B785" s="33" t="s">
        <v>1243</v>
      </c>
      <c r="C785" s="34" t="s">
        <v>1244</v>
      </c>
      <c r="D785" s="35">
        <v>0</v>
      </c>
      <c r="E785" s="88">
        <f>VLOOKUP(A785,'Previous week'!$A$3:$F$1765,6,FALSE)</f>
        <v>1</v>
      </c>
      <c r="F785" s="22">
        <f t="shared" si="38"/>
        <v>0</v>
      </c>
      <c r="G785" s="88">
        <f>VLOOKUP(A785,'Current week'!$A$3:$F$1765,6,0)</f>
        <v>1</v>
      </c>
      <c r="H785" s="104">
        <f t="shared" si="36"/>
        <v>0</v>
      </c>
      <c r="I785" s="104">
        <f t="shared" si="37"/>
        <v>0</v>
      </c>
      <c r="L785" s="112"/>
    </row>
    <row r="786" spans="1:12" x14ac:dyDescent="0.25">
      <c r="A786" s="23" t="s">
        <v>3259</v>
      </c>
      <c r="B786" s="23" t="s">
        <v>1245</v>
      </c>
      <c r="C786" s="24" t="s">
        <v>1246</v>
      </c>
      <c r="D786" s="71">
        <v>0</v>
      </c>
      <c r="E786" s="88">
        <f>VLOOKUP(A786,'Previous week'!$A$3:$F$1765,6,FALSE)</f>
        <v>1</v>
      </c>
      <c r="F786" s="22">
        <f t="shared" si="38"/>
        <v>0</v>
      </c>
      <c r="G786" s="88">
        <f>VLOOKUP(A786,'Current week'!$A$3:$F$1765,6,0)</f>
        <v>1</v>
      </c>
      <c r="H786" s="102">
        <f t="shared" si="36"/>
        <v>0</v>
      </c>
      <c r="I786" s="102">
        <f t="shared" si="37"/>
        <v>0</v>
      </c>
      <c r="L786" s="112"/>
    </row>
    <row r="787" spans="1:12" x14ac:dyDescent="0.25">
      <c r="A787" s="54" t="s">
        <v>3260</v>
      </c>
      <c r="B787" s="54" t="s">
        <v>1247</v>
      </c>
      <c r="C787" s="55" t="s">
        <v>1248</v>
      </c>
      <c r="D787" s="70">
        <v>0</v>
      </c>
      <c r="E787" s="94">
        <f>'Previous week'!F787</f>
        <v>1</v>
      </c>
      <c r="F787" s="57">
        <f t="shared" si="38"/>
        <v>0</v>
      </c>
      <c r="G787" s="94">
        <f>'Current week'!F787</f>
        <v>1</v>
      </c>
      <c r="H787" s="107">
        <f t="shared" si="36"/>
        <v>0</v>
      </c>
      <c r="I787" s="107">
        <f t="shared" si="37"/>
        <v>0</v>
      </c>
      <c r="L787" s="112"/>
    </row>
    <row r="788" spans="1:12" x14ac:dyDescent="0.25">
      <c r="A788" s="19" t="s">
        <v>3261</v>
      </c>
      <c r="B788" s="19" t="s">
        <v>1249</v>
      </c>
      <c r="C788" s="20" t="s">
        <v>1250</v>
      </c>
      <c r="D788" s="21">
        <v>179076.09</v>
      </c>
      <c r="E788" s="88">
        <f>VLOOKUP(A788,'Previous week'!$A$3:$F$1765,6,FALSE)</f>
        <v>1</v>
      </c>
      <c r="F788" s="22">
        <f t="shared" si="38"/>
        <v>0</v>
      </c>
      <c r="G788" s="88">
        <f>VLOOKUP(A788,'Current week'!$A$3:$F$1765,6,0)</f>
        <v>1</v>
      </c>
      <c r="H788" s="101">
        <f t="shared" si="36"/>
        <v>179076.09</v>
      </c>
      <c r="I788" s="101">
        <f t="shared" si="37"/>
        <v>0</v>
      </c>
      <c r="L788" s="112"/>
    </row>
    <row r="789" spans="1:12" x14ac:dyDescent="0.25">
      <c r="A789" s="33" t="s">
        <v>3262</v>
      </c>
      <c r="B789" s="33" t="s">
        <v>1251</v>
      </c>
      <c r="C789" s="34" t="s">
        <v>1252</v>
      </c>
      <c r="D789" s="35">
        <v>0</v>
      </c>
      <c r="E789" s="88">
        <f>VLOOKUP(A789,'Previous week'!$A$3:$F$1765,6,FALSE)</f>
        <v>1</v>
      </c>
      <c r="F789" s="22">
        <f t="shared" si="38"/>
        <v>0</v>
      </c>
      <c r="G789" s="88">
        <f>VLOOKUP(A789,'Current week'!$A$3:$F$1765,6,0)</f>
        <v>1</v>
      </c>
      <c r="H789" s="104">
        <f t="shared" si="36"/>
        <v>0</v>
      </c>
      <c r="I789" s="104">
        <f t="shared" si="37"/>
        <v>0</v>
      </c>
      <c r="L789" s="112"/>
    </row>
    <row r="790" spans="1:12" x14ac:dyDescent="0.25">
      <c r="A790" s="23" t="s">
        <v>2877</v>
      </c>
      <c r="B790" s="23" t="s">
        <v>1253</v>
      </c>
      <c r="C790" s="24"/>
      <c r="D790" s="71">
        <v>179076.09</v>
      </c>
      <c r="E790" s="88">
        <f>VLOOKUP(A790,'Previous week'!$A$3:$F$1765,6,FALSE)</f>
        <v>0</v>
      </c>
      <c r="F790" s="22">
        <f t="shared" si="38"/>
        <v>0</v>
      </c>
      <c r="G790" s="88">
        <f>VLOOKUP(A790,'Current week'!$A$3:$F$1765,6,0)</f>
        <v>0</v>
      </c>
      <c r="H790" s="102">
        <f t="shared" si="36"/>
        <v>0</v>
      </c>
      <c r="I790" s="102">
        <f t="shared" si="37"/>
        <v>0</v>
      </c>
      <c r="L790" s="112"/>
    </row>
    <row r="791" spans="1:12" x14ac:dyDescent="0.25">
      <c r="A791" s="54" t="s">
        <v>3263</v>
      </c>
      <c r="B791" s="54" t="s">
        <v>1254</v>
      </c>
      <c r="C791" s="55" t="s">
        <v>1255</v>
      </c>
      <c r="D791" s="70">
        <v>0</v>
      </c>
      <c r="E791" s="94">
        <f>'Previous week'!F791</f>
        <v>1</v>
      </c>
      <c r="F791" s="57">
        <f t="shared" si="38"/>
        <v>0</v>
      </c>
      <c r="G791" s="94">
        <f>'Current week'!F791</f>
        <v>1</v>
      </c>
      <c r="H791" s="107">
        <f t="shared" si="36"/>
        <v>0</v>
      </c>
      <c r="I791" s="107">
        <f t="shared" si="37"/>
        <v>0</v>
      </c>
      <c r="L791" s="112"/>
    </row>
    <row r="792" spans="1:12" x14ac:dyDescent="0.25">
      <c r="A792" s="19" t="s">
        <v>3264</v>
      </c>
      <c r="B792" s="19" t="s">
        <v>1256</v>
      </c>
      <c r="C792" s="20" t="s">
        <v>1257</v>
      </c>
      <c r="D792" s="21">
        <v>0</v>
      </c>
      <c r="E792" s="88">
        <f>VLOOKUP(A792,'Previous week'!$A$3:$F$1765,6,FALSE)</f>
        <v>1</v>
      </c>
      <c r="F792" s="22">
        <f t="shared" si="38"/>
        <v>0</v>
      </c>
      <c r="G792" s="88">
        <f>VLOOKUP(A792,'Current week'!$A$3:$F$1765,6,0)</f>
        <v>1</v>
      </c>
      <c r="H792" s="101">
        <f t="shared" si="36"/>
        <v>0</v>
      </c>
      <c r="I792" s="101">
        <f t="shared" si="37"/>
        <v>0</v>
      </c>
      <c r="L792" s="112"/>
    </row>
    <row r="793" spans="1:12" x14ac:dyDescent="0.25">
      <c r="A793" s="33" t="s">
        <v>3265</v>
      </c>
      <c r="B793" s="33" t="s">
        <v>1258</v>
      </c>
      <c r="C793" s="34" t="s">
        <v>1259</v>
      </c>
      <c r="D793" s="35">
        <v>0</v>
      </c>
      <c r="E793" s="88">
        <f>VLOOKUP(A793,'Previous week'!$A$3:$F$1765,6,FALSE)</f>
        <v>1</v>
      </c>
      <c r="F793" s="22">
        <f t="shared" si="38"/>
        <v>0</v>
      </c>
      <c r="G793" s="88">
        <f>VLOOKUP(A793,'Current week'!$A$3:$F$1765,6,0)</f>
        <v>1</v>
      </c>
      <c r="H793" s="104">
        <f t="shared" si="36"/>
        <v>0</v>
      </c>
      <c r="I793" s="104">
        <f t="shared" si="37"/>
        <v>0</v>
      </c>
      <c r="L793" s="112"/>
    </row>
    <row r="794" spans="1:12" x14ac:dyDescent="0.25">
      <c r="A794" s="23" t="s">
        <v>3266</v>
      </c>
      <c r="B794" s="23" t="s">
        <v>1260</v>
      </c>
      <c r="C794" s="24" t="s">
        <v>1261</v>
      </c>
      <c r="D794" s="71">
        <v>0</v>
      </c>
      <c r="E794" s="88">
        <f>VLOOKUP(A794,'Previous week'!$A$3:$F$1765,6,FALSE)</f>
        <v>1</v>
      </c>
      <c r="F794" s="22">
        <f t="shared" si="38"/>
        <v>0</v>
      </c>
      <c r="G794" s="88">
        <f>VLOOKUP(A794,'Current week'!$A$3:$F$1765,6,0)</f>
        <v>1</v>
      </c>
      <c r="H794" s="102">
        <f t="shared" si="36"/>
        <v>0</v>
      </c>
      <c r="I794" s="102">
        <f t="shared" si="37"/>
        <v>0</v>
      </c>
      <c r="L794" s="112"/>
    </row>
    <row r="795" spans="1:12" x14ac:dyDescent="0.25">
      <c r="A795" s="54" t="s">
        <v>3267</v>
      </c>
      <c r="B795" s="54" t="s">
        <v>1262</v>
      </c>
      <c r="C795" s="55" t="s">
        <v>1263</v>
      </c>
      <c r="D795" s="70">
        <v>0</v>
      </c>
      <c r="E795" s="94">
        <f>'Previous week'!F795</f>
        <v>1</v>
      </c>
      <c r="F795" s="57">
        <f t="shared" si="38"/>
        <v>0</v>
      </c>
      <c r="G795" s="94">
        <f>'Current week'!F795</f>
        <v>1</v>
      </c>
      <c r="H795" s="107">
        <f t="shared" si="36"/>
        <v>0</v>
      </c>
      <c r="I795" s="107">
        <f t="shared" si="37"/>
        <v>0</v>
      </c>
      <c r="L795" s="112"/>
    </row>
    <row r="796" spans="1:12" x14ac:dyDescent="0.25">
      <c r="A796" s="19" t="s">
        <v>3268</v>
      </c>
      <c r="B796" s="19" t="s">
        <v>1264</v>
      </c>
      <c r="C796" s="20" t="s">
        <v>1265</v>
      </c>
      <c r="D796" s="21">
        <v>0</v>
      </c>
      <c r="E796" s="88">
        <f>VLOOKUP(A796,'Previous week'!$A$3:$F$1765,6,FALSE)</f>
        <v>1</v>
      </c>
      <c r="F796" s="22">
        <f t="shared" si="38"/>
        <v>0</v>
      </c>
      <c r="G796" s="88">
        <f>VLOOKUP(A796,'Current week'!$A$3:$F$1765,6,0)</f>
        <v>1</v>
      </c>
      <c r="H796" s="101">
        <f t="shared" si="36"/>
        <v>0</v>
      </c>
      <c r="I796" s="101">
        <f t="shared" si="37"/>
        <v>0</v>
      </c>
      <c r="L796" s="112"/>
    </row>
    <row r="797" spans="1:12" x14ac:dyDescent="0.25">
      <c r="A797" s="33" t="s">
        <v>3269</v>
      </c>
      <c r="B797" s="33" t="s">
        <v>1266</v>
      </c>
      <c r="C797" s="34" t="s">
        <v>1267</v>
      </c>
      <c r="D797" s="35">
        <v>0</v>
      </c>
      <c r="E797" s="88">
        <f>VLOOKUP(A797,'Previous week'!$A$3:$F$1765,6,FALSE)</f>
        <v>1</v>
      </c>
      <c r="F797" s="22">
        <f t="shared" si="38"/>
        <v>0</v>
      </c>
      <c r="G797" s="88">
        <f>VLOOKUP(A797,'Current week'!$A$3:$F$1765,6,0)</f>
        <v>1</v>
      </c>
      <c r="H797" s="104">
        <f t="shared" si="36"/>
        <v>0</v>
      </c>
      <c r="I797" s="104">
        <f t="shared" si="37"/>
        <v>0</v>
      </c>
      <c r="L797" s="112"/>
    </row>
    <row r="798" spans="1:12" x14ac:dyDescent="0.25">
      <c r="A798" s="23" t="s">
        <v>3270</v>
      </c>
      <c r="B798" s="23" t="s">
        <v>1268</v>
      </c>
      <c r="C798" s="24" t="s">
        <v>1269</v>
      </c>
      <c r="D798" s="71">
        <v>179076.09</v>
      </c>
      <c r="E798" s="88">
        <f>VLOOKUP(A798,'Previous week'!$A$3:$F$1765,6,FALSE)</f>
        <v>1</v>
      </c>
      <c r="F798" s="22">
        <f t="shared" si="38"/>
        <v>0</v>
      </c>
      <c r="G798" s="88">
        <f>VLOOKUP(A798,'Current week'!$A$3:$F$1765,6,0)</f>
        <v>1</v>
      </c>
      <c r="H798" s="102">
        <f t="shared" si="36"/>
        <v>179076.09</v>
      </c>
      <c r="I798" s="102">
        <f t="shared" si="37"/>
        <v>0</v>
      </c>
      <c r="L798" s="112"/>
    </row>
    <row r="799" spans="1:12" x14ac:dyDescent="0.25">
      <c r="A799" s="54" t="s">
        <v>3271</v>
      </c>
      <c r="B799" s="54" t="s">
        <v>1270</v>
      </c>
      <c r="C799" s="55" t="s">
        <v>1271</v>
      </c>
      <c r="D799" s="70">
        <v>0</v>
      </c>
      <c r="E799" s="94">
        <f>'Previous week'!F799</f>
        <v>1</v>
      </c>
      <c r="F799" s="57">
        <f t="shared" si="38"/>
        <v>0</v>
      </c>
      <c r="G799" s="94">
        <f>'Current week'!F799</f>
        <v>1</v>
      </c>
      <c r="H799" s="107">
        <f t="shared" si="36"/>
        <v>0</v>
      </c>
      <c r="I799" s="107">
        <f t="shared" si="37"/>
        <v>0</v>
      </c>
      <c r="L799" s="112"/>
    </row>
    <row r="800" spans="1:12" x14ac:dyDescent="0.25">
      <c r="A800" s="19" t="s">
        <v>2880</v>
      </c>
      <c r="B800" s="19" t="s">
        <v>1272</v>
      </c>
      <c r="C800" s="20"/>
      <c r="D800" s="21">
        <v>179076.09</v>
      </c>
      <c r="E800" s="88">
        <f>VLOOKUP(A800,'Previous week'!$A$3:$F$1765,6,FALSE)</f>
        <v>0</v>
      </c>
      <c r="F800" s="22">
        <f t="shared" si="38"/>
        <v>0</v>
      </c>
      <c r="G800" s="88">
        <f>VLOOKUP(A800,'Current week'!$A$3:$F$1765,6,0)</f>
        <v>0</v>
      </c>
      <c r="H800" s="101">
        <f t="shared" si="36"/>
        <v>0</v>
      </c>
      <c r="I800" s="101">
        <f t="shared" si="37"/>
        <v>0</v>
      </c>
      <c r="L800" s="112"/>
    </row>
    <row r="801" spans="1:12" x14ac:dyDescent="0.25">
      <c r="A801" s="33" t="s">
        <v>3272</v>
      </c>
      <c r="B801" s="33" t="s">
        <v>1273</v>
      </c>
      <c r="C801" s="34" t="s">
        <v>1274</v>
      </c>
      <c r="D801" s="35">
        <v>0</v>
      </c>
      <c r="E801" s="88">
        <f>VLOOKUP(A801,'Previous week'!$A$3:$F$1765,6,FALSE)</f>
        <v>1</v>
      </c>
      <c r="F801" s="22">
        <f t="shared" si="38"/>
        <v>0</v>
      </c>
      <c r="G801" s="88">
        <f>VLOOKUP(A801,'Current week'!$A$3:$F$1765,6,0)</f>
        <v>1</v>
      </c>
      <c r="H801" s="104">
        <f t="shared" si="36"/>
        <v>0</v>
      </c>
      <c r="I801" s="104">
        <f t="shared" si="37"/>
        <v>0</v>
      </c>
      <c r="L801" s="112"/>
    </row>
    <row r="802" spans="1:12" x14ac:dyDescent="0.25">
      <c r="A802" s="23" t="s">
        <v>3273</v>
      </c>
      <c r="B802" s="23" t="s">
        <v>1275</v>
      </c>
      <c r="C802" s="24" t="s">
        <v>1276</v>
      </c>
      <c r="D802" s="71">
        <v>0</v>
      </c>
      <c r="E802" s="88">
        <f>VLOOKUP(A802,'Previous week'!$A$3:$F$1765,6,FALSE)</f>
        <v>1</v>
      </c>
      <c r="F802" s="22">
        <f t="shared" si="38"/>
        <v>0</v>
      </c>
      <c r="G802" s="88">
        <f>VLOOKUP(A802,'Current week'!$A$3:$F$1765,6,0)</f>
        <v>1</v>
      </c>
      <c r="H802" s="102">
        <f t="shared" si="36"/>
        <v>0</v>
      </c>
      <c r="I802" s="102">
        <f t="shared" si="37"/>
        <v>0</v>
      </c>
      <c r="L802" s="112"/>
    </row>
    <row r="803" spans="1:12" x14ac:dyDescent="0.25">
      <c r="A803" s="50" t="s">
        <v>3274</v>
      </c>
      <c r="B803" s="50" t="s">
        <v>1277</v>
      </c>
      <c r="C803" s="51" t="s">
        <v>1278</v>
      </c>
      <c r="D803" s="68">
        <v>0</v>
      </c>
      <c r="E803" s="93"/>
      <c r="F803" s="53">
        <f t="shared" si="38"/>
        <v>0</v>
      </c>
      <c r="G803" s="93"/>
      <c r="H803" s="106"/>
      <c r="I803" s="106"/>
      <c r="L803" s="112"/>
    </row>
    <row r="804" spans="1:12" x14ac:dyDescent="0.25">
      <c r="A804" s="54" t="s">
        <v>3275</v>
      </c>
      <c r="B804" s="54" t="s">
        <v>1279</v>
      </c>
      <c r="C804" s="55" t="s">
        <v>1280</v>
      </c>
      <c r="D804" s="70">
        <v>0</v>
      </c>
      <c r="E804" s="94">
        <f>'Previous week'!F804</f>
        <v>1</v>
      </c>
      <c r="F804" s="57">
        <f t="shared" si="38"/>
        <v>0</v>
      </c>
      <c r="G804" s="94">
        <f>'Current week'!F804</f>
        <v>1</v>
      </c>
      <c r="H804" s="107">
        <f t="shared" si="36"/>
        <v>0</v>
      </c>
      <c r="I804" s="107">
        <f t="shared" si="37"/>
        <v>0</v>
      </c>
      <c r="L804" s="112"/>
    </row>
    <row r="805" spans="1:12" x14ac:dyDescent="0.25">
      <c r="A805" s="19" t="s">
        <v>3276</v>
      </c>
      <c r="B805" s="19" t="s">
        <v>1281</v>
      </c>
      <c r="C805" s="20" t="s">
        <v>1282</v>
      </c>
      <c r="D805" s="21">
        <v>0</v>
      </c>
      <c r="E805" s="88">
        <f>VLOOKUP(A805,'Previous week'!$A$3:$F$1765,6,FALSE)</f>
        <v>1</v>
      </c>
      <c r="F805" s="22">
        <f t="shared" si="38"/>
        <v>0</v>
      </c>
      <c r="G805" s="88">
        <f>VLOOKUP(A805,'Current week'!$A$3:$F$1765,6,0)</f>
        <v>1</v>
      </c>
      <c r="H805" s="101">
        <f t="shared" si="36"/>
        <v>0</v>
      </c>
      <c r="I805" s="101">
        <f t="shared" si="37"/>
        <v>0</v>
      </c>
      <c r="L805" s="112"/>
    </row>
    <row r="806" spans="1:12" x14ac:dyDescent="0.25">
      <c r="A806" s="33" t="s">
        <v>3277</v>
      </c>
      <c r="B806" s="33" t="s">
        <v>1283</v>
      </c>
      <c r="C806" s="34" t="s">
        <v>1284</v>
      </c>
      <c r="D806" s="35">
        <v>179076.09</v>
      </c>
      <c r="E806" s="88">
        <f>VLOOKUP(A806,'Previous week'!$A$3:$F$1765,6,FALSE)</f>
        <v>1</v>
      </c>
      <c r="F806" s="22">
        <f t="shared" si="38"/>
        <v>0</v>
      </c>
      <c r="G806" s="88">
        <f>VLOOKUP(A806,'Current week'!$A$3:$F$1765,6,0)</f>
        <v>1</v>
      </c>
      <c r="H806" s="104">
        <f t="shared" si="36"/>
        <v>179076.09</v>
      </c>
      <c r="I806" s="104">
        <f t="shared" si="37"/>
        <v>0</v>
      </c>
      <c r="L806" s="112"/>
    </row>
    <row r="807" spans="1:12" x14ac:dyDescent="0.25">
      <c r="A807" s="23" t="s">
        <v>3278</v>
      </c>
      <c r="B807" s="23" t="s">
        <v>1285</v>
      </c>
      <c r="C807" s="24" t="s">
        <v>1286</v>
      </c>
      <c r="D807" s="71">
        <v>0</v>
      </c>
      <c r="E807" s="88">
        <f>VLOOKUP(A807,'Previous week'!$A$3:$F$1765,6,FALSE)</f>
        <v>1</v>
      </c>
      <c r="F807" s="22">
        <f t="shared" si="38"/>
        <v>0</v>
      </c>
      <c r="G807" s="88">
        <f>VLOOKUP(A807,'Current week'!$A$3:$F$1765,6,0)</f>
        <v>1</v>
      </c>
      <c r="H807" s="102">
        <f t="shared" si="36"/>
        <v>0</v>
      </c>
      <c r="I807" s="102">
        <f t="shared" si="37"/>
        <v>0</v>
      </c>
      <c r="L807" s="112"/>
    </row>
    <row r="808" spans="1:12" x14ac:dyDescent="0.25">
      <c r="A808" s="54" t="s">
        <v>2883</v>
      </c>
      <c r="B808" s="54" t="s">
        <v>1287</v>
      </c>
      <c r="C808" s="55"/>
      <c r="D808" s="70">
        <v>179076.09</v>
      </c>
      <c r="E808" s="94">
        <f>'Previous week'!F808</f>
        <v>1</v>
      </c>
      <c r="F808" s="57">
        <f t="shared" si="38"/>
        <v>0</v>
      </c>
      <c r="G808" s="94">
        <f>'Current week'!F808</f>
        <v>1</v>
      </c>
      <c r="H808" s="107">
        <f t="shared" si="36"/>
        <v>179076.09</v>
      </c>
      <c r="I808" s="107">
        <f t="shared" si="37"/>
        <v>0</v>
      </c>
      <c r="L808" s="112"/>
    </row>
    <row r="809" spans="1:12" x14ac:dyDescent="0.25">
      <c r="A809" s="19" t="s">
        <v>3279</v>
      </c>
      <c r="B809" s="19" t="s">
        <v>1288</v>
      </c>
      <c r="C809" s="20" t="s">
        <v>1289</v>
      </c>
      <c r="D809" s="21">
        <v>0</v>
      </c>
      <c r="E809" s="88">
        <f>VLOOKUP(A809,'Previous week'!$A$3:$F$1765,6,FALSE)</f>
        <v>1</v>
      </c>
      <c r="F809" s="22">
        <f t="shared" si="38"/>
        <v>0</v>
      </c>
      <c r="G809" s="88">
        <f>VLOOKUP(A809,'Current week'!$A$3:$F$1765,6,0)</f>
        <v>1</v>
      </c>
      <c r="H809" s="101">
        <f t="shared" si="36"/>
        <v>0</v>
      </c>
      <c r="I809" s="101">
        <f t="shared" si="37"/>
        <v>0</v>
      </c>
      <c r="L809" s="112"/>
    </row>
    <row r="810" spans="1:12" x14ac:dyDescent="0.25">
      <c r="A810" s="33" t="s">
        <v>3280</v>
      </c>
      <c r="B810" s="33" t="s">
        <v>1290</v>
      </c>
      <c r="C810" s="34" t="s">
        <v>1291</v>
      </c>
      <c r="D810" s="35">
        <v>0</v>
      </c>
      <c r="E810" s="88">
        <f>VLOOKUP(A810,'Previous week'!$A$3:$F$1765,6,FALSE)</f>
        <v>1</v>
      </c>
      <c r="F810" s="22">
        <f t="shared" si="38"/>
        <v>0</v>
      </c>
      <c r="G810" s="88">
        <f>VLOOKUP(A810,'Current week'!$A$3:$F$1765,6,0)</f>
        <v>1</v>
      </c>
      <c r="H810" s="104">
        <f t="shared" si="36"/>
        <v>0</v>
      </c>
      <c r="I810" s="104">
        <f t="shared" si="37"/>
        <v>0</v>
      </c>
      <c r="L810" s="112"/>
    </row>
    <row r="811" spans="1:12" x14ac:dyDescent="0.25">
      <c r="A811" s="23" t="s">
        <v>3281</v>
      </c>
      <c r="B811" s="23" t="s">
        <v>1292</v>
      </c>
      <c r="C811" s="24" t="s">
        <v>1293</v>
      </c>
      <c r="D811" s="71">
        <v>0</v>
      </c>
      <c r="E811" s="88">
        <f>VLOOKUP(A811,'Previous week'!$A$3:$F$1765,6,FALSE)</f>
        <v>1</v>
      </c>
      <c r="F811" s="22">
        <f t="shared" si="38"/>
        <v>0</v>
      </c>
      <c r="G811" s="88">
        <f>VLOOKUP(A811,'Current week'!$A$3:$F$1765,6,0)</f>
        <v>1</v>
      </c>
      <c r="H811" s="102">
        <f t="shared" si="36"/>
        <v>0</v>
      </c>
      <c r="I811" s="102">
        <f t="shared" si="37"/>
        <v>0</v>
      </c>
      <c r="L811" s="112"/>
    </row>
    <row r="812" spans="1:12" x14ac:dyDescent="0.25">
      <c r="A812" s="11" t="s">
        <v>3282</v>
      </c>
      <c r="B812" s="11" t="s">
        <v>1294</v>
      </c>
      <c r="C812" s="12" t="s">
        <v>1295</v>
      </c>
      <c r="D812" s="39">
        <v>0</v>
      </c>
      <c r="E812" s="86"/>
      <c r="F812" s="40">
        <f t="shared" si="38"/>
        <v>0</v>
      </c>
      <c r="G812" s="86"/>
      <c r="H812" s="99"/>
      <c r="I812" s="99"/>
      <c r="L812" s="112"/>
    </row>
    <row r="813" spans="1:12" x14ac:dyDescent="0.25">
      <c r="A813" s="26" t="s">
        <v>3283</v>
      </c>
      <c r="B813" s="26" t="s">
        <v>1296</v>
      </c>
      <c r="C813" s="27" t="s">
        <v>1297</v>
      </c>
      <c r="D813" s="49">
        <v>0</v>
      </c>
      <c r="E813" s="89"/>
      <c r="F813" s="18">
        <f t="shared" si="38"/>
        <v>0</v>
      </c>
      <c r="G813" s="89"/>
      <c r="H813" s="100"/>
      <c r="I813" s="100"/>
      <c r="L813" s="112"/>
    </row>
    <row r="814" spans="1:12" x14ac:dyDescent="0.25">
      <c r="A814" s="41" t="s">
        <v>3284</v>
      </c>
      <c r="B814" s="41" t="s">
        <v>1298</v>
      </c>
      <c r="C814" s="42" t="s">
        <v>1299</v>
      </c>
      <c r="D814" s="66">
        <v>0</v>
      </c>
      <c r="E814" s="91"/>
      <c r="F814" s="67">
        <f t="shared" si="38"/>
        <v>0</v>
      </c>
      <c r="G814" s="91"/>
      <c r="H814" s="103"/>
      <c r="I814" s="103"/>
      <c r="L814" s="112"/>
    </row>
    <row r="815" spans="1:12" x14ac:dyDescent="0.25">
      <c r="A815" s="50" t="s">
        <v>3285</v>
      </c>
      <c r="B815" s="50" t="s">
        <v>1300</v>
      </c>
      <c r="C815" s="51" t="s">
        <v>1301</v>
      </c>
      <c r="D815" s="68">
        <v>0</v>
      </c>
      <c r="E815" s="93"/>
      <c r="F815" s="69">
        <f t="shared" si="38"/>
        <v>0</v>
      </c>
      <c r="G815" s="93"/>
      <c r="H815" s="106"/>
      <c r="I815" s="106"/>
      <c r="L815" s="112"/>
    </row>
    <row r="816" spans="1:12" x14ac:dyDescent="0.25">
      <c r="A816" s="58" t="s">
        <v>3286</v>
      </c>
      <c r="B816" s="58" t="s">
        <v>1302</v>
      </c>
      <c r="C816" s="59" t="s">
        <v>1303</v>
      </c>
      <c r="D816" s="72">
        <v>179076.09</v>
      </c>
      <c r="E816" s="96">
        <f>'Previous week'!F816</f>
        <v>1</v>
      </c>
      <c r="F816" s="73">
        <f t="shared" si="38"/>
        <v>0</v>
      </c>
      <c r="G816" s="96">
        <f>'Current week'!F816</f>
        <v>1</v>
      </c>
      <c r="H816" s="108">
        <f t="shared" si="36"/>
        <v>179076.09</v>
      </c>
      <c r="I816" s="108">
        <f t="shared" si="37"/>
        <v>0</v>
      </c>
      <c r="L816" s="112"/>
    </row>
    <row r="817" spans="1:12" x14ac:dyDescent="0.25">
      <c r="A817" s="62" t="s">
        <v>3287</v>
      </c>
      <c r="B817" s="62" t="s">
        <v>1304</v>
      </c>
      <c r="C817" s="63" t="s">
        <v>1305</v>
      </c>
      <c r="D817" s="74">
        <v>0</v>
      </c>
      <c r="E817" s="97">
        <f>'Previous week'!F817</f>
        <v>1</v>
      </c>
      <c r="F817" s="76">
        <f t="shared" si="38"/>
        <v>0</v>
      </c>
      <c r="G817" s="97">
        <f>'Current week'!F817</f>
        <v>1</v>
      </c>
      <c r="H817" s="109">
        <f t="shared" si="36"/>
        <v>0</v>
      </c>
      <c r="I817" s="109">
        <f t="shared" si="37"/>
        <v>0</v>
      </c>
      <c r="L817" s="112"/>
    </row>
    <row r="818" spans="1:12" x14ac:dyDescent="0.25">
      <c r="A818" s="19" t="s">
        <v>2862</v>
      </c>
      <c r="B818" s="19" t="s">
        <v>1306</v>
      </c>
      <c r="C818" s="20"/>
      <c r="D818" s="77">
        <v>179076.09</v>
      </c>
      <c r="E818" s="88">
        <f>VLOOKUP(A818,'Previous week'!$A$3:$F$1765,6,FALSE)</f>
        <v>0</v>
      </c>
      <c r="F818" s="22">
        <f t="shared" si="38"/>
        <v>0</v>
      </c>
      <c r="G818" s="88">
        <f>VLOOKUP(A818,'Current week'!$A$3:$F$1765,6,0)</f>
        <v>0</v>
      </c>
      <c r="H818" s="101">
        <f t="shared" si="36"/>
        <v>0</v>
      </c>
      <c r="I818" s="101">
        <f t="shared" si="37"/>
        <v>0</v>
      </c>
      <c r="L818" s="112"/>
    </row>
    <row r="819" spans="1:12" x14ac:dyDescent="0.25">
      <c r="A819" s="33" t="s">
        <v>3288</v>
      </c>
      <c r="B819" s="33" t="s">
        <v>1307</v>
      </c>
      <c r="C819" s="34" t="s">
        <v>1308</v>
      </c>
      <c r="D819" s="78">
        <v>0</v>
      </c>
      <c r="E819" s="88">
        <f>VLOOKUP(A819,'Previous week'!$A$3:$F$1765,6,FALSE)</f>
        <v>1</v>
      </c>
      <c r="F819" s="22">
        <f t="shared" si="38"/>
        <v>0</v>
      </c>
      <c r="G819" s="88">
        <f>VLOOKUP(A819,'Current week'!$A$3:$F$1765,6,0)</f>
        <v>1</v>
      </c>
      <c r="H819" s="104">
        <f t="shared" si="36"/>
        <v>0</v>
      </c>
      <c r="I819" s="104">
        <f t="shared" si="37"/>
        <v>0</v>
      </c>
      <c r="L819" s="112"/>
    </row>
    <row r="820" spans="1:12" x14ac:dyDescent="0.25">
      <c r="A820" s="33" t="s">
        <v>3289</v>
      </c>
      <c r="B820" s="33" t="s">
        <v>1309</v>
      </c>
      <c r="C820" s="34" t="s">
        <v>1310</v>
      </c>
      <c r="D820" s="78">
        <v>0</v>
      </c>
      <c r="E820" s="88">
        <f>VLOOKUP(A820,'Previous week'!$A$3:$F$1765,6,FALSE)</f>
        <v>1</v>
      </c>
      <c r="F820" s="22">
        <f t="shared" si="38"/>
        <v>0</v>
      </c>
      <c r="G820" s="88">
        <f>VLOOKUP(A820,'Current week'!$A$3:$F$1765,6,0)</f>
        <v>1</v>
      </c>
      <c r="H820" s="104">
        <f t="shared" si="36"/>
        <v>0</v>
      </c>
      <c r="I820" s="104">
        <f t="shared" si="37"/>
        <v>0</v>
      </c>
      <c r="L820" s="112"/>
    </row>
    <row r="821" spans="1:12" x14ac:dyDescent="0.25">
      <c r="A821" s="23" t="s">
        <v>3290</v>
      </c>
      <c r="B821" s="23" t="s">
        <v>1311</v>
      </c>
      <c r="C821" s="24" t="s">
        <v>1312</v>
      </c>
      <c r="D821" s="71">
        <v>0</v>
      </c>
      <c r="E821" s="88">
        <f>VLOOKUP(A821,'Previous week'!$A$3:$F$1765,6,FALSE)</f>
        <v>1</v>
      </c>
      <c r="F821" s="22">
        <f t="shared" si="38"/>
        <v>0</v>
      </c>
      <c r="G821" s="88">
        <f>VLOOKUP(A821,'Current week'!$A$3:$F$1765,6,0)</f>
        <v>1</v>
      </c>
      <c r="H821" s="102">
        <f t="shared" si="36"/>
        <v>0</v>
      </c>
      <c r="I821" s="102">
        <f t="shared" si="37"/>
        <v>0</v>
      </c>
      <c r="L821" s="112"/>
    </row>
    <row r="822" spans="1:12" x14ac:dyDescent="0.25">
      <c r="A822" s="62" t="s">
        <v>3291</v>
      </c>
      <c r="B822" s="62" t="s">
        <v>1313</v>
      </c>
      <c r="C822" s="63" t="s">
        <v>1314</v>
      </c>
      <c r="D822" s="74">
        <v>0</v>
      </c>
      <c r="E822" s="97">
        <f>'Previous week'!F822</f>
        <v>1</v>
      </c>
      <c r="F822" s="65">
        <f t="shared" si="38"/>
        <v>0</v>
      </c>
      <c r="G822" s="97">
        <f>'Current week'!F822</f>
        <v>1</v>
      </c>
      <c r="H822" s="109">
        <f t="shared" si="36"/>
        <v>0</v>
      </c>
      <c r="I822" s="109">
        <f t="shared" si="37"/>
        <v>0</v>
      </c>
      <c r="L822" s="112"/>
    </row>
    <row r="823" spans="1:12" x14ac:dyDescent="0.25">
      <c r="A823" s="19" t="s">
        <v>3292</v>
      </c>
      <c r="B823" s="19" t="s">
        <v>1315</v>
      </c>
      <c r="C823" s="20" t="s">
        <v>1316</v>
      </c>
      <c r="D823" s="77">
        <v>0</v>
      </c>
      <c r="E823" s="88">
        <f>VLOOKUP(A823,'Previous week'!$A$3:$F$1765,6,FALSE)</f>
        <v>1</v>
      </c>
      <c r="F823" s="22">
        <f t="shared" si="38"/>
        <v>0</v>
      </c>
      <c r="G823" s="88">
        <f>VLOOKUP(A823,'Current week'!$A$3:$F$1765,6,0)</f>
        <v>1</v>
      </c>
      <c r="H823" s="101">
        <f t="shared" si="36"/>
        <v>0</v>
      </c>
      <c r="I823" s="101">
        <f t="shared" si="37"/>
        <v>0</v>
      </c>
      <c r="L823" s="112"/>
    </row>
    <row r="824" spans="1:12" x14ac:dyDescent="0.25">
      <c r="A824" s="33" t="s">
        <v>3293</v>
      </c>
      <c r="B824" s="33" t="s">
        <v>1317</v>
      </c>
      <c r="C824" s="34" t="s">
        <v>1318</v>
      </c>
      <c r="D824" s="78">
        <v>0</v>
      </c>
      <c r="E824" s="88">
        <f>VLOOKUP(A824,'Previous week'!$A$3:$F$1765,6,FALSE)</f>
        <v>1</v>
      </c>
      <c r="F824" s="22">
        <f t="shared" si="38"/>
        <v>0</v>
      </c>
      <c r="G824" s="88">
        <f>VLOOKUP(A824,'Current week'!$A$3:$F$1765,6,0)</f>
        <v>1</v>
      </c>
      <c r="H824" s="104">
        <f t="shared" si="36"/>
        <v>0</v>
      </c>
      <c r="I824" s="104">
        <f t="shared" si="37"/>
        <v>0</v>
      </c>
      <c r="L824" s="112"/>
    </row>
    <row r="825" spans="1:12" x14ac:dyDescent="0.25">
      <c r="A825" s="23" t="s">
        <v>3294</v>
      </c>
      <c r="B825" s="23" t="s">
        <v>1319</v>
      </c>
      <c r="C825" s="24" t="s">
        <v>1320</v>
      </c>
      <c r="D825" s="71">
        <v>179076.09</v>
      </c>
      <c r="E825" s="88">
        <f>VLOOKUP(A825,'Previous week'!$A$3:$F$1765,6,FALSE)</f>
        <v>1</v>
      </c>
      <c r="F825" s="22">
        <f t="shared" si="38"/>
        <v>0</v>
      </c>
      <c r="G825" s="88">
        <f>VLOOKUP(A825,'Current week'!$A$3:$F$1765,6,0)</f>
        <v>1</v>
      </c>
      <c r="H825" s="102">
        <f t="shared" si="36"/>
        <v>179076.09</v>
      </c>
      <c r="I825" s="102">
        <f t="shared" si="37"/>
        <v>0</v>
      </c>
      <c r="L825" s="112"/>
    </row>
    <row r="826" spans="1:12" x14ac:dyDescent="0.25">
      <c r="A826" s="62" t="s">
        <v>3295</v>
      </c>
      <c r="B826" s="62" t="s">
        <v>1321</v>
      </c>
      <c r="C826" s="63" t="s">
        <v>1322</v>
      </c>
      <c r="D826" s="74">
        <v>0</v>
      </c>
      <c r="E826" s="97">
        <f>'Previous week'!F826</f>
        <v>1</v>
      </c>
      <c r="F826" s="65">
        <f t="shared" si="38"/>
        <v>0</v>
      </c>
      <c r="G826" s="97">
        <f>'Current week'!F826</f>
        <v>1</v>
      </c>
      <c r="H826" s="109">
        <f t="shared" si="36"/>
        <v>0</v>
      </c>
      <c r="I826" s="109">
        <f t="shared" si="37"/>
        <v>0</v>
      </c>
      <c r="L826" s="112"/>
    </row>
    <row r="827" spans="1:12" x14ac:dyDescent="0.25">
      <c r="A827" s="19" t="s">
        <v>2895</v>
      </c>
      <c r="B827" s="19" t="s">
        <v>1323</v>
      </c>
      <c r="C827" s="20"/>
      <c r="D827" s="77">
        <v>179076.09</v>
      </c>
      <c r="E827" s="88">
        <f>VLOOKUP(A827,'Previous week'!$A$3:$F$1765,6,FALSE)</f>
        <v>0</v>
      </c>
      <c r="F827" s="22">
        <f t="shared" si="38"/>
        <v>0</v>
      </c>
      <c r="G827" s="88">
        <f>VLOOKUP(A827,'Current week'!$A$3:$F$1765,6,0)</f>
        <v>0</v>
      </c>
      <c r="H827" s="101">
        <f t="shared" si="36"/>
        <v>0</v>
      </c>
      <c r="I827" s="101">
        <f t="shared" si="37"/>
        <v>0</v>
      </c>
      <c r="L827" s="112"/>
    </row>
    <row r="828" spans="1:12" x14ac:dyDescent="0.25">
      <c r="A828" s="33" t="s">
        <v>3296</v>
      </c>
      <c r="B828" s="33" t="s">
        <v>1324</v>
      </c>
      <c r="C828" s="34" t="s">
        <v>1325</v>
      </c>
      <c r="D828" s="78">
        <v>0</v>
      </c>
      <c r="E828" s="88">
        <f>VLOOKUP(A828,'Previous week'!$A$3:$F$1765,6,FALSE)</f>
        <v>1</v>
      </c>
      <c r="F828" s="22">
        <f t="shared" si="38"/>
        <v>0</v>
      </c>
      <c r="G828" s="88">
        <f>VLOOKUP(A828,'Current week'!$A$3:$F$1765,6,0)</f>
        <v>1</v>
      </c>
      <c r="H828" s="104">
        <f t="shared" si="36"/>
        <v>0</v>
      </c>
      <c r="I828" s="104">
        <f t="shared" si="37"/>
        <v>0</v>
      </c>
      <c r="L828" s="112"/>
    </row>
    <row r="829" spans="1:12" x14ac:dyDescent="0.25">
      <c r="A829" s="33" t="s">
        <v>3297</v>
      </c>
      <c r="B829" s="33" t="s">
        <v>1326</v>
      </c>
      <c r="C829" s="34" t="s">
        <v>1327</v>
      </c>
      <c r="D829" s="78">
        <v>0</v>
      </c>
      <c r="E829" s="88">
        <f>VLOOKUP(A829,'Previous week'!$A$3:$F$1765,6,FALSE)</f>
        <v>1</v>
      </c>
      <c r="F829" s="22">
        <f t="shared" si="38"/>
        <v>0</v>
      </c>
      <c r="G829" s="88">
        <f>VLOOKUP(A829,'Current week'!$A$3:$F$1765,6,0)</f>
        <v>1</v>
      </c>
      <c r="H829" s="104">
        <f t="shared" si="36"/>
        <v>0</v>
      </c>
      <c r="I829" s="104">
        <f t="shared" si="37"/>
        <v>0</v>
      </c>
      <c r="L829" s="112"/>
    </row>
    <row r="830" spans="1:12" x14ac:dyDescent="0.25">
      <c r="A830" s="23" t="s">
        <v>3298</v>
      </c>
      <c r="B830" s="23" t="s">
        <v>1328</v>
      </c>
      <c r="C830" s="24" t="s">
        <v>1329</v>
      </c>
      <c r="D830" s="71">
        <v>0</v>
      </c>
      <c r="E830" s="88">
        <f>VLOOKUP(A830,'Previous week'!$A$3:$F$1765,6,FALSE)</f>
        <v>1</v>
      </c>
      <c r="F830" s="22">
        <f t="shared" si="38"/>
        <v>0</v>
      </c>
      <c r="G830" s="88">
        <f>VLOOKUP(A830,'Current week'!$A$3:$F$1765,6,0)</f>
        <v>1</v>
      </c>
      <c r="H830" s="102">
        <f t="shared" si="36"/>
        <v>0</v>
      </c>
      <c r="I830" s="102">
        <f t="shared" si="37"/>
        <v>0</v>
      </c>
      <c r="L830" s="112"/>
    </row>
    <row r="831" spans="1:12" x14ac:dyDescent="0.25">
      <c r="A831" s="62" t="s">
        <v>3299</v>
      </c>
      <c r="B831" s="62" t="s">
        <v>1330</v>
      </c>
      <c r="C831" s="63" t="s">
        <v>1331</v>
      </c>
      <c r="D831" s="74">
        <v>0</v>
      </c>
      <c r="E831" s="97">
        <f>'Previous week'!F831</f>
        <v>1</v>
      </c>
      <c r="F831" s="65">
        <f t="shared" si="38"/>
        <v>0</v>
      </c>
      <c r="G831" s="97">
        <f>'Current week'!F831</f>
        <v>1</v>
      </c>
      <c r="H831" s="109">
        <f t="shared" si="36"/>
        <v>0</v>
      </c>
      <c r="I831" s="109">
        <f t="shared" si="37"/>
        <v>0</v>
      </c>
      <c r="L831" s="112"/>
    </row>
    <row r="832" spans="1:12" x14ac:dyDescent="0.25">
      <c r="A832" s="19" t="s">
        <v>3300</v>
      </c>
      <c r="B832" s="19" t="s">
        <v>1332</v>
      </c>
      <c r="C832" s="20" t="s">
        <v>1333</v>
      </c>
      <c r="D832" s="77">
        <v>0</v>
      </c>
      <c r="E832" s="88">
        <f>VLOOKUP(A832,'Previous week'!$A$3:$F$1765,6,FALSE)</f>
        <v>1</v>
      </c>
      <c r="F832" s="22">
        <f t="shared" si="38"/>
        <v>0</v>
      </c>
      <c r="G832" s="88">
        <f>VLOOKUP(A832,'Current week'!$A$3:$F$1765,6,0)</f>
        <v>1</v>
      </c>
      <c r="H832" s="101">
        <f t="shared" si="36"/>
        <v>0</v>
      </c>
      <c r="I832" s="101">
        <f t="shared" si="37"/>
        <v>0</v>
      </c>
      <c r="L832" s="112"/>
    </row>
    <row r="833" spans="1:12" x14ac:dyDescent="0.25">
      <c r="A833" s="33" t="s">
        <v>3301</v>
      </c>
      <c r="B833" s="33" t="s">
        <v>1334</v>
      </c>
      <c r="C833" s="34" t="s">
        <v>1335</v>
      </c>
      <c r="D833" s="78">
        <v>179076.09</v>
      </c>
      <c r="E833" s="88">
        <f>VLOOKUP(A833,'Previous week'!$A$3:$F$1765,6,FALSE)</f>
        <v>1</v>
      </c>
      <c r="F833" s="22">
        <f t="shared" si="38"/>
        <v>0</v>
      </c>
      <c r="G833" s="88">
        <f>VLOOKUP(A833,'Current week'!$A$3:$F$1765,6,0)</f>
        <v>1</v>
      </c>
      <c r="H833" s="104">
        <f t="shared" si="36"/>
        <v>179076.09</v>
      </c>
      <c r="I833" s="104">
        <f t="shared" si="37"/>
        <v>0</v>
      </c>
      <c r="L833" s="112"/>
    </row>
    <row r="834" spans="1:12" x14ac:dyDescent="0.25">
      <c r="A834" s="33" t="s">
        <v>3302</v>
      </c>
      <c r="B834" s="33" t="s">
        <v>1336</v>
      </c>
      <c r="C834" s="34" t="s">
        <v>1337</v>
      </c>
      <c r="D834" s="78">
        <v>0</v>
      </c>
      <c r="E834" s="88">
        <f>VLOOKUP(A834,'Previous week'!$A$3:$F$1765,6,FALSE)</f>
        <v>1</v>
      </c>
      <c r="F834" s="22">
        <f t="shared" si="38"/>
        <v>0</v>
      </c>
      <c r="G834" s="88">
        <f>VLOOKUP(A834,'Current week'!$A$3:$F$1765,6,0)</f>
        <v>1</v>
      </c>
      <c r="H834" s="104">
        <f t="shared" ref="H834:H896" si="39">G834*D834</f>
        <v>0</v>
      </c>
      <c r="I834" s="104">
        <f t="shared" ref="I834:I896" si="40">F834*D834</f>
        <v>0</v>
      </c>
      <c r="L834" s="112"/>
    </row>
    <row r="835" spans="1:12" x14ac:dyDescent="0.25">
      <c r="A835" s="33" t="s">
        <v>2898</v>
      </c>
      <c r="B835" s="33" t="s">
        <v>1338</v>
      </c>
      <c r="C835" s="34"/>
      <c r="D835" s="78">
        <v>179076.09</v>
      </c>
      <c r="E835" s="88">
        <f>VLOOKUP(A835,'Previous week'!$A$3:$F$1765,6,FALSE)</f>
        <v>0</v>
      </c>
      <c r="F835" s="22">
        <f t="shared" ref="F835:F897" si="41">G835-E835</f>
        <v>0</v>
      </c>
      <c r="G835" s="88">
        <f>VLOOKUP(A835,'Current week'!$A$3:$F$1765,6,0)</f>
        <v>0</v>
      </c>
      <c r="H835" s="104">
        <f t="shared" si="39"/>
        <v>0</v>
      </c>
      <c r="I835" s="104">
        <f t="shared" si="40"/>
        <v>0</v>
      </c>
      <c r="L835" s="112"/>
    </row>
    <row r="836" spans="1:12" x14ac:dyDescent="0.25">
      <c r="A836" s="23" t="s">
        <v>3303</v>
      </c>
      <c r="B836" s="23" t="s">
        <v>1339</v>
      </c>
      <c r="C836" s="24" t="s">
        <v>1340</v>
      </c>
      <c r="D836" s="71">
        <v>0</v>
      </c>
      <c r="E836" s="88">
        <f>VLOOKUP(A836,'Previous week'!$A$3:$F$1765,6,FALSE)</f>
        <v>1</v>
      </c>
      <c r="F836" s="22">
        <f t="shared" si="41"/>
        <v>0</v>
      </c>
      <c r="G836" s="88">
        <f>VLOOKUP(A836,'Current week'!$A$3:$F$1765,6,0)</f>
        <v>1</v>
      </c>
      <c r="H836" s="102">
        <f t="shared" si="39"/>
        <v>0</v>
      </c>
      <c r="I836" s="102">
        <f t="shared" si="40"/>
        <v>0</v>
      </c>
      <c r="L836" s="112"/>
    </row>
    <row r="837" spans="1:12" x14ac:dyDescent="0.25">
      <c r="A837" s="62" t="s">
        <v>3304</v>
      </c>
      <c r="B837" s="62" t="s">
        <v>1341</v>
      </c>
      <c r="C837" s="63" t="s">
        <v>1342</v>
      </c>
      <c r="D837" s="74">
        <v>0</v>
      </c>
      <c r="E837" s="97">
        <f>'Previous week'!F837</f>
        <v>1</v>
      </c>
      <c r="F837" s="65">
        <f t="shared" si="41"/>
        <v>0</v>
      </c>
      <c r="G837" s="97">
        <f>'Current week'!F837</f>
        <v>1</v>
      </c>
      <c r="H837" s="109">
        <f t="shared" si="39"/>
        <v>0</v>
      </c>
      <c r="I837" s="109">
        <f t="shared" si="40"/>
        <v>0</v>
      </c>
      <c r="L837" s="112"/>
    </row>
    <row r="838" spans="1:12" x14ac:dyDescent="0.25">
      <c r="A838" s="19" t="s">
        <v>3305</v>
      </c>
      <c r="B838" s="19" t="s">
        <v>1343</v>
      </c>
      <c r="C838" s="20" t="s">
        <v>1344</v>
      </c>
      <c r="D838" s="77">
        <v>0</v>
      </c>
      <c r="E838" s="88">
        <f>VLOOKUP(A838,'Previous week'!$A$3:$F$1765,6,FALSE)</f>
        <v>1</v>
      </c>
      <c r="F838" s="22">
        <f t="shared" si="41"/>
        <v>0</v>
      </c>
      <c r="G838" s="88">
        <f>VLOOKUP(A838,'Current week'!$A$3:$F$1765,6,0)</f>
        <v>1</v>
      </c>
      <c r="H838" s="101">
        <f t="shared" si="39"/>
        <v>0</v>
      </c>
      <c r="I838" s="101">
        <f t="shared" si="40"/>
        <v>0</v>
      </c>
      <c r="L838" s="112"/>
    </row>
    <row r="839" spans="1:12" x14ac:dyDescent="0.25">
      <c r="A839" s="33" t="s">
        <v>3306</v>
      </c>
      <c r="B839" s="33" t="s">
        <v>1345</v>
      </c>
      <c r="C839" s="34" t="s">
        <v>1346</v>
      </c>
      <c r="D839" s="78">
        <v>0</v>
      </c>
      <c r="E839" s="88">
        <f>VLOOKUP(A839,'Previous week'!$A$3:$F$1765,6,FALSE)</f>
        <v>1</v>
      </c>
      <c r="F839" s="22">
        <f t="shared" si="41"/>
        <v>0</v>
      </c>
      <c r="G839" s="88">
        <f>VLOOKUP(A839,'Current week'!$A$3:$F$1765,6,0)</f>
        <v>1</v>
      </c>
      <c r="H839" s="104">
        <f t="shared" si="39"/>
        <v>0</v>
      </c>
      <c r="I839" s="104">
        <f t="shared" si="40"/>
        <v>0</v>
      </c>
      <c r="L839" s="112"/>
    </row>
    <row r="840" spans="1:12" x14ac:dyDescent="0.25">
      <c r="A840" s="33" t="s">
        <v>3307</v>
      </c>
      <c r="B840" s="33" t="s">
        <v>1347</v>
      </c>
      <c r="C840" s="34" t="s">
        <v>1348</v>
      </c>
      <c r="D840" s="78">
        <v>0</v>
      </c>
      <c r="E840" s="88">
        <f>VLOOKUP(A840,'Previous week'!$A$3:$F$1765,6,FALSE)</f>
        <v>1</v>
      </c>
      <c r="F840" s="22">
        <f t="shared" si="41"/>
        <v>0</v>
      </c>
      <c r="G840" s="88">
        <f>VLOOKUP(A840,'Current week'!$A$3:$F$1765,6,0)</f>
        <v>1</v>
      </c>
      <c r="H840" s="104">
        <f t="shared" si="39"/>
        <v>0</v>
      </c>
      <c r="I840" s="104">
        <f t="shared" si="40"/>
        <v>0</v>
      </c>
      <c r="L840" s="112"/>
    </row>
    <row r="841" spans="1:12" x14ac:dyDescent="0.25">
      <c r="A841" s="33" t="s">
        <v>3308</v>
      </c>
      <c r="B841" s="33" t="s">
        <v>1349</v>
      </c>
      <c r="C841" s="34" t="s">
        <v>1350</v>
      </c>
      <c r="D841" s="78">
        <v>179076.09</v>
      </c>
      <c r="E841" s="88">
        <f>VLOOKUP(A841,'Previous week'!$A$3:$F$1765,6,FALSE)</f>
        <v>1</v>
      </c>
      <c r="F841" s="22">
        <f t="shared" si="41"/>
        <v>0</v>
      </c>
      <c r="G841" s="88">
        <f>VLOOKUP(A841,'Current week'!$A$3:$F$1765,6,0)</f>
        <v>1</v>
      </c>
      <c r="H841" s="104">
        <f t="shared" si="39"/>
        <v>179076.09</v>
      </c>
      <c r="I841" s="104">
        <f t="shared" si="40"/>
        <v>0</v>
      </c>
      <c r="L841" s="112"/>
    </row>
    <row r="842" spans="1:12" x14ac:dyDescent="0.25">
      <c r="A842" s="33" t="s">
        <v>3309</v>
      </c>
      <c r="B842" s="33" t="s">
        <v>1351</v>
      </c>
      <c r="C842" s="34" t="s">
        <v>1352</v>
      </c>
      <c r="D842" s="78">
        <v>0</v>
      </c>
      <c r="E842" s="88">
        <f>VLOOKUP(A842,'Previous week'!$A$3:$F$1765,6,FALSE)</f>
        <v>1</v>
      </c>
      <c r="F842" s="22">
        <f t="shared" si="41"/>
        <v>0</v>
      </c>
      <c r="G842" s="88">
        <f>VLOOKUP(A842,'Current week'!$A$3:$F$1765,6,0)</f>
        <v>1</v>
      </c>
      <c r="H842" s="104">
        <f t="shared" si="39"/>
        <v>0</v>
      </c>
      <c r="I842" s="104">
        <f t="shared" si="40"/>
        <v>0</v>
      </c>
      <c r="L842" s="112"/>
    </row>
    <row r="843" spans="1:12" x14ac:dyDescent="0.25">
      <c r="A843" s="33" t="s">
        <v>2901</v>
      </c>
      <c r="B843" s="33" t="s">
        <v>1353</v>
      </c>
      <c r="C843" s="34"/>
      <c r="D843" s="78">
        <v>179076.09</v>
      </c>
      <c r="E843" s="88">
        <f>VLOOKUP(A843,'Previous week'!$A$3:$F$1765,6,FALSE)</f>
        <v>0</v>
      </c>
      <c r="F843" s="22">
        <f t="shared" si="41"/>
        <v>0</v>
      </c>
      <c r="G843" s="88">
        <f>VLOOKUP(A843,'Current week'!$A$3:$F$1765,6,0)</f>
        <v>0</v>
      </c>
      <c r="H843" s="104">
        <f t="shared" si="39"/>
        <v>0</v>
      </c>
      <c r="I843" s="104">
        <f t="shared" si="40"/>
        <v>0</v>
      </c>
      <c r="L843" s="112"/>
    </row>
    <row r="844" spans="1:12" x14ac:dyDescent="0.25">
      <c r="A844" s="23" t="s">
        <v>3310</v>
      </c>
      <c r="B844" s="23" t="s">
        <v>1354</v>
      </c>
      <c r="C844" s="24" t="s">
        <v>1355</v>
      </c>
      <c r="D844" s="71">
        <v>0</v>
      </c>
      <c r="E844" s="88">
        <f>VLOOKUP(A844,'Previous week'!$A$3:$F$1765,6,FALSE)</f>
        <v>1</v>
      </c>
      <c r="F844" s="22">
        <f t="shared" si="41"/>
        <v>0</v>
      </c>
      <c r="G844" s="88">
        <f>VLOOKUP(A844,'Current week'!$A$3:$F$1765,6,0)</f>
        <v>1</v>
      </c>
      <c r="H844" s="102">
        <f t="shared" si="39"/>
        <v>0</v>
      </c>
      <c r="I844" s="102">
        <f t="shared" si="40"/>
        <v>0</v>
      </c>
      <c r="L844" s="112"/>
    </row>
    <row r="845" spans="1:12" x14ac:dyDescent="0.25">
      <c r="A845" s="62" t="s">
        <v>3311</v>
      </c>
      <c r="B845" s="62" t="s">
        <v>1356</v>
      </c>
      <c r="C845" s="63" t="s">
        <v>1357</v>
      </c>
      <c r="D845" s="74">
        <v>0</v>
      </c>
      <c r="E845" s="97">
        <f>'Previous week'!F845</f>
        <v>1</v>
      </c>
      <c r="F845" s="65">
        <f t="shared" si="41"/>
        <v>0</v>
      </c>
      <c r="G845" s="97">
        <f>'Current week'!F845</f>
        <v>1</v>
      </c>
      <c r="H845" s="109">
        <f t="shared" si="39"/>
        <v>0</v>
      </c>
      <c r="I845" s="109">
        <f t="shared" si="40"/>
        <v>0</v>
      </c>
      <c r="L845" s="112"/>
    </row>
    <row r="846" spans="1:12" x14ac:dyDescent="0.25">
      <c r="A846" s="19" t="s">
        <v>3312</v>
      </c>
      <c r="B846" s="19" t="s">
        <v>1358</v>
      </c>
      <c r="C846" s="20" t="s">
        <v>1359</v>
      </c>
      <c r="D846" s="77">
        <v>0</v>
      </c>
      <c r="E846" s="88">
        <f>VLOOKUP(A846,'Previous week'!$A$3:$F$1765,6,FALSE)</f>
        <v>1</v>
      </c>
      <c r="F846" s="22">
        <f t="shared" si="41"/>
        <v>0</v>
      </c>
      <c r="G846" s="88">
        <f>VLOOKUP(A846,'Current week'!$A$3:$F$1765,6,0)</f>
        <v>1</v>
      </c>
      <c r="H846" s="101">
        <f t="shared" si="39"/>
        <v>0</v>
      </c>
      <c r="I846" s="101">
        <f t="shared" si="40"/>
        <v>0</v>
      </c>
      <c r="L846" s="112"/>
    </row>
    <row r="847" spans="1:12" x14ac:dyDescent="0.25">
      <c r="A847" s="23" t="s">
        <v>3313</v>
      </c>
      <c r="B847" s="23" t="s">
        <v>1360</v>
      </c>
      <c r="C847" s="24" t="s">
        <v>1361</v>
      </c>
      <c r="D847" s="71">
        <v>0</v>
      </c>
      <c r="E847" s="88">
        <f>VLOOKUP(A847,'Previous week'!$A$3:$F$1765,6,FALSE)</f>
        <v>1</v>
      </c>
      <c r="F847" s="22">
        <f t="shared" si="41"/>
        <v>0</v>
      </c>
      <c r="G847" s="88">
        <f>VLOOKUP(A847,'Current week'!$A$3:$F$1765,6,0)</f>
        <v>1</v>
      </c>
      <c r="H847" s="102">
        <f t="shared" si="39"/>
        <v>0</v>
      </c>
      <c r="I847" s="102">
        <f t="shared" si="40"/>
        <v>0</v>
      </c>
      <c r="L847" s="112"/>
    </row>
    <row r="848" spans="1:12" x14ac:dyDescent="0.25">
      <c r="A848" s="62" t="s">
        <v>3314</v>
      </c>
      <c r="B848" s="62" t="s">
        <v>1362</v>
      </c>
      <c r="C848" s="63" t="s">
        <v>1363</v>
      </c>
      <c r="D848" s="74">
        <v>0</v>
      </c>
      <c r="E848" s="97">
        <f>'Previous week'!F848</f>
        <v>1</v>
      </c>
      <c r="F848" s="65">
        <f t="shared" si="41"/>
        <v>0</v>
      </c>
      <c r="G848" s="97">
        <f>'Current week'!F848</f>
        <v>1</v>
      </c>
      <c r="H848" s="109">
        <f t="shared" si="39"/>
        <v>0</v>
      </c>
      <c r="I848" s="109">
        <f t="shared" si="40"/>
        <v>0</v>
      </c>
      <c r="L848" s="112"/>
    </row>
    <row r="849" spans="1:12" x14ac:dyDescent="0.25">
      <c r="A849" s="19" t="s">
        <v>3315</v>
      </c>
      <c r="B849" s="19" t="s">
        <v>1364</v>
      </c>
      <c r="C849" s="20" t="s">
        <v>1365</v>
      </c>
      <c r="D849" s="77">
        <v>0</v>
      </c>
      <c r="E849" s="88">
        <f>VLOOKUP(A849,'Previous week'!$A$3:$F$1765,6,FALSE)</f>
        <v>1</v>
      </c>
      <c r="F849" s="22">
        <f t="shared" si="41"/>
        <v>0</v>
      </c>
      <c r="G849" s="88">
        <f>VLOOKUP(A849,'Current week'!$A$3:$F$1765,6,0)</f>
        <v>1</v>
      </c>
      <c r="H849" s="101">
        <f t="shared" si="39"/>
        <v>0</v>
      </c>
      <c r="I849" s="101">
        <f t="shared" si="40"/>
        <v>0</v>
      </c>
      <c r="L849" s="112"/>
    </row>
    <row r="850" spans="1:12" x14ac:dyDescent="0.25">
      <c r="A850" s="33" t="s">
        <v>3316</v>
      </c>
      <c r="B850" s="33" t="s">
        <v>1366</v>
      </c>
      <c r="C850" s="34" t="s">
        <v>1367</v>
      </c>
      <c r="D850" s="78">
        <v>179076.09</v>
      </c>
      <c r="E850" s="88">
        <f>VLOOKUP(A850,'Previous week'!$A$3:$F$1765,6,FALSE)</f>
        <v>1</v>
      </c>
      <c r="F850" s="22">
        <f t="shared" si="41"/>
        <v>0</v>
      </c>
      <c r="G850" s="88">
        <f>VLOOKUP(A850,'Current week'!$A$3:$F$1765,6,0)</f>
        <v>1</v>
      </c>
      <c r="H850" s="104">
        <f t="shared" si="39"/>
        <v>179076.09</v>
      </c>
      <c r="I850" s="104">
        <f t="shared" si="40"/>
        <v>0</v>
      </c>
      <c r="L850" s="112"/>
    </row>
    <row r="851" spans="1:12" x14ac:dyDescent="0.25">
      <c r="A851" s="23" t="s">
        <v>3317</v>
      </c>
      <c r="B851" s="23" t="s">
        <v>1368</v>
      </c>
      <c r="C851" s="24" t="s">
        <v>1369</v>
      </c>
      <c r="D851" s="71">
        <v>0</v>
      </c>
      <c r="E851" s="88">
        <f>VLOOKUP(A851,'Previous week'!$A$3:$F$1765,6,FALSE)</f>
        <v>1</v>
      </c>
      <c r="F851" s="22">
        <f t="shared" si="41"/>
        <v>0</v>
      </c>
      <c r="G851" s="88">
        <f>VLOOKUP(A851,'Current week'!$A$3:$F$1765,6,0)</f>
        <v>1</v>
      </c>
      <c r="H851" s="102">
        <f t="shared" si="39"/>
        <v>0</v>
      </c>
      <c r="I851" s="102">
        <f t="shared" si="40"/>
        <v>0</v>
      </c>
      <c r="L851" s="112"/>
    </row>
    <row r="852" spans="1:12" x14ac:dyDescent="0.25">
      <c r="A852" s="62" t="s">
        <v>2904</v>
      </c>
      <c r="B852" s="62" t="s">
        <v>1370</v>
      </c>
      <c r="C852" s="63"/>
      <c r="D852" s="74">
        <v>179076.09</v>
      </c>
      <c r="E852" s="97">
        <f>'Previous week'!F852</f>
        <v>1</v>
      </c>
      <c r="F852" s="65">
        <f t="shared" si="41"/>
        <v>0</v>
      </c>
      <c r="G852" s="97">
        <f>'Current week'!F852</f>
        <v>1</v>
      </c>
      <c r="H852" s="109">
        <f t="shared" si="39"/>
        <v>179076.09</v>
      </c>
      <c r="I852" s="109">
        <f t="shared" si="40"/>
        <v>0</v>
      </c>
      <c r="L852" s="112"/>
    </row>
    <row r="853" spans="1:12" x14ac:dyDescent="0.25">
      <c r="A853" s="19" t="s">
        <v>3318</v>
      </c>
      <c r="B853" s="19" t="s">
        <v>1371</v>
      </c>
      <c r="C853" s="20" t="s">
        <v>1372</v>
      </c>
      <c r="D853" s="77">
        <v>0</v>
      </c>
      <c r="E853" s="88">
        <f>VLOOKUP(A853,'Previous week'!$A$3:$F$1765,6,FALSE)</f>
        <v>1</v>
      </c>
      <c r="F853" s="22">
        <f t="shared" si="41"/>
        <v>0</v>
      </c>
      <c r="G853" s="88">
        <f>VLOOKUP(A853,'Current week'!$A$3:$F$1765,6,0)</f>
        <v>1</v>
      </c>
      <c r="H853" s="101">
        <f t="shared" si="39"/>
        <v>0</v>
      </c>
      <c r="I853" s="101">
        <f t="shared" si="40"/>
        <v>0</v>
      </c>
      <c r="L853" s="112"/>
    </row>
    <row r="854" spans="1:12" x14ac:dyDescent="0.25">
      <c r="A854" s="33" t="s">
        <v>3319</v>
      </c>
      <c r="B854" s="33" t="s">
        <v>1373</v>
      </c>
      <c r="C854" s="34" t="s">
        <v>1374</v>
      </c>
      <c r="D854" s="78">
        <v>0</v>
      </c>
      <c r="E854" s="88">
        <f>VLOOKUP(A854,'Previous week'!$A$3:$F$1765,6,FALSE)</f>
        <v>1</v>
      </c>
      <c r="F854" s="22">
        <f t="shared" si="41"/>
        <v>0</v>
      </c>
      <c r="G854" s="88">
        <f>VLOOKUP(A854,'Current week'!$A$3:$F$1765,6,0)</f>
        <v>1</v>
      </c>
      <c r="H854" s="104">
        <f t="shared" si="39"/>
        <v>0</v>
      </c>
      <c r="I854" s="104">
        <f t="shared" si="40"/>
        <v>0</v>
      </c>
      <c r="L854" s="112"/>
    </row>
    <row r="855" spans="1:12" x14ac:dyDescent="0.25">
      <c r="A855" s="23" t="s">
        <v>3320</v>
      </c>
      <c r="B855" s="23" t="s">
        <v>1375</v>
      </c>
      <c r="C855" s="24" t="s">
        <v>1376</v>
      </c>
      <c r="D855" s="71">
        <v>0</v>
      </c>
      <c r="E855" s="88">
        <f>VLOOKUP(A855,'Previous week'!$A$3:$F$1765,6,FALSE)</f>
        <v>1</v>
      </c>
      <c r="F855" s="22">
        <f t="shared" si="41"/>
        <v>0</v>
      </c>
      <c r="G855" s="88">
        <f>VLOOKUP(A855,'Current week'!$A$3:$F$1765,6,0)</f>
        <v>1</v>
      </c>
      <c r="H855" s="102">
        <f t="shared" si="39"/>
        <v>0</v>
      </c>
      <c r="I855" s="102">
        <f t="shared" si="40"/>
        <v>0</v>
      </c>
      <c r="L855" s="112"/>
    </row>
    <row r="856" spans="1:12" x14ac:dyDescent="0.25">
      <c r="A856" s="58" t="s">
        <v>3321</v>
      </c>
      <c r="B856" s="58" t="s">
        <v>1377</v>
      </c>
      <c r="C856" s="59" t="s">
        <v>1378</v>
      </c>
      <c r="D856" s="72">
        <v>0</v>
      </c>
      <c r="E856" s="96">
        <f>'Previous week'!F856</f>
        <v>1</v>
      </c>
      <c r="F856" s="73">
        <f t="shared" si="41"/>
        <v>0</v>
      </c>
      <c r="G856" s="96">
        <f>'Current week'!F856</f>
        <v>1</v>
      </c>
      <c r="H856" s="108">
        <f t="shared" si="39"/>
        <v>0</v>
      </c>
      <c r="I856" s="108">
        <f t="shared" si="40"/>
        <v>0</v>
      </c>
      <c r="L856" s="112"/>
    </row>
    <row r="857" spans="1:12" x14ac:dyDescent="0.25">
      <c r="A857" s="62" t="s">
        <v>3322</v>
      </c>
      <c r="B857" s="62" t="s">
        <v>1379</v>
      </c>
      <c r="C857" s="63" t="s">
        <v>1380</v>
      </c>
      <c r="D857" s="74">
        <v>0</v>
      </c>
      <c r="E857" s="97">
        <f>'Previous week'!F857</f>
        <v>1</v>
      </c>
      <c r="F857" s="76">
        <f t="shared" si="41"/>
        <v>0</v>
      </c>
      <c r="G857" s="97">
        <f>'Current week'!F857</f>
        <v>1</v>
      </c>
      <c r="H857" s="109">
        <f t="shared" si="39"/>
        <v>0</v>
      </c>
      <c r="I857" s="109">
        <f t="shared" si="40"/>
        <v>0</v>
      </c>
      <c r="L857" s="112"/>
    </row>
    <row r="858" spans="1:12" x14ac:dyDescent="0.25">
      <c r="A858" s="19" t="s">
        <v>3323</v>
      </c>
      <c r="B858" s="19" t="s">
        <v>1381</v>
      </c>
      <c r="C858" s="20" t="s">
        <v>1382</v>
      </c>
      <c r="D858" s="77">
        <v>0</v>
      </c>
      <c r="E858" s="88">
        <f>VLOOKUP(A858,'Previous week'!$A$3:$F$1765,6,FALSE)</f>
        <v>1</v>
      </c>
      <c r="F858" s="22">
        <f t="shared" si="41"/>
        <v>0</v>
      </c>
      <c r="G858" s="88">
        <f>VLOOKUP(A858,'Current week'!$A$3:$F$1765,6,0)</f>
        <v>1</v>
      </c>
      <c r="H858" s="101">
        <f t="shared" si="39"/>
        <v>0</v>
      </c>
      <c r="I858" s="101">
        <f t="shared" si="40"/>
        <v>0</v>
      </c>
      <c r="L858" s="112"/>
    </row>
    <row r="859" spans="1:12" x14ac:dyDescent="0.25">
      <c r="A859" s="33" t="s">
        <v>3324</v>
      </c>
      <c r="B859" s="33" t="s">
        <v>1383</v>
      </c>
      <c r="C859" s="34" t="s">
        <v>1384</v>
      </c>
      <c r="D859" s="78">
        <v>179076.09</v>
      </c>
      <c r="E859" s="88">
        <f>VLOOKUP(A859,'Previous week'!$A$3:$F$1765,6,FALSE)</f>
        <v>1</v>
      </c>
      <c r="F859" s="22">
        <f t="shared" si="41"/>
        <v>0</v>
      </c>
      <c r="G859" s="88">
        <f>VLOOKUP(A859,'Current week'!$A$3:$F$1765,6,0)</f>
        <v>1</v>
      </c>
      <c r="H859" s="104">
        <f t="shared" si="39"/>
        <v>179076.09</v>
      </c>
      <c r="I859" s="104">
        <f t="shared" si="40"/>
        <v>0</v>
      </c>
      <c r="L859" s="112"/>
    </row>
    <row r="860" spans="1:12" x14ac:dyDescent="0.25">
      <c r="A860" s="33" t="s">
        <v>3325</v>
      </c>
      <c r="B860" s="33" t="s">
        <v>1385</v>
      </c>
      <c r="C860" s="34" t="s">
        <v>1386</v>
      </c>
      <c r="D860" s="78">
        <v>0</v>
      </c>
      <c r="E860" s="88">
        <f>VLOOKUP(A860,'Previous week'!$A$3:$F$1765,6,FALSE)</f>
        <v>1</v>
      </c>
      <c r="F860" s="22">
        <f t="shared" si="41"/>
        <v>0</v>
      </c>
      <c r="G860" s="88">
        <f>VLOOKUP(A860,'Current week'!$A$3:$F$1765,6,0)</f>
        <v>1</v>
      </c>
      <c r="H860" s="104">
        <f t="shared" si="39"/>
        <v>0</v>
      </c>
      <c r="I860" s="104">
        <f t="shared" si="40"/>
        <v>0</v>
      </c>
      <c r="L860" s="112"/>
    </row>
    <row r="861" spans="1:12" x14ac:dyDescent="0.25">
      <c r="A861" s="23" t="s">
        <v>2907</v>
      </c>
      <c r="B861" s="23" t="s">
        <v>1387</v>
      </c>
      <c r="C861" s="24"/>
      <c r="D861" s="71">
        <v>179076.09</v>
      </c>
      <c r="E861" s="88">
        <f>VLOOKUP(A861,'Previous week'!$A$3:$F$1765,6,FALSE)</f>
        <v>0</v>
      </c>
      <c r="F861" s="22">
        <f t="shared" si="41"/>
        <v>0</v>
      </c>
      <c r="G861" s="88">
        <f>VLOOKUP(A861,'Current week'!$A$3:$F$1765,6,0)</f>
        <v>0</v>
      </c>
      <c r="H861" s="102">
        <f t="shared" si="39"/>
        <v>0</v>
      </c>
      <c r="I861" s="102">
        <f t="shared" si="40"/>
        <v>0</v>
      </c>
      <c r="L861" s="112"/>
    </row>
    <row r="862" spans="1:12" x14ac:dyDescent="0.25">
      <c r="A862" s="62" t="s">
        <v>3326</v>
      </c>
      <c r="B862" s="62" t="s">
        <v>1388</v>
      </c>
      <c r="C862" s="63" t="s">
        <v>1389</v>
      </c>
      <c r="D862" s="74">
        <v>0</v>
      </c>
      <c r="E862" s="97">
        <f>'Previous week'!F862</f>
        <v>1</v>
      </c>
      <c r="F862" s="76">
        <f t="shared" si="41"/>
        <v>0</v>
      </c>
      <c r="G862" s="97">
        <f>'Current week'!F862</f>
        <v>1</v>
      </c>
      <c r="H862" s="109">
        <f t="shared" si="39"/>
        <v>0</v>
      </c>
      <c r="I862" s="109">
        <f t="shared" si="40"/>
        <v>0</v>
      </c>
      <c r="L862" s="112"/>
    </row>
    <row r="863" spans="1:12" x14ac:dyDescent="0.25">
      <c r="A863" s="19" t="s">
        <v>3327</v>
      </c>
      <c r="B863" s="19" t="s">
        <v>1390</v>
      </c>
      <c r="C863" s="20" t="s">
        <v>1391</v>
      </c>
      <c r="D863" s="77">
        <v>0</v>
      </c>
      <c r="E863" s="88">
        <f>VLOOKUP(A863,'Previous week'!$A$3:$F$1765,6,FALSE)</f>
        <v>1</v>
      </c>
      <c r="F863" s="22">
        <f t="shared" si="41"/>
        <v>0</v>
      </c>
      <c r="G863" s="88">
        <f>VLOOKUP(A863,'Current week'!$A$3:$F$1765,6,0)</f>
        <v>1</v>
      </c>
      <c r="H863" s="101">
        <f t="shared" si="39"/>
        <v>0</v>
      </c>
      <c r="I863" s="101">
        <f t="shared" si="40"/>
        <v>0</v>
      </c>
      <c r="L863" s="112"/>
    </row>
    <row r="864" spans="1:12" x14ac:dyDescent="0.25">
      <c r="A864" s="33" t="s">
        <v>3328</v>
      </c>
      <c r="B864" s="33" t="s">
        <v>1392</v>
      </c>
      <c r="C864" s="34" t="s">
        <v>1393</v>
      </c>
      <c r="D864" s="78">
        <v>0</v>
      </c>
      <c r="E864" s="88">
        <f>VLOOKUP(A864,'Previous week'!$A$3:$F$1765,6,FALSE)</f>
        <v>1</v>
      </c>
      <c r="F864" s="22">
        <f t="shared" si="41"/>
        <v>0</v>
      </c>
      <c r="G864" s="88">
        <f>VLOOKUP(A864,'Current week'!$A$3:$F$1765,6,0)</f>
        <v>1</v>
      </c>
      <c r="H864" s="104">
        <f t="shared" si="39"/>
        <v>0</v>
      </c>
      <c r="I864" s="104">
        <f t="shared" si="40"/>
        <v>0</v>
      </c>
      <c r="L864" s="112"/>
    </row>
    <row r="865" spans="1:12" x14ac:dyDescent="0.25">
      <c r="A865" s="23" t="s">
        <v>3329</v>
      </c>
      <c r="B865" s="23" t="s">
        <v>1394</v>
      </c>
      <c r="C865" s="24" t="s">
        <v>1395</v>
      </c>
      <c r="D865" s="71">
        <v>0</v>
      </c>
      <c r="E865" s="88">
        <f>VLOOKUP(A865,'Previous week'!$A$3:$F$1765,6,FALSE)</f>
        <v>1</v>
      </c>
      <c r="F865" s="22">
        <f t="shared" si="41"/>
        <v>0</v>
      </c>
      <c r="G865" s="88">
        <f>VLOOKUP(A865,'Current week'!$A$3:$F$1765,6,0)</f>
        <v>1</v>
      </c>
      <c r="H865" s="102">
        <f t="shared" si="39"/>
        <v>0</v>
      </c>
      <c r="I865" s="102">
        <f t="shared" si="40"/>
        <v>0</v>
      </c>
      <c r="L865" s="112"/>
    </row>
    <row r="866" spans="1:12" x14ac:dyDescent="0.25">
      <c r="A866" s="62" t="s">
        <v>3330</v>
      </c>
      <c r="B866" s="62" t="s">
        <v>1396</v>
      </c>
      <c r="C866" s="63" t="s">
        <v>1397</v>
      </c>
      <c r="D866" s="74">
        <v>0</v>
      </c>
      <c r="E866" s="97">
        <f>'Previous week'!F866</f>
        <v>1</v>
      </c>
      <c r="F866" s="65">
        <f t="shared" si="41"/>
        <v>0</v>
      </c>
      <c r="G866" s="97">
        <f>'Current week'!F866</f>
        <v>1</v>
      </c>
      <c r="H866" s="109">
        <f t="shared" si="39"/>
        <v>0</v>
      </c>
      <c r="I866" s="109">
        <f t="shared" si="40"/>
        <v>0</v>
      </c>
      <c r="L866" s="112"/>
    </row>
    <row r="867" spans="1:12" x14ac:dyDescent="0.25">
      <c r="A867" s="19" t="s">
        <v>3331</v>
      </c>
      <c r="B867" s="19" t="s">
        <v>1398</v>
      </c>
      <c r="C867" s="20" t="s">
        <v>1399</v>
      </c>
      <c r="D867" s="77">
        <v>179076.09</v>
      </c>
      <c r="E867" s="88">
        <f>VLOOKUP(A867,'Previous week'!$A$3:$F$1765,6,FALSE)</f>
        <v>1</v>
      </c>
      <c r="F867" s="22">
        <f t="shared" si="41"/>
        <v>0</v>
      </c>
      <c r="G867" s="88">
        <f>VLOOKUP(A867,'Current week'!$A$3:$F$1765,6,0)</f>
        <v>1</v>
      </c>
      <c r="H867" s="101">
        <f t="shared" si="39"/>
        <v>179076.09</v>
      </c>
      <c r="I867" s="101">
        <f t="shared" si="40"/>
        <v>0</v>
      </c>
      <c r="L867" s="112"/>
    </row>
    <row r="868" spans="1:12" x14ac:dyDescent="0.25">
      <c r="A868" s="33" t="s">
        <v>3332</v>
      </c>
      <c r="B868" s="33" t="s">
        <v>1400</v>
      </c>
      <c r="C868" s="34" t="s">
        <v>1401</v>
      </c>
      <c r="D868" s="78">
        <v>0</v>
      </c>
      <c r="E868" s="88">
        <f>VLOOKUP(A868,'Previous week'!$A$3:$F$1765,6,FALSE)</f>
        <v>1</v>
      </c>
      <c r="F868" s="22">
        <f t="shared" si="41"/>
        <v>0</v>
      </c>
      <c r="G868" s="88">
        <f>VLOOKUP(A868,'Current week'!$A$3:$F$1765,6,0)</f>
        <v>1</v>
      </c>
      <c r="H868" s="104">
        <f t="shared" si="39"/>
        <v>0</v>
      </c>
      <c r="I868" s="104">
        <f t="shared" si="40"/>
        <v>0</v>
      </c>
      <c r="L868" s="112"/>
    </row>
    <row r="869" spans="1:12" x14ac:dyDescent="0.25">
      <c r="A869" s="33" t="s">
        <v>2910</v>
      </c>
      <c r="B869" s="33" t="s">
        <v>1402</v>
      </c>
      <c r="C869" s="34"/>
      <c r="D869" s="78">
        <v>179076.09</v>
      </c>
      <c r="E869" s="88">
        <f>VLOOKUP(A869,'Previous week'!$A$3:$F$1765,6,FALSE)</f>
        <v>0</v>
      </c>
      <c r="F869" s="22">
        <f t="shared" si="41"/>
        <v>0</v>
      </c>
      <c r="G869" s="88">
        <f>VLOOKUP(A869,'Current week'!$A$3:$F$1765,6,0)</f>
        <v>0</v>
      </c>
      <c r="H869" s="104">
        <f t="shared" si="39"/>
        <v>0</v>
      </c>
      <c r="I869" s="104">
        <f t="shared" si="40"/>
        <v>0</v>
      </c>
      <c r="L869" s="112"/>
    </row>
    <row r="870" spans="1:12" x14ac:dyDescent="0.25">
      <c r="A870" s="23" t="s">
        <v>3333</v>
      </c>
      <c r="B870" s="23" t="s">
        <v>1403</v>
      </c>
      <c r="C870" s="24" t="s">
        <v>1404</v>
      </c>
      <c r="D870" s="71">
        <v>0</v>
      </c>
      <c r="E870" s="88">
        <f>VLOOKUP(A870,'Previous week'!$A$3:$F$1765,6,FALSE)</f>
        <v>1</v>
      </c>
      <c r="F870" s="22">
        <f t="shared" si="41"/>
        <v>0</v>
      </c>
      <c r="G870" s="88">
        <f>VLOOKUP(A870,'Current week'!$A$3:$F$1765,6,0)</f>
        <v>1</v>
      </c>
      <c r="H870" s="102">
        <f t="shared" si="39"/>
        <v>0</v>
      </c>
      <c r="I870" s="102">
        <f t="shared" si="40"/>
        <v>0</v>
      </c>
      <c r="L870" s="112"/>
    </row>
    <row r="871" spans="1:12" x14ac:dyDescent="0.25">
      <c r="A871" s="58" t="s">
        <v>3334</v>
      </c>
      <c r="B871" s="58" t="s">
        <v>1405</v>
      </c>
      <c r="C871" s="59" t="s">
        <v>1406</v>
      </c>
      <c r="D871" s="72">
        <v>0</v>
      </c>
      <c r="E871" s="96">
        <f>'Previous week'!F871</f>
        <v>1</v>
      </c>
      <c r="F871" s="73">
        <f t="shared" si="41"/>
        <v>0</v>
      </c>
      <c r="G871" s="96">
        <f>'Current week'!F871</f>
        <v>1</v>
      </c>
      <c r="H871" s="108">
        <f t="shared" si="39"/>
        <v>0</v>
      </c>
      <c r="I871" s="108">
        <f t="shared" si="40"/>
        <v>0</v>
      </c>
      <c r="L871" s="112"/>
    </row>
    <row r="872" spans="1:12" x14ac:dyDescent="0.25">
      <c r="A872" s="62" t="s">
        <v>3335</v>
      </c>
      <c r="B872" s="62" t="s">
        <v>1407</v>
      </c>
      <c r="C872" s="63" t="s">
        <v>1408</v>
      </c>
      <c r="D872" s="74">
        <v>0</v>
      </c>
      <c r="E872" s="97">
        <f>'Previous week'!F872</f>
        <v>1</v>
      </c>
      <c r="F872" s="76">
        <f t="shared" si="41"/>
        <v>0</v>
      </c>
      <c r="G872" s="97">
        <f>'Current week'!F872</f>
        <v>1</v>
      </c>
      <c r="H872" s="109">
        <f t="shared" si="39"/>
        <v>0</v>
      </c>
      <c r="I872" s="109">
        <f t="shared" si="40"/>
        <v>0</v>
      </c>
      <c r="L872" s="112"/>
    </row>
    <row r="873" spans="1:12" x14ac:dyDescent="0.25">
      <c r="A873" s="19" t="s">
        <v>3336</v>
      </c>
      <c r="B873" s="19" t="s">
        <v>1409</v>
      </c>
      <c r="C873" s="20" t="s">
        <v>1410</v>
      </c>
      <c r="D873" s="77">
        <v>0</v>
      </c>
      <c r="E873" s="88">
        <f>VLOOKUP(A873,'Previous week'!$A$3:$F$1765,6,FALSE)</f>
        <v>1</v>
      </c>
      <c r="F873" s="22">
        <f t="shared" si="41"/>
        <v>0</v>
      </c>
      <c r="G873" s="88">
        <f>VLOOKUP(A873,'Current week'!$A$3:$F$1765,6,0)</f>
        <v>1</v>
      </c>
      <c r="H873" s="101">
        <f t="shared" si="39"/>
        <v>0</v>
      </c>
      <c r="I873" s="101">
        <f t="shared" si="40"/>
        <v>0</v>
      </c>
      <c r="L873" s="112"/>
    </row>
    <row r="874" spans="1:12" x14ac:dyDescent="0.25">
      <c r="A874" s="33" t="s">
        <v>3337</v>
      </c>
      <c r="B874" s="33" t="s">
        <v>1411</v>
      </c>
      <c r="C874" s="34" t="s">
        <v>1412</v>
      </c>
      <c r="D874" s="78">
        <v>0</v>
      </c>
      <c r="E874" s="88">
        <f>VLOOKUP(A874,'Previous week'!$A$3:$F$1765,6,FALSE)</f>
        <v>1</v>
      </c>
      <c r="F874" s="22">
        <f t="shared" si="41"/>
        <v>0</v>
      </c>
      <c r="G874" s="88">
        <f>VLOOKUP(A874,'Current week'!$A$3:$F$1765,6,0)</f>
        <v>1</v>
      </c>
      <c r="H874" s="104">
        <f t="shared" si="39"/>
        <v>0</v>
      </c>
      <c r="I874" s="104">
        <f t="shared" si="40"/>
        <v>0</v>
      </c>
      <c r="L874" s="112"/>
    </row>
    <row r="875" spans="1:12" x14ac:dyDescent="0.25">
      <c r="A875" s="33" t="s">
        <v>3338</v>
      </c>
      <c r="B875" s="33" t="s">
        <v>1413</v>
      </c>
      <c r="C875" s="34" t="s">
        <v>1414</v>
      </c>
      <c r="D875" s="78">
        <v>0</v>
      </c>
      <c r="E875" s="88">
        <f>VLOOKUP(A875,'Previous week'!$A$3:$F$1765,6,FALSE)</f>
        <v>1</v>
      </c>
      <c r="F875" s="22">
        <f t="shared" si="41"/>
        <v>0</v>
      </c>
      <c r="G875" s="88">
        <f>VLOOKUP(A875,'Current week'!$A$3:$F$1765,6,0)</f>
        <v>1</v>
      </c>
      <c r="H875" s="104">
        <f t="shared" si="39"/>
        <v>0</v>
      </c>
      <c r="I875" s="104">
        <f t="shared" si="40"/>
        <v>0</v>
      </c>
      <c r="L875" s="112"/>
    </row>
    <row r="876" spans="1:12" x14ac:dyDescent="0.25">
      <c r="A876" s="23" t="s">
        <v>3339</v>
      </c>
      <c r="B876" s="23" t="s">
        <v>1415</v>
      </c>
      <c r="C876" s="24" t="s">
        <v>1416</v>
      </c>
      <c r="D876" s="71">
        <v>0</v>
      </c>
      <c r="E876" s="88">
        <f>VLOOKUP(A876,'Previous week'!$A$3:$F$1765,6,FALSE)</f>
        <v>1</v>
      </c>
      <c r="F876" s="22">
        <f t="shared" si="41"/>
        <v>0</v>
      </c>
      <c r="G876" s="88">
        <f>VLOOKUP(A876,'Current week'!$A$3:$F$1765,6,0)</f>
        <v>1</v>
      </c>
      <c r="H876" s="102">
        <f t="shared" si="39"/>
        <v>0</v>
      </c>
      <c r="I876" s="102">
        <f t="shared" si="40"/>
        <v>0</v>
      </c>
      <c r="L876" s="112"/>
    </row>
    <row r="877" spans="1:12" x14ac:dyDescent="0.25">
      <c r="A877" s="62" t="s">
        <v>3340</v>
      </c>
      <c r="B877" s="62" t="s">
        <v>1417</v>
      </c>
      <c r="C877" s="63" t="s">
        <v>1418</v>
      </c>
      <c r="D877" s="74">
        <v>179076.09</v>
      </c>
      <c r="E877" s="97">
        <f>'Previous week'!F877</f>
        <v>1</v>
      </c>
      <c r="F877" s="76">
        <f t="shared" si="41"/>
        <v>0</v>
      </c>
      <c r="G877" s="97">
        <f>'Current week'!F877</f>
        <v>1</v>
      </c>
      <c r="H877" s="109">
        <f t="shared" si="39"/>
        <v>179076.09</v>
      </c>
      <c r="I877" s="109">
        <f t="shared" si="40"/>
        <v>0</v>
      </c>
      <c r="L877" s="112"/>
    </row>
    <row r="878" spans="1:12" x14ac:dyDescent="0.25">
      <c r="A878" s="19" t="s">
        <v>3341</v>
      </c>
      <c r="B878" s="19" t="s">
        <v>1419</v>
      </c>
      <c r="C878" s="20" t="s">
        <v>1420</v>
      </c>
      <c r="D878" s="77">
        <v>0</v>
      </c>
      <c r="E878" s="88">
        <f>VLOOKUP(A878,'Previous week'!$A$3:$F$1765,6,FALSE)</f>
        <v>1</v>
      </c>
      <c r="F878" s="22">
        <f t="shared" si="41"/>
        <v>0</v>
      </c>
      <c r="G878" s="88">
        <f>VLOOKUP(A878,'Current week'!$A$3:$F$1765,6,0)</f>
        <v>1</v>
      </c>
      <c r="H878" s="101">
        <f t="shared" si="39"/>
        <v>0</v>
      </c>
      <c r="I878" s="101">
        <f t="shared" si="40"/>
        <v>0</v>
      </c>
      <c r="L878" s="112"/>
    </row>
    <row r="879" spans="1:12" x14ac:dyDescent="0.25">
      <c r="A879" s="33" t="s">
        <v>2913</v>
      </c>
      <c r="B879" s="33" t="s">
        <v>1421</v>
      </c>
      <c r="C879" s="34"/>
      <c r="D879" s="78">
        <v>179076.09</v>
      </c>
      <c r="E879" s="88">
        <f>VLOOKUP(A879,'Previous week'!$A$3:$F$1765,6,FALSE)</f>
        <v>0</v>
      </c>
      <c r="F879" s="22">
        <f t="shared" si="41"/>
        <v>0</v>
      </c>
      <c r="G879" s="88">
        <f>VLOOKUP(A879,'Current week'!$A$3:$F$1765,6,0)</f>
        <v>0</v>
      </c>
      <c r="H879" s="104">
        <f t="shared" si="39"/>
        <v>0</v>
      </c>
      <c r="I879" s="104">
        <f t="shared" si="40"/>
        <v>0</v>
      </c>
      <c r="L879" s="112"/>
    </row>
    <row r="880" spans="1:12" x14ac:dyDescent="0.25">
      <c r="A880" s="23" t="s">
        <v>3342</v>
      </c>
      <c r="B880" s="23" t="s">
        <v>1422</v>
      </c>
      <c r="C880" s="24" t="s">
        <v>1423</v>
      </c>
      <c r="D880" s="71">
        <v>0</v>
      </c>
      <c r="E880" s="88">
        <f>VLOOKUP(A880,'Previous week'!$A$3:$F$1765,6,FALSE)</f>
        <v>1</v>
      </c>
      <c r="F880" s="22">
        <f t="shared" si="41"/>
        <v>0</v>
      </c>
      <c r="G880" s="88">
        <f>VLOOKUP(A880,'Current week'!$A$3:$F$1765,6,0)</f>
        <v>1</v>
      </c>
      <c r="H880" s="102">
        <f t="shared" si="39"/>
        <v>0</v>
      </c>
      <c r="I880" s="102">
        <f t="shared" si="40"/>
        <v>0</v>
      </c>
      <c r="L880" s="112"/>
    </row>
    <row r="881" spans="1:12" x14ac:dyDescent="0.25">
      <c r="A881" s="62" t="s">
        <v>3343</v>
      </c>
      <c r="B881" s="62" t="s">
        <v>1424</v>
      </c>
      <c r="C881" s="63" t="s">
        <v>1425</v>
      </c>
      <c r="D881" s="74">
        <v>0</v>
      </c>
      <c r="E881" s="97">
        <f>'Previous week'!F881</f>
        <v>1</v>
      </c>
      <c r="F881" s="65">
        <f t="shared" si="41"/>
        <v>0</v>
      </c>
      <c r="G881" s="97">
        <f>'Current week'!F881</f>
        <v>1</v>
      </c>
      <c r="H881" s="109">
        <f t="shared" si="39"/>
        <v>0</v>
      </c>
      <c r="I881" s="109">
        <f t="shared" si="40"/>
        <v>0</v>
      </c>
      <c r="L881" s="112"/>
    </row>
    <row r="882" spans="1:12" x14ac:dyDescent="0.25">
      <c r="A882" s="19" t="s">
        <v>3344</v>
      </c>
      <c r="B882" s="19" t="s">
        <v>1426</v>
      </c>
      <c r="C882" s="20" t="s">
        <v>1427</v>
      </c>
      <c r="D882" s="77">
        <v>0</v>
      </c>
      <c r="E882" s="88">
        <f>VLOOKUP(A882,'Previous week'!$A$3:$F$1765,6,FALSE)</f>
        <v>1</v>
      </c>
      <c r="F882" s="22">
        <f t="shared" si="41"/>
        <v>0</v>
      </c>
      <c r="G882" s="88">
        <f>VLOOKUP(A882,'Current week'!$A$3:$F$1765,6,0)</f>
        <v>1</v>
      </c>
      <c r="H882" s="101">
        <f t="shared" si="39"/>
        <v>0</v>
      </c>
      <c r="I882" s="101">
        <f t="shared" si="40"/>
        <v>0</v>
      </c>
      <c r="L882" s="112"/>
    </row>
    <row r="883" spans="1:12" x14ac:dyDescent="0.25">
      <c r="A883" s="33" t="s">
        <v>3345</v>
      </c>
      <c r="B883" s="33" t="s">
        <v>1428</v>
      </c>
      <c r="C883" s="34" t="s">
        <v>1429</v>
      </c>
      <c r="D883" s="78">
        <v>0</v>
      </c>
      <c r="E883" s="88">
        <f>VLOOKUP(A883,'Previous week'!$A$3:$F$1765,6,FALSE)</f>
        <v>1</v>
      </c>
      <c r="F883" s="22">
        <f t="shared" si="41"/>
        <v>0</v>
      </c>
      <c r="G883" s="88">
        <f>VLOOKUP(A883,'Current week'!$A$3:$F$1765,6,0)</f>
        <v>1</v>
      </c>
      <c r="H883" s="104">
        <f t="shared" si="39"/>
        <v>0</v>
      </c>
      <c r="I883" s="104">
        <f t="shared" si="40"/>
        <v>0</v>
      </c>
      <c r="L883" s="112"/>
    </row>
    <row r="884" spans="1:12" x14ac:dyDescent="0.25">
      <c r="A884" s="33" t="s">
        <v>3346</v>
      </c>
      <c r="B884" s="33" t="s">
        <v>1430</v>
      </c>
      <c r="C884" s="34" t="s">
        <v>1431</v>
      </c>
      <c r="D884" s="78">
        <v>0</v>
      </c>
      <c r="E884" s="88">
        <f>VLOOKUP(A884,'Previous week'!$A$3:$F$1765,6,FALSE)</f>
        <v>1</v>
      </c>
      <c r="F884" s="22">
        <f t="shared" si="41"/>
        <v>0</v>
      </c>
      <c r="G884" s="88">
        <f>VLOOKUP(A884,'Current week'!$A$3:$F$1765,6,0)</f>
        <v>1</v>
      </c>
      <c r="H884" s="104">
        <f t="shared" si="39"/>
        <v>0</v>
      </c>
      <c r="I884" s="104">
        <f t="shared" si="40"/>
        <v>0</v>
      </c>
      <c r="L884" s="112"/>
    </row>
    <row r="885" spans="1:12" x14ac:dyDescent="0.25">
      <c r="A885" s="23" t="s">
        <v>3347</v>
      </c>
      <c r="B885" s="23" t="s">
        <v>1432</v>
      </c>
      <c r="C885" s="24" t="s">
        <v>1433</v>
      </c>
      <c r="D885" s="71">
        <v>179076.09</v>
      </c>
      <c r="E885" s="88">
        <f>VLOOKUP(A885,'Previous week'!$A$3:$F$1765,6,FALSE)</f>
        <v>1</v>
      </c>
      <c r="F885" s="22">
        <f t="shared" si="41"/>
        <v>0</v>
      </c>
      <c r="G885" s="88">
        <f>VLOOKUP(A885,'Current week'!$A$3:$F$1765,6,0)</f>
        <v>1</v>
      </c>
      <c r="H885" s="102">
        <f t="shared" si="39"/>
        <v>179076.09</v>
      </c>
      <c r="I885" s="102">
        <f t="shared" si="40"/>
        <v>0</v>
      </c>
      <c r="L885" s="112"/>
    </row>
    <row r="886" spans="1:12" x14ac:dyDescent="0.25">
      <c r="A886" s="54" t="s">
        <v>3348</v>
      </c>
      <c r="B886" s="54" t="s">
        <v>1434</v>
      </c>
      <c r="C886" s="55" t="s">
        <v>1435</v>
      </c>
      <c r="D886" s="70">
        <v>0</v>
      </c>
      <c r="E886" s="94">
        <f>'Previous week'!F887</f>
        <v>1</v>
      </c>
      <c r="F886" s="57">
        <f t="shared" si="41"/>
        <v>0</v>
      </c>
      <c r="G886" s="94">
        <f>'Current week'!F887</f>
        <v>1</v>
      </c>
      <c r="H886" s="107">
        <f t="shared" si="39"/>
        <v>0</v>
      </c>
      <c r="I886" s="107">
        <f t="shared" si="40"/>
        <v>0</v>
      </c>
      <c r="L886" s="112"/>
    </row>
    <row r="887" spans="1:12" x14ac:dyDescent="0.25">
      <c r="A887" s="19" t="s">
        <v>2916</v>
      </c>
      <c r="B887" s="19" t="s">
        <v>1436</v>
      </c>
      <c r="C887" s="20"/>
      <c r="D887" s="77">
        <v>179076.09</v>
      </c>
      <c r="E887" s="88">
        <f>VLOOKUP(A887,'Previous week'!$A$3:$F$1765,6,FALSE)</f>
        <v>0</v>
      </c>
      <c r="F887" s="22">
        <f t="shared" si="41"/>
        <v>0</v>
      </c>
      <c r="G887" s="88">
        <f>VLOOKUP(A887,'Current week'!$A$3:$F$1765,6,0)</f>
        <v>0</v>
      </c>
      <c r="H887" s="101">
        <f t="shared" si="39"/>
        <v>0</v>
      </c>
      <c r="I887" s="101">
        <f t="shared" si="40"/>
        <v>0</v>
      </c>
      <c r="L887" s="112"/>
    </row>
    <row r="888" spans="1:12" x14ac:dyDescent="0.25">
      <c r="A888" s="33" t="s">
        <v>3349</v>
      </c>
      <c r="B888" s="33" t="s">
        <v>1437</v>
      </c>
      <c r="C888" s="34" t="s">
        <v>1438</v>
      </c>
      <c r="D888" s="78">
        <v>0</v>
      </c>
      <c r="E888" s="88">
        <f>VLOOKUP(A888,'Previous week'!$A$3:$F$1765,6,FALSE)</f>
        <v>1</v>
      </c>
      <c r="F888" s="22">
        <f t="shared" si="41"/>
        <v>0</v>
      </c>
      <c r="G888" s="88">
        <f>VLOOKUP(A888,'Current week'!$A$3:$F$1765,6,0)</f>
        <v>1</v>
      </c>
      <c r="H888" s="104">
        <f t="shared" si="39"/>
        <v>0</v>
      </c>
      <c r="I888" s="104">
        <f t="shared" si="40"/>
        <v>0</v>
      </c>
      <c r="L888" s="112"/>
    </row>
    <row r="889" spans="1:12" x14ac:dyDescent="0.25">
      <c r="A889" s="33" t="s">
        <v>3350</v>
      </c>
      <c r="B889" s="33" t="s">
        <v>1439</v>
      </c>
      <c r="C889" s="34" t="s">
        <v>1440</v>
      </c>
      <c r="D889" s="78">
        <v>0</v>
      </c>
      <c r="E889" s="88">
        <f>VLOOKUP(A889,'Previous week'!$A$3:$F$1765,6,FALSE)</f>
        <v>1</v>
      </c>
      <c r="F889" s="22">
        <f t="shared" si="41"/>
        <v>0</v>
      </c>
      <c r="G889" s="88">
        <f>VLOOKUP(A889,'Current week'!$A$3:$F$1765,6,0)</f>
        <v>1</v>
      </c>
      <c r="H889" s="104">
        <f t="shared" si="39"/>
        <v>0</v>
      </c>
      <c r="I889" s="104">
        <f t="shared" si="40"/>
        <v>0</v>
      </c>
      <c r="L889" s="112"/>
    </row>
    <row r="890" spans="1:12" x14ac:dyDescent="0.25">
      <c r="A890" s="23" t="s">
        <v>3351</v>
      </c>
      <c r="B890" s="23" t="s">
        <v>1441</v>
      </c>
      <c r="C890" s="24" t="s">
        <v>1442</v>
      </c>
      <c r="D890" s="71">
        <v>0</v>
      </c>
      <c r="E890" s="88">
        <f>VLOOKUP(A890,'Previous week'!$A$3:$F$1765,6,FALSE)</f>
        <v>1</v>
      </c>
      <c r="F890" s="22">
        <f t="shared" si="41"/>
        <v>0</v>
      </c>
      <c r="G890" s="88">
        <f>VLOOKUP(A890,'Current week'!$A$3:$F$1765,6,0)</f>
        <v>1</v>
      </c>
      <c r="H890" s="102">
        <f t="shared" si="39"/>
        <v>0</v>
      </c>
      <c r="I890" s="102">
        <f t="shared" si="40"/>
        <v>0</v>
      </c>
      <c r="L890" s="112"/>
    </row>
    <row r="891" spans="1:12" x14ac:dyDescent="0.25">
      <c r="A891" s="54" t="s">
        <v>3352</v>
      </c>
      <c r="B891" s="54" t="s">
        <v>1443</v>
      </c>
      <c r="C891" s="55" t="s">
        <v>1444</v>
      </c>
      <c r="D891" s="70">
        <v>0</v>
      </c>
      <c r="E891" s="94">
        <f>'Previous week'!F892</f>
        <v>1</v>
      </c>
      <c r="F891" s="57">
        <f t="shared" si="41"/>
        <v>0</v>
      </c>
      <c r="G891" s="94">
        <f>'Current week'!F892</f>
        <v>1</v>
      </c>
      <c r="H891" s="107">
        <f t="shared" si="39"/>
        <v>0</v>
      </c>
      <c r="I891" s="107">
        <f t="shared" si="40"/>
        <v>0</v>
      </c>
      <c r="L891" s="112"/>
    </row>
    <row r="892" spans="1:12" x14ac:dyDescent="0.25">
      <c r="A892" s="19" t="s">
        <v>3353</v>
      </c>
      <c r="B892" s="19" t="s">
        <v>1445</v>
      </c>
      <c r="C892" s="20" t="s">
        <v>1446</v>
      </c>
      <c r="D892" s="77">
        <v>0</v>
      </c>
      <c r="E892" s="88">
        <f>VLOOKUP(A892,'Previous week'!$A$3:$F$1765,6,FALSE)</f>
        <v>1</v>
      </c>
      <c r="F892" s="22">
        <f t="shared" si="41"/>
        <v>0</v>
      </c>
      <c r="G892" s="88">
        <f>VLOOKUP(A892,'Current week'!$A$3:$F$1765,6,0)</f>
        <v>1</v>
      </c>
      <c r="H892" s="101">
        <f t="shared" si="39"/>
        <v>0</v>
      </c>
      <c r="I892" s="101">
        <f t="shared" si="40"/>
        <v>0</v>
      </c>
      <c r="L892" s="112"/>
    </row>
    <row r="893" spans="1:12" x14ac:dyDescent="0.25">
      <c r="A893" s="33" t="s">
        <v>3354</v>
      </c>
      <c r="B893" s="33" t="s">
        <v>1447</v>
      </c>
      <c r="C893" s="34" t="s">
        <v>1448</v>
      </c>
      <c r="D893" s="78">
        <v>179076.09</v>
      </c>
      <c r="E893" s="88">
        <f>VLOOKUP(A893,'Previous week'!$A$3:$F$1765,6,FALSE)</f>
        <v>1</v>
      </c>
      <c r="F893" s="22">
        <f t="shared" si="41"/>
        <v>0</v>
      </c>
      <c r="G893" s="88">
        <f>VLOOKUP(A893,'Current week'!$A$3:$F$1765,6,0)</f>
        <v>1</v>
      </c>
      <c r="H893" s="104">
        <f t="shared" si="39"/>
        <v>179076.09</v>
      </c>
      <c r="I893" s="104">
        <f t="shared" si="40"/>
        <v>0</v>
      </c>
      <c r="L893" s="112"/>
    </row>
    <row r="894" spans="1:12" x14ac:dyDescent="0.25">
      <c r="A894" s="23" t="s">
        <v>3355</v>
      </c>
      <c r="B894" s="23" t="s">
        <v>1449</v>
      </c>
      <c r="C894" s="24" t="s">
        <v>1450</v>
      </c>
      <c r="D894" s="71">
        <v>0</v>
      </c>
      <c r="E894" s="88">
        <f>VLOOKUP(A894,'Previous week'!$A$3:$F$1765,6,FALSE)</f>
        <v>1</v>
      </c>
      <c r="F894" s="22">
        <f t="shared" si="41"/>
        <v>0</v>
      </c>
      <c r="G894" s="88">
        <f>VLOOKUP(A894,'Current week'!$A$3:$F$1765,6,0)</f>
        <v>1</v>
      </c>
      <c r="H894" s="102">
        <f t="shared" si="39"/>
        <v>0</v>
      </c>
      <c r="I894" s="102">
        <f t="shared" si="40"/>
        <v>0</v>
      </c>
      <c r="L894" s="112"/>
    </row>
    <row r="895" spans="1:12" x14ac:dyDescent="0.25">
      <c r="A895" s="54" t="s">
        <v>2919</v>
      </c>
      <c r="B895" s="54" t="s">
        <v>1451</v>
      </c>
      <c r="C895" s="55"/>
      <c r="D895" s="70">
        <v>179076.09</v>
      </c>
      <c r="E895" s="94">
        <f>'Previous week'!F896</f>
        <v>1</v>
      </c>
      <c r="F895" s="57">
        <f t="shared" si="41"/>
        <v>0</v>
      </c>
      <c r="G895" s="94">
        <f>'Current week'!F896</f>
        <v>1</v>
      </c>
      <c r="H895" s="107">
        <f t="shared" si="39"/>
        <v>179076.09</v>
      </c>
      <c r="I895" s="107">
        <f t="shared" si="40"/>
        <v>0</v>
      </c>
      <c r="L895" s="112"/>
    </row>
    <row r="896" spans="1:12" x14ac:dyDescent="0.25">
      <c r="A896" s="19" t="s">
        <v>3356</v>
      </c>
      <c r="B896" s="19" t="s">
        <v>1452</v>
      </c>
      <c r="C896" s="20" t="s">
        <v>1453</v>
      </c>
      <c r="D896" s="77">
        <v>0</v>
      </c>
      <c r="E896" s="88">
        <f>VLOOKUP(A896,'Previous week'!$A$3:$F$1765,6,FALSE)</f>
        <v>1</v>
      </c>
      <c r="F896" s="22">
        <f t="shared" si="41"/>
        <v>0</v>
      </c>
      <c r="G896" s="88">
        <f>VLOOKUP(A896,'Current week'!$A$3:$F$1765,6,0)</f>
        <v>1</v>
      </c>
      <c r="H896" s="101">
        <f t="shared" si="39"/>
        <v>0</v>
      </c>
      <c r="I896" s="101">
        <f t="shared" si="40"/>
        <v>0</v>
      </c>
      <c r="L896" s="112"/>
    </row>
    <row r="897" spans="1:12" x14ac:dyDescent="0.25">
      <c r="A897" s="33" t="s">
        <v>3357</v>
      </c>
      <c r="B897" s="33" t="s">
        <v>1454</v>
      </c>
      <c r="C897" s="34" t="s">
        <v>1455</v>
      </c>
      <c r="D897" s="78">
        <v>0</v>
      </c>
      <c r="E897" s="88">
        <f>VLOOKUP(A897,'Previous week'!$A$3:$F$1765,6,FALSE)</f>
        <v>1</v>
      </c>
      <c r="F897" s="22">
        <f t="shared" si="41"/>
        <v>0</v>
      </c>
      <c r="G897" s="88">
        <f>VLOOKUP(A897,'Current week'!$A$3:$F$1765,6,0)</f>
        <v>1</v>
      </c>
      <c r="H897" s="104">
        <f t="shared" ref="H897:H952" si="42">G897*D897</f>
        <v>0</v>
      </c>
      <c r="I897" s="104">
        <f t="shared" ref="I897:I952" si="43">F897*D897</f>
        <v>0</v>
      </c>
      <c r="L897" s="112"/>
    </row>
    <row r="898" spans="1:12" x14ac:dyDescent="0.25">
      <c r="A898" s="33" t="s">
        <v>3358</v>
      </c>
      <c r="B898" s="33" t="s">
        <v>1456</v>
      </c>
      <c r="C898" s="34" t="s">
        <v>1457</v>
      </c>
      <c r="D898" s="78">
        <v>0</v>
      </c>
      <c r="E898" s="88">
        <f>VLOOKUP(A898,'Previous week'!$A$3:$F$1765,6,FALSE)</f>
        <v>1</v>
      </c>
      <c r="F898" s="22">
        <f t="shared" ref="F898:F953" si="44">G898-E898</f>
        <v>0</v>
      </c>
      <c r="G898" s="88">
        <f>VLOOKUP(A898,'Current week'!$A$3:$F$1765,6,0)</f>
        <v>1</v>
      </c>
      <c r="H898" s="104">
        <f t="shared" si="42"/>
        <v>0</v>
      </c>
      <c r="I898" s="104">
        <f t="shared" si="43"/>
        <v>0</v>
      </c>
      <c r="L898" s="112"/>
    </row>
    <row r="899" spans="1:12" x14ac:dyDescent="0.25">
      <c r="A899" s="23" t="s">
        <v>3359</v>
      </c>
      <c r="B899" s="23" t="s">
        <v>1458</v>
      </c>
      <c r="C899" s="24" t="s">
        <v>1459</v>
      </c>
      <c r="D899" s="71">
        <v>0</v>
      </c>
      <c r="E899" s="88">
        <f>VLOOKUP(A899,'Previous week'!$A$3:$F$1765,6,FALSE)</f>
        <v>1</v>
      </c>
      <c r="F899" s="22">
        <f t="shared" si="44"/>
        <v>0</v>
      </c>
      <c r="G899" s="88">
        <f>VLOOKUP(A899,'Current week'!$A$3:$F$1765,6,0)</f>
        <v>1</v>
      </c>
      <c r="H899" s="102">
        <f t="shared" si="42"/>
        <v>0</v>
      </c>
      <c r="I899" s="102">
        <f t="shared" si="43"/>
        <v>0</v>
      </c>
      <c r="L899" s="112"/>
    </row>
    <row r="900" spans="1:12" x14ac:dyDescent="0.25">
      <c r="A900" s="54" t="s">
        <v>3360</v>
      </c>
      <c r="B900" s="54" t="s">
        <v>1460</v>
      </c>
      <c r="C900" s="55" t="s">
        <v>1461</v>
      </c>
      <c r="D900" s="70">
        <v>0</v>
      </c>
      <c r="E900" s="94">
        <f>'Previous week'!F901</f>
        <v>1</v>
      </c>
      <c r="F900" s="57">
        <f t="shared" si="44"/>
        <v>0</v>
      </c>
      <c r="G900" s="94">
        <f>'Current week'!F901</f>
        <v>1</v>
      </c>
      <c r="H900" s="107">
        <f t="shared" si="42"/>
        <v>0</v>
      </c>
      <c r="I900" s="107">
        <f t="shared" si="43"/>
        <v>0</v>
      </c>
      <c r="L900" s="112"/>
    </row>
    <row r="901" spans="1:12" x14ac:dyDescent="0.25">
      <c r="A901" s="19" t="s">
        <v>3361</v>
      </c>
      <c r="B901" s="19" t="s">
        <v>1462</v>
      </c>
      <c r="C901" s="20" t="s">
        <v>1463</v>
      </c>
      <c r="D901" s="77">
        <v>0</v>
      </c>
      <c r="E901" s="88">
        <f>VLOOKUP(A901,'Previous week'!$A$3:$F$1765,6,FALSE)</f>
        <v>1</v>
      </c>
      <c r="F901" s="22">
        <f t="shared" si="44"/>
        <v>0</v>
      </c>
      <c r="G901" s="88">
        <f>VLOOKUP(A901,'Current week'!$A$3:$F$1765,6,0)</f>
        <v>1</v>
      </c>
      <c r="H901" s="101">
        <f t="shared" si="42"/>
        <v>0</v>
      </c>
      <c r="I901" s="101">
        <f t="shared" si="43"/>
        <v>0</v>
      </c>
      <c r="L901" s="112"/>
    </row>
    <row r="902" spans="1:12" x14ac:dyDescent="0.25">
      <c r="A902" s="33" t="s">
        <v>3362</v>
      </c>
      <c r="B902" s="33" t="s">
        <v>1464</v>
      </c>
      <c r="C902" s="34" t="s">
        <v>1465</v>
      </c>
      <c r="D902" s="78">
        <v>0</v>
      </c>
      <c r="E902" s="88">
        <f>VLOOKUP(A902,'Previous week'!$A$3:$F$1765,6,FALSE)</f>
        <v>1</v>
      </c>
      <c r="F902" s="22">
        <f t="shared" si="44"/>
        <v>0</v>
      </c>
      <c r="G902" s="88">
        <f>VLOOKUP(A902,'Current week'!$A$3:$F$1765,6,0)</f>
        <v>1</v>
      </c>
      <c r="H902" s="104">
        <f t="shared" si="42"/>
        <v>0</v>
      </c>
      <c r="I902" s="104">
        <f t="shared" si="43"/>
        <v>0</v>
      </c>
      <c r="L902" s="112"/>
    </row>
    <row r="903" spans="1:12" x14ac:dyDescent="0.25">
      <c r="A903" s="54" t="s">
        <v>3363</v>
      </c>
      <c r="B903" s="54" t="s">
        <v>1466</v>
      </c>
      <c r="C903" s="55" t="s">
        <v>1467</v>
      </c>
      <c r="D903" s="70">
        <v>179076.09</v>
      </c>
      <c r="E903" s="94">
        <f>'Previous week'!F906</f>
        <v>1</v>
      </c>
      <c r="F903" s="57">
        <f t="shared" si="44"/>
        <v>0</v>
      </c>
      <c r="G903" s="94">
        <f>'Current week'!F906</f>
        <v>1</v>
      </c>
      <c r="H903" s="107">
        <f t="shared" si="42"/>
        <v>179076.09</v>
      </c>
      <c r="I903" s="107">
        <f t="shared" si="43"/>
        <v>0</v>
      </c>
      <c r="L903" s="112"/>
    </row>
    <row r="904" spans="1:12" x14ac:dyDescent="0.25">
      <c r="A904" s="19" t="s">
        <v>3364</v>
      </c>
      <c r="B904" s="19" t="s">
        <v>1468</v>
      </c>
      <c r="C904" s="20" t="s">
        <v>1469</v>
      </c>
      <c r="D904" s="77">
        <v>0</v>
      </c>
      <c r="E904" s="88">
        <f>VLOOKUP(A904,'Previous week'!$A$3:$F$1765,6,FALSE)</f>
        <v>1</v>
      </c>
      <c r="F904" s="22">
        <f t="shared" si="44"/>
        <v>0</v>
      </c>
      <c r="G904" s="88">
        <f>VLOOKUP(A904,'Current week'!$A$3:$F$1765,6,0)</f>
        <v>1</v>
      </c>
      <c r="H904" s="101">
        <f t="shared" si="42"/>
        <v>0</v>
      </c>
      <c r="I904" s="101">
        <f t="shared" si="43"/>
        <v>0</v>
      </c>
      <c r="L904" s="112"/>
    </row>
    <row r="905" spans="1:12" x14ac:dyDescent="0.25">
      <c r="A905" s="33" t="s">
        <v>2922</v>
      </c>
      <c r="B905" s="33" t="s">
        <v>1470</v>
      </c>
      <c r="C905" s="34"/>
      <c r="D905" s="78">
        <v>179076.09</v>
      </c>
      <c r="E905" s="88">
        <f>VLOOKUP(A905,'Previous week'!$A$3:$F$1765,6,FALSE)</f>
        <v>0</v>
      </c>
      <c r="F905" s="22">
        <f t="shared" si="44"/>
        <v>0</v>
      </c>
      <c r="G905" s="88">
        <f>VLOOKUP(A905,'Current week'!$A$3:$F$1765,6,0)</f>
        <v>0</v>
      </c>
      <c r="H905" s="104">
        <f t="shared" si="42"/>
        <v>0</v>
      </c>
      <c r="I905" s="104">
        <f t="shared" si="43"/>
        <v>0</v>
      </c>
      <c r="L905" s="112"/>
    </row>
    <row r="906" spans="1:12" x14ac:dyDescent="0.25">
      <c r="A906" s="33" t="s">
        <v>3365</v>
      </c>
      <c r="B906" s="33" t="s">
        <v>1471</v>
      </c>
      <c r="C906" s="34" t="s">
        <v>1472</v>
      </c>
      <c r="D906" s="78">
        <v>0</v>
      </c>
      <c r="E906" s="88">
        <f>VLOOKUP(A906,'Previous week'!$A$3:$F$1765,6,FALSE)</f>
        <v>1</v>
      </c>
      <c r="F906" s="22">
        <f t="shared" si="44"/>
        <v>0</v>
      </c>
      <c r="G906" s="88">
        <f>VLOOKUP(A906,'Current week'!$A$3:$F$1765,6,0)</f>
        <v>1</v>
      </c>
      <c r="H906" s="104">
        <f t="shared" si="42"/>
        <v>0</v>
      </c>
      <c r="I906" s="104">
        <f t="shared" si="43"/>
        <v>0</v>
      </c>
      <c r="L906" s="112"/>
    </row>
    <row r="907" spans="1:12" x14ac:dyDescent="0.25">
      <c r="A907" s="33" t="s">
        <v>3366</v>
      </c>
      <c r="B907" s="33" t="s">
        <v>1473</v>
      </c>
      <c r="C907" s="34" t="s">
        <v>1474</v>
      </c>
      <c r="D907" s="78">
        <v>0</v>
      </c>
      <c r="E907" s="88">
        <f>VLOOKUP(A907,'Previous week'!$A$3:$F$1765,6,FALSE)</f>
        <v>1</v>
      </c>
      <c r="F907" s="22">
        <f t="shared" si="44"/>
        <v>0</v>
      </c>
      <c r="G907" s="88">
        <f>VLOOKUP(A907,'Current week'!$A$3:$F$1765,6,0)</f>
        <v>1</v>
      </c>
      <c r="H907" s="104">
        <f t="shared" si="42"/>
        <v>0</v>
      </c>
      <c r="I907" s="104">
        <f t="shared" si="43"/>
        <v>0</v>
      </c>
      <c r="L907" s="112"/>
    </row>
    <row r="908" spans="1:12" x14ac:dyDescent="0.25">
      <c r="A908" s="33" t="s">
        <v>3367</v>
      </c>
      <c r="B908" s="33" t="s">
        <v>1475</v>
      </c>
      <c r="C908" s="34" t="s">
        <v>1476</v>
      </c>
      <c r="D908" s="78">
        <v>0</v>
      </c>
      <c r="E908" s="88">
        <f>VLOOKUP(A908,'Previous week'!$A$3:$F$1765,6,FALSE)</f>
        <v>1</v>
      </c>
      <c r="F908" s="22">
        <f t="shared" si="44"/>
        <v>0</v>
      </c>
      <c r="G908" s="88">
        <f>VLOOKUP(A908,'Current week'!$A$3:$F$1765,6,0)</f>
        <v>1</v>
      </c>
      <c r="H908" s="104">
        <f t="shared" si="42"/>
        <v>0</v>
      </c>
      <c r="I908" s="104">
        <f t="shared" si="43"/>
        <v>0</v>
      </c>
      <c r="L908" s="112"/>
    </row>
    <row r="909" spans="1:12" x14ac:dyDescent="0.25">
      <c r="A909" s="33" t="s">
        <v>3368</v>
      </c>
      <c r="B909" s="33" t="s">
        <v>1477</v>
      </c>
      <c r="C909" s="34" t="s">
        <v>1478</v>
      </c>
      <c r="D909" s="78">
        <v>0</v>
      </c>
      <c r="E909" s="88">
        <f>VLOOKUP(A909,'Previous week'!$A$3:$F$1765,6,FALSE)</f>
        <v>1</v>
      </c>
      <c r="F909" s="22">
        <f t="shared" si="44"/>
        <v>0</v>
      </c>
      <c r="G909" s="88">
        <f>VLOOKUP(A909,'Current week'!$A$3:$F$1765,6,0)</f>
        <v>1</v>
      </c>
      <c r="H909" s="104">
        <f t="shared" si="42"/>
        <v>0</v>
      </c>
      <c r="I909" s="104">
        <f t="shared" si="43"/>
        <v>0</v>
      </c>
      <c r="L909" s="112"/>
    </row>
    <row r="910" spans="1:12" x14ac:dyDescent="0.25">
      <c r="A910" s="23" t="s">
        <v>3369</v>
      </c>
      <c r="B910" s="23" t="s">
        <v>1479</v>
      </c>
      <c r="C910" s="24" t="s">
        <v>1480</v>
      </c>
      <c r="D910" s="71">
        <v>0</v>
      </c>
      <c r="E910" s="88">
        <f>VLOOKUP(A910,'Previous week'!$A$3:$F$1765,6,FALSE)</f>
        <v>1</v>
      </c>
      <c r="F910" s="22">
        <f t="shared" si="44"/>
        <v>0</v>
      </c>
      <c r="G910" s="88">
        <f>VLOOKUP(A910,'Current week'!$A$3:$F$1765,6,0)</f>
        <v>1</v>
      </c>
      <c r="H910" s="102">
        <f t="shared" si="42"/>
        <v>0</v>
      </c>
      <c r="I910" s="102">
        <f t="shared" si="43"/>
        <v>0</v>
      </c>
      <c r="L910" s="112"/>
    </row>
    <row r="911" spans="1:12" x14ac:dyDescent="0.25">
      <c r="A911" s="54" t="s">
        <v>3370</v>
      </c>
      <c r="B911" s="54" t="s">
        <v>1481</v>
      </c>
      <c r="C911" s="55" t="s">
        <v>1482</v>
      </c>
      <c r="D911" s="70">
        <v>0</v>
      </c>
      <c r="E911" s="94">
        <f>'Previous week'!F914</f>
        <v>1</v>
      </c>
      <c r="F911" s="57">
        <f t="shared" si="44"/>
        <v>0</v>
      </c>
      <c r="G911" s="94">
        <f>'Current week'!F914</f>
        <v>1</v>
      </c>
      <c r="H911" s="107">
        <f t="shared" si="42"/>
        <v>0</v>
      </c>
      <c r="I911" s="107">
        <f t="shared" si="43"/>
        <v>0</v>
      </c>
      <c r="L911" s="112"/>
    </row>
    <row r="912" spans="1:12" x14ac:dyDescent="0.25">
      <c r="A912" s="19" t="s">
        <v>3371</v>
      </c>
      <c r="B912" s="19" t="s">
        <v>1483</v>
      </c>
      <c r="C912" s="20" t="s">
        <v>1484</v>
      </c>
      <c r="D912" s="77">
        <v>0</v>
      </c>
      <c r="E912" s="88">
        <f>VLOOKUP(A912,'Previous week'!$A$3:$F$1765,6,FALSE)</f>
        <v>1</v>
      </c>
      <c r="F912" s="22">
        <f t="shared" si="44"/>
        <v>0</v>
      </c>
      <c r="G912" s="88">
        <f>VLOOKUP(A912,'Current week'!$A$3:$F$1765,6,0)</f>
        <v>1</v>
      </c>
      <c r="H912" s="101">
        <f t="shared" si="42"/>
        <v>0</v>
      </c>
      <c r="I912" s="101">
        <f t="shared" si="43"/>
        <v>0</v>
      </c>
      <c r="L912" s="112"/>
    </row>
    <row r="913" spans="1:12" x14ac:dyDescent="0.25">
      <c r="A913" s="23" t="s">
        <v>3372</v>
      </c>
      <c r="B913" s="23" t="s">
        <v>1485</v>
      </c>
      <c r="C913" s="24" t="s">
        <v>1486</v>
      </c>
      <c r="D913" s="71">
        <v>179076.09</v>
      </c>
      <c r="E913" s="88">
        <f>VLOOKUP(A913,'Previous week'!$A$3:$F$1765,6,FALSE)</f>
        <v>1</v>
      </c>
      <c r="F913" s="22">
        <f t="shared" si="44"/>
        <v>0</v>
      </c>
      <c r="G913" s="88">
        <f>VLOOKUP(A913,'Current week'!$A$3:$F$1765,6,0)</f>
        <v>1</v>
      </c>
      <c r="H913" s="102">
        <f t="shared" si="42"/>
        <v>179076.09</v>
      </c>
      <c r="I913" s="102">
        <f t="shared" si="43"/>
        <v>0</v>
      </c>
      <c r="L913" s="112"/>
    </row>
    <row r="914" spans="1:12" x14ac:dyDescent="0.25">
      <c r="A914" s="41" t="s">
        <v>3373</v>
      </c>
      <c r="B914" s="41" t="s">
        <v>1487</v>
      </c>
      <c r="C914" s="42" t="s">
        <v>1488</v>
      </c>
      <c r="D914" s="66">
        <v>0</v>
      </c>
      <c r="E914" s="91"/>
      <c r="F914" s="67">
        <f t="shared" si="44"/>
        <v>0</v>
      </c>
      <c r="G914" s="91"/>
      <c r="H914" s="103"/>
      <c r="I914" s="103"/>
      <c r="L914" s="112"/>
    </row>
    <row r="915" spans="1:12" x14ac:dyDescent="0.25">
      <c r="A915" s="45" t="s">
        <v>2925</v>
      </c>
      <c r="B915" s="45" t="s">
        <v>1489</v>
      </c>
      <c r="C915" s="46"/>
      <c r="D915" s="75">
        <v>179076.09</v>
      </c>
      <c r="E915" s="92"/>
      <c r="F915" s="48">
        <f t="shared" si="44"/>
        <v>0</v>
      </c>
      <c r="G915" s="92"/>
      <c r="H915" s="106"/>
      <c r="I915" s="106"/>
      <c r="L915" s="112"/>
    </row>
    <row r="916" spans="1:12" x14ac:dyDescent="0.25">
      <c r="A916" s="33" t="s">
        <v>3374</v>
      </c>
      <c r="B916" s="33" t="s">
        <v>1490</v>
      </c>
      <c r="C916" s="34" t="s">
        <v>1491</v>
      </c>
      <c r="D916" s="78">
        <v>0</v>
      </c>
      <c r="E916" s="88">
        <f>VLOOKUP(A916,'Previous week'!$A$3:$F$1765,6,FALSE)</f>
        <v>1</v>
      </c>
      <c r="F916" s="22">
        <f t="shared" si="44"/>
        <v>0</v>
      </c>
      <c r="G916" s="88">
        <f>VLOOKUP(A916,'Current week'!$A$3:$F$1765,6,0)</f>
        <v>1</v>
      </c>
      <c r="H916" s="104">
        <f t="shared" si="42"/>
        <v>0</v>
      </c>
      <c r="I916" s="104">
        <f t="shared" si="43"/>
        <v>0</v>
      </c>
      <c r="L916" s="112"/>
    </row>
    <row r="917" spans="1:12" x14ac:dyDescent="0.25">
      <c r="A917" s="33" t="s">
        <v>3375</v>
      </c>
      <c r="B917" s="33" t="s">
        <v>1492</v>
      </c>
      <c r="C917" s="34" t="s">
        <v>1493</v>
      </c>
      <c r="D917" s="78">
        <v>0</v>
      </c>
      <c r="E917" s="88">
        <f>VLOOKUP(A917,'Previous week'!$A$3:$F$1765,6,FALSE)</f>
        <v>1</v>
      </c>
      <c r="F917" s="22">
        <f t="shared" si="44"/>
        <v>0</v>
      </c>
      <c r="G917" s="88">
        <f>VLOOKUP(A917,'Current week'!$A$3:$F$1765,6,0)</f>
        <v>1</v>
      </c>
      <c r="H917" s="104">
        <f t="shared" si="42"/>
        <v>0</v>
      </c>
      <c r="I917" s="104">
        <f t="shared" si="43"/>
        <v>0</v>
      </c>
      <c r="L917" s="112"/>
    </row>
    <row r="918" spans="1:12" x14ac:dyDescent="0.25">
      <c r="A918" s="33" t="s">
        <v>3376</v>
      </c>
      <c r="B918" s="33" t="s">
        <v>1494</v>
      </c>
      <c r="C918" s="34" t="s">
        <v>1495</v>
      </c>
      <c r="D918" s="78">
        <v>0</v>
      </c>
      <c r="E918" s="88">
        <f>VLOOKUP(A918,'Previous week'!$A$3:$F$1765,6,FALSE)</f>
        <v>1</v>
      </c>
      <c r="F918" s="22">
        <f t="shared" si="44"/>
        <v>0</v>
      </c>
      <c r="G918" s="88">
        <f>VLOOKUP(A918,'Current week'!$A$3:$F$1765,6,0)</f>
        <v>1</v>
      </c>
      <c r="H918" s="104">
        <f t="shared" si="42"/>
        <v>0</v>
      </c>
      <c r="I918" s="104">
        <f t="shared" si="43"/>
        <v>0</v>
      </c>
      <c r="L918" s="112"/>
    </row>
    <row r="919" spans="1:12" x14ac:dyDescent="0.25">
      <c r="A919" s="33" t="s">
        <v>3377</v>
      </c>
      <c r="B919" s="33" t="s">
        <v>1496</v>
      </c>
      <c r="C919" s="34" t="s">
        <v>1497</v>
      </c>
      <c r="D919" s="78">
        <v>0</v>
      </c>
      <c r="E919" s="88">
        <f>VLOOKUP(A919,'Previous week'!$A$3:$F$1765,6,FALSE)</f>
        <v>1</v>
      </c>
      <c r="F919" s="22">
        <f t="shared" si="44"/>
        <v>0</v>
      </c>
      <c r="G919" s="88">
        <f>VLOOKUP(A919,'Current week'!$A$3:$F$1765,6,0)</f>
        <v>1</v>
      </c>
      <c r="H919" s="104">
        <f t="shared" si="42"/>
        <v>0</v>
      </c>
      <c r="I919" s="104">
        <f t="shared" si="43"/>
        <v>0</v>
      </c>
      <c r="L919" s="112"/>
    </row>
    <row r="920" spans="1:12" x14ac:dyDescent="0.25">
      <c r="A920" s="33" t="s">
        <v>3378</v>
      </c>
      <c r="B920" s="33" t="s">
        <v>1498</v>
      </c>
      <c r="C920" s="34" t="s">
        <v>1499</v>
      </c>
      <c r="D920" s="78">
        <v>0</v>
      </c>
      <c r="E920" s="88">
        <f>VLOOKUP(A920,'Previous week'!$A$3:$F$1765,6,FALSE)</f>
        <v>1</v>
      </c>
      <c r="F920" s="22">
        <f t="shared" si="44"/>
        <v>0</v>
      </c>
      <c r="G920" s="88">
        <f>VLOOKUP(A920,'Current week'!$A$3:$F$1765,6,0)</f>
        <v>1</v>
      </c>
      <c r="H920" s="104">
        <f t="shared" si="42"/>
        <v>0</v>
      </c>
      <c r="I920" s="104">
        <f t="shared" si="43"/>
        <v>0</v>
      </c>
      <c r="L920" s="112"/>
    </row>
    <row r="921" spans="1:12" x14ac:dyDescent="0.25">
      <c r="A921" s="33" t="s">
        <v>3379</v>
      </c>
      <c r="B921" s="33" t="s">
        <v>1500</v>
      </c>
      <c r="C921" s="34" t="s">
        <v>1501</v>
      </c>
      <c r="D921" s="78">
        <v>179076.09</v>
      </c>
      <c r="E921" s="88">
        <f>VLOOKUP(A921,'Previous week'!$A$3:$F$1765,6,FALSE)</f>
        <v>1</v>
      </c>
      <c r="F921" s="22">
        <f t="shared" si="44"/>
        <v>0</v>
      </c>
      <c r="G921" s="88">
        <f>VLOOKUP(A921,'Current week'!$A$3:$F$1765,6,0)</f>
        <v>1</v>
      </c>
      <c r="H921" s="104">
        <f t="shared" si="42"/>
        <v>179076.09</v>
      </c>
      <c r="I921" s="104">
        <f t="shared" si="43"/>
        <v>0</v>
      </c>
      <c r="L921" s="112"/>
    </row>
    <row r="922" spans="1:12" x14ac:dyDescent="0.25">
      <c r="A922" s="33" t="s">
        <v>3380</v>
      </c>
      <c r="B922" s="33" t="s">
        <v>1502</v>
      </c>
      <c r="C922" s="34" t="s">
        <v>1503</v>
      </c>
      <c r="D922" s="78">
        <v>0</v>
      </c>
      <c r="E922" s="88">
        <f>VLOOKUP(A922,'Previous week'!$A$3:$F$1765,6,FALSE)</f>
        <v>1</v>
      </c>
      <c r="F922" s="22">
        <f t="shared" si="44"/>
        <v>0</v>
      </c>
      <c r="G922" s="88">
        <f>VLOOKUP(A922,'Current week'!$A$3:$F$1765,6,0)</f>
        <v>1</v>
      </c>
      <c r="H922" s="104">
        <f t="shared" si="42"/>
        <v>0</v>
      </c>
      <c r="I922" s="104">
        <f t="shared" si="43"/>
        <v>0</v>
      </c>
      <c r="L922" s="112"/>
    </row>
    <row r="923" spans="1:12" x14ac:dyDescent="0.25">
      <c r="A923" s="23" t="s">
        <v>2928</v>
      </c>
      <c r="B923" s="23" t="s">
        <v>1504</v>
      </c>
      <c r="C923" s="24"/>
      <c r="D923" s="71">
        <v>179076.09</v>
      </c>
      <c r="E923" s="88">
        <f>VLOOKUP(A923,'Previous week'!$A$3:$F$1765,6,FALSE)</f>
        <v>0</v>
      </c>
      <c r="F923" s="22">
        <f t="shared" si="44"/>
        <v>0</v>
      </c>
      <c r="G923" s="88">
        <f>VLOOKUP(A923,'Current week'!$A$3:$F$1765,6,0)</f>
        <v>0</v>
      </c>
      <c r="H923" s="102">
        <f t="shared" si="42"/>
        <v>0</v>
      </c>
      <c r="I923" s="102">
        <f t="shared" si="43"/>
        <v>0</v>
      </c>
      <c r="L923" s="112"/>
    </row>
    <row r="924" spans="1:12" x14ac:dyDescent="0.25">
      <c r="A924" s="45" t="s">
        <v>3381</v>
      </c>
      <c r="B924" s="45" t="s">
        <v>1505</v>
      </c>
      <c r="C924" s="46" t="s">
        <v>1506</v>
      </c>
      <c r="D924" s="75">
        <v>0</v>
      </c>
      <c r="E924" s="92"/>
      <c r="F924" s="48">
        <f t="shared" si="44"/>
        <v>0</v>
      </c>
      <c r="G924" s="92"/>
      <c r="H924" s="106"/>
      <c r="I924" s="106"/>
      <c r="L924" s="112"/>
    </row>
    <row r="925" spans="1:12" x14ac:dyDescent="0.25">
      <c r="A925" s="19" t="s">
        <v>3382</v>
      </c>
      <c r="B925" s="19" t="s">
        <v>1507</v>
      </c>
      <c r="C925" s="20" t="s">
        <v>1508</v>
      </c>
      <c r="D925" s="77">
        <v>0</v>
      </c>
      <c r="E925" s="88">
        <f>VLOOKUP(A925,'Previous week'!$A$3:$F$1765,6,FALSE)</f>
        <v>1</v>
      </c>
      <c r="F925" s="22">
        <f t="shared" si="44"/>
        <v>0</v>
      </c>
      <c r="G925" s="88">
        <f>VLOOKUP(A925,'Current week'!$A$3:$F$1765,6,0)</f>
        <v>1</v>
      </c>
      <c r="H925" s="101">
        <f>G925*D925</f>
        <v>0</v>
      </c>
      <c r="I925" s="101">
        <f t="shared" si="43"/>
        <v>0</v>
      </c>
      <c r="L925" s="112"/>
    </row>
    <row r="926" spans="1:12" x14ac:dyDescent="0.25">
      <c r="A926" s="33" t="s">
        <v>3383</v>
      </c>
      <c r="B926" s="33" t="s">
        <v>1509</v>
      </c>
      <c r="C926" s="34" t="s">
        <v>1510</v>
      </c>
      <c r="D926" s="78">
        <v>0</v>
      </c>
      <c r="E926" s="88">
        <f>VLOOKUP(A926,'Previous week'!$A$3:$F$1765,6,FALSE)</f>
        <v>1</v>
      </c>
      <c r="F926" s="22">
        <f t="shared" si="44"/>
        <v>0</v>
      </c>
      <c r="G926" s="88">
        <f>VLOOKUP(A926,'Current week'!$A$3:$F$1765,6,0)</f>
        <v>1</v>
      </c>
      <c r="H926" s="104">
        <f t="shared" si="42"/>
        <v>0</v>
      </c>
      <c r="I926" s="104">
        <f t="shared" si="43"/>
        <v>0</v>
      </c>
      <c r="L926" s="112"/>
    </row>
    <row r="927" spans="1:12" x14ac:dyDescent="0.25">
      <c r="A927" s="23" t="s">
        <v>3384</v>
      </c>
      <c r="B927" s="23" t="s">
        <v>1511</v>
      </c>
      <c r="C927" s="24" t="s">
        <v>1512</v>
      </c>
      <c r="D927" s="71">
        <v>0</v>
      </c>
      <c r="E927" s="88">
        <f>VLOOKUP(A927,'Previous week'!$A$3:$F$1765,6,FALSE)</f>
        <v>1</v>
      </c>
      <c r="F927" s="22">
        <f t="shared" si="44"/>
        <v>0</v>
      </c>
      <c r="G927" s="88">
        <f>VLOOKUP(A927,'Current week'!$A$3:$F$1765,6,0)</f>
        <v>1</v>
      </c>
      <c r="H927" s="102">
        <f t="shared" si="42"/>
        <v>0</v>
      </c>
      <c r="I927" s="102">
        <f t="shared" si="43"/>
        <v>0</v>
      </c>
      <c r="L927" s="112"/>
    </row>
    <row r="928" spans="1:12" x14ac:dyDescent="0.25">
      <c r="A928" s="45" t="s">
        <v>3385</v>
      </c>
      <c r="B928" s="45" t="s">
        <v>1513</v>
      </c>
      <c r="C928" s="46" t="s">
        <v>1514</v>
      </c>
      <c r="D928" s="75">
        <v>0</v>
      </c>
      <c r="E928" s="92"/>
      <c r="F928" s="48">
        <f t="shared" si="44"/>
        <v>0</v>
      </c>
      <c r="G928" s="92"/>
      <c r="H928" s="106"/>
      <c r="I928" s="106"/>
      <c r="L928" s="112"/>
    </row>
    <row r="929" spans="1:12" x14ac:dyDescent="0.25">
      <c r="A929" s="19" t="s">
        <v>3386</v>
      </c>
      <c r="B929" s="19" t="s">
        <v>1515</v>
      </c>
      <c r="C929" s="20" t="s">
        <v>1516</v>
      </c>
      <c r="D929" s="77">
        <v>0</v>
      </c>
      <c r="E929" s="88">
        <f>VLOOKUP(A929,'Previous week'!$A$3:$F$1765,6,FALSE)</f>
        <v>1</v>
      </c>
      <c r="F929" s="22">
        <f t="shared" si="44"/>
        <v>0</v>
      </c>
      <c r="G929" s="88">
        <f>VLOOKUP(A929,'Current week'!$A$3:$F$1765,6,0)</f>
        <v>1</v>
      </c>
      <c r="H929" s="101">
        <f t="shared" si="42"/>
        <v>0</v>
      </c>
      <c r="I929" s="101">
        <f t="shared" si="43"/>
        <v>0</v>
      </c>
      <c r="L929" s="112"/>
    </row>
    <row r="930" spans="1:12" x14ac:dyDescent="0.25">
      <c r="A930" s="33" t="s">
        <v>3387</v>
      </c>
      <c r="B930" s="33" t="s">
        <v>1517</v>
      </c>
      <c r="C930" s="34" t="s">
        <v>1518</v>
      </c>
      <c r="D930" s="78">
        <v>0</v>
      </c>
      <c r="E930" s="88">
        <f>VLOOKUP(A930,'Previous week'!$A$3:$F$1765,6,FALSE)</f>
        <v>1</v>
      </c>
      <c r="F930" s="22">
        <f t="shared" si="44"/>
        <v>0</v>
      </c>
      <c r="G930" s="88">
        <f>VLOOKUP(A930,'Current week'!$A$3:$F$1765,6,0)</f>
        <v>1</v>
      </c>
      <c r="H930" s="104">
        <f t="shared" si="42"/>
        <v>0</v>
      </c>
      <c r="I930" s="104">
        <f t="shared" si="43"/>
        <v>0</v>
      </c>
      <c r="L930" s="112"/>
    </row>
    <row r="931" spans="1:12" x14ac:dyDescent="0.25">
      <c r="A931" s="23" t="s">
        <v>3388</v>
      </c>
      <c r="B931" s="23" t="s">
        <v>1519</v>
      </c>
      <c r="C931" s="24" t="s">
        <v>1520</v>
      </c>
      <c r="D931" s="71">
        <v>179076.09</v>
      </c>
      <c r="E931" s="88">
        <f>VLOOKUP(A931,'Previous week'!$A$3:$F$1765,6,FALSE)</f>
        <v>1</v>
      </c>
      <c r="F931" s="22">
        <f t="shared" si="44"/>
        <v>0</v>
      </c>
      <c r="G931" s="88">
        <f>VLOOKUP(A931,'Current week'!$A$3:$F$1765,6,0)</f>
        <v>1</v>
      </c>
      <c r="H931" s="102">
        <f t="shared" si="42"/>
        <v>179076.09</v>
      </c>
      <c r="I931" s="102">
        <f t="shared" si="43"/>
        <v>0</v>
      </c>
      <c r="L931" s="112"/>
    </row>
    <row r="932" spans="1:12" x14ac:dyDescent="0.25">
      <c r="A932" s="45" t="s">
        <v>3389</v>
      </c>
      <c r="B932" s="45" t="s">
        <v>1521</v>
      </c>
      <c r="C932" s="46" t="s">
        <v>1522</v>
      </c>
      <c r="D932" s="75">
        <v>0</v>
      </c>
      <c r="E932" s="92"/>
      <c r="F932" s="48">
        <f t="shared" si="44"/>
        <v>0</v>
      </c>
      <c r="G932" s="92"/>
      <c r="H932" s="106"/>
      <c r="I932" s="106"/>
      <c r="L932" s="112"/>
    </row>
    <row r="933" spans="1:12" x14ac:dyDescent="0.25">
      <c r="A933" s="19" t="s">
        <v>2934</v>
      </c>
      <c r="B933" s="19" t="s">
        <v>1523</v>
      </c>
      <c r="C933" s="20"/>
      <c r="D933" s="77">
        <v>179076.09</v>
      </c>
      <c r="E933" s="88">
        <f>VLOOKUP(A933,'Previous week'!$A$3:$F$1765,6,FALSE)</f>
        <v>0</v>
      </c>
      <c r="F933" s="22">
        <f t="shared" si="44"/>
        <v>0</v>
      </c>
      <c r="G933" s="88">
        <f>VLOOKUP(A933,'Current week'!$A$3:$F$1765,6,0)</f>
        <v>0</v>
      </c>
      <c r="H933" s="101">
        <f t="shared" si="42"/>
        <v>0</v>
      </c>
      <c r="I933" s="101">
        <f t="shared" si="43"/>
        <v>0</v>
      </c>
      <c r="L933" s="112"/>
    </row>
    <row r="934" spans="1:12" x14ac:dyDescent="0.25">
      <c r="A934" s="33" t="s">
        <v>3390</v>
      </c>
      <c r="B934" s="33" t="s">
        <v>1524</v>
      </c>
      <c r="C934" s="34" t="s">
        <v>1525</v>
      </c>
      <c r="D934" s="78">
        <v>0</v>
      </c>
      <c r="E934" s="88">
        <f>VLOOKUP(A934,'Previous week'!$A$3:$F$1765,6,FALSE)</f>
        <v>1</v>
      </c>
      <c r="F934" s="22">
        <f t="shared" si="44"/>
        <v>0</v>
      </c>
      <c r="G934" s="88">
        <f>VLOOKUP(A934,'Current week'!$A$3:$F$1765,6,0)</f>
        <v>1</v>
      </c>
      <c r="H934" s="104">
        <f t="shared" si="42"/>
        <v>0</v>
      </c>
      <c r="I934" s="104">
        <f t="shared" si="43"/>
        <v>0</v>
      </c>
      <c r="L934" s="112"/>
    </row>
    <row r="935" spans="1:12" x14ac:dyDescent="0.25">
      <c r="A935" s="33" t="s">
        <v>3391</v>
      </c>
      <c r="B935" s="33" t="s">
        <v>1526</v>
      </c>
      <c r="C935" s="34" t="s">
        <v>1527</v>
      </c>
      <c r="D935" s="78">
        <v>0</v>
      </c>
      <c r="E935" s="88">
        <f>VLOOKUP(A935,'Previous week'!$A$3:$F$1765,6,FALSE)</f>
        <v>1</v>
      </c>
      <c r="F935" s="22">
        <f t="shared" si="44"/>
        <v>0</v>
      </c>
      <c r="G935" s="88">
        <f>VLOOKUP(A935,'Current week'!$A$3:$F$1765,6,0)</f>
        <v>1</v>
      </c>
      <c r="H935" s="104">
        <f t="shared" si="42"/>
        <v>0</v>
      </c>
      <c r="I935" s="104">
        <f t="shared" si="43"/>
        <v>0</v>
      </c>
      <c r="L935" s="112"/>
    </row>
    <row r="936" spans="1:12" x14ac:dyDescent="0.25">
      <c r="A936" s="23" t="s">
        <v>3392</v>
      </c>
      <c r="B936" s="23" t="s">
        <v>1528</v>
      </c>
      <c r="C936" s="24" t="s">
        <v>1529</v>
      </c>
      <c r="D936" s="71">
        <v>0</v>
      </c>
      <c r="E936" s="88">
        <f>VLOOKUP(A936,'Previous week'!$A$3:$F$1765,6,FALSE)</f>
        <v>1</v>
      </c>
      <c r="F936" s="22">
        <f t="shared" si="44"/>
        <v>0</v>
      </c>
      <c r="G936" s="88">
        <f>VLOOKUP(A936,'Current week'!$A$3:$F$1765,6,0)</f>
        <v>1</v>
      </c>
      <c r="H936" s="102">
        <f t="shared" si="42"/>
        <v>0</v>
      </c>
      <c r="I936" s="102">
        <f t="shared" si="43"/>
        <v>0</v>
      </c>
      <c r="L936" s="112"/>
    </row>
    <row r="937" spans="1:12" x14ac:dyDescent="0.25">
      <c r="A937" s="41" t="s">
        <v>3393</v>
      </c>
      <c r="B937" s="41" t="s">
        <v>1530</v>
      </c>
      <c r="C937" s="42" t="s">
        <v>1531</v>
      </c>
      <c r="D937" s="66">
        <v>0</v>
      </c>
      <c r="E937" s="91"/>
      <c r="F937" s="67">
        <f t="shared" si="44"/>
        <v>0</v>
      </c>
      <c r="G937" s="91"/>
      <c r="H937" s="103"/>
      <c r="I937" s="103"/>
      <c r="L937" s="112"/>
    </row>
    <row r="938" spans="1:12" x14ac:dyDescent="0.25">
      <c r="A938" s="45" t="s">
        <v>3394</v>
      </c>
      <c r="B938" s="45" t="s">
        <v>1532</v>
      </c>
      <c r="C938" s="46" t="s">
        <v>1533</v>
      </c>
      <c r="D938" s="75">
        <v>0</v>
      </c>
      <c r="E938" s="92"/>
      <c r="F938" s="48">
        <f t="shared" si="44"/>
        <v>0</v>
      </c>
      <c r="G938" s="92"/>
      <c r="H938" s="106"/>
      <c r="I938" s="106"/>
      <c r="L938" s="112"/>
    </row>
    <row r="939" spans="1:12" x14ac:dyDescent="0.25">
      <c r="A939" s="19" t="s">
        <v>3395</v>
      </c>
      <c r="B939" s="19" t="s">
        <v>1534</v>
      </c>
      <c r="C939" s="20" t="s">
        <v>1535</v>
      </c>
      <c r="D939" s="77">
        <v>0</v>
      </c>
      <c r="E939" s="88">
        <f>VLOOKUP(A939,'Previous week'!$A$3:$F$1765,6,FALSE)</f>
        <v>1</v>
      </c>
      <c r="F939" s="22">
        <f t="shared" si="44"/>
        <v>0</v>
      </c>
      <c r="G939" s="88">
        <f>VLOOKUP(A939,'Current week'!$A$3:$F$1765,6,0)</f>
        <v>1</v>
      </c>
      <c r="H939" s="101">
        <f t="shared" si="42"/>
        <v>0</v>
      </c>
      <c r="I939" s="101">
        <f t="shared" si="43"/>
        <v>0</v>
      </c>
      <c r="L939" s="112"/>
    </row>
    <row r="940" spans="1:12" x14ac:dyDescent="0.25">
      <c r="A940" s="33" t="s">
        <v>3396</v>
      </c>
      <c r="B940" s="33" t="s">
        <v>1536</v>
      </c>
      <c r="C940" s="34" t="s">
        <v>1537</v>
      </c>
      <c r="D940" s="78">
        <v>0</v>
      </c>
      <c r="E940" s="88">
        <f>VLOOKUP(A940,'Previous week'!$A$3:$F$1765,6,FALSE)</f>
        <v>1</v>
      </c>
      <c r="F940" s="22">
        <f t="shared" si="44"/>
        <v>0</v>
      </c>
      <c r="G940" s="88">
        <f>VLOOKUP(A940,'Current week'!$A$3:$F$1765,6,0)</f>
        <v>1</v>
      </c>
      <c r="H940" s="104">
        <f t="shared" si="42"/>
        <v>0</v>
      </c>
      <c r="I940" s="104">
        <f t="shared" si="43"/>
        <v>0</v>
      </c>
      <c r="L940" s="112"/>
    </row>
    <row r="941" spans="1:12" x14ac:dyDescent="0.25">
      <c r="A941" s="33" t="s">
        <v>3397</v>
      </c>
      <c r="B941" s="33" t="s">
        <v>1538</v>
      </c>
      <c r="C941" s="34" t="s">
        <v>1539</v>
      </c>
      <c r="D941" s="78">
        <v>179076.09</v>
      </c>
      <c r="E941" s="88">
        <f>VLOOKUP(A941,'Previous week'!$A$3:$F$1765,6,FALSE)</f>
        <v>1</v>
      </c>
      <c r="F941" s="22">
        <f t="shared" si="44"/>
        <v>0</v>
      </c>
      <c r="G941" s="88">
        <f>VLOOKUP(A941,'Current week'!$A$3:$F$1765,6,0)</f>
        <v>1</v>
      </c>
      <c r="H941" s="104">
        <f t="shared" si="42"/>
        <v>179076.09</v>
      </c>
      <c r="I941" s="104">
        <f t="shared" si="43"/>
        <v>0</v>
      </c>
      <c r="L941" s="112"/>
    </row>
    <row r="942" spans="1:12" x14ac:dyDescent="0.25">
      <c r="A942" s="23" t="s">
        <v>3398</v>
      </c>
      <c r="B942" s="23" t="s">
        <v>1540</v>
      </c>
      <c r="C942" s="24" t="s">
        <v>1541</v>
      </c>
      <c r="D942" s="71">
        <v>0</v>
      </c>
      <c r="E942" s="88">
        <f>VLOOKUP(A942,'Previous week'!$A$3:$F$1765,6,FALSE)</f>
        <v>1</v>
      </c>
      <c r="F942" s="22">
        <f t="shared" si="44"/>
        <v>0</v>
      </c>
      <c r="G942" s="88">
        <f>VLOOKUP(A942,'Current week'!$A$3:$F$1765,6,0)</f>
        <v>1</v>
      </c>
      <c r="H942" s="102">
        <f t="shared" si="42"/>
        <v>0</v>
      </c>
      <c r="I942" s="102">
        <f t="shared" si="43"/>
        <v>0</v>
      </c>
      <c r="L942" s="112"/>
    </row>
    <row r="943" spans="1:12" x14ac:dyDescent="0.25">
      <c r="A943" s="45" t="s">
        <v>2937</v>
      </c>
      <c r="B943" s="45" t="s">
        <v>1542</v>
      </c>
      <c r="C943" s="46"/>
      <c r="D943" s="75">
        <v>179076.09</v>
      </c>
      <c r="E943" s="92"/>
      <c r="F943" s="48">
        <f t="shared" si="44"/>
        <v>0</v>
      </c>
      <c r="G943" s="92"/>
      <c r="H943" s="106"/>
      <c r="I943" s="106"/>
      <c r="L943" s="112"/>
    </row>
    <row r="944" spans="1:12" x14ac:dyDescent="0.25">
      <c r="A944" s="19" t="s">
        <v>3399</v>
      </c>
      <c r="B944" s="19" t="s">
        <v>1543</v>
      </c>
      <c r="C944" s="20" t="s">
        <v>1544</v>
      </c>
      <c r="D944" s="77">
        <v>0</v>
      </c>
      <c r="E944" s="88">
        <f>VLOOKUP(A944,'Previous week'!$A$3:$F$1765,6,FALSE)</f>
        <v>1</v>
      </c>
      <c r="F944" s="22">
        <f t="shared" si="44"/>
        <v>0</v>
      </c>
      <c r="G944" s="88">
        <f>VLOOKUP(A944,'Current week'!$A$3:$F$1765,6,0)</f>
        <v>1</v>
      </c>
      <c r="H944" s="101">
        <f t="shared" si="42"/>
        <v>0</v>
      </c>
      <c r="I944" s="101">
        <f t="shared" si="43"/>
        <v>0</v>
      </c>
      <c r="L944" s="112"/>
    </row>
    <row r="945" spans="1:12" x14ac:dyDescent="0.25">
      <c r="A945" s="33" t="s">
        <v>3400</v>
      </c>
      <c r="B945" s="33" t="s">
        <v>1545</v>
      </c>
      <c r="C945" s="34" t="s">
        <v>1546</v>
      </c>
      <c r="D945" s="78">
        <v>0</v>
      </c>
      <c r="E945" s="88">
        <f>VLOOKUP(A945,'Previous week'!$A$3:$F$1765,6,FALSE)</f>
        <v>1</v>
      </c>
      <c r="F945" s="22">
        <f t="shared" si="44"/>
        <v>0</v>
      </c>
      <c r="G945" s="88">
        <f>VLOOKUP(A945,'Current week'!$A$3:$F$1765,6,0)</f>
        <v>1</v>
      </c>
      <c r="H945" s="104">
        <f t="shared" si="42"/>
        <v>0</v>
      </c>
      <c r="I945" s="104">
        <f t="shared" si="43"/>
        <v>0</v>
      </c>
      <c r="L945" s="112"/>
    </row>
    <row r="946" spans="1:12" x14ac:dyDescent="0.25">
      <c r="A946" s="33" t="s">
        <v>3401</v>
      </c>
      <c r="B946" s="33" t="s">
        <v>1547</v>
      </c>
      <c r="C946" s="34" t="s">
        <v>1548</v>
      </c>
      <c r="D946" s="78">
        <v>0</v>
      </c>
      <c r="E946" s="88">
        <f>VLOOKUP(A946,'Previous week'!$A$3:$F$1765,6,FALSE)</f>
        <v>1</v>
      </c>
      <c r="F946" s="22">
        <f t="shared" si="44"/>
        <v>0</v>
      </c>
      <c r="G946" s="88">
        <f>VLOOKUP(A946,'Current week'!$A$3:$F$1765,6,0)</f>
        <v>1</v>
      </c>
      <c r="H946" s="104">
        <f t="shared" si="42"/>
        <v>0</v>
      </c>
      <c r="I946" s="104">
        <f t="shared" si="43"/>
        <v>0</v>
      </c>
      <c r="L946" s="112"/>
    </row>
    <row r="947" spans="1:12" x14ac:dyDescent="0.25">
      <c r="A947" s="33" t="s">
        <v>3402</v>
      </c>
      <c r="B947" s="33" t="s">
        <v>1549</v>
      </c>
      <c r="C947" s="34" t="s">
        <v>1550</v>
      </c>
      <c r="D947" s="78">
        <v>0</v>
      </c>
      <c r="E947" s="88">
        <f>VLOOKUP(A947,'Previous week'!$A$3:$F$1765,6,FALSE)</f>
        <v>1</v>
      </c>
      <c r="F947" s="22">
        <f t="shared" si="44"/>
        <v>0</v>
      </c>
      <c r="G947" s="88">
        <f>VLOOKUP(A947,'Current week'!$A$3:$F$1765,6,0)</f>
        <v>1</v>
      </c>
      <c r="H947" s="104">
        <f t="shared" si="42"/>
        <v>0</v>
      </c>
      <c r="I947" s="104">
        <f t="shared" si="43"/>
        <v>0</v>
      </c>
      <c r="L947" s="112"/>
    </row>
    <row r="948" spans="1:12" x14ac:dyDescent="0.25">
      <c r="A948" s="33" t="s">
        <v>3403</v>
      </c>
      <c r="B948" s="33" t="s">
        <v>1551</v>
      </c>
      <c r="C948" s="34" t="s">
        <v>1552</v>
      </c>
      <c r="D948" s="78">
        <v>0</v>
      </c>
      <c r="E948" s="88">
        <f>VLOOKUP(A948,'Previous week'!$A$3:$F$1765,6,FALSE)</f>
        <v>1</v>
      </c>
      <c r="F948" s="22">
        <f t="shared" si="44"/>
        <v>0</v>
      </c>
      <c r="G948" s="88">
        <f>VLOOKUP(A948,'Current week'!$A$3:$F$1765,6,0)</f>
        <v>1</v>
      </c>
      <c r="H948" s="104">
        <f t="shared" si="42"/>
        <v>0</v>
      </c>
      <c r="I948" s="104">
        <f t="shared" si="43"/>
        <v>0</v>
      </c>
      <c r="L948" s="112"/>
    </row>
    <row r="949" spans="1:12" x14ac:dyDescent="0.25">
      <c r="A949" s="23" t="s">
        <v>3404</v>
      </c>
      <c r="B949" s="23" t="s">
        <v>1553</v>
      </c>
      <c r="C949" s="24" t="s">
        <v>1554</v>
      </c>
      <c r="D949" s="25">
        <v>0</v>
      </c>
      <c r="E949" s="88">
        <f>VLOOKUP(A949,'Previous week'!$A$3:$F$1765,6,FALSE)</f>
        <v>1</v>
      </c>
      <c r="F949" s="22">
        <f t="shared" si="44"/>
        <v>0</v>
      </c>
      <c r="G949" s="88">
        <f>VLOOKUP(A949,'Current week'!$A$3:$F$1765,6,0)</f>
        <v>1</v>
      </c>
      <c r="H949" s="102">
        <f t="shared" si="42"/>
        <v>0</v>
      </c>
      <c r="I949" s="102">
        <f t="shared" si="43"/>
        <v>0</v>
      </c>
      <c r="L949" s="112"/>
    </row>
    <row r="950" spans="1:12" x14ac:dyDescent="0.25">
      <c r="A950" s="45" t="s">
        <v>3405</v>
      </c>
      <c r="B950" s="45" t="s">
        <v>1555</v>
      </c>
      <c r="C950" s="46" t="s">
        <v>1556</v>
      </c>
      <c r="D950" s="75">
        <v>0</v>
      </c>
      <c r="E950" s="92"/>
      <c r="F950" s="48">
        <f t="shared" si="44"/>
        <v>0</v>
      </c>
      <c r="G950" s="92"/>
      <c r="H950" s="106"/>
      <c r="I950" s="106"/>
      <c r="L950" s="112"/>
    </row>
    <row r="951" spans="1:12" x14ac:dyDescent="0.25">
      <c r="A951" s="19" t="s">
        <v>3406</v>
      </c>
      <c r="B951" s="19" t="s">
        <v>1557</v>
      </c>
      <c r="C951" s="20" t="s">
        <v>1558</v>
      </c>
      <c r="D951" s="77">
        <v>179076.09</v>
      </c>
      <c r="E951" s="88">
        <f>VLOOKUP(A951,'Previous week'!$A$3:$F$1765,6,FALSE)</f>
        <v>1</v>
      </c>
      <c r="F951" s="22">
        <f t="shared" si="44"/>
        <v>0</v>
      </c>
      <c r="G951" s="88">
        <f>VLOOKUP(A951,'Current week'!$A$3:$F$1765,6,0)</f>
        <v>1</v>
      </c>
      <c r="H951" s="101">
        <f t="shared" si="42"/>
        <v>179076.09</v>
      </c>
      <c r="I951" s="101">
        <f t="shared" si="43"/>
        <v>0</v>
      </c>
      <c r="L951" s="112"/>
    </row>
    <row r="952" spans="1:12" x14ac:dyDescent="0.25">
      <c r="A952" s="33" t="s">
        <v>3407</v>
      </c>
      <c r="B952" s="33" t="s">
        <v>1559</v>
      </c>
      <c r="C952" s="34" t="s">
        <v>1560</v>
      </c>
      <c r="D952" s="78">
        <v>0</v>
      </c>
      <c r="E952" s="88">
        <f>VLOOKUP(A952,'Previous week'!$A$3:$F$1765,6,FALSE)</f>
        <v>1</v>
      </c>
      <c r="F952" s="22">
        <f t="shared" si="44"/>
        <v>0</v>
      </c>
      <c r="G952" s="88">
        <f>VLOOKUP(A952,'Current week'!$A$3:$F$1765,6,0)</f>
        <v>1</v>
      </c>
      <c r="H952" s="104">
        <f t="shared" si="42"/>
        <v>0</v>
      </c>
      <c r="I952" s="104">
        <f t="shared" si="43"/>
        <v>0</v>
      </c>
      <c r="L952" s="112"/>
    </row>
    <row r="953" spans="1:12" x14ac:dyDescent="0.25">
      <c r="A953" s="33" t="s">
        <v>2940</v>
      </c>
      <c r="B953" s="33" t="s">
        <v>1561</v>
      </c>
      <c r="C953" s="34"/>
      <c r="D953" s="78">
        <v>179076.09</v>
      </c>
      <c r="E953" s="88">
        <f>VLOOKUP(A953,'Previous week'!$A$3:$F$1765,6,FALSE)</f>
        <v>0</v>
      </c>
      <c r="F953" s="22">
        <f t="shared" si="44"/>
        <v>0</v>
      </c>
      <c r="G953" s="88">
        <f>VLOOKUP(A953,'Current week'!$A$3:$F$1765,6,0)</f>
        <v>0</v>
      </c>
      <c r="H953" s="104">
        <f t="shared" ref="H953:H1016" si="45">G953*D953</f>
        <v>0</v>
      </c>
      <c r="I953" s="104">
        <f t="shared" ref="I953:I1016" si="46">F953*D953</f>
        <v>0</v>
      </c>
      <c r="L953" s="112"/>
    </row>
    <row r="954" spans="1:12" x14ac:dyDescent="0.25">
      <c r="A954" s="23" t="s">
        <v>3408</v>
      </c>
      <c r="B954" s="23" t="s">
        <v>1562</v>
      </c>
      <c r="C954" s="24" t="s">
        <v>1563</v>
      </c>
      <c r="D954" s="71">
        <v>0</v>
      </c>
      <c r="E954" s="88">
        <f>VLOOKUP(A954,'Previous week'!$A$3:$F$1765,6,FALSE)</f>
        <v>1</v>
      </c>
      <c r="F954" s="22">
        <f t="shared" ref="F954:F1017" si="47">G954-E954</f>
        <v>0</v>
      </c>
      <c r="G954" s="88">
        <f>VLOOKUP(A954,'Current week'!$A$3:$F$1765,6,0)</f>
        <v>1</v>
      </c>
      <c r="H954" s="102">
        <f t="shared" si="45"/>
        <v>0</v>
      </c>
      <c r="I954" s="102">
        <f t="shared" si="46"/>
        <v>0</v>
      </c>
      <c r="L954" s="112"/>
    </row>
    <row r="955" spans="1:12" x14ac:dyDescent="0.25">
      <c r="A955" s="45" t="s">
        <v>3409</v>
      </c>
      <c r="B955" s="45" t="s">
        <v>1564</v>
      </c>
      <c r="C955" s="46" t="s">
        <v>1565</v>
      </c>
      <c r="D955" s="75">
        <v>0</v>
      </c>
      <c r="E955" s="92"/>
      <c r="F955" s="48">
        <f t="shared" si="47"/>
        <v>0</v>
      </c>
      <c r="G955" s="92"/>
      <c r="H955" s="106"/>
      <c r="I955" s="106"/>
      <c r="L955" s="112"/>
    </row>
    <row r="956" spans="1:12" x14ac:dyDescent="0.25">
      <c r="A956" s="19" t="s">
        <v>3410</v>
      </c>
      <c r="B956" s="19" t="s">
        <v>1566</v>
      </c>
      <c r="C956" s="20" t="s">
        <v>1567</v>
      </c>
      <c r="D956" s="77">
        <v>0</v>
      </c>
      <c r="E956" s="88">
        <f>VLOOKUP(A956,'Previous week'!$A$3:$F$1765,6,FALSE)</f>
        <v>1</v>
      </c>
      <c r="F956" s="22">
        <f t="shared" si="47"/>
        <v>0</v>
      </c>
      <c r="G956" s="88">
        <f>VLOOKUP(A956,'Current week'!$A$3:$F$1765,6,0)</f>
        <v>1</v>
      </c>
      <c r="H956" s="101">
        <f t="shared" si="45"/>
        <v>0</v>
      </c>
      <c r="I956" s="101">
        <f t="shared" si="46"/>
        <v>0</v>
      </c>
      <c r="L956" s="112"/>
    </row>
    <row r="957" spans="1:12" x14ac:dyDescent="0.25">
      <c r="A957" s="33" t="s">
        <v>3411</v>
      </c>
      <c r="B957" s="33" t="s">
        <v>1568</v>
      </c>
      <c r="C957" s="34" t="s">
        <v>1569</v>
      </c>
      <c r="D957" s="78">
        <v>0</v>
      </c>
      <c r="E957" s="88">
        <f>VLOOKUP(A957,'Previous week'!$A$3:$F$1765,6,FALSE)</f>
        <v>1</v>
      </c>
      <c r="F957" s="22">
        <f t="shared" si="47"/>
        <v>0</v>
      </c>
      <c r="G957" s="88">
        <f>VLOOKUP(A957,'Current week'!$A$3:$F$1765,6,0)</f>
        <v>1</v>
      </c>
      <c r="H957" s="104">
        <f t="shared" si="45"/>
        <v>0</v>
      </c>
      <c r="I957" s="104">
        <f t="shared" si="46"/>
        <v>0</v>
      </c>
      <c r="L957" s="112"/>
    </row>
    <row r="958" spans="1:12" x14ac:dyDescent="0.25">
      <c r="A958" s="33" t="s">
        <v>3412</v>
      </c>
      <c r="B958" s="33" t="s">
        <v>1570</v>
      </c>
      <c r="C958" s="34" t="s">
        <v>1571</v>
      </c>
      <c r="D958" s="78">
        <v>0</v>
      </c>
      <c r="E958" s="88">
        <f>VLOOKUP(A958,'Previous week'!$A$3:$F$1765,6,FALSE)</f>
        <v>1</v>
      </c>
      <c r="F958" s="22">
        <f t="shared" si="47"/>
        <v>0</v>
      </c>
      <c r="G958" s="88">
        <f>VLOOKUP(A958,'Current week'!$A$3:$F$1765,6,0)</f>
        <v>1</v>
      </c>
      <c r="H958" s="104">
        <f t="shared" si="45"/>
        <v>0</v>
      </c>
      <c r="I958" s="104">
        <f t="shared" si="46"/>
        <v>0</v>
      </c>
      <c r="L958" s="112"/>
    </row>
    <row r="959" spans="1:12" x14ac:dyDescent="0.25">
      <c r="A959" s="23" t="s">
        <v>3413</v>
      </c>
      <c r="B959" s="23" t="s">
        <v>1572</v>
      </c>
      <c r="C959" s="24" t="s">
        <v>1573</v>
      </c>
      <c r="D959" s="71">
        <v>179076.09</v>
      </c>
      <c r="E959" s="88">
        <f>VLOOKUP(A959,'Previous week'!$A$3:$F$1765,6,FALSE)</f>
        <v>1</v>
      </c>
      <c r="F959" s="22">
        <f t="shared" si="47"/>
        <v>0</v>
      </c>
      <c r="G959" s="88">
        <f>VLOOKUP(A959,'Current week'!$A$3:$F$1765,6,0)</f>
        <v>1</v>
      </c>
      <c r="H959" s="102">
        <f t="shared" si="45"/>
        <v>179076.09</v>
      </c>
      <c r="I959" s="102">
        <f t="shared" si="46"/>
        <v>0</v>
      </c>
      <c r="L959" s="112"/>
    </row>
    <row r="960" spans="1:12" x14ac:dyDescent="0.25">
      <c r="A960" s="45" t="s">
        <v>3414</v>
      </c>
      <c r="B960" s="45" t="s">
        <v>1574</v>
      </c>
      <c r="C960" s="46" t="s">
        <v>1575</v>
      </c>
      <c r="D960" s="75">
        <v>0</v>
      </c>
      <c r="E960" s="92"/>
      <c r="F960" s="48">
        <f t="shared" si="47"/>
        <v>0</v>
      </c>
      <c r="G960" s="92"/>
      <c r="H960" s="106"/>
      <c r="I960" s="106"/>
      <c r="L960" s="112"/>
    </row>
    <row r="961" spans="1:12" x14ac:dyDescent="0.25">
      <c r="A961" s="19" t="s">
        <v>2943</v>
      </c>
      <c r="B961" s="19" t="s">
        <v>1576</v>
      </c>
      <c r="C961" s="20"/>
      <c r="D961" s="77">
        <v>179076.09</v>
      </c>
      <c r="E961" s="88">
        <f>VLOOKUP(A961,'Previous week'!$A$3:$F$1765,6,FALSE)</f>
        <v>0</v>
      </c>
      <c r="F961" s="22">
        <f t="shared" si="47"/>
        <v>0</v>
      </c>
      <c r="G961" s="88">
        <f>VLOOKUP(A961,'Current week'!$A$3:$F$1765,6,0)</f>
        <v>0</v>
      </c>
      <c r="H961" s="101">
        <f t="shared" si="45"/>
        <v>0</v>
      </c>
      <c r="I961" s="101">
        <f t="shared" si="46"/>
        <v>0</v>
      </c>
      <c r="L961" s="112"/>
    </row>
    <row r="962" spans="1:12" x14ac:dyDescent="0.25">
      <c r="A962" s="23" t="s">
        <v>3415</v>
      </c>
      <c r="B962" s="23" t="s">
        <v>1577</v>
      </c>
      <c r="C962" s="24" t="s">
        <v>1578</v>
      </c>
      <c r="D962" s="71">
        <v>0</v>
      </c>
      <c r="E962" s="88">
        <f>VLOOKUP(A962,'Previous week'!$A$3:$F$1765,6,FALSE)</f>
        <v>1</v>
      </c>
      <c r="F962" s="22">
        <f t="shared" si="47"/>
        <v>0</v>
      </c>
      <c r="G962" s="88">
        <f>VLOOKUP(A962,'Current week'!$A$3:$F$1765,6,0)</f>
        <v>1</v>
      </c>
      <c r="H962" s="102">
        <f t="shared" si="45"/>
        <v>0</v>
      </c>
      <c r="I962" s="102">
        <f t="shared" si="46"/>
        <v>0</v>
      </c>
      <c r="L962" s="112"/>
    </row>
    <row r="963" spans="1:12" x14ac:dyDescent="0.25">
      <c r="A963" s="45" t="s">
        <v>3416</v>
      </c>
      <c r="B963" s="45" t="s">
        <v>1579</v>
      </c>
      <c r="C963" s="46" t="s">
        <v>1580</v>
      </c>
      <c r="D963" s="75">
        <v>0</v>
      </c>
      <c r="E963" s="92"/>
      <c r="F963" s="48">
        <f t="shared" si="47"/>
        <v>0</v>
      </c>
      <c r="G963" s="92"/>
      <c r="H963" s="106"/>
      <c r="I963" s="106"/>
      <c r="L963" s="112"/>
    </row>
    <row r="964" spans="1:12" x14ac:dyDescent="0.25">
      <c r="A964" s="19" t="s">
        <v>3417</v>
      </c>
      <c r="B964" s="19" t="s">
        <v>1581</v>
      </c>
      <c r="C964" s="20" t="s">
        <v>1582</v>
      </c>
      <c r="D964" s="77">
        <v>0</v>
      </c>
      <c r="E964" s="88">
        <f>VLOOKUP(A964,'Previous week'!$A$3:$F$1765,6,FALSE)</f>
        <v>1</v>
      </c>
      <c r="F964" s="22">
        <f t="shared" si="47"/>
        <v>0</v>
      </c>
      <c r="G964" s="88">
        <f>VLOOKUP(A964,'Current week'!$A$3:$F$1765,6,0)</f>
        <v>1</v>
      </c>
      <c r="H964" s="101">
        <f t="shared" si="45"/>
        <v>0</v>
      </c>
      <c r="I964" s="101">
        <f t="shared" si="46"/>
        <v>0</v>
      </c>
      <c r="L964" s="112"/>
    </row>
    <row r="965" spans="1:12" x14ac:dyDescent="0.25">
      <c r="A965" s="33" t="s">
        <v>3418</v>
      </c>
      <c r="B965" s="33" t="s">
        <v>1583</v>
      </c>
      <c r="C965" s="34" t="s">
        <v>1584</v>
      </c>
      <c r="D965" s="78">
        <v>0</v>
      </c>
      <c r="E965" s="88">
        <f>VLOOKUP(A965,'Previous week'!$A$3:$F$1765,6,FALSE)</f>
        <v>1</v>
      </c>
      <c r="F965" s="22">
        <f t="shared" si="47"/>
        <v>0</v>
      </c>
      <c r="G965" s="88">
        <f>VLOOKUP(A965,'Current week'!$A$3:$F$1765,6,0)</f>
        <v>1</v>
      </c>
      <c r="H965" s="104">
        <f t="shared" si="45"/>
        <v>0</v>
      </c>
      <c r="I965" s="104">
        <f t="shared" si="46"/>
        <v>0</v>
      </c>
      <c r="L965" s="112"/>
    </row>
    <row r="966" spans="1:12" x14ac:dyDescent="0.25">
      <c r="A966" s="23" t="s">
        <v>3419</v>
      </c>
      <c r="B966" s="23" t="s">
        <v>1585</v>
      </c>
      <c r="C966" s="24" t="s">
        <v>1586</v>
      </c>
      <c r="D966" s="71">
        <v>0</v>
      </c>
      <c r="E966" s="88">
        <f>VLOOKUP(A966,'Previous week'!$A$3:$F$1765,6,FALSE)</f>
        <v>1</v>
      </c>
      <c r="F966" s="22">
        <f t="shared" si="47"/>
        <v>0</v>
      </c>
      <c r="G966" s="88">
        <f>VLOOKUP(A966,'Current week'!$A$3:$F$1765,6,0)</f>
        <v>1</v>
      </c>
      <c r="H966" s="102">
        <f t="shared" si="45"/>
        <v>0</v>
      </c>
      <c r="I966" s="102">
        <f t="shared" si="46"/>
        <v>0</v>
      </c>
      <c r="L966" s="112"/>
    </row>
    <row r="967" spans="1:12" x14ac:dyDescent="0.25">
      <c r="A967" s="45" t="s">
        <v>3420</v>
      </c>
      <c r="B967" s="45" t="s">
        <v>1587</v>
      </c>
      <c r="C967" s="46" t="s">
        <v>1588</v>
      </c>
      <c r="D967" s="75">
        <v>0</v>
      </c>
      <c r="E967" s="92"/>
      <c r="F967" s="48">
        <f t="shared" si="47"/>
        <v>0</v>
      </c>
      <c r="G967" s="92"/>
      <c r="H967" s="106"/>
      <c r="I967" s="106"/>
      <c r="L967" s="112"/>
    </row>
    <row r="968" spans="1:12" x14ac:dyDescent="0.25">
      <c r="A968" s="19" t="s">
        <v>3421</v>
      </c>
      <c r="B968" s="19" t="s">
        <v>1589</v>
      </c>
      <c r="C968" s="20" t="s">
        <v>1590</v>
      </c>
      <c r="D968" s="77">
        <v>0</v>
      </c>
      <c r="E968" s="88">
        <f>VLOOKUP(A968,'Previous week'!$A$3:$F$1765,6,FALSE)</f>
        <v>1</v>
      </c>
      <c r="F968" s="22">
        <f t="shared" si="47"/>
        <v>0</v>
      </c>
      <c r="G968" s="88">
        <f>VLOOKUP(A968,'Current week'!$A$3:$F$1765,6,0)</f>
        <v>1</v>
      </c>
      <c r="H968" s="101">
        <f t="shared" si="45"/>
        <v>0</v>
      </c>
      <c r="I968" s="101">
        <f t="shared" si="46"/>
        <v>0</v>
      </c>
      <c r="L968" s="112"/>
    </row>
    <row r="969" spans="1:12" x14ac:dyDescent="0.25">
      <c r="A969" s="33" t="s">
        <v>3422</v>
      </c>
      <c r="B969" s="33" t="s">
        <v>1591</v>
      </c>
      <c r="C969" s="34" t="s">
        <v>1592</v>
      </c>
      <c r="D969" s="78">
        <v>179076.09</v>
      </c>
      <c r="E969" s="88">
        <f>VLOOKUP(A969,'Previous week'!$A$3:$F$1765,6,FALSE)</f>
        <v>1</v>
      </c>
      <c r="F969" s="22">
        <f t="shared" si="47"/>
        <v>0</v>
      </c>
      <c r="G969" s="88">
        <f>VLOOKUP(A969,'Current week'!$A$3:$F$1765,6,0)</f>
        <v>1</v>
      </c>
      <c r="H969" s="104">
        <f t="shared" si="45"/>
        <v>179076.09</v>
      </c>
      <c r="I969" s="104">
        <f t="shared" si="46"/>
        <v>0</v>
      </c>
      <c r="L969" s="112"/>
    </row>
    <row r="970" spans="1:12" x14ac:dyDescent="0.25">
      <c r="A970" s="23" t="s">
        <v>3423</v>
      </c>
      <c r="B970" s="23" t="s">
        <v>1593</v>
      </c>
      <c r="C970" s="24" t="s">
        <v>1594</v>
      </c>
      <c r="D970" s="71">
        <v>0</v>
      </c>
      <c r="E970" s="88">
        <f>VLOOKUP(A970,'Previous week'!$A$3:$F$1765,6,FALSE)</f>
        <v>1</v>
      </c>
      <c r="F970" s="22">
        <f t="shared" si="47"/>
        <v>0</v>
      </c>
      <c r="G970" s="88">
        <f>VLOOKUP(A970,'Current week'!$A$3:$F$1765,6,0)</f>
        <v>1</v>
      </c>
      <c r="H970" s="102">
        <f t="shared" si="45"/>
        <v>0</v>
      </c>
      <c r="I970" s="102">
        <f t="shared" si="46"/>
        <v>0</v>
      </c>
      <c r="L970" s="112"/>
    </row>
    <row r="971" spans="1:12" x14ac:dyDescent="0.25">
      <c r="A971" s="45" t="s">
        <v>2605</v>
      </c>
      <c r="B971" s="45" t="s">
        <v>1595</v>
      </c>
      <c r="C971" s="46"/>
      <c r="D971" s="75">
        <v>38393913.060000002</v>
      </c>
      <c r="E971" s="92"/>
      <c r="F971" s="48">
        <f t="shared" si="47"/>
        <v>0</v>
      </c>
      <c r="G971" s="92"/>
      <c r="H971" s="106"/>
      <c r="I971" s="106"/>
      <c r="L971" s="112"/>
    </row>
    <row r="972" spans="1:12" x14ac:dyDescent="0.25">
      <c r="A972" s="19" t="s">
        <v>3424</v>
      </c>
      <c r="B972" s="19" t="s">
        <v>1596</v>
      </c>
      <c r="C972" s="20"/>
      <c r="D972" s="77">
        <v>506619.53</v>
      </c>
      <c r="E972" s="88">
        <f>VLOOKUP(A972,'Previous week'!$A$3:$F$1765,6,FALSE)</f>
        <v>1</v>
      </c>
      <c r="F972" s="22">
        <f t="shared" si="47"/>
        <v>0</v>
      </c>
      <c r="G972" s="88">
        <f>VLOOKUP(A972,'Current week'!$A$3:$F$1765,6,0)</f>
        <v>1</v>
      </c>
      <c r="H972" s="101">
        <f t="shared" si="45"/>
        <v>506619.53</v>
      </c>
      <c r="I972" s="101">
        <f t="shared" si="46"/>
        <v>0</v>
      </c>
      <c r="L972" s="112"/>
    </row>
    <row r="973" spans="1:12" x14ac:dyDescent="0.25">
      <c r="A973" s="33" t="s">
        <v>3425</v>
      </c>
      <c r="B973" s="33" t="s">
        <v>1597</v>
      </c>
      <c r="C973" s="34"/>
      <c r="D973" s="78">
        <v>127411.78</v>
      </c>
      <c r="E973" s="88">
        <f>VLOOKUP(A973,'Previous week'!$A$3:$F$1765,6,FALSE)</f>
        <v>1</v>
      </c>
      <c r="F973" s="22">
        <f t="shared" si="47"/>
        <v>0</v>
      </c>
      <c r="G973" s="88">
        <f>VLOOKUP(A973,'Current week'!$A$3:$F$1765,6,0)</f>
        <v>1</v>
      </c>
      <c r="H973" s="104">
        <f t="shared" si="45"/>
        <v>127411.78</v>
      </c>
      <c r="I973" s="104">
        <f t="shared" si="46"/>
        <v>0</v>
      </c>
      <c r="L973" s="112"/>
    </row>
    <row r="974" spans="1:12" x14ac:dyDescent="0.25">
      <c r="A974" s="23" t="s">
        <v>3426</v>
      </c>
      <c r="B974" s="23" t="s">
        <v>1598</v>
      </c>
      <c r="C974" s="24" t="s">
        <v>1599</v>
      </c>
      <c r="D974" s="25">
        <v>26491.56</v>
      </c>
      <c r="E974" s="88">
        <f>VLOOKUP(A974,'Previous week'!$A$3:$F$1765,6,FALSE)</f>
        <v>1</v>
      </c>
      <c r="F974" s="22">
        <f t="shared" si="47"/>
        <v>0</v>
      </c>
      <c r="G974" s="88">
        <f>VLOOKUP(A974,'Current week'!$A$3:$F$1765,6,0)</f>
        <v>1</v>
      </c>
      <c r="H974" s="102">
        <f t="shared" si="45"/>
        <v>26491.56</v>
      </c>
      <c r="I974" s="102">
        <f t="shared" si="46"/>
        <v>0</v>
      </c>
      <c r="L974" s="112"/>
    </row>
    <row r="975" spans="1:12" x14ac:dyDescent="0.25">
      <c r="A975" s="45" t="s">
        <v>3427</v>
      </c>
      <c r="B975" s="45" t="s">
        <v>1600</v>
      </c>
      <c r="C975" s="46" t="s">
        <v>1601</v>
      </c>
      <c r="D975" s="75">
        <v>37845.08</v>
      </c>
      <c r="E975" s="92"/>
      <c r="F975" s="48">
        <f t="shared" si="47"/>
        <v>0</v>
      </c>
      <c r="G975" s="92"/>
      <c r="H975" s="106"/>
      <c r="I975" s="106"/>
      <c r="L975" s="112"/>
    </row>
    <row r="976" spans="1:12" x14ac:dyDescent="0.25">
      <c r="A976" s="19" t="s">
        <v>3428</v>
      </c>
      <c r="B976" s="19" t="s">
        <v>1602</v>
      </c>
      <c r="C976" s="20" t="s">
        <v>1603</v>
      </c>
      <c r="D976" s="77">
        <v>25230.06</v>
      </c>
      <c r="E976" s="88">
        <f>VLOOKUP(A976,'Previous week'!$A$3:$F$1765,6,FALSE)</f>
        <v>1</v>
      </c>
      <c r="F976" s="22">
        <f t="shared" si="47"/>
        <v>0</v>
      </c>
      <c r="G976" s="88">
        <f>VLOOKUP(A976,'Current week'!$A$3:$F$1765,6,0)</f>
        <v>1</v>
      </c>
      <c r="H976" s="101">
        <f t="shared" si="45"/>
        <v>25230.06</v>
      </c>
      <c r="I976" s="101">
        <f t="shared" si="46"/>
        <v>0</v>
      </c>
      <c r="L976" s="112"/>
    </row>
    <row r="977" spans="1:12" x14ac:dyDescent="0.25">
      <c r="A977" s="33" t="s">
        <v>3429</v>
      </c>
      <c r="B977" s="33" t="s">
        <v>1604</v>
      </c>
      <c r="C977" s="34" t="s">
        <v>1605</v>
      </c>
      <c r="D977" s="78">
        <v>37845.08</v>
      </c>
      <c r="E977" s="88">
        <f>VLOOKUP(A977,'Previous week'!$A$3:$F$1765,6,FALSE)</f>
        <v>1</v>
      </c>
      <c r="F977" s="22">
        <f t="shared" si="47"/>
        <v>0</v>
      </c>
      <c r="G977" s="88">
        <f>VLOOKUP(A977,'Current week'!$A$3:$F$1765,6,0)</f>
        <v>1</v>
      </c>
      <c r="H977" s="104">
        <f t="shared" si="45"/>
        <v>37845.08</v>
      </c>
      <c r="I977" s="104">
        <f t="shared" si="46"/>
        <v>0</v>
      </c>
      <c r="L977" s="112"/>
    </row>
    <row r="978" spans="1:12" x14ac:dyDescent="0.25">
      <c r="A978" s="23" t="s">
        <v>3430</v>
      </c>
      <c r="B978" s="23" t="s">
        <v>1606</v>
      </c>
      <c r="C978" s="24"/>
      <c r="D978" s="71">
        <v>92720.46</v>
      </c>
      <c r="E978" s="88">
        <f>VLOOKUP(A978,'Previous week'!$A$3:$F$1765,6,FALSE)</f>
        <v>1</v>
      </c>
      <c r="F978" s="22">
        <f t="shared" si="47"/>
        <v>0</v>
      </c>
      <c r="G978" s="88">
        <f>VLOOKUP(A978,'Current week'!$A$3:$F$1765,6,0)</f>
        <v>1</v>
      </c>
      <c r="H978" s="102">
        <f t="shared" si="45"/>
        <v>92720.46</v>
      </c>
      <c r="I978" s="102">
        <f t="shared" si="46"/>
        <v>0</v>
      </c>
      <c r="L978" s="112"/>
    </row>
    <row r="979" spans="1:12" x14ac:dyDescent="0.25">
      <c r="A979" s="45" t="s">
        <v>3431</v>
      </c>
      <c r="B979" s="45" t="s">
        <v>1607</v>
      </c>
      <c r="C979" s="46" t="s">
        <v>1608</v>
      </c>
      <c r="D979" s="75">
        <v>1892.25</v>
      </c>
      <c r="E979" s="92"/>
      <c r="F979" s="48">
        <f t="shared" si="47"/>
        <v>0</v>
      </c>
      <c r="G979" s="92"/>
      <c r="H979" s="106"/>
      <c r="I979" s="106"/>
      <c r="L979" s="112"/>
    </row>
    <row r="980" spans="1:12" x14ac:dyDescent="0.25">
      <c r="A980" s="19" t="s">
        <v>3432</v>
      </c>
      <c r="B980" s="19" t="s">
        <v>1609</v>
      </c>
      <c r="C980" s="20" t="s">
        <v>1610</v>
      </c>
      <c r="D980" s="77">
        <v>47937.11</v>
      </c>
      <c r="E980" s="88">
        <f>VLOOKUP(A980,'Previous week'!$A$3:$F$1765,6,FALSE)</f>
        <v>1</v>
      </c>
      <c r="F980" s="22">
        <f t="shared" si="47"/>
        <v>0</v>
      </c>
      <c r="G980" s="88">
        <f>VLOOKUP(A980,'Current week'!$A$3:$F$1765,6,0)</f>
        <v>1</v>
      </c>
      <c r="H980" s="101">
        <f t="shared" si="45"/>
        <v>47937.11</v>
      </c>
      <c r="I980" s="101">
        <f t="shared" si="46"/>
        <v>0</v>
      </c>
      <c r="L980" s="112"/>
    </row>
    <row r="981" spans="1:12" x14ac:dyDescent="0.25">
      <c r="A981" s="33" t="s">
        <v>3433</v>
      </c>
      <c r="B981" s="33" t="s">
        <v>1611</v>
      </c>
      <c r="C981" s="34" t="s">
        <v>1612</v>
      </c>
      <c r="D981" s="78">
        <v>18922.54</v>
      </c>
      <c r="E981" s="88">
        <f>VLOOKUP(A981,'Previous week'!$A$3:$F$1765,6,FALSE)</f>
        <v>1</v>
      </c>
      <c r="F981" s="22">
        <f t="shared" si="47"/>
        <v>0</v>
      </c>
      <c r="G981" s="88">
        <f>VLOOKUP(A981,'Current week'!$A$3:$F$1765,6,0)</f>
        <v>1</v>
      </c>
      <c r="H981" s="104">
        <f t="shared" si="45"/>
        <v>18922.54</v>
      </c>
      <c r="I981" s="104">
        <f t="shared" si="46"/>
        <v>0</v>
      </c>
      <c r="L981" s="112"/>
    </row>
    <row r="982" spans="1:12" x14ac:dyDescent="0.25">
      <c r="A982" s="23" t="s">
        <v>3434</v>
      </c>
      <c r="B982" s="23" t="s">
        <v>1613</v>
      </c>
      <c r="C982" s="24" t="s">
        <v>1614</v>
      </c>
      <c r="D982" s="71">
        <v>20184.04</v>
      </c>
      <c r="E982" s="88">
        <f>VLOOKUP(A982,'Previous week'!$A$3:$F$1765,6,FALSE)</f>
        <v>1</v>
      </c>
      <c r="F982" s="22">
        <f t="shared" si="47"/>
        <v>0</v>
      </c>
      <c r="G982" s="88">
        <f>VLOOKUP(A982,'Current week'!$A$3:$F$1765,6,0)</f>
        <v>1</v>
      </c>
      <c r="H982" s="102">
        <f t="shared" si="45"/>
        <v>20184.04</v>
      </c>
      <c r="I982" s="102">
        <f t="shared" si="46"/>
        <v>0</v>
      </c>
      <c r="L982" s="112"/>
    </row>
    <row r="983" spans="1:12" x14ac:dyDescent="0.25">
      <c r="A983" s="41" t="s">
        <v>3435</v>
      </c>
      <c r="B983" s="41" t="s">
        <v>1615</v>
      </c>
      <c r="C983" s="42" t="s">
        <v>1616</v>
      </c>
      <c r="D983" s="66">
        <v>3784.51</v>
      </c>
      <c r="E983" s="91"/>
      <c r="F983" s="44">
        <f t="shared" si="47"/>
        <v>0</v>
      </c>
      <c r="G983" s="91"/>
      <c r="H983" s="103"/>
      <c r="I983" s="103"/>
      <c r="L983" s="112"/>
    </row>
    <row r="984" spans="1:12" x14ac:dyDescent="0.25">
      <c r="A984" s="45" t="s">
        <v>3436</v>
      </c>
      <c r="B984" s="45" t="s">
        <v>1617</v>
      </c>
      <c r="C984" s="46"/>
      <c r="D984" s="75">
        <v>56073.8</v>
      </c>
      <c r="E984" s="92"/>
      <c r="F984" s="48">
        <f t="shared" si="47"/>
        <v>0</v>
      </c>
      <c r="G984" s="92"/>
      <c r="H984" s="106"/>
      <c r="I984" s="106"/>
      <c r="L984" s="112"/>
    </row>
    <row r="985" spans="1:12" x14ac:dyDescent="0.25">
      <c r="A985" s="19" t="s">
        <v>3437</v>
      </c>
      <c r="B985" s="19" t="s">
        <v>1618</v>
      </c>
      <c r="C985" s="20" t="s">
        <v>1619</v>
      </c>
      <c r="D985" s="77">
        <v>8830.52</v>
      </c>
      <c r="E985" s="88">
        <f>VLOOKUP(A985,'Previous week'!$A$3:$F$1765,6,FALSE)</f>
        <v>1</v>
      </c>
      <c r="F985" s="22">
        <f t="shared" si="47"/>
        <v>0</v>
      </c>
      <c r="G985" s="88">
        <f>VLOOKUP(A985,'Current week'!$A$3:$F$1765,6,0)</f>
        <v>1</v>
      </c>
      <c r="H985" s="101">
        <f t="shared" si="45"/>
        <v>8830.52</v>
      </c>
      <c r="I985" s="101">
        <f t="shared" si="46"/>
        <v>0</v>
      </c>
      <c r="L985" s="112"/>
    </row>
    <row r="986" spans="1:12" x14ac:dyDescent="0.25">
      <c r="A986" s="33" t="s">
        <v>3438</v>
      </c>
      <c r="B986" s="33" t="s">
        <v>1620</v>
      </c>
      <c r="C986" s="34" t="s">
        <v>1621</v>
      </c>
      <c r="D986" s="78">
        <v>18922.54</v>
      </c>
      <c r="E986" s="88">
        <f>VLOOKUP(A986,'Previous week'!$A$3:$F$1765,6,FALSE)</f>
        <v>1</v>
      </c>
      <c r="F986" s="22">
        <f t="shared" si="47"/>
        <v>0</v>
      </c>
      <c r="G986" s="88">
        <f>VLOOKUP(A986,'Current week'!$A$3:$F$1765,6,0)</f>
        <v>1</v>
      </c>
      <c r="H986" s="104">
        <f t="shared" si="45"/>
        <v>18922.54</v>
      </c>
      <c r="I986" s="104">
        <f t="shared" si="46"/>
        <v>0</v>
      </c>
      <c r="L986" s="112"/>
    </row>
    <row r="987" spans="1:12" x14ac:dyDescent="0.25">
      <c r="A987" s="23" t="s">
        <v>3439</v>
      </c>
      <c r="B987" s="23" t="s">
        <v>1622</v>
      </c>
      <c r="C987" s="24" t="s">
        <v>1623</v>
      </c>
      <c r="D987" s="71">
        <v>14128.83</v>
      </c>
      <c r="E987" s="88">
        <f>VLOOKUP(A987,'Previous week'!$A$3:$F$1765,6,FALSE)</f>
        <v>1</v>
      </c>
      <c r="F987" s="22">
        <f t="shared" si="47"/>
        <v>0</v>
      </c>
      <c r="G987" s="88">
        <f>VLOOKUP(A987,'Current week'!$A$3:$F$1765,6,0)</f>
        <v>1</v>
      </c>
      <c r="H987" s="102">
        <f t="shared" si="45"/>
        <v>14128.83</v>
      </c>
      <c r="I987" s="102">
        <f t="shared" si="46"/>
        <v>0</v>
      </c>
      <c r="L987" s="112"/>
    </row>
    <row r="988" spans="1:12" x14ac:dyDescent="0.25">
      <c r="A988" s="45" t="s">
        <v>3440</v>
      </c>
      <c r="B988" s="45" t="s">
        <v>1624</v>
      </c>
      <c r="C988" s="46" t="s">
        <v>1625</v>
      </c>
      <c r="D988" s="75">
        <v>14191.91</v>
      </c>
      <c r="E988" s="92"/>
      <c r="F988" s="48">
        <f t="shared" si="47"/>
        <v>0</v>
      </c>
      <c r="G988" s="92"/>
      <c r="H988" s="106"/>
      <c r="I988" s="106"/>
      <c r="L988" s="112"/>
    </row>
    <row r="989" spans="1:12" x14ac:dyDescent="0.25">
      <c r="A989" s="19" t="s">
        <v>3441</v>
      </c>
      <c r="B989" s="19" t="s">
        <v>1626</v>
      </c>
      <c r="C989" s="20"/>
      <c r="D989" s="77">
        <v>93225.06</v>
      </c>
      <c r="E989" s="88">
        <f>VLOOKUP(A989,'Previous week'!$A$3:$F$1765,6,FALSE)</f>
        <v>1</v>
      </c>
      <c r="F989" s="22">
        <f t="shared" si="47"/>
        <v>0</v>
      </c>
      <c r="G989" s="88">
        <f>VLOOKUP(A989,'Current week'!$A$3:$F$1765,6,0)</f>
        <v>1</v>
      </c>
      <c r="H989" s="101">
        <f t="shared" si="45"/>
        <v>93225.06</v>
      </c>
      <c r="I989" s="101">
        <f t="shared" si="46"/>
        <v>0</v>
      </c>
      <c r="L989" s="112"/>
    </row>
    <row r="990" spans="1:12" x14ac:dyDescent="0.25">
      <c r="A990" s="33" t="s">
        <v>3442</v>
      </c>
      <c r="B990" s="33" t="s">
        <v>1627</v>
      </c>
      <c r="C990" s="34" t="s">
        <v>1628</v>
      </c>
      <c r="D990" s="78">
        <v>26491.56</v>
      </c>
      <c r="E990" s="88">
        <f>VLOOKUP(A990,'Previous week'!$A$3:$F$1765,6,FALSE)</f>
        <v>1</v>
      </c>
      <c r="F990" s="22">
        <f t="shared" si="47"/>
        <v>0</v>
      </c>
      <c r="G990" s="88">
        <f>VLOOKUP(A990,'Current week'!$A$3:$F$1765,6,0)</f>
        <v>1</v>
      </c>
      <c r="H990" s="104">
        <f t="shared" si="45"/>
        <v>26491.56</v>
      </c>
      <c r="I990" s="104">
        <f t="shared" si="46"/>
        <v>0</v>
      </c>
      <c r="L990" s="112"/>
    </row>
    <row r="991" spans="1:12" x14ac:dyDescent="0.25">
      <c r="A991" s="23" t="s">
        <v>3443</v>
      </c>
      <c r="B991" s="23" t="s">
        <v>1629</v>
      </c>
      <c r="C991" s="24" t="s">
        <v>1630</v>
      </c>
      <c r="D991" s="71">
        <v>38349.69</v>
      </c>
      <c r="E991" s="88">
        <f>VLOOKUP(A991,'Previous week'!$A$3:$F$1765,6,FALSE)</f>
        <v>1</v>
      </c>
      <c r="F991" s="22">
        <f t="shared" si="47"/>
        <v>0</v>
      </c>
      <c r="G991" s="88">
        <f>VLOOKUP(A991,'Current week'!$A$3:$F$1765,6,0)</f>
        <v>1</v>
      </c>
      <c r="H991" s="102">
        <f t="shared" si="45"/>
        <v>38349.69</v>
      </c>
      <c r="I991" s="102">
        <f t="shared" si="46"/>
        <v>0</v>
      </c>
      <c r="L991" s="112"/>
    </row>
    <row r="992" spans="1:12" x14ac:dyDescent="0.25">
      <c r="A992" s="45" t="s">
        <v>3444</v>
      </c>
      <c r="B992" s="45" t="s">
        <v>1631</v>
      </c>
      <c r="C992" s="46" t="s">
        <v>1632</v>
      </c>
      <c r="D992" s="75">
        <v>12615.03</v>
      </c>
      <c r="E992" s="92"/>
      <c r="F992" s="48">
        <f t="shared" si="47"/>
        <v>0</v>
      </c>
      <c r="G992" s="92"/>
      <c r="H992" s="106"/>
      <c r="I992" s="106"/>
      <c r="L992" s="112"/>
    </row>
    <row r="993" spans="1:12" x14ac:dyDescent="0.25">
      <c r="A993" s="19" t="s">
        <v>3445</v>
      </c>
      <c r="B993" s="19" t="s">
        <v>1633</v>
      </c>
      <c r="C993" s="20" t="s">
        <v>1634</v>
      </c>
      <c r="D993" s="77">
        <v>15768.79</v>
      </c>
      <c r="E993" s="88">
        <f>VLOOKUP(A993,'Previous week'!$A$3:$F$1765,6,FALSE)</f>
        <v>1</v>
      </c>
      <c r="F993" s="22">
        <f t="shared" si="47"/>
        <v>0</v>
      </c>
      <c r="G993" s="88">
        <f>VLOOKUP(A993,'Current week'!$A$3:$F$1765,6,0)</f>
        <v>1</v>
      </c>
      <c r="H993" s="101">
        <f t="shared" si="45"/>
        <v>15768.79</v>
      </c>
      <c r="I993" s="101">
        <f t="shared" si="46"/>
        <v>0</v>
      </c>
      <c r="L993" s="112"/>
    </row>
    <row r="994" spans="1:12" x14ac:dyDescent="0.25">
      <c r="A994" s="23" t="s">
        <v>3446</v>
      </c>
      <c r="B994" s="23" t="s">
        <v>1635</v>
      </c>
      <c r="C994" s="24"/>
      <c r="D994" s="71">
        <v>46990.98</v>
      </c>
      <c r="E994" s="88">
        <f>VLOOKUP(A994,'Previous week'!$A$3:$F$1765,6,FALSE)</f>
        <v>1</v>
      </c>
      <c r="F994" s="22">
        <f t="shared" si="47"/>
        <v>0</v>
      </c>
      <c r="G994" s="88">
        <f>VLOOKUP(A994,'Current week'!$A$3:$F$1765,6,0)</f>
        <v>1</v>
      </c>
      <c r="H994" s="102">
        <f t="shared" si="45"/>
        <v>46990.98</v>
      </c>
      <c r="I994" s="102">
        <f t="shared" si="46"/>
        <v>0</v>
      </c>
      <c r="L994" s="112"/>
    </row>
    <row r="995" spans="1:12" x14ac:dyDescent="0.25">
      <c r="A995" s="45" t="s">
        <v>3447</v>
      </c>
      <c r="B995" s="45" t="s">
        <v>1636</v>
      </c>
      <c r="C995" s="46" t="s">
        <v>1637</v>
      </c>
      <c r="D995" s="75">
        <v>15768.79</v>
      </c>
      <c r="E995" s="92"/>
      <c r="F995" s="48">
        <f t="shared" si="47"/>
        <v>0</v>
      </c>
      <c r="G995" s="92"/>
      <c r="H995" s="106"/>
      <c r="I995" s="106"/>
      <c r="L995" s="112"/>
    </row>
    <row r="996" spans="1:12" x14ac:dyDescent="0.25">
      <c r="A996" s="19" t="s">
        <v>3448</v>
      </c>
      <c r="B996" s="19" t="s">
        <v>1638</v>
      </c>
      <c r="C996" s="20" t="s">
        <v>1639</v>
      </c>
      <c r="D996" s="77">
        <v>15453.41</v>
      </c>
      <c r="E996" s="88">
        <f>VLOOKUP(A996,'Previous week'!$A$3:$F$1765,6,FALSE)</f>
        <v>1</v>
      </c>
      <c r="F996" s="22">
        <f t="shared" si="47"/>
        <v>0</v>
      </c>
      <c r="G996" s="88">
        <f>VLOOKUP(A996,'Current week'!$A$3:$F$1765,6,0)</f>
        <v>1</v>
      </c>
      <c r="H996" s="101">
        <f t="shared" si="45"/>
        <v>15453.41</v>
      </c>
      <c r="I996" s="101">
        <f t="shared" si="46"/>
        <v>0</v>
      </c>
      <c r="L996" s="112"/>
    </row>
    <row r="997" spans="1:12" x14ac:dyDescent="0.25">
      <c r="A997" s="23" t="s">
        <v>3449</v>
      </c>
      <c r="B997" s="23" t="s">
        <v>1640</v>
      </c>
      <c r="C997" s="24" t="s">
        <v>1641</v>
      </c>
      <c r="D997" s="71">
        <v>15768.79</v>
      </c>
      <c r="E997" s="88">
        <f>VLOOKUP(A997,'Previous week'!$A$3:$F$1765,6,FALSE)</f>
        <v>1</v>
      </c>
      <c r="F997" s="22">
        <f t="shared" si="47"/>
        <v>0</v>
      </c>
      <c r="G997" s="88">
        <f>VLOOKUP(A997,'Current week'!$A$3:$F$1765,6,0)</f>
        <v>1</v>
      </c>
      <c r="H997" s="102">
        <f t="shared" si="45"/>
        <v>15768.79</v>
      </c>
      <c r="I997" s="102">
        <f t="shared" si="46"/>
        <v>0</v>
      </c>
      <c r="L997" s="112"/>
    </row>
    <row r="998" spans="1:12" x14ac:dyDescent="0.25">
      <c r="A998" s="41" t="s">
        <v>3450</v>
      </c>
      <c r="B998" s="41" t="s">
        <v>1642</v>
      </c>
      <c r="C998" s="42"/>
      <c r="D998" s="66">
        <v>90197.45</v>
      </c>
      <c r="E998" s="91"/>
      <c r="F998" s="44">
        <f t="shared" si="47"/>
        <v>0</v>
      </c>
      <c r="G998" s="91"/>
      <c r="H998" s="103"/>
      <c r="I998" s="103"/>
      <c r="L998" s="112"/>
    </row>
    <row r="999" spans="1:12" x14ac:dyDescent="0.25">
      <c r="A999" s="45" t="s">
        <v>3451</v>
      </c>
      <c r="B999" s="45" t="s">
        <v>1643</v>
      </c>
      <c r="C999" s="46" t="s">
        <v>1644</v>
      </c>
      <c r="D999" s="75">
        <v>20814.8</v>
      </c>
      <c r="E999" s="92"/>
      <c r="F999" s="48">
        <f t="shared" si="47"/>
        <v>0</v>
      </c>
      <c r="G999" s="92"/>
      <c r="H999" s="106"/>
      <c r="I999" s="106"/>
      <c r="L999" s="112"/>
    </row>
    <row r="1000" spans="1:12" x14ac:dyDescent="0.25">
      <c r="A1000" s="19" t="s">
        <v>3452</v>
      </c>
      <c r="B1000" s="19" t="s">
        <v>1645</v>
      </c>
      <c r="C1000" s="20" t="s">
        <v>1646</v>
      </c>
      <c r="D1000" s="77">
        <v>42575.72</v>
      </c>
      <c r="E1000" s="88">
        <f>VLOOKUP(A1000,'Previous week'!$A$3:$F$1765,6,FALSE)</f>
        <v>1</v>
      </c>
      <c r="F1000" s="22">
        <f t="shared" si="47"/>
        <v>0</v>
      </c>
      <c r="G1000" s="88">
        <f>VLOOKUP(A1000,'Current week'!$A$3:$F$1765,6,0)</f>
        <v>1</v>
      </c>
      <c r="H1000" s="101">
        <f t="shared" si="45"/>
        <v>42575.72</v>
      </c>
      <c r="I1000" s="101">
        <f t="shared" si="46"/>
        <v>0</v>
      </c>
      <c r="L1000" s="112"/>
    </row>
    <row r="1001" spans="1:12" x14ac:dyDescent="0.25">
      <c r="A1001" s="33" t="s">
        <v>3453</v>
      </c>
      <c r="B1001" s="33" t="s">
        <v>1647</v>
      </c>
      <c r="C1001" s="34" t="s">
        <v>1648</v>
      </c>
      <c r="D1001" s="78">
        <v>4730.6400000000003</v>
      </c>
      <c r="E1001" s="88">
        <f>VLOOKUP(A1001,'Previous week'!$A$3:$F$1765,6,FALSE)</f>
        <v>1</v>
      </c>
      <c r="F1001" s="22">
        <f t="shared" si="47"/>
        <v>0</v>
      </c>
      <c r="G1001" s="88">
        <f>VLOOKUP(A1001,'Current week'!$A$3:$F$1765,6,0)</f>
        <v>1</v>
      </c>
      <c r="H1001" s="104">
        <f t="shared" si="45"/>
        <v>4730.6400000000003</v>
      </c>
      <c r="I1001" s="104">
        <f t="shared" si="46"/>
        <v>0</v>
      </c>
      <c r="L1001" s="112"/>
    </row>
    <row r="1002" spans="1:12" x14ac:dyDescent="0.25">
      <c r="A1002" s="33" t="s">
        <v>3454</v>
      </c>
      <c r="B1002" s="33" t="s">
        <v>1649</v>
      </c>
      <c r="C1002" s="34" t="s">
        <v>1650</v>
      </c>
      <c r="D1002" s="78">
        <v>12615.03</v>
      </c>
      <c r="E1002" s="88">
        <f>VLOOKUP(A1002,'Previous week'!$A$3:$F$1765,6,FALSE)</f>
        <v>1</v>
      </c>
      <c r="F1002" s="22">
        <f t="shared" si="47"/>
        <v>0</v>
      </c>
      <c r="G1002" s="88">
        <f>VLOOKUP(A1002,'Current week'!$A$3:$F$1765,6,0)</f>
        <v>1</v>
      </c>
      <c r="H1002" s="104">
        <f t="shared" si="45"/>
        <v>12615.03</v>
      </c>
      <c r="I1002" s="104">
        <f t="shared" si="46"/>
        <v>0</v>
      </c>
      <c r="L1002" s="112"/>
    </row>
    <row r="1003" spans="1:12" x14ac:dyDescent="0.25">
      <c r="A1003" s="33" t="s">
        <v>3455</v>
      </c>
      <c r="B1003" s="33" t="s">
        <v>1651</v>
      </c>
      <c r="C1003" s="34" t="s">
        <v>1652</v>
      </c>
      <c r="D1003" s="78">
        <v>9461.27</v>
      </c>
      <c r="E1003" s="88">
        <f>VLOOKUP(A1003,'Previous week'!$A$3:$F$1765,6,FALSE)</f>
        <v>1</v>
      </c>
      <c r="F1003" s="22">
        <f t="shared" si="47"/>
        <v>0</v>
      </c>
      <c r="G1003" s="88">
        <f>VLOOKUP(A1003,'Current week'!$A$3:$F$1765,6,0)</f>
        <v>1</v>
      </c>
      <c r="H1003" s="104">
        <f t="shared" si="45"/>
        <v>9461.27</v>
      </c>
      <c r="I1003" s="104">
        <f t="shared" si="46"/>
        <v>0</v>
      </c>
      <c r="L1003" s="112"/>
    </row>
    <row r="1004" spans="1:12" x14ac:dyDescent="0.25">
      <c r="A1004" s="33" t="s">
        <v>3456</v>
      </c>
      <c r="B1004" s="33" t="s">
        <v>1653</v>
      </c>
      <c r="C1004" s="34"/>
      <c r="D1004" s="78">
        <v>7378530.3799999999</v>
      </c>
      <c r="E1004" s="88">
        <f>VLOOKUP(A1004,'Previous week'!$A$3:$F$1765,6,FALSE)</f>
        <v>1</v>
      </c>
      <c r="F1004" s="22">
        <f t="shared" si="47"/>
        <v>0</v>
      </c>
      <c r="G1004" s="88">
        <f>VLOOKUP(A1004,'Current week'!$A$3:$F$1765,6,0)</f>
        <v>1</v>
      </c>
      <c r="H1004" s="104">
        <f t="shared" si="45"/>
        <v>7378530.3799999999</v>
      </c>
      <c r="I1004" s="104">
        <f t="shared" si="46"/>
        <v>0</v>
      </c>
      <c r="L1004" s="112"/>
    </row>
    <row r="1005" spans="1:12" x14ac:dyDescent="0.25">
      <c r="A1005" s="23" t="s">
        <v>3457</v>
      </c>
      <c r="B1005" s="23" t="s">
        <v>1654</v>
      </c>
      <c r="C1005" s="24"/>
      <c r="D1005" s="71">
        <v>282577.06</v>
      </c>
      <c r="E1005" s="88">
        <f>VLOOKUP(A1005,'Previous week'!$A$3:$F$1765,6,FALSE)</f>
        <v>1</v>
      </c>
      <c r="F1005" s="22">
        <f t="shared" si="47"/>
        <v>0</v>
      </c>
      <c r="G1005" s="88">
        <f>VLOOKUP(A1005,'Current week'!$A$3:$F$1765,6,0)</f>
        <v>1</v>
      </c>
      <c r="H1005" s="102">
        <f t="shared" si="45"/>
        <v>282577.06</v>
      </c>
      <c r="I1005" s="102">
        <f t="shared" si="46"/>
        <v>0</v>
      </c>
      <c r="L1005" s="112"/>
    </row>
    <row r="1006" spans="1:12" x14ac:dyDescent="0.25">
      <c r="A1006" s="45" t="s">
        <v>3458</v>
      </c>
      <c r="B1006" s="45" t="s">
        <v>1655</v>
      </c>
      <c r="C1006" s="46" t="s">
        <v>1656</v>
      </c>
      <c r="D1006" s="75">
        <v>282577.06</v>
      </c>
      <c r="E1006" s="92"/>
      <c r="F1006" s="48">
        <f t="shared" si="47"/>
        <v>0</v>
      </c>
      <c r="G1006" s="92"/>
      <c r="H1006" s="106"/>
      <c r="I1006" s="106"/>
      <c r="L1006" s="112"/>
    </row>
    <row r="1007" spans="1:12" x14ac:dyDescent="0.25">
      <c r="A1007" s="19" t="s">
        <v>220</v>
      </c>
      <c r="B1007" s="19" t="s">
        <v>1657</v>
      </c>
      <c r="C1007" s="20"/>
      <c r="D1007" s="77">
        <v>7095953.3200000003</v>
      </c>
      <c r="E1007" s="88">
        <f>VLOOKUP(A1007,'Previous week'!$A$3:$F$1765,6,FALSE)</f>
        <v>1</v>
      </c>
      <c r="F1007" s="22">
        <f t="shared" si="47"/>
        <v>0</v>
      </c>
      <c r="G1007" s="88">
        <f>VLOOKUP(A1007,'Current week'!$A$3:$F$1765,6,0)</f>
        <v>1</v>
      </c>
      <c r="H1007" s="101">
        <f t="shared" si="45"/>
        <v>7095953.3200000003</v>
      </c>
      <c r="I1007" s="101">
        <f t="shared" si="46"/>
        <v>0</v>
      </c>
      <c r="L1007" s="112"/>
    </row>
    <row r="1008" spans="1:12" x14ac:dyDescent="0.25">
      <c r="A1008" s="33" t="s">
        <v>3459</v>
      </c>
      <c r="B1008" s="33" t="s">
        <v>1658</v>
      </c>
      <c r="C1008" s="34" t="s">
        <v>1659</v>
      </c>
      <c r="D1008" s="78">
        <v>1013707.62</v>
      </c>
      <c r="E1008" s="88">
        <f>VLOOKUP(A1008,'Previous week'!$A$3:$F$1765,6,FALSE)</f>
        <v>1</v>
      </c>
      <c r="F1008" s="22">
        <f t="shared" si="47"/>
        <v>0</v>
      </c>
      <c r="G1008" s="88">
        <f>VLOOKUP(A1008,'Current week'!$A$3:$F$1765,6,0)</f>
        <v>1</v>
      </c>
      <c r="H1008" s="104">
        <f t="shared" si="45"/>
        <v>1013707.62</v>
      </c>
      <c r="I1008" s="104">
        <f t="shared" si="46"/>
        <v>0</v>
      </c>
      <c r="L1008" s="112"/>
    </row>
    <row r="1009" spans="1:12" x14ac:dyDescent="0.25">
      <c r="A1009" s="33" t="s">
        <v>3460</v>
      </c>
      <c r="B1009" s="33" t="s">
        <v>1660</v>
      </c>
      <c r="C1009" s="34" t="s">
        <v>1661</v>
      </c>
      <c r="D1009" s="78">
        <v>1013707.62</v>
      </c>
      <c r="E1009" s="88">
        <f>VLOOKUP(A1009,'Previous week'!$A$3:$F$1765,6,FALSE)</f>
        <v>1</v>
      </c>
      <c r="F1009" s="22">
        <f t="shared" si="47"/>
        <v>0</v>
      </c>
      <c r="G1009" s="88">
        <f>VLOOKUP(A1009,'Current week'!$A$3:$F$1765,6,0)</f>
        <v>1</v>
      </c>
      <c r="H1009" s="104">
        <f t="shared" si="45"/>
        <v>1013707.62</v>
      </c>
      <c r="I1009" s="104">
        <f t="shared" si="46"/>
        <v>0</v>
      </c>
      <c r="L1009" s="112"/>
    </row>
    <row r="1010" spans="1:12" x14ac:dyDescent="0.25">
      <c r="A1010" s="33" t="s">
        <v>3461</v>
      </c>
      <c r="B1010" s="33" t="s">
        <v>1662</v>
      </c>
      <c r="C1010" s="34" t="s">
        <v>1663</v>
      </c>
      <c r="D1010" s="78">
        <v>1013707.62</v>
      </c>
      <c r="E1010" s="88">
        <f>VLOOKUP(A1010,'Previous week'!$A$3:$F$1765,6,FALSE)</f>
        <v>1</v>
      </c>
      <c r="F1010" s="22">
        <f t="shared" si="47"/>
        <v>0</v>
      </c>
      <c r="G1010" s="88">
        <f>VLOOKUP(A1010,'Current week'!$A$3:$F$1765,6,0)</f>
        <v>1</v>
      </c>
      <c r="H1010" s="104">
        <f t="shared" si="45"/>
        <v>1013707.62</v>
      </c>
      <c r="I1010" s="104">
        <f t="shared" si="46"/>
        <v>0</v>
      </c>
      <c r="L1010" s="112"/>
    </row>
    <row r="1011" spans="1:12" x14ac:dyDescent="0.25">
      <c r="A1011" s="33" t="s">
        <v>3462</v>
      </c>
      <c r="B1011" s="33" t="s">
        <v>1664</v>
      </c>
      <c r="C1011" s="34" t="s">
        <v>1665</v>
      </c>
      <c r="D1011" s="78">
        <v>1013707.62</v>
      </c>
      <c r="E1011" s="88">
        <f>VLOOKUP(A1011,'Previous week'!$A$3:$F$1765,6,FALSE)</f>
        <v>1</v>
      </c>
      <c r="F1011" s="22">
        <f t="shared" si="47"/>
        <v>0</v>
      </c>
      <c r="G1011" s="88">
        <f>VLOOKUP(A1011,'Current week'!$A$3:$F$1765,6,0)</f>
        <v>1</v>
      </c>
      <c r="H1011" s="104">
        <f t="shared" si="45"/>
        <v>1013707.62</v>
      </c>
      <c r="I1011" s="104">
        <f t="shared" si="46"/>
        <v>0</v>
      </c>
      <c r="L1011" s="112"/>
    </row>
    <row r="1012" spans="1:12" x14ac:dyDescent="0.25">
      <c r="A1012" s="23" t="s">
        <v>3463</v>
      </c>
      <c r="B1012" s="23" t="s">
        <v>1666</v>
      </c>
      <c r="C1012" s="24" t="s">
        <v>1667</v>
      </c>
      <c r="D1012" s="71">
        <v>1013707.62</v>
      </c>
      <c r="E1012" s="88">
        <f>VLOOKUP(A1012,'Previous week'!$A$3:$F$1765,6,FALSE)</f>
        <v>1</v>
      </c>
      <c r="F1012" s="22">
        <f t="shared" si="47"/>
        <v>0</v>
      </c>
      <c r="G1012" s="88">
        <f>VLOOKUP(A1012,'Current week'!$A$3:$F$1765,6,0)</f>
        <v>1</v>
      </c>
      <c r="H1012" s="102">
        <f t="shared" si="45"/>
        <v>1013707.62</v>
      </c>
      <c r="I1012" s="102">
        <f t="shared" si="46"/>
        <v>0</v>
      </c>
      <c r="L1012" s="112"/>
    </row>
    <row r="1013" spans="1:12" x14ac:dyDescent="0.25">
      <c r="A1013" s="45" t="s">
        <v>3464</v>
      </c>
      <c r="B1013" s="45" t="s">
        <v>1668</v>
      </c>
      <c r="C1013" s="46" t="s">
        <v>1669</v>
      </c>
      <c r="D1013" s="75">
        <v>1013707.62</v>
      </c>
      <c r="E1013" s="92"/>
      <c r="F1013" s="48">
        <f t="shared" si="47"/>
        <v>0</v>
      </c>
      <c r="G1013" s="92"/>
      <c r="H1013" s="106"/>
      <c r="I1013" s="106"/>
      <c r="L1013" s="112"/>
    </row>
    <row r="1014" spans="1:12" x14ac:dyDescent="0.25">
      <c r="A1014" s="19" t="s">
        <v>3465</v>
      </c>
      <c r="B1014" s="19" t="s">
        <v>1670</v>
      </c>
      <c r="C1014" s="20" t="s">
        <v>1671</v>
      </c>
      <c r="D1014" s="77">
        <v>1013707.62</v>
      </c>
      <c r="E1014" s="88">
        <f>VLOOKUP(A1014,'Previous week'!$A$3:$F$1765,6,FALSE)</f>
        <v>0.6</v>
      </c>
      <c r="F1014" s="22">
        <f t="shared" si="47"/>
        <v>0.15000000000000002</v>
      </c>
      <c r="G1014" s="88">
        <f>VLOOKUP(A1014,'Current week'!$A$3:$F$1765,6,0)</f>
        <v>0.75</v>
      </c>
      <c r="H1014" s="101">
        <f t="shared" si="45"/>
        <v>760280.71499999997</v>
      </c>
      <c r="I1014" s="101">
        <f t="shared" si="46"/>
        <v>152056.14300000001</v>
      </c>
      <c r="L1014" s="112"/>
    </row>
    <row r="1015" spans="1:12" x14ac:dyDescent="0.25">
      <c r="A1015" s="33" t="s">
        <v>3466</v>
      </c>
      <c r="B1015" s="33" t="s">
        <v>1672</v>
      </c>
      <c r="C1015" s="34"/>
      <c r="D1015" s="78">
        <v>27459419.739999998</v>
      </c>
      <c r="E1015" s="88">
        <f>VLOOKUP(A1015,'Previous week'!$A$3:$F$1765,6,FALSE)</f>
        <v>0.99760000000000004</v>
      </c>
      <c r="F1015" s="22">
        <f t="shared" si="47"/>
        <v>1.5999999999999348E-3</v>
      </c>
      <c r="G1015" s="88">
        <f>VLOOKUP(A1015,'Current week'!$A$3:$F$1765,6,0)</f>
        <v>0.99919999999999998</v>
      </c>
      <c r="H1015" s="104">
        <f t="shared" si="45"/>
        <v>27437452.204207998</v>
      </c>
      <c r="I1015" s="104">
        <f t="shared" si="46"/>
        <v>43935.071583998208</v>
      </c>
      <c r="L1015" s="112"/>
    </row>
    <row r="1016" spans="1:12" x14ac:dyDescent="0.25">
      <c r="A1016" s="33" t="s">
        <v>3467</v>
      </c>
      <c r="B1016" s="33" t="s">
        <v>1673</v>
      </c>
      <c r="C1016" s="34"/>
      <c r="D1016" s="78">
        <v>5771861.7400000002</v>
      </c>
      <c r="E1016" s="88">
        <f>VLOOKUP(A1016,'Previous week'!$A$3:$F$1765,6,FALSE)</f>
        <v>1</v>
      </c>
      <c r="F1016" s="22">
        <f t="shared" si="47"/>
        <v>0</v>
      </c>
      <c r="G1016" s="88">
        <f>VLOOKUP(A1016,'Current week'!$A$3:$F$1765,6,0)</f>
        <v>1</v>
      </c>
      <c r="H1016" s="104">
        <f t="shared" si="45"/>
        <v>5771861.7400000002</v>
      </c>
      <c r="I1016" s="104">
        <f t="shared" si="46"/>
        <v>0</v>
      </c>
      <c r="L1016" s="112"/>
    </row>
    <row r="1017" spans="1:12" x14ac:dyDescent="0.25">
      <c r="A1017" s="33" t="s">
        <v>3468</v>
      </c>
      <c r="B1017" s="33" t="s">
        <v>1674</v>
      </c>
      <c r="C1017" s="34"/>
      <c r="D1017" s="78">
        <v>499321.73</v>
      </c>
      <c r="E1017" s="88">
        <f>VLOOKUP(A1017,'Previous week'!$A$3:$F$1765,6,FALSE)</f>
        <v>1</v>
      </c>
      <c r="F1017" s="22">
        <f t="shared" si="47"/>
        <v>0</v>
      </c>
      <c r="G1017" s="88">
        <f>VLOOKUP(A1017,'Current week'!$A$3:$F$1765,6,0)</f>
        <v>1</v>
      </c>
      <c r="H1017" s="104">
        <f t="shared" ref="H1017:H1078" si="48">G1017*D1017</f>
        <v>499321.73</v>
      </c>
      <c r="I1017" s="104">
        <f t="shared" ref="I1017:I1078" si="49">F1017*D1017</f>
        <v>0</v>
      </c>
      <c r="L1017" s="112"/>
    </row>
    <row r="1018" spans="1:12" x14ac:dyDescent="0.25">
      <c r="A1018" s="33" t="s">
        <v>3469</v>
      </c>
      <c r="B1018" s="33" t="s">
        <v>1675</v>
      </c>
      <c r="C1018" s="34" t="s">
        <v>1676</v>
      </c>
      <c r="D1018" s="78">
        <v>47552.35</v>
      </c>
      <c r="E1018" s="88">
        <f>VLOOKUP(A1018,'Previous week'!$A$3:$F$1765,6,FALSE)</f>
        <v>1</v>
      </c>
      <c r="F1018" s="22">
        <f t="shared" ref="F1018:F1079" si="50">G1018-E1018</f>
        <v>0</v>
      </c>
      <c r="G1018" s="88">
        <f>VLOOKUP(A1018,'Current week'!$A$3:$F$1765,6,0)</f>
        <v>1</v>
      </c>
      <c r="H1018" s="104">
        <f t="shared" si="48"/>
        <v>47552.35</v>
      </c>
      <c r="I1018" s="104">
        <f t="shared" si="49"/>
        <v>0</v>
      </c>
      <c r="L1018" s="112"/>
    </row>
    <row r="1019" spans="1:12" x14ac:dyDescent="0.25">
      <c r="A1019" s="23" t="s">
        <v>3470</v>
      </c>
      <c r="B1019" s="23" t="s">
        <v>1677</v>
      </c>
      <c r="C1019" s="24" t="s">
        <v>1678</v>
      </c>
      <c r="D1019" s="71">
        <v>30578.83</v>
      </c>
      <c r="E1019" s="88">
        <f>VLOOKUP(A1019,'Previous week'!$A$3:$F$1765,6,FALSE)</f>
        <v>1</v>
      </c>
      <c r="F1019" s="22">
        <f t="shared" si="50"/>
        <v>0</v>
      </c>
      <c r="G1019" s="88">
        <f>VLOOKUP(A1019,'Current week'!$A$3:$F$1765,6,0)</f>
        <v>1</v>
      </c>
      <c r="H1019" s="102">
        <f t="shared" si="48"/>
        <v>30578.83</v>
      </c>
      <c r="I1019" s="102">
        <f t="shared" si="49"/>
        <v>0</v>
      </c>
      <c r="L1019" s="112"/>
    </row>
    <row r="1020" spans="1:12" x14ac:dyDescent="0.25">
      <c r="A1020" s="45" t="s">
        <v>3471</v>
      </c>
      <c r="B1020" s="45" t="s">
        <v>1679</v>
      </c>
      <c r="C1020" s="46" t="s">
        <v>1680</v>
      </c>
      <c r="D1020" s="75">
        <v>19679.439999999999</v>
      </c>
      <c r="E1020" s="92"/>
      <c r="F1020" s="48">
        <f t="shared" si="50"/>
        <v>0</v>
      </c>
      <c r="G1020" s="92"/>
      <c r="H1020" s="106"/>
      <c r="I1020" s="106"/>
      <c r="L1020" s="112"/>
    </row>
    <row r="1021" spans="1:12" x14ac:dyDescent="0.25">
      <c r="A1021" s="36" t="s">
        <v>3472</v>
      </c>
      <c r="B1021" s="36" t="s">
        <v>1681</v>
      </c>
      <c r="C1021" s="37" t="s">
        <v>1682</v>
      </c>
      <c r="D1021" s="79">
        <v>169041.38</v>
      </c>
      <c r="E1021" s="88">
        <f>VLOOKUP(A1021,'Previous week'!$A$3:$F$1765,6,FALSE)</f>
        <v>1</v>
      </c>
      <c r="F1021" s="22">
        <f t="shared" si="50"/>
        <v>0</v>
      </c>
      <c r="G1021" s="88">
        <f>VLOOKUP(A1021,'Current week'!$A$3:$F$1765,6,0)</f>
        <v>1</v>
      </c>
      <c r="H1021" s="105">
        <f t="shared" si="48"/>
        <v>169041.38</v>
      </c>
      <c r="I1021" s="105">
        <f t="shared" si="49"/>
        <v>0</v>
      </c>
      <c r="L1021" s="112"/>
    </row>
    <row r="1022" spans="1:12" x14ac:dyDescent="0.25">
      <c r="A1022" s="45" t="s">
        <v>3473</v>
      </c>
      <c r="B1022" s="45" t="s">
        <v>1683</v>
      </c>
      <c r="C1022" s="46" t="s">
        <v>1684</v>
      </c>
      <c r="D1022" s="75">
        <v>232469.74</v>
      </c>
      <c r="E1022" s="92"/>
      <c r="F1022" s="48">
        <f t="shared" si="50"/>
        <v>0</v>
      </c>
      <c r="G1022" s="92"/>
      <c r="H1022" s="106"/>
      <c r="I1022" s="106"/>
      <c r="L1022" s="112"/>
    </row>
    <row r="1023" spans="1:12" x14ac:dyDescent="0.25">
      <c r="A1023" s="36" t="s">
        <v>3474</v>
      </c>
      <c r="B1023" s="36" t="s">
        <v>1685</v>
      </c>
      <c r="C1023" s="37"/>
      <c r="D1023" s="79">
        <v>3655858.23</v>
      </c>
      <c r="E1023" s="88">
        <f>VLOOKUP(A1023,'Previous week'!$A$3:$F$1765,6,FALSE)</f>
        <v>1</v>
      </c>
      <c r="F1023" s="22">
        <f t="shared" si="50"/>
        <v>0</v>
      </c>
      <c r="G1023" s="88">
        <f>VLOOKUP(A1023,'Current week'!$A$3:$F$1765,6,0)</f>
        <v>1</v>
      </c>
      <c r="H1023" s="105">
        <f t="shared" si="48"/>
        <v>3655858.23</v>
      </c>
      <c r="I1023" s="105">
        <f t="shared" si="49"/>
        <v>0</v>
      </c>
      <c r="L1023" s="112"/>
    </row>
    <row r="1024" spans="1:12" x14ac:dyDescent="0.25">
      <c r="A1024" s="45" t="s">
        <v>3475</v>
      </c>
      <c r="B1024" s="45" t="s">
        <v>1686</v>
      </c>
      <c r="C1024" s="46"/>
      <c r="D1024" s="75">
        <v>1552909.29</v>
      </c>
      <c r="E1024" s="92"/>
      <c r="F1024" s="48">
        <f t="shared" si="50"/>
        <v>0</v>
      </c>
      <c r="G1024" s="92"/>
      <c r="H1024" s="106"/>
      <c r="I1024" s="106"/>
      <c r="L1024" s="112"/>
    </row>
    <row r="1025" spans="1:12" x14ac:dyDescent="0.25">
      <c r="A1025" s="36" t="s">
        <v>3476</v>
      </c>
      <c r="B1025" s="36" t="s">
        <v>1687</v>
      </c>
      <c r="C1025" s="37" t="s">
        <v>1688</v>
      </c>
      <c r="D1025" s="79">
        <v>35021.89</v>
      </c>
      <c r="E1025" s="88">
        <f>VLOOKUP(A1025,'Previous week'!$A$3:$F$1765,6,FALSE)</f>
        <v>1</v>
      </c>
      <c r="F1025" s="22">
        <f t="shared" si="50"/>
        <v>0</v>
      </c>
      <c r="G1025" s="88">
        <f>VLOOKUP(A1025,'Current week'!$A$3:$F$1765,6,0)</f>
        <v>1</v>
      </c>
      <c r="H1025" s="105">
        <f t="shared" si="48"/>
        <v>35021.89</v>
      </c>
      <c r="I1025" s="105">
        <f t="shared" si="49"/>
        <v>0</v>
      </c>
      <c r="L1025" s="112"/>
    </row>
    <row r="1026" spans="1:12" x14ac:dyDescent="0.25">
      <c r="A1026" s="45" t="s">
        <v>3477</v>
      </c>
      <c r="B1026" s="45" t="s">
        <v>1689</v>
      </c>
      <c r="C1026" s="46" t="s">
        <v>1690</v>
      </c>
      <c r="D1026" s="75">
        <v>1378806.79</v>
      </c>
      <c r="E1026" s="92"/>
      <c r="F1026" s="48">
        <f t="shared" si="50"/>
        <v>0</v>
      </c>
      <c r="G1026" s="92"/>
      <c r="H1026" s="106"/>
      <c r="I1026" s="106"/>
      <c r="L1026" s="112"/>
    </row>
    <row r="1027" spans="1:12" x14ac:dyDescent="0.25">
      <c r="A1027" s="36" t="s">
        <v>3478</v>
      </c>
      <c r="B1027" s="36" t="s">
        <v>1691</v>
      </c>
      <c r="C1027" s="37" t="s">
        <v>1692</v>
      </c>
      <c r="D1027" s="79">
        <v>139080.6</v>
      </c>
      <c r="E1027" s="88">
        <f>VLOOKUP(A1027,'Previous week'!$A$3:$F$1765,6,FALSE)</f>
        <v>1</v>
      </c>
      <c r="F1027" s="22">
        <f t="shared" si="50"/>
        <v>0</v>
      </c>
      <c r="G1027" s="88">
        <f>VLOOKUP(A1027,'Current week'!$A$3:$F$1765,6,0)</f>
        <v>1</v>
      </c>
      <c r="H1027" s="105">
        <f t="shared" si="48"/>
        <v>139080.6</v>
      </c>
      <c r="I1027" s="105">
        <f t="shared" si="49"/>
        <v>0</v>
      </c>
      <c r="L1027" s="112"/>
    </row>
    <row r="1028" spans="1:12" x14ac:dyDescent="0.25">
      <c r="A1028" s="45" t="s">
        <v>3479</v>
      </c>
      <c r="B1028" s="45" t="s">
        <v>1693</v>
      </c>
      <c r="C1028" s="46"/>
      <c r="D1028" s="75">
        <v>931597.74</v>
      </c>
      <c r="E1028" s="92"/>
      <c r="F1028" s="48">
        <f t="shared" si="50"/>
        <v>0</v>
      </c>
      <c r="G1028" s="92"/>
      <c r="H1028" s="106"/>
      <c r="I1028" s="106"/>
      <c r="L1028" s="112"/>
    </row>
    <row r="1029" spans="1:12" x14ac:dyDescent="0.25">
      <c r="A1029" s="36" t="s">
        <v>3480</v>
      </c>
      <c r="B1029" s="36" t="s">
        <v>1694</v>
      </c>
      <c r="C1029" s="37" t="s">
        <v>1695</v>
      </c>
      <c r="D1029" s="79">
        <v>141644.69</v>
      </c>
      <c r="E1029" s="88">
        <f>VLOOKUP(A1029,'Previous week'!$A$3:$F$1765,6,FALSE)</f>
        <v>1</v>
      </c>
      <c r="F1029" s="22">
        <f t="shared" si="50"/>
        <v>0</v>
      </c>
      <c r="G1029" s="88">
        <f>VLOOKUP(A1029,'Current week'!$A$3:$F$1765,6,0)</f>
        <v>1</v>
      </c>
      <c r="H1029" s="105">
        <f t="shared" si="48"/>
        <v>141644.69</v>
      </c>
      <c r="I1029" s="105">
        <f t="shared" si="49"/>
        <v>0</v>
      </c>
      <c r="L1029" s="112"/>
    </row>
    <row r="1030" spans="1:12" x14ac:dyDescent="0.25">
      <c r="A1030" s="45" t="s">
        <v>3481</v>
      </c>
      <c r="B1030" s="45" t="s">
        <v>1696</v>
      </c>
      <c r="C1030" s="46" t="s">
        <v>1697</v>
      </c>
      <c r="D1030" s="75">
        <v>78995.31</v>
      </c>
      <c r="E1030" s="92"/>
      <c r="F1030" s="48">
        <f t="shared" si="50"/>
        <v>0</v>
      </c>
      <c r="G1030" s="92"/>
      <c r="H1030" s="106"/>
      <c r="I1030" s="106"/>
      <c r="L1030" s="112"/>
    </row>
    <row r="1031" spans="1:12" x14ac:dyDescent="0.25">
      <c r="A1031" s="36" t="s">
        <v>3482</v>
      </c>
      <c r="B1031" s="36" t="s">
        <v>1698</v>
      </c>
      <c r="C1031" s="37" t="s">
        <v>1699</v>
      </c>
      <c r="D1031" s="79">
        <v>710957.75</v>
      </c>
      <c r="E1031" s="88">
        <f>VLOOKUP(A1031,'Previous week'!$A$3:$F$1765,6,FALSE)</f>
        <v>1</v>
      </c>
      <c r="F1031" s="22">
        <f t="shared" si="50"/>
        <v>0</v>
      </c>
      <c r="G1031" s="88">
        <f>VLOOKUP(A1031,'Current week'!$A$3:$F$1765,6,0)</f>
        <v>1</v>
      </c>
      <c r="H1031" s="105">
        <f t="shared" si="48"/>
        <v>710957.75</v>
      </c>
      <c r="I1031" s="105">
        <f t="shared" si="49"/>
        <v>0</v>
      </c>
      <c r="L1031" s="112"/>
    </row>
    <row r="1032" spans="1:12" x14ac:dyDescent="0.25">
      <c r="A1032" s="45" t="s">
        <v>3483</v>
      </c>
      <c r="B1032" s="45" t="s">
        <v>1700</v>
      </c>
      <c r="C1032" s="46"/>
      <c r="D1032" s="75">
        <v>1171351.21</v>
      </c>
      <c r="E1032" s="92"/>
      <c r="F1032" s="48">
        <f t="shared" si="50"/>
        <v>0</v>
      </c>
      <c r="G1032" s="92"/>
      <c r="H1032" s="106"/>
      <c r="I1032" s="106"/>
      <c r="L1032" s="112"/>
    </row>
    <row r="1033" spans="1:12" x14ac:dyDescent="0.25">
      <c r="A1033" s="36" t="s">
        <v>3484</v>
      </c>
      <c r="B1033" s="36" t="s">
        <v>1701</v>
      </c>
      <c r="C1033" s="37"/>
      <c r="D1033" s="79">
        <v>418188.18</v>
      </c>
      <c r="E1033" s="88">
        <f>VLOOKUP(A1033,'Previous week'!$A$3:$F$1765,6,FALSE)</f>
        <v>1</v>
      </c>
      <c r="F1033" s="22">
        <f t="shared" si="50"/>
        <v>0</v>
      </c>
      <c r="G1033" s="88">
        <f>VLOOKUP(A1033,'Current week'!$A$3:$F$1765,6,0)</f>
        <v>1</v>
      </c>
      <c r="H1033" s="105">
        <f t="shared" si="48"/>
        <v>418188.18</v>
      </c>
      <c r="I1033" s="105">
        <f t="shared" si="49"/>
        <v>0</v>
      </c>
      <c r="L1033" s="112"/>
    </row>
    <row r="1034" spans="1:12" x14ac:dyDescent="0.25">
      <c r="A1034" s="45" t="s">
        <v>3485</v>
      </c>
      <c r="B1034" s="45" t="s">
        <v>1702</v>
      </c>
      <c r="C1034" s="46" t="s">
        <v>1703</v>
      </c>
      <c r="D1034" s="75">
        <v>41818.82</v>
      </c>
      <c r="E1034" s="92"/>
      <c r="F1034" s="48">
        <f t="shared" si="50"/>
        <v>0</v>
      </c>
      <c r="G1034" s="92"/>
      <c r="H1034" s="106"/>
      <c r="I1034" s="106"/>
      <c r="L1034" s="112"/>
    </row>
    <row r="1035" spans="1:12" x14ac:dyDescent="0.25">
      <c r="A1035" s="36" t="s">
        <v>3486</v>
      </c>
      <c r="B1035" s="36" t="s">
        <v>1704</v>
      </c>
      <c r="C1035" s="37" t="s">
        <v>1705</v>
      </c>
      <c r="D1035" s="79">
        <v>376369.36</v>
      </c>
      <c r="E1035" s="88">
        <f>VLOOKUP(A1035,'Previous week'!$A$3:$F$1765,6,FALSE)</f>
        <v>1</v>
      </c>
      <c r="F1035" s="22">
        <f t="shared" si="50"/>
        <v>0</v>
      </c>
      <c r="G1035" s="88">
        <f>VLOOKUP(A1035,'Current week'!$A$3:$F$1765,6,0)</f>
        <v>1</v>
      </c>
      <c r="H1035" s="105">
        <f t="shared" si="48"/>
        <v>376369.36</v>
      </c>
      <c r="I1035" s="105">
        <f t="shared" si="49"/>
        <v>0</v>
      </c>
      <c r="L1035" s="112"/>
    </row>
    <row r="1036" spans="1:12" x14ac:dyDescent="0.25">
      <c r="A1036" s="45" t="s">
        <v>3487</v>
      </c>
      <c r="B1036" s="45" t="s">
        <v>1706</v>
      </c>
      <c r="C1036" s="46"/>
      <c r="D1036" s="75">
        <v>260761.75</v>
      </c>
      <c r="E1036" s="92"/>
      <c r="F1036" s="48">
        <f t="shared" si="50"/>
        <v>0</v>
      </c>
      <c r="G1036" s="92"/>
      <c r="H1036" s="106"/>
      <c r="I1036" s="106"/>
      <c r="L1036" s="112"/>
    </row>
    <row r="1037" spans="1:12" x14ac:dyDescent="0.25">
      <c r="A1037" s="36" t="s">
        <v>3488</v>
      </c>
      <c r="B1037" s="36" t="s">
        <v>1707</v>
      </c>
      <c r="C1037" s="37" t="s">
        <v>1708</v>
      </c>
      <c r="D1037" s="79">
        <v>260761.75</v>
      </c>
      <c r="E1037" s="88">
        <f>VLOOKUP(A1037,'Previous week'!$A$3:$F$1765,6,FALSE)</f>
        <v>1</v>
      </c>
      <c r="F1037" s="22">
        <f t="shared" si="50"/>
        <v>0</v>
      </c>
      <c r="G1037" s="88">
        <f>VLOOKUP(A1037,'Current week'!$A$3:$F$1765,6,0)</f>
        <v>1</v>
      </c>
      <c r="H1037" s="105">
        <f t="shared" si="48"/>
        <v>260761.75</v>
      </c>
      <c r="I1037" s="105">
        <f t="shared" si="49"/>
        <v>0</v>
      </c>
      <c r="L1037" s="112"/>
    </row>
    <row r="1038" spans="1:12" x14ac:dyDescent="0.25">
      <c r="A1038" s="41" t="s">
        <v>3489</v>
      </c>
      <c r="B1038" s="41" t="s">
        <v>1709</v>
      </c>
      <c r="C1038" s="42"/>
      <c r="D1038" s="66">
        <v>247979.91</v>
      </c>
      <c r="E1038" s="91"/>
      <c r="F1038" s="44">
        <f t="shared" si="50"/>
        <v>0</v>
      </c>
      <c r="G1038" s="91"/>
      <c r="H1038" s="103"/>
      <c r="I1038" s="103"/>
      <c r="L1038" s="112"/>
    </row>
    <row r="1039" spans="1:12" x14ac:dyDescent="0.25">
      <c r="A1039" s="45" t="s">
        <v>3490</v>
      </c>
      <c r="B1039" s="45" t="s">
        <v>1710</v>
      </c>
      <c r="C1039" s="46" t="s">
        <v>1711</v>
      </c>
      <c r="D1039" s="75">
        <v>247979.91</v>
      </c>
      <c r="E1039" s="92"/>
      <c r="F1039" s="48">
        <f t="shared" si="50"/>
        <v>0</v>
      </c>
      <c r="G1039" s="92"/>
      <c r="H1039" s="106"/>
      <c r="I1039" s="106"/>
      <c r="L1039" s="112"/>
    </row>
    <row r="1040" spans="1:12" x14ac:dyDescent="0.25">
      <c r="A1040" s="19" t="s">
        <v>2781</v>
      </c>
      <c r="B1040" s="19" t="s">
        <v>1712</v>
      </c>
      <c r="C1040" s="20"/>
      <c r="D1040" s="21">
        <v>70108.710000000006</v>
      </c>
      <c r="E1040" s="88">
        <f>VLOOKUP(A1040,'Previous week'!$A$3:$F$1765,6,FALSE)</f>
        <v>0</v>
      </c>
      <c r="F1040" s="22">
        <f t="shared" si="50"/>
        <v>0</v>
      </c>
      <c r="G1040" s="88">
        <f>VLOOKUP(A1040,'Current week'!$A$3:$F$1765,6,0)</f>
        <v>0</v>
      </c>
      <c r="H1040" s="101">
        <f t="shared" si="48"/>
        <v>0</v>
      </c>
      <c r="I1040" s="101">
        <f t="shared" si="49"/>
        <v>0</v>
      </c>
      <c r="L1040" s="112"/>
    </row>
    <row r="1041" spans="1:12" x14ac:dyDescent="0.25">
      <c r="A1041" s="33" t="s">
        <v>3491</v>
      </c>
      <c r="B1041" s="33" t="s">
        <v>1713</v>
      </c>
      <c r="C1041" s="34" t="s">
        <v>1714</v>
      </c>
      <c r="D1041" s="78">
        <v>70108.710000000006</v>
      </c>
      <c r="E1041" s="88">
        <f>VLOOKUP(A1041,'Previous week'!$A$3:$F$1765,6,FALSE)</f>
        <v>1</v>
      </c>
      <c r="F1041" s="22">
        <f t="shared" si="50"/>
        <v>0</v>
      </c>
      <c r="G1041" s="88">
        <f>VLOOKUP(A1041,'Current week'!$A$3:$F$1765,6,0)</f>
        <v>1</v>
      </c>
      <c r="H1041" s="104">
        <f t="shared" si="48"/>
        <v>70108.710000000006</v>
      </c>
      <c r="I1041" s="104">
        <f t="shared" si="49"/>
        <v>0</v>
      </c>
      <c r="L1041" s="112"/>
    </row>
    <row r="1042" spans="1:12" x14ac:dyDescent="0.25">
      <c r="A1042" s="33" t="s">
        <v>3492</v>
      </c>
      <c r="B1042" s="33" t="s">
        <v>1715</v>
      </c>
      <c r="C1042" s="34"/>
      <c r="D1042" s="35">
        <v>119121.91</v>
      </c>
      <c r="E1042" s="88">
        <f>VLOOKUP(A1042,'Previous week'!$A$3:$F$1765,6,FALSE)</f>
        <v>1</v>
      </c>
      <c r="F1042" s="22">
        <f t="shared" si="50"/>
        <v>0</v>
      </c>
      <c r="G1042" s="88">
        <f>VLOOKUP(A1042,'Current week'!$A$3:$F$1765,6,0)</f>
        <v>1</v>
      </c>
      <c r="H1042" s="104">
        <f t="shared" si="48"/>
        <v>119121.91</v>
      </c>
      <c r="I1042" s="104">
        <f t="shared" si="49"/>
        <v>0</v>
      </c>
      <c r="L1042" s="112"/>
    </row>
    <row r="1043" spans="1:12" x14ac:dyDescent="0.25">
      <c r="A1043" s="33" t="s">
        <v>3493</v>
      </c>
      <c r="B1043" s="33" t="s">
        <v>1716</v>
      </c>
      <c r="C1043" s="34" t="s">
        <v>1717</v>
      </c>
      <c r="D1043" s="78">
        <v>119121.91</v>
      </c>
      <c r="E1043" s="88">
        <f>VLOOKUP(A1043,'Previous week'!$A$3:$F$1765,6,FALSE)</f>
        <v>1</v>
      </c>
      <c r="F1043" s="22">
        <f t="shared" si="50"/>
        <v>0</v>
      </c>
      <c r="G1043" s="88">
        <f>VLOOKUP(A1043,'Current week'!$A$3:$F$1765,6,0)</f>
        <v>1</v>
      </c>
      <c r="H1043" s="104">
        <f t="shared" si="48"/>
        <v>119121.91</v>
      </c>
      <c r="I1043" s="104">
        <f t="shared" si="49"/>
        <v>0</v>
      </c>
      <c r="L1043" s="112"/>
    </row>
    <row r="1044" spans="1:12" x14ac:dyDescent="0.25">
      <c r="A1044" s="33" t="s">
        <v>3494</v>
      </c>
      <c r="B1044" s="33" t="s">
        <v>1718</v>
      </c>
      <c r="C1044" s="34"/>
      <c r="D1044" s="35">
        <v>55190.75</v>
      </c>
      <c r="E1044" s="88">
        <f>VLOOKUP(A1044,'Previous week'!$A$3:$F$1765,6,FALSE)</f>
        <v>1</v>
      </c>
      <c r="F1044" s="22">
        <f t="shared" si="50"/>
        <v>0</v>
      </c>
      <c r="G1044" s="88">
        <f>VLOOKUP(A1044,'Current week'!$A$3:$F$1765,6,0)</f>
        <v>1</v>
      </c>
      <c r="H1044" s="104">
        <f t="shared" si="48"/>
        <v>55190.75</v>
      </c>
      <c r="I1044" s="104">
        <f t="shared" si="49"/>
        <v>0</v>
      </c>
      <c r="L1044" s="112"/>
    </row>
    <row r="1045" spans="1:12" x14ac:dyDescent="0.25">
      <c r="A1045" s="23" t="s">
        <v>3495</v>
      </c>
      <c r="B1045" s="23" t="s">
        <v>1719</v>
      </c>
      <c r="C1045" s="24" t="s">
        <v>1720</v>
      </c>
      <c r="D1045" s="71">
        <v>55190.75</v>
      </c>
      <c r="E1045" s="88">
        <f>VLOOKUP(A1045,'Previous week'!$A$3:$F$1765,6,FALSE)</f>
        <v>1</v>
      </c>
      <c r="F1045" s="22">
        <f t="shared" si="50"/>
        <v>0</v>
      </c>
      <c r="G1045" s="88">
        <f>VLOOKUP(A1045,'Current week'!$A$3:$F$1765,6,0)</f>
        <v>1</v>
      </c>
      <c r="H1045" s="102">
        <f t="shared" si="48"/>
        <v>55190.75</v>
      </c>
      <c r="I1045" s="102">
        <f t="shared" si="49"/>
        <v>0</v>
      </c>
      <c r="L1045" s="112"/>
    </row>
    <row r="1046" spans="1:12" x14ac:dyDescent="0.25">
      <c r="A1046" s="45" t="s">
        <v>3496</v>
      </c>
      <c r="B1046" s="45" t="s">
        <v>1721</v>
      </c>
      <c r="C1046" s="46"/>
      <c r="D1046" s="75">
        <v>615872.64</v>
      </c>
      <c r="E1046" s="92"/>
      <c r="F1046" s="48">
        <f t="shared" si="50"/>
        <v>0</v>
      </c>
      <c r="G1046" s="92"/>
      <c r="H1046" s="106"/>
      <c r="I1046" s="106"/>
      <c r="L1046" s="112"/>
    </row>
    <row r="1047" spans="1:12" x14ac:dyDescent="0.25">
      <c r="A1047" s="19" t="s">
        <v>3497</v>
      </c>
      <c r="B1047" s="19" t="s">
        <v>1722</v>
      </c>
      <c r="C1047" s="20"/>
      <c r="D1047" s="77">
        <v>372595.5</v>
      </c>
      <c r="E1047" s="88">
        <f>VLOOKUP(A1047,'Previous week'!$A$3:$F$1765,6,FALSE)</f>
        <v>1</v>
      </c>
      <c r="F1047" s="22">
        <f t="shared" si="50"/>
        <v>0</v>
      </c>
      <c r="G1047" s="88">
        <f>VLOOKUP(A1047,'Current week'!$A$3:$F$1765,6,0)</f>
        <v>1</v>
      </c>
      <c r="H1047" s="101">
        <f t="shared" si="48"/>
        <v>372595.5</v>
      </c>
      <c r="I1047" s="101">
        <f t="shared" si="49"/>
        <v>0</v>
      </c>
      <c r="L1047" s="112"/>
    </row>
    <row r="1048" spans="1:12" x14ac:dyDescent="0.25">
      <c r="A1048" s="33" t="s">
        <v>3498</v>
      </c>
      <c r="B1048" s="33" t="s">
        <v>1723</v>
      </c>
      <c r="C1048" s="34" t="s">
        <v>1724</v>
      </c>
      <c r="D1048" s="78">
        <v>37259.53</v>
      </c>
      <c r="E1048" s="88">
        <f>VLOOKUP(A1048,'Previous week'!$A$3:$F$1765,6,FALSE)</f>
        <v>1</v>
      </c>
      <c r="F1048" s="22">
        <f t="shared" si="50"/>
        <v>0</v>
      </c>
      <c r="G1048" s="88">
        <f>VLOOKUP(A1048,'Current week'!$A$3:$F$1765,6,0)</f>
        <v>1</v>
      </c>
      <c r="H1048" s="104">
        <f t="shared" si="48"/>
        <v>37259.53</v>
      </c>
      <c r="I1048" s="104">
        <f t="shared" si="49"/>
        <v>0</v>
      </c>
      <c r="L1048" s="112"/>
    </row>
    <row r="1049" spans="1:12" x14ac:dyDescent="0.25">
      <c r="A1049" s="33" t="s">
        <v>3499</v>
      </c>
      <c r="B1049" s="33" t="s">
        <v>1725</v>
      </c>
      <c r="C1049" s="34" t="s">
        <v>1726</v>
      </c>
      <c r="D1049" s="78">
        <v>18629.79</v>
      </c>
      <c r="E1049" s="88">
        <f>VLOOKUP(A1049,'Previous week'!$A$3:$F$1765,6,FALSE)</f>
        <v>1</v>
      </c>
      <c r="F1049" s="22">
        <f t="shared" si="50"/>
        <v>0</v>
      </c>
      <c r="G1049" s="88">
        <f>VLOOKUP(A1049,'Current week'!$A$3:$F$1765,6,0)</f>
        <v>1</v>
      </c>
      <c r="H1049" s="104">
        <f t="shared" si="48"/>
        <v>18629.79</v>
      </c>
      <c r="I1049" s="104">
        <f t="shared" si="49"/>
        <v>0</v>
      </c>
      <c r="L1049" s="112"/>
    </row>
    <row r="1050" spans="1:12" x14ac:dyDescent="0.25">
      <c r="A1050" s="33" t="s">
        <v>3500</v>
      </c>
      <c r="B1050" s="33" t="s">
        <v>1727</v>
      </c>
      <c r="C1050" s="34" t="s">
        <v>1728</v>
      </c>
      <c r="D1050" s="78">
        <v>260816.86</v>
      </c>
      <c r="E1050" s="88">
        <f>VLOOKUP(A1050,'Previous week'!$A$3:$F$1765,6,FALSE)</f>
        <v>1</v>
      </c>
      <c r="F1050" s="22">
        <f t="shared" si="50"/>
        <v>0</v>
      </c>
      <c r="G1050" s="88">
        <f>VLOOKUP(A1050,'Current week'!$A$3:$F$1765,6,0)</f>
        <v>1</v>
      </c>
      <c r="H1050" s="104">
        <f t="shared" si="48"/>
        <v>260816.86</v>
      </c>
      <c r="I1050" s="104">
        <f t="shared" si="49"/>
        <v>0</v>
      </c>
      <c r="L1050" s="112"/>
    </row>
    <row r="1051" spans="1:12" x14ac:dyDescent="0.25">
      <c r="A1051" s="33" t="s">
        <v>3501</v>
      </c>
      <c r="B1051" s="33" t="s">
        <v>1729</v>
      </c>
      <c r="C1051" s="34" t="s">
        <v>1730</v>
      </c>
      <c r="D1051" s="78">
        <v>18629.79</v>
      </c>
      <c r="E1051" s="88">
        <f>VLOOKUP(A1051,'Previous week'!$A$3:$F$1765,6,FALSE)</f>
        <v>1</v>
      </c>
      <c r="F1051" s="22">
        <f t="shared" si="50"/>
        <v>0</v>
      </c>
      <c r="G1051" s="88">
        <f>VLOOKUP(A1051,'Current week'!$A$3:$F$1765,6,0)</f>
        <v>1</v>
      </c>
      <c r="H1051" s="104">
        <f t="shared" si="48"/>
        <v>18629.79</v>
      </c>
      <c r="I1051" s="104">
        <f t="shared" si="49"/>
        <v>0</v>
      </c>
      <c r="L1051" s="112"/>
    </row>
    <row r="1052" spans="1:12" x14ac:dyDescent="0.25">
      <c r="A1052" s="23" t="s">
        <v>3502</v>
      </c>
      <c r="B1052" s="23" t="s">
        <v>1731</v>
      </c>
      <c r="C1052" s="24" t="s">
        <v>1732</v>
      </c>
      <c r="D1052" s="71">
        <v>37259.53</v>
      </c>
      <c r="E1052" s="88">
        <f>VLOOKUP(A1052,'Previous week'!$A$3:$F$1765,6,FALSE)</f>
        <v>1</v>
      </c>
      <c r="F1052" s="22">
        <f t="shared" si="50"/>
        <v>0</v>
      </c>
      <c r="G1052" s="88">
        <f>VLOOKUP(A1052,'Current week'!$A$3:$F$1765,6,0)</f>
        <v>1</v>
      </c>
      <c r="H1052" s="102">
        <f t="shared" si="48"/>
        <v>37259.53</v>
      </c>
      <c r="I1052" s="102">
        <f t="shared" si="49"/>
        <v>0</v>
      </c>
      <c r="L1052" s="112"/>
    </row>
    <row r="1053" spans="1:12" x14ac:dyDescent="0.25">
      <c r="A1053" s="45" t="s">
        <v>3503</v>
      </c>
      <c r="B1053" s="45" t="s">
        <v>1733</v>
      </c>
      <c r="C1053" s="46"/>
      <c r="D1053" s="75">
        <v>13406.24</v>
      </c>
      <c r="E1053" s="92"/>
      <c r="F1053" s="48">
        <f t="shared" si="50"/>
        <v>0</v>
      </c>
      <c r="G1053" s="92"/>
      <c r="H1053" s="106"/>
      <c r="I1053" s="106"/>
      <c r="L1053" s="112"/>
    </row>
    <row r="1054" spans="1:12" x14ac:dyDescent="0.25">
      <c r="A1054" s="19" t="s">
        <v>3504</v>
      </c>
      <c r="B1054" s="19" t="s">
        <v>1734</v>
      </c>
      <c r="C1054" s="20" t="s">
        <v>1735</v>
      </c>
      <c r="D1054" s="77">
        <v>13406.24</v>
      </c>
      <c r="E1054" s="88">
        <f>VLOOKUP(A1054,'Previous week'!$A$3:$F$1765,6,FALSE)</f>
        <v>1</v>
      </c>
      <c r="F1054" s="22">
        <f t="shared" si="50"/>
        <v>0</v>
      </c>
      <c r="G1054" s="88">
        <f>VLOOKUP(A1054,'Current week'!$A$3:$F$1765,6,0)</f>
        <v>1</v>
      </c>
      <c r="H1054" s="101">
        <f t="shared" si="48"/>
        <v>13406.24</v>
      </c>
      <c r="I1054" s="101">
        <f t="shared" si="49"/>
        <v>0</v>
      </c>
      <c r="L1054" s="112"/>
    </row>
    <row r="1055" spans="1:12" x14ac:dyDescent="0.25">
      <c r="A1055" s="33" t="s">
        <v>2800</v>
      </c>
      <c r="B1055" s="33" t="s">
        <v>486</v>
      </c>
      <c r="C1055" s="34"/>
      <c r="D1055" s="78">
        <v>130842.93</v>
      </c>
      <c r="E1055" s="88">
        <f>VLOOKUP(A1055,'Previous week'!$A$3:$F$1765,6,FALSE)</f>
        <v>0</v>
      </c>
      <c r="F1055" s="22">
        <f t="shared" si="50"/>
        <v>0</v>
      </c>
      <c r="G1055" s="88">
        <f>VLOOKUP(A1055,'Current week'!$A$3:$F$1765,6,0)</f>
        <v>0</v>
      </c>
      <c r="H1055" s="104">
        <f t="shared" si="48"/>
        <v>0</v>
      </c>
      <c r="I1055" s="104">
        <f t="shared" si="49"/>
        <v>0</v>
      </c>
      <c r="L1055" s="112"/>
    </row>
    <row r="1056" spans="1:12" x14ac:dyDescent="0.25">
      <c r="A1056" s="33" t="s">
        <v>3505</v>
      </c>
      <c r="B1056" s="33" t="s">
        <v>1736</v>
      </c>
      <c r="C1056" s="34" t="s">
        <v>1737</v>
      </c>
      <c r="D1056" s="78">
        <v>130842.93</v>
      </c>
      <c r="E1056" s="88">
        <f>VLOOKUP(A1056,'Previous week'!$A$3:$F$1765,6,FALSE)</f>
        <v>1</v>
      </c>
      <c r="F1056" s="22">
        <f t="shared" si="50"/>
        <v>0</v>
      </c>
      <c r="G1056" s="88">
        <f>VLOOKUP(A1056,'Current week'!$A$3:$F$1765,6,0)</f>
        <v>1</v>
      </c>
      <c r="H1056" s="104">
        <f t="shared" si="48"/>
        <v>130842.93</v>
      </c>
      <c r="I1056" s="104">
        <f t="shared" si="49"/>
        <v>0</v>
      </c>
      <c r="L1056" s="112"/>
    </row>
    <row r="1057" spans="1:12" x14ac:dyDescent="0.25">
      <c r="A1057" s="33" t="s">
        <v>3506</v>
      </c>
      <c r="B1057" s="33" t="s">
        <v>1738</v>
      </c>
      <c r="C1057" s="34"/>
      <c r="D1057" s="78">
        <v>7569.02</v>
      </c>
      <c r="E1057" s="88">
        <f>VLOOKUP(A1057,'Previous week'!$A$3:$F$1765,6,FALSE)</f>
        <v>1</v>
      </c>
      <c r="F1057" s="22">
        <f t="shared" si="50"/>
        <v>0</v>
      </c>
      <c r="G1057" s="88">
        <f>VLOOKUP(A1057,'Current week'!$A$3:$F$1765,6,0)</f>
        <v>1</v>
      </c>
      <c r="H1057" s="104">
        <f t="shared" si="48"/>
        <v>7569.02</v>
      </c>
      <c r="I1057" s="104">
        <f t="shared" si="49"/>
        <v>0</v>
      </c>
      <c r="L1057" s="112"/>
    </row>
    <row r="1058" spans="1:12" x14ac:dyDescent="0.25">
      <c r="A1058" s="33" t="s">
        <v>3507</v>
      </c>
      <c r="B1058" s="33" t="s">
        <v>1739</v>
      </c>
      <c r="C1058" s="34" t="s">
        <v>1740</v>
      </c>
      <c r="D1058" s="78">
        <v>7569.02</v>
      </c>
      <c r="E1058" s="88">
        <f>VLOOKUP(A1058,'Previous week'!$A$3:$F$1765,6,FALSE)</f>
        <v>1</v>
      </c>
      <c r="F1058" s="22">
        <f t="shared" si="50"/>
        <v>0</v>
      </c>
      <c r="G1058" s="88">
        <f>VLOOKUP(A1058,'Current week'!$A$3:$F$1765,6,0)</f>
        <v>1</v>
      </c>
      <c r="H1058" s="104">
        <f t="shared" si="48"/>
        <v>7569.02</v>
      </c>
      <c r="I1058" s="104">
        <f t="shared" si="49"/>
        <v>0</v>
      </c>
      <c r="L1058" s="112"/>
    </row>
    <row r="1059" spans="1:12" x14ac:dyDescent="0.25">
      <c r="A1059" s="23" t="s">
        <v>3098</v>
      </c>
      <c r="B1059" s="23" t="s">
        <v>1741</v>
      </c>
      <c r="C1059" s="24"/>
      <c r="D1059" s="71">
        <v>40998.839999999997</v>
      </c>
      <c r="E1059" s="88">
        <f>VLOOKUP(A1059,'Previous week'!$A$3:$F$1765,6,FALSE)</f>
        <v>1</v>
      </c>
      <c r="F1059" s="22">
        <f t="shared" si="50"/>
        <v>0</v>
      </c>
      <c r="G1059" s="88">
        <f>VLOOKUP(A1059,'Current week'!$A$3:$F$1765,6,0)</f>
        <v>1</v>
      </c>
      <c r="H1059" s="102">
        <f t="shared" si="48"/>
        <v>40998.839999999997</v>
      </c>
      <c r="I1059" s="102">
        <f t="shared" si="49"/>
        <v>0</v>
      </c>
      <c r="L1059" s="112"/>
    </row>
    <row r="1060" spans="1:12" x14ac:dyDescent="0.25">
      <c r="A1060" s="45" t="s">
        <v>3508</v>
      </c>
      <c r="B1060" s="45" t="s">
        <v>1742</v>
      </c>
      <c r="C1060" s="46" t="s">
        <v>1743</v>
      </c>
      <c r="D1060" s="75">
        <v>40998.839999999997</v>
      </c>
      <c r="E1060" s="92"/>
      <c r="F1060" s="48">
        <f t="shared" si="50"/>
        <v>0</v>
      </c>
      <c r="G1060" s="92"/>
      <c r="H1060" s="106"/>
      <c r="I1060" s="106"/>
      <c r="L1060" s="112"/>
    </row>
    <row r="1061" spans="1:12" x14ac:dyDescent="0.25">
      <c r="A1061" s="36" t="s">
        <v>3509</v>
      </c>
      <c r="B1061" s="36" t="s">
        <v>1744</v>
      </c>
      <c r="C1061" s="37"/>
      <c r="D1061" s="79">
        <v>50460.11</v>
      </c>
      <c r="E1061" s="88">
        <f>VLOOKUP(A1061,'Previous week'!$A$3:$F$1765,6,FALSE)</f>
        <v>1</v>
      </c>
      <c r="F1061" s="22">
        <f t="shared" si="50"/>
        <v>0</v>
      </c>
      <c r="G1061" s="88">
        <f>VLOOKUP(A1061,'Current week'!$A$3:$F$1765,6,0)</f>
        <v>1</v>
      </c>
      <c r="H1061" s="105">
        <f t="shared" si="48"/>
        <v>50460.11</v>
      </c>
      <c r="I1061" s="105">
        <f t="shared" si="49"/>
        <v>0</v>
      </c>
      <c r="L1061" s="112"/>
    </row>
    <row r="1062" spans="1:12" x14ac:dyDescent="0.25">
      <c r="A1062" s="45" t="s">
        <v>3510</v>
      </c>
      <c r="B1062" s="45" t="s">
        <v>1745</v>
      </c>
      <c r="C1062" s="46" t="s">
        <v>1746</v>
      </c>
      <c r="D1062" s="75">
        <v>50460.11</v>
      </c>
      <c r="E1062" s="92"/>
      <c r="F1062" s="48">
        <f t="shared" si="50"/>
        <v>0</v>
      </c>
      <c r="G1062" s="92"/>
      <c r="H1062" s="106"/>
      <c r="I1062" s="106"/>
      <c r="L1062" s="112"/>
    </row>
    <row r="1063" spans="1:12" x14ac:dyDescent="0.25">
      <c r="A1063" s="36" t="s">
        <v>3511</v>
      </c>
      <c r="B1063" s="36" t="s">
        <v>221</v>
      </c>
      <c r="C1063" s="37"/>
      <c r="D1063" s="79">
        <v>233849.27</v>
      </c>
      <c r="E1063" s="88">
        <f>VLOOKUP(A1063,'Previous week'!$A$3:$F$1765,6,FALSE)</f>
        <v>1</v>
      </c>
      <c r="F1063" s="22">
        <f t="shared" si="50"/>
        <v>0</v>
      </c>
      <c r="G1063" s="88">
        <f>VLOOKUP(A1063,'Current week'!$A$3:$F$1765,6,0)</f>
        <v>1</v>
      </c>
      <c r="H1063" s="105">
        <f t="shared" si="48"/>
        <v>233849.27</v>
      </c>
      <c r="I1063" s="105">
        <f t="shared" si="49"/>
        <v>0</v>
      </c>
      <c r="L1063" s="112"/>
    </row>
    <row r="1064" spans="1:12" x14ac:dyDescent="0.25">
      <c r="A1064" s="45" t="s">
        <v>3497</v>
      </c>
      <c r="B1064" s="45" t="s">
        <v>1722</v>
      </c>
      <c r="C1064" s="46"/>
      <c r="D1064" s="75">
        <v>151984.62</v>
      </c>
      <c r="E1064" s="92"/>
      <c r="F1064" s="48">
        <f t="shared" si="50"/>
        <v>0</v>
      </c>
      <c r="G1064" s="92"/>
      <c r="H1064" s="106"/>
      <c r="I1064" s="106"/>
      <c r="L1064" s="112"/>
    </row>
    <row r="1065" spans="1:12" x14ac:dyDescent="0.25">
      <c r="A1065" s="36" t="s">
        <v>3512</v>
      </c>
      <c r="B1065" s="36" t="s">
        <v>1747</v>
      </c>
      <c r="C1065" s="37" t="s">
        <v>1748</v>
      </c>
      <c r="D1065" s="79">
        <v>15198.47</v>
      </c>
      <c r="E1065" s="88">
        <f>VLOOKUP(A1065,'Previous week'!$A$3:$F$1765,6,FALSE)</f>
        <v>1</v>
      </c>
      <c r="F1065" s="22">
        <f t="shared" si="50"/>
        <v>0</v>
      </c>
      <c r="G1065" s="88">
        <f>VLOOKUP(A1065,'Current week'!$A$3:$F$1765,6,0)</f>
        <v>1</v>
      </c>
      <c r="H1065" s="105">
        <f t="shared" si="48"/>
        <v>15198.47</v>
      </c>
      <c r="I1065" s="105">
        <f t="shared" si="49"/>
        <v>0</v>
      </c>
      <c r="L1065" s="112"/>
    </row>
    <row r="1066" spans="1:12" x14ac:dyDescent="0.25">
      <c r="A1066" s="45" t="s">
        <v>3513</v>
      </c>
      <c r="B1066" s="45" t="s">
        <v>1749</v>
      </c>
      <c r="C1066" s="46" t="s">
        <v>1726</v>
      </c>
      <c r="D1066" s="75">
        <v>7599.22</v>
      </c>
      <c r="E1066" s="92"/>
      <c r="F1066" s="48">
        <f t="shared" si="50"/>
        <v>0</v>
      </c>
      <c r="G1066" s="92"/>
      <c r="H1066" s="106"/>
      <c r="I1066" s="106"/>
      <c r="L1066" s="112"/>
    </row>
    <row r="1067" spans="1:12" x14ac:dyDescent="0.25">
      <c r="A1067" s="36" t="s">
        <v>3514</v>
      </c>
      <c r="B1067" s="36" t="s">
        <v>1750</v>
      </c>
      <c r="C1067" s="37" t="s">
        <v>1751</v>
      </c>
      <c r="D1067" s="79">
        <v>75992.31</v>
      </c>
      <c r="E1067" s="88">
        <f>VLOOKUP(A1067,'Previous week'!$A$3:$F$1765,6,FALSE)</f>
        <v>1</v>
      </c>
      <c r="F1067" s="22">
        <f t="shared" si="50"/>
        <v>0</v>
      </c>
      <c r="G1067" s="88">
        <f>VLOOKUP(A1067,'Current week'!$A$3:$F$1765,6,0)</f>
        <v>1</v>
      </c>
      <c r="H1067" s="105">
        <f t="shared" si="48"/>
        <v>75992.31</v>
      </c>
      <c r="I1067" s="105">
        <f t="shared" si="49"/>
        <v>0</v>
      </c>
      <c r="L1067" s="112"/>
    </row>
    <row r="1068" spans="1:12" x14ac:dyDescent="0.25">
      <c r="A1068" s="45" t="s">
        <v>3515</v>
      </c>
      <c r="B1068" s="45" t="s">
        <v>1752</v>
      </c>
      <c r="C1068" s="46" t="s">
        <v>1753</v>
      </c>
      <c r="D1068" s="75">
        <v>30396.93</v>
      </c>
      <c r="E1068" s="92"/>
      <c r="F1068" s="48">
        <f t="shared" si="50"/>
        <v>0</v>
      </c>
      <c r="G1068" s="92"/>
      <c r="H1068" s="106"/>
      <c r="I1068" s="106"/>
      <c r="L1068" s="112"/>
    </row>
    <row r="1069" spans="1:12" x14ac:dyDescent="0.25">
      <c r="A1069" s="36" t="s">
        <v>3516</v>
      </c>
      <c r="B1069" s="36" t="s">
        <v>1754</v>
      </c>
      <c r="C1069" s="37" t="s">
        <v>1730</v>
      </c>
      <c r="D1069" s="79">
        <v>7599.22</v>
      </c>
      <c r="E1069" s="88">
        <f>VLOOKUP(A1069,'Previous week'!$A$3:$F$1765,6,FALSE)</f>
        <v>1</v>
      </c>
      <c r="F1069" s="22">
        <f t="shared" si="50"/>
        <v>0</v>
      </c>
      <c r="G1069" s="88">
        <f>VLOOKUP(A1069,'Current week'!$A$3:$F$1765,6,0)</f>
        <v>1</v>
      </c>
      <c r="H1069" s="105">
        <f t="shared" si="48"/>
        <v>7599.22</v>
      </c>
      <c r="I1069" s="105">
        <f t="shared" si="49"/>
        <v>0</v>
      </c>
      <c r="L1069" s="112"/>
    </row>
    <row r="1070" spans="1:12" x14ac:dyDescent="0.25">
      <c r="A1070" s="45" t="s">
        <v>3517</v>
      </c>
      <c r="B1070" s="45" t="s">
        <v>1755</v>
      </c>
      <c r="C1070" s="46" t="s">
        <v>1732</v>
      </c>
      <c r="D1070" s="75">
        <v>15198.47</v>
      </c>
      <c r="E1070" s="92"/>
      <c r="F1070" s="48">
        <f t="shared" si="50"/>
        <v>0</v>
      </c>
      <c r="G1070" s="92"/>
      <c r="H1070" s="106"/>
      <c r="I1070" s="106"/>
      <c r="L1070" s="112"/>
    </row>
    <row r="1071" spans="1:12" x14ac:dyDescent="0.25">
      <c r="A1071" s="36" t="s">
        <v>3503</v>
      </c>
      <c r="B1071" s="36" t="s">
        <v>1733</v>
      </c>
      <c r="C1071" s="37"/>
      <c r="D1071" s="79">
        <v>760.54</v>
      </c>
      <c r="E1071" s="88">
        <f>VLOOKUP(A1071,'Previous week'!$A$3:$F$1765,6,FALSE)</f>
        <v>1</v>
      </c>
      <c r="F1071" s="22">
        <f t="shared" si="50"/>
        <v>0</v>
      </c>
      <c r="G1071" s="88">
        <f>VLOOKUP(A1071,'Current week'!$A$3:$F$1765,6,0)</f>
        <v>1</v>
      </c>
      <c r="H1071" s="105">
        <f t="shared" si="48"/>
        <v>760.54</v>
      </c>
      <c r="I1071" s="105">
        <f t="shared" si="49"/>
        <v>0</v>
      </c>
      <c r="L1071" s="112"/>
    </row>
    <row r="1072" spans="1:12" x14ac:dyDescent="0.25">
      <c r="A1072" s="41" t="s">
        <v>3518</v>
      </c>
      <c r="B1072" s="41" t="s">
        <v>1756</v>
      </c>
      <c r="C1072" s="42" t="s">
        <v>1735</v>
      </c>
      <c r="D1072" s="66">
        <v>760.54</v>
      </c>
      <c r="E1072" s="91"/>
      <c r="F1072" s="44">
        <f t="shared" si="50"/>
        <v>0</v>
      </c>
      <c r="G1072" s="91"/>
      <c r="H1072" s="103"/>
      <c r="I1072" s="103"/>
      <c r="L1072" s="112"/>
    </row>
    <row r="1073" spans="1:12" x14ac:dyDescent="0.25">
      <c r="A1073" s="50" t="s">
        <v>2800</v>
      </c>
      <c r="B1073" s="50" t="s">
        <v>486</v>
      </c>
      <c r="C1073" s="51"/>
      <c r="D1073" s="68">
        <v>81104.12</v>
      </c>
      <c r="E1073" s="93"/>
      <c r="F1073" s="53">
        <f t="shared" si="50"/>
        <v>0</v>
      </c>
      <c r="G1073" s="93"/>
      <c r="H1073" s="106"/>
      <c r="I1073" s="106"/>
      <c r="L1073" s="112"/>
    </row>
    <row r="1074" spans="1:12" x14ac:dyDescent="0.25">
      <c r="A1074" s="54" t="s">
        <v>3519</v>
      </c>
      <c r="B1074" s="54" t="s">
        <v>1757</v>
      </c>
      <c r="C1074" s="55" t="s">
        <v>1758</v>
      </c>
      <c r="D1074" s="70">
        <v>81104.12</v>
      </c>
      <c r="E1074" s="94">
        <f>'Previous week'!F1085</f>
        <v>1</v>
      </c>
      <c r="F1074" s="57">
        <f t="shared" si="50"/>
        <v>0</v>
      </c>
      <c r="G1074" s="94">
        <f>'Current week'!F1085</f>
        <v>1</v>
      </c>
      <c r="H1074" s="107">
        <f t="shared" si="48"/>
        <v>81104.12</v>
      </c>
      <c r="I1074" s="107">
        <f t="shared" si="49"/>
        <v>0</v>
      </c>
      <c r="L1074" s="112"/>
    </row>
    <row r="1075" spans="1:12" x14ac:dyDescent="0.25">
      <c r="A1075" s="19" t="s">
        <v>2803</v>
      </c>
      <c r="B1075" s="19" t="s">
        <v>491</v>
      </c>
      <c r="C1075" s="20"/>
      <c r="D1075" s="77">
        <v>186231.53</v>
      </c>
      <c r="E1075" s="88">
        <f>VLOOKUP(A1075,'Previous week'!$A$3:$F$1765,6,FALSE)</f>
        <v>0</v>
      </c>
      <c r="F1075" s="22">
        <f t="shared" si="50"/>
        <v>0</v>
      </c>
      <c r="G1075" s="88">
        <f>VLOOKUP(A1075,'Current week'!$A$3:$F$1765,6,0)</f>
        <v>0</v>
      </c>
      <c r="H1075" s="101">
        <f t="shared" si="48"/>
        <v>0</v>
      </c>
      <c r="I1075" s="101">
        <f t="shared" si="49"/>
        <v>0</v>
      </c>
      <c r="L1075" s="112"/>
    </row>
    <row r="1076" spans="1:12" x14ac:dyDescent="0.25">
      <c r="A1076" s="33" t="s">
        <v>3497</v>
      </c>
      <c r="B1076" s="33" t="s">
        <v>1722</v>
      </c>
      <c r="C1076" s="34"/>
      <c r="D1076" s="78">
        <v>160003.07</v>
      </c>
      <c r="E1076" s="88">
        <f>VLOOKUP(A1076,'Previous week'!$A$3:$F$1765,6,FALSE)</f>
        <v>1</v>
      </c>
      <c r="F1076" s="22">
        <f t="shared" si="50"/>
        <v>0</v>
      </c>
      <c r="G1076" s="88">
        <f>VLOOKUP(A1076,'Current week'!$A$3:$F$1765,6,0)</f>
        <v>1</v>
      </c>
      <c r="H1076" s="104">
        <f t="shared" si="48"/>
        <v>160003.07</v>
      </c>
      <c r="I1076" s="104">
        <f t="shared" si="49"/>
        <v>0</v>
      </c>
      <c r="L1076" s="112"/>
    </row>
    <row r="1077" spans="1:12" x14ac:dyDescent="0.25">
      <c r="A1077" s="33" t="s">
        <v>3520</v>
      </c>
      <c r="B1077" s="33" t="s">
        <v>1759</v>
      </c>
      <c r="C1077" s="34" t="s">
        <v>1724</v>
      </c>
      <c r="D1077" s="78">
        <v>15169.19</v>
      </c>
      <c r="E1077" s="88">
        <f>VLOOKUP(A1077,'Previous week'!$A$3:$F$1765,6,FALSE)</f>
        <v>1</v>
      </c>
      <c r="F1077" s="22">
        <f t="shared" si="50"/>
        <v>0</v>
      </c>
      <c r="G1077" s="88">
        <f>VLOOKUP(A1077,'Current week'!$A$3:$F$1765,6,0)</f>
        <v>1</v>
      </c>
      <c r="H1077" s="104">
        <f t="shared" si="48"/>
        <v>15169.19</v>
      </c>
      <c r="I1077" s="104">
        <f t="shared" si="49"/>
        <v>0</v>
      </c>
      <c r="L1077" s="112"/>
    </row>
    <row r="1078" spans="1:12" x14ac:dyDescent="0.25">
      <c r="A1078" s="33" t="s">
        <v>3521</v>
      </c>
      <c r="B1078" s="33" t="s">
        <v>1760</v>
      </c>
      <c r="C1078" s="34" t="s">
        <v>1726</v>
      </c>
      <c r="D1078" s="78">
        <v>7584.62</v>
      </c>
      <c r="E1078" s="88">
        <f>VLOOKUP(A1078,'Previous week'!$A$3:$F$1765,6,FALSE)</f>
        <v>1</v>
      </c>
      <c r="F1078" s="22">
        <f t="shared" si="50"/>
        <v>0</v>
      </c>
      <c r="G1078" s="88">
        <f>VLOOKUP(A1078,'Current week'!$A$3:$F$1765,6,0)</f>
        <v>1</v>
      </c>
      <c r="H1078" s="104">
        <f t="shared" si="48"/>
        <v>7584.62</v>
      </c>
      <c r="I1078" s="104">
        <f t="shared" si="49"/>
        <v>0</v>
      </c>
      <c r="L1078" s="112"/>
    </row>
    <row r="1079" spans="1:12" x14ac:dyDescent="0.25">
      <c r="A1079" s="33" t="s">
        <v>3522</v>
      </c>
      <c r="B1079" s="33" t="s">
        <v>1761</v>
      </c>
      <c r="C1079" s="34" t="s">
        <v>1762</v>
      </c>
      <c r="D1079" s="78">
        <v>75846</v>
      </c>
      <c r="E1079" s="88">
        <f>VLOOKUP(A1079,'Previous week'!$A$3:$F$1765,6,FALSE)</f>
        <v>1</v>
      </c>
      <c r="F1079" s="22">
        <f t="shared" si="50"/>
        <v>0</v>
      </c>
      <c r="G1079" s="88">
        <f>VLOOKUP(A1079,'Current week'!$A$3:$F$1765,6,0)</f>
        <v>1</v>
      </c>
      <c r="H1079" s="104">
        <f t="shared" ref="H1079:H1135" si="51">G1079*D1079</f>
        <v>75846</v>
      </c>
      <c r="I1079" s="104">
        <f t="shared" ref="I1079:I1135" si="52">F1079*D1079</f>
        <v>0</v>
      </c>
      <c r="L1079" s="112"/>
    </row>
    <row r="1080" spans="1:12" x14ac:dyDescent="0.25">
      <c r="A1080" s="23" t="s">
        <v>3523</v>
      </c>
      <c r="B1080" s="23" t="s">
        <v>1763</v>
      </c>
      <c r="C1080" s="24" t="s">
        <v>1764</v>
      </c>
      <c r="D1080" s="71">
        <v>30338.38</v>
      </c>
      <c r="E1080" s="88">
        <f>VLOOKUP(A1080,'Previous week'!$A$3:$F$1765,6,FALSE)</f>
        <v>1</v>
      </c>
      <c r="F1080" s="22">
        <f t="shared" ref="F1080:F1136" si="53">G1080-E1080</f>
        <v>0</v>
      </c>
      <c r="G1080" s="88">
        <f>VLOOKUP(A1080,'Current week'!$A$3:$F$1765,6,0)</f>
        <v>1</v>
      </c>
      <c r="H1080" s="102">
        <f t="shared" si="51"/>
        <v>30338.38</v>
      </c>
      <c r="I1080" s="102">
        <f t="shared" si="52"/>
        <v>0</v>
      </c>
      <c r="L1080" s="112"/>
    </row>
    <row r="1081" spans="1:12" x14ac:dyDescent="0.25">
      <c r="A1081" s="54" t="s">
        <v>3524</v>
      </c>
      <c r="B1081" s="54" t="s">
        <v>1765</v>
      </c>
      <c r="C1081" s="55" t="s">
        <v>1766</v>
      </c>
      <c r="D1081" s="70">
        <v>8311.08</v>
      </c>
      <c r="E1081" s="94">
        <f>'Previous week'!F1092</f>
        <v>1</v>
      </c>
      <c r="F1081" s="57">
        <f t="shared" si="53"/>
        <v>0</v>
      </c>
      <c r="G1081" s="94">
        <f>'Current week'!F1092</f>
        <v>1</v>
      </c>
      <c r="H1081" s="107">
        <f t="shared" si="51"/>
        <v>8311.08</v>
      </c>
      <c r="I1081" s="107">
        <f t="shared" si="52"/>
        <v>0</v>
      </c>
      <c r="L1081" s="112"/>
    </row>
    <row r="1082" spans="1:12" x14ac:dyDescent="0.25">
      <c r="A1082" s="19" t="s">
        <v>3525</v>
      </c>
      <c r="B1082" s="19" t="s">
        <v>1767</v>
      </c>
      <c r="C1082" s="20" t="s">
        <v>1768</v>
      </c>
      <c r="D1082" s="77">
        <v>7584.62</v>
      </c>
      <c r="E1082" s="88">
        <f>VLOOKUP(A1082,'Previous week'!$A$3:$F$1765,6,FALSE)</f>
        <v>1</v>
      </c>
      <c r="F1082" s="22">
        <f t="shared" si="53"/>
        <v>0</v>
      </c>
      <c r="G1082" s="88">
        <f>VLOOKUP(A1082,'Current week'!$A$3:$F$1765,6,0)</f>
        <v>1</v>
      </c>
      <c r="H1082" s="101">
        <f t="shared" si="51"/>
        <v>7584.62</v>
      </c>
      <c r="I1082" s="101">
        <f t="shared" si="52"/>
        <v>0</v>
      </c>
      <c r="L1082" s="112"/>
    </row>
    <row r="1083" spans="1:12" x14ac:dyDescent="0.25">
      <c r="A1083" s="33" t="s">
        <v>3526</v>
      </c>
      <c r="B1083" s="33" t="s">
        <v>1769</v>
      </c>
      <c r="C1083" s="34" t="s">
        <v>1732</v>
      </c>
      <c r="D1083" s="78">
        <v>15169.19</v>
      </c>
      <c r="E1083" s="88">
        <f>VLOOKUP(A1083,'Previous week'!$A$3:$F$1765,6,FALSE)</f>
        <v>1</v>
      </c>
      <c r="F1083" s="22">
        <f t="shared" si="53"/>
        <v>0</v>
      </c>
      <c r="G1083" s="88">
        <f>VLOOKUP(A1083,'Current week'!$A$3:$F$1765,6,0)</f>
        <v>1</v>
      </c>
      <c r="H1083" s="104">
        <f t="shared" si="51"/>
        <v>15169.19</v>
      </c>
      <c r="I1083" s="104">
        <f t="shared" si="52"/>
        <v>0</v>
      </c>
      <c r="L1083" s="112"/>
    </row>
    <row r="1084" spans="1:12" x14ac:dyDescent="0.25">
      <c r="A1084" s="33" t="s">
        <v>3503</v>
      </c>
      <c r="B1084" s="33" t="s">
        <v>1733</v>
      </c>
      <c r="C1084" s="34"/>
      <c r="D1084" s="78">
        <v>7554.9</v>
      </c>
      <c r="E1084" s="88">
        <f>VLOOKUP(A1084,'Previous week'!$A$3:$F$1765,6,FALSE)</f>
        <v>1</v>
      </c>
      <c r="F1084" s="22">
        <f t="shared" si="53"/>
        <v>0</v>
      </c>
      <c r="G1084" s="88">
        <f>VLOOKUP(A1084,'Current week'!$A$3:$F$1765,6,0)</f>
        <v>1</v>
      </c>
      <c r="H1084" s="104">
        <f t="shared" si="51"/>
        <v>7554.9</v>
      </c>
      <c r="I1084" s="104">
        <f t="shared" si="52"/>
        <v>0</v>
      </c>
      <c r="L1084" s="112"/>
    </row>
    <row r="1085" spans="1:12" x14ac:dyDescent="0.25">
      <c r="A1085" s="33" t="s">
        <v>3527</v>
      </c>
      <c r="B1085" s="33" t="s">
        <v>1770</v>
      </c>
      <c r="C1085" s="34" t="s">
        <v>1771</v>
      </c>
      <c r="D1085" s="78">
        <v>7554.9</v>
      </c>
      <c r="E1085" s="88">
        <f>VLOOKUP(A1085,'Previous week'!$A$3:$F$1765,6,FALSE)</f>
        <v>1</v>
      </c>
      <c r="F1085" s="22">
        <f t="shared" si="53"/>
        <v>0</v>
      </c>
      <c r="G1085" s="88">
        <f>VLOOKUP(A1085,'Current week'!$A$3:$F$1765,6,0)</f>
        <v>1</v>
      </c>
      <c r="H1085" s="104">
        <f t="shared" si="51"/>
        <v>7554.9</v>
      </c>
      <c r="I1085" s="104">
        <f t="shared" si="52"/>
        <v>0</v>
      </c>
      <c r="L1085" s="112"/>
    </row>
    <row r="1086" spans="1:12" x14ac:dyDescent="0.25">
      <c r="A1086" s="33" t="s">
        <v>3528</v>
      </c>
      <c r="B1086" s="33" t="s">
        <v>127</v>
      </c>
      <c r="C1086" s="34"/>
      <c r="D1086" s="78">
        <v>18673.560000000001</v>
      </c>
      <c r="E1086" s="88">
        <f>VLOOKUP(A1086,'Previous week'!$A$3:$F$1765,6,FALSE)</f>
        <v>1</v>
      </c>
      <c r="F1086" s="22">
        <f t="shared" si="53"/>
        <v>0</v>
      </c>
      <c r="G1086" s="88">
        <f>VLOOKUP(A1086,'Current week'!$A$3:$F$1765,6,0)</f>
        <v>1</v>
      </c>
      <c r="H1086" s="104">
        <f t="shared" si="51"/>
        <v>18673.560000000001</v>
      </c>
      <c r="I1086" s="104">
        <f t="shared" si="52"/>
        <v>0</v>
      </c>
      <c r="L1086" s="112"/>
    </row>
    <row r="1087" spans="1:12" x14ac:dyDescent="0.25">
      <c r="A1087" s="23" t="s">
        <v>3529</v>
      </c>
      <c r="B1087" s="23" t="s">
        <v>1772</v>
      </c>
      <c r="C1087" s="24" t="s">
        <v>1773</v>
      </c>
      <c r="D1087" s="71">
        <v>18673.560000000001</v>
      </c>
      <c r="E1087" s="88">
        <f>VLOOKUP(A1087,'Previous week'!$A$3:$F$1765,6,FALSE)</f>
        <v>1</v>
      </c>
      <c r="F1087" s="22">
        <f t="shared" si="53"/>
        <v>0</v>
      </c>
      <c r="G1087" s="88">
        <f>VLOOKUP(A1087,'Current week'!$A$3:$F$1765,6,0)</f>
        <v>1</v>
      </c>
      <c r="H1087" s="102">
        <f t="shared" si="51"/>
        <v>18673.560000000001</v>
      </c>
      <c r="I1087" s="102">
        <f t="shared" si="52"/>
        <v>0</v>
      </c>
      <c r="L1087" s="112"/>
    </row>
    <row r="1088" spans="1:12" x14ac:dyDescent="0.25">
      <c r="A1088" s="54" t="s">
        <v>3530</v>
      </c>
      <c r="B1088" s="54" t="s">
        <v>120</v>
      </c>
      <c r="C1088" s="55"/>
      <c r="D1088" s="70">
        <v>193744.81</v>
      </c>
      <c r="E1088" s="94">
        <f>'Previous week'!F1099</f>
        <v>1</v>
      </c>
      <c r="F1088" s="57">
        <f t="shared" si="53"/>
        <v>0</v>
      </c>
      <c r="G1088" s="94">
        <f>'Current week'!F1099</f>
        <v>1</v>
      </c>
      <c r="H1088" s="107">
        <f t="shared" si="51"/>
        <v>193744.81</v>
      </c>
      <c r="I1088" s="107">
        <f t="shared" si="52"/>
        <v>0</v>
      </c>
      <c r="L1088" s="112"/>
    </row>
    <row r="1089" spans="1:12" x14ac:dyDescent="0.25">
      <c r="A1089" s="19" t="s">
        <v>3497</v>
      </c>
      <c r="B1089" s="19" t="s">
        <v>1722</v>
      </c>
      <c r="C1089" s="20"/>
      <c r="D1089" s="77">
        <v>124027.27</v>
      </c>
      <c r="E1089" s="88">
        <f>VLOOKUP(A1089,'Previous week'!$A$3:$F$1765,6,FALSE)</f>
        <v>1</v>
      </c>
      <c r="F1089" s="22">
        <f t="shared" si="53"/>
        <v>0</v>
      </c>
      <c r="G1089" s="88">
        <f>VLOOKUP(A1089,'Current week'!$A$3:$F$1765,6,0)</f>
        <v>1</v>
      </c>
      <c r="H1089" s="101">
        <f t="shared" si="51"/>
        <v>124027.27</v>
      </c>
      <c r="I1089" s="101">
        <f t="shared" si="52"/>
        <v>0</v>
      </c>
      <c r="L1089" s="112"/>
    </row>
    <row r="1090" spans="1:12" x14ac:dyDescent="0.25">
      <c r="A1090" s="33" t="s">
        <v>3531</v>
      </c>
      <c r="B1090" s="33" t="s">
        <v>1774</v>
      </c>
      <c r="C1090" s="34" t="s">
        <v>1724</v>
      </c>
      <c r="D1090" s="78">
        <v>12402.74</v>
      </c>
      <c r="E1090" s="88">
        <f>VLOOKUP(A1090,'Previous week'!$A$3:$F$1765,6,FALSE)</f>
        <v>1</v>
      </c>
      <c r="F1090" s="22">
        <f t="shared" si="53"/>
        <v>0</v>
      </c>
      <c r="G1090" s="88">
        <f>VLOOKUP(A1090,'Current week'!$A$3:$F$1765,6,0)</f>
        <v>1</v>
      </c>
      <c r="H1090" s="104">
        <f t="shared" si="51"/>
        <v>12402.74</v>
      </c>
      <c r="I1090" s="104">
        <f t="shared" si="52"/>
        <v>0</v>
      </c>
      <c r="L1090" s="112"/>
    </row>
    <row r="1091" spans="1:12" x14ac:dyDescent="0.25">
      <c r="A1091" s="33" t="s">
        <v>3532</v>
      </c>
      <c r="B1091" s="33" t="s">
        <v>1775</v>
      </c>
      <c r="C1091" s="34" t="s">
        <v>1726</v>
      </c>
      <c r="D1091" s="78">
        <v>6201.37</v>
      </c>
      <c r="E1091" s="88">
        <f>VLOOKUP(A1091,'Previous week'!$A$3:$F$1765,6,FALSE)</f>
        <v>1</v>
      </c>
      <c r="F1091" s="22">
        <f t="shared" si="53"/>
        <v>0</v>
      </c>
      <c r="G1091" s="88">
        <f>VLOOKUP(A1091,'Current week'!$A$3:$F$1765,6,0)</f>
        <v>1</v>
      </c>
      <c r="H1091" s="104">
        <f t="shared" si="51"/>
        <v>6201.37</v>
      </c>
      <c r="I1091" s="104">
        <f t="shared" si="52"/>
        <v>0</v>
      </c>
      <c r="L1091" s="112"/>
    </row>
    <row r="1092" spans="1:12" x14ac:dyDescent="0.25">
      <c r="A1092" s="33" t="s">
        <v>3533</v>
      </c>
      <c r="B1092" s="33" t="s">
        <v>1776</v>
      </c>
      <c r="C1092" s="34" t="s">
        <v>1762</v>
      </c>
      <c r="D1092" s="78">
        <v>62013.62</v>
      </c>
      <c r="E1092" s="88">
        <f>VLOOKUP(A1092,'Previous week'!$A$3:$F$1765,6,FALSE)</f>
        <v>1</v>
      </c>
      <c r="F1092" s="22">
        <f t="shared" si="53"/>
        <v>0</v>
      </c>
      <c r="G1092" s="88">
        <f>VLOOKUP(A1092,'Current week'!$A$3:$F$1765,6,0)</f>
        <v>1</v>
      </c>
      <c r="H1092" s="104">
        <f t="shared" si="51"/>
        <v>62013.62</v>
      </c>
      <c r="I1092" s="104">
        <f t="shared" si="52"/>
        <v>0</v>
      </c>
      <c r="L1092" s="112"/>
    </row>
    <row r="1093" spans="1:12" x14ac:dyDescent="0.25">
      <c r="A1093" s="33" t="s">
        <v>3534</v>
      </c>
      <c r="B1093" s="33" t="s">
        <v>1777</v>
      </c>
      <c r="C1093" s="34" t="s">
        <v>1764</v>
      </c>
      <c r="D1093" s="78">
        <v>24805.439999999999</v>
      </c>
      <c r="E1093" s="88">
        <f>VLOOKUP(A1093,'Previous week'!$A$3:$F$1765,6,FALSE)</f>
        <v>1</v>
      </c>
      <c r="F1093" s="22">
        <f t="shared" si="53"/>
        <v>0</v>
      </c>
      <c r="G1093" s="88">
        <f>VLOOKUP(A1093,'Current week'!$A$3:$F$1765,6,0)</f>
        <v>1</v>
      </c>
      <c r="H1093" s="104">
        <f t="shared" si="51"/>
        <v>24805.439999999999</v>
      </c>
      <c r="I1093" s="104">
        <f t="shared" si="52"/>
        <v>0</v>
      </c>
      <c r="L1093" s="112"/>
    </row>
    <row r="1094" spans="1:12" x14ac:dyDescent="0.25">
      <c r="A1094" s="23" t="s">
        <v>3535</v>
      </c>
      <c r="B1094" s="23" t="s">
        <v>1778</v>
      </c>
      <c r="C1094" s="24" t="s">
        <v>1730</v>
      </c>
      <c r="D1094" s="71">
        <v>6201.37</v>
      </c>
      <c r="E1094" s="88">
        <f>VLOOKUP(A1094,'Previous week'!$A$3:$F$1765,6,FALSE)</f>
        <v>1</v>
      </c>
      <c r="F1094" s="22">
        <f t="shared" si="53"/>
        <v>0</v>
      </c>
      <c r="G1094" s="88">
        <f>VLOOKUP(A1094,'Current week'!$A$3:$F$1765,6,0)</f>
        <v>1</v>
      </c>
      <c r="H1094" s="102">
        <f t="shared" si="51"/>
        <v>6201.37</v>
      </c>
      <c r="I1094" s="102">
        <f t="shared" si="52"/>
        <v>0</v>
      </c>
      <c r="L1094" s="112"/>
    </row>
    <row r="1095" spans="1:12" x14ac:dyDescent="0.25">
      <c r="A1095" s="54" t="s">
        <v>3536</v>
      </c>
      <c r="B1095" s="54" t="s">
        <v>1779</v>
      </c>
      <c r="C1095" s="55" t="s">
        <v>1780</v>
      </c>
      <c r="D1095" s="70">
        <v>12402.74</v>
      </c>
      <c r="E1095" s="94">
        <f>'Previous week'!F1106</f>
        <v>1</v>
      </c>
      <c r="F1095" s="57">
        <f t="shared" si="53"/>
        <v>0</v>
      </c>
      <c r="G1095" s="94">
        <f>'Current week'!F1106</f>
        <v>1</v>
      </c>
      <c r="H1095" s="107">
        <f t="shared" si="51"/>
        <v>12402.74</v>
      </c>
      <c r="I1095" s="107">
        <f t="shared" si="52"/>
        <v>0</v>
      </c>
      <c r="L1095" s="112"/>
    </row>
    <row r="1096" spans="1:12" x14ac:dyDescent="0.25">
      <c r="A1096" s="36" t="s">
        <v>3503</v>
      </c>
      <c r="B1096" s="36" t="s">
        <v>1733</v>
      </c>
      <c r="C1096" s="37"/>
      <c r="D1096" s="79">
        <v>9796.16</v>
      </c>
      <c r="E1096" s="88">
        <f>VLOOKUP(A1096,'Previous week'!$A$3:$F$1765,6,FALSE)</f>
        <v>1</v>
      </c>
      <c r="F1096" s="22">
        <f t="shared" si="53"/>
        <v>0</v>
      </c>
      <c r="G1096" s="88">
        <f>VLOOKUP(A1096,'Current week'!$A$3:$F$1765,6,0)</f>
        <v>1</v>
      </c>
      <c r="H1096" s="105">
        <f t="shared" si="51"/>
        <v>9796.16</v>
      </c>
      <c r="I1096" s="105">
        <f t="shared" si="52"/>
        <v>0</v>
      </c>
      <c r="L1096" s="112"/>
    </row>
    <row r="1097" spans="1:12" x14ac:dyDescent="0.25">
      <c r="A1097" s="54" t="s">
        <v>3537</v>
      </c>
      <c r="B1097" s="54" t="s">
        <v>1781</v>
      </c>
      <c r="C1097" s="55" t="s">
        <v>1771</v>
      </c>
      <c r="D1097" s="70">
        <v>9796.16</v>
      </c>
      <c r="E1097" s="94">
        <f>'Previous week'!F1108</f>
        <v>1</v>
      </c>
      <c r="F1097" s="57">
        <f t="shared" si="53"/>
        <v>0</v>
      </c>
      <c r="G1097" s="94">
        <f>'Current week'!F1108</f>
        <v>1</v>
      </c>
      <c r="H1097" s="107">
        <f t="shared" si="51"/>
        <v>9796.16</v>
      </c>
      <c r="I1097" s="107">
        <f t="shared" si="52"/>
        <v>0</v>
      </c>
      <c r="L1097" s="112"/>
    </row>
    <row r="1098" spans="1:12" x14ac:dyDescent="0.25">
      <c r="A1098" s="36" t="s">
        <v>3528</v>
      </c>
      <c r="B1098" s="36" t="s">
        <v>127</v>
      </c>
      <c r="C1098" s="37"/>
      <c r="D1098" s="79">
        <v>15768.79</v>
      </c>
      <c r="E1098" s="88">
        <f>VLOOKUP(A1098,'Previous week'!$A$3:$F$1765,6,FALSE)</f>
        <v>1</v>
      </c>
      <c r="F1098" s="22">
        <f t="shared" si="53"/>
        <v>0</v>
      </c>
      <c r="G1098" s="88">
        <f>VLOOKUP(A1098,'Current week'!$A$3:$F$1765,6,0)</f>
        <v>1</v>
      </c>
      <c r="H1098" s="105">
        <f t="shared" si="51"/>
        <v>15768.79</v>
      </c>
      <c r="I1098" s="105">
        <f t="shared" si="52"/>
        <v>0</v>
      </c>
      <c r="L1098" s="112"/>
    </row>
    <row r="1099" spans="1:12" x14ac:dyDescent="0.25">
      <c r="A1099" s="54" t="s">
        <v>3538</v>
      </c>
      <c r="B1099" s="54" t="s">
        <v>1782</v>
      </c>
      <c r="C1099" s="55" t="s">
        <v>1773</v>
      </c>
      <c r="D1099" s="70">
        <v>15768.79</v>
      </c>
      <c r="E1099" s="94">
        <f>'Previous week'!F1110</f>
        <v>1</v>
      </c>
      <c r="F1099" s="57">
        <f t="shared" si="53"/>
        <v>0</v>
      </c>
      <c r="G1099" s="94">
        <f>'Current week'!F1110</f>
        <v>1</v>
      </c>
      <c r="H1099" s="107">
        <f t="shared" si="51"/>
        <v>15768.79</v>
      </c>
      <c r="I1099" s="107">
        <f t="shared" si="52"/>
        <v>0</v>
      </c>
      <c r="L1099" s="112"/>
    </row>
    <row r="1100" spans="1:12" x14ac:dyDescent="0.25">
      <c r="A1100" s="36" t="s">
        <v>2818</v>
      </c>
      <c r="B1100" s="36" t="s">
        <v>124</v>
      </c>
      <c r="C1100" s="37"/>
      <c r="D1100" s="79">
        <v>44152.6</v>
      </c>
      <c r="E1100" s="88">
        <f>VLOOKUP(A1100,'Previous week'!$A$3:$F$1765,6,FALSE)</f>
        <v>0</v>
      </c>
      <c r="F1100" s="22">
        <f t="shared" si="53"/>
        <v>0</v>
      </c>
      <c r="G1100" s="88">
        <f>VLOOKUP(A1100,'Current week'!$A$3:$F$1765,6,0)</f>
        <v>0</v>
      </c>
      <c r="H1100" s="105">
        <f t="shared" si="51"/>
        <v>0</v>
      </c>
      <c r="I1100" s="105">
        <f t="shared" si="52"/>
        <v>0</v>
      </c>
      <c r="L1100" s="112"/>
    </row>
    <row r="1101" spans="1:12" x14ac:dyDescent="0.25">
      <c r="A1101" s="54" t="s">
        <v>3539</v>
      </c>
      <c r="B1101" s="54" t="s">
        <v>1783</v>
      </c>
      <c r="C1101" s="55" t="s">
        <v>1784</v>
      </c>
      <c r="D1101" s="70">
        <v>44152.6</v>
      </c>
      <c r="E1101" s="94">
        <f>'Previous week'!F1112</f>
        <v>1</v>
      </c>
      <c r="F1101" s="57">
        <f t="shared" si="53"/>
        <v>0</v>
      </c>
      <c r="G1101" s="94">
        <f>'Current week'!F1112</f>
        <v>1</v>
      </c>
      <c r="H1101" s="107">
        <f t="shared" si="51"/>
        <v>44152.6</v>
      </c>
      <c r="I1101" s="107">
        <f t="shared" si="52"/>
        <v>0</v>
      </c>
      <c r="L1101" s="112"/>
    </row>
    <row r="1102" spans="1:12" x14ac:dyDescent="0.25">
      <c r="A1102" s="36" t="s">
        <v>3540</v>
      </c>
      <c r="B1102" s="36" t="s">
        <v>1785</v>
      </c>
      <c r="C1102" s="37"/>
      <c r="D1102" s="79">
        <v>386983.51</v>
      </c>
      <c r="E1102" s="88">
        <f>VLOOKUP(A1102,'Previous week'!$A$3:$F$1765,6,FALSE)</f>
        <v>1</v>
      </c>
      <c r="F1102" s="22">
        <f t="shared" si="53"/>
        <v>0</v>
      </c>
      <c r="G1102" s="88">
        <f>VLOOKUP(A1102,'Current week'!$A$3:$F$1765,6,0)</f>
        <v>1</v>
      </c>
      <c r="H1102" s="105">
        <f t="shared" si="51"/>
        <v>386983.51</v>
      </c>
      <c r="I1102" s="105">
        <f t="shared" si="52"/>
        <v>0</v>
      </c>
      <c r="L1102" s="112"/>
    </row>
    <row r="1103" spans="1:12" x14ac:dyDescent="0.25">
      <c r="A1103" s="54" t="s">
        <v>3541</v>
      </c>
      <c r="B1103" s="54" t="s">
        <v>1786</v>
      </c>
      <c r="C1103" s="55"/>
      <c r="D1103" s="70">
        <v>173158.78</v>
      </c>
      <c r="E1103" s="94">
        <f>'Previous week'!F1114</f>
        <v>1</v>
      </c>
      <c r="F1103" s="57">
        <f t="shared" si="53"/>
        <v>0</v>
      </c>
      <c r="G1103" s="94">
        <f>'Current week'!F1114</f>
        <v>1</v>
      </c>
      <c r="H1103" s="107">
        <f t="shared" si="51"/>
        <v>173158.78</v>
      </c>
      <c r="I1103" s="107">
        <f t="shared" si="52"/>
        <v>0</v>
      </c>
      <c r="L1103" s="112"/>
    </row>
    <row r="1104" spans="1:12" x14ac:dyDescent="0.25">
      <c r="A1104" s="36" t="s">
        <v>3542</v>
      </c>
      <c r="B1104" s="36" t="s">
        <v>1787</v>
      </c>
      <c r="C1104" s="37" t="s">
        <v>1788</v>
      </c>
      <c r="D1104" s="79">
        <v>9991.1</v>
      </c>
      <c r="E1104" s="88">
        <f>VLOOKUP(A1104,'Previous week'!$A$3:$F$1765,6,FALSE)</f>
        <v>1</v>
      </c>
      <c r="F1104" s="22">
        <f t="shared" si="53"/>
        <v>0</v>
      </c>
      <c r="G1104" s="88">
        <f>VLOOKUP(A1104,'Current week'!$A$3:$F$1765,6,0)</f>
        <v>1</v>
      </c>
      <c r="H1104" s="105">
        <f t="shared" si="51"/>
        <v>9991.1</v>
      </c>
      <c r="I1104" s="105">
        <f t="shared" si="52"/>
        <v>0</v>
      </c>
      <c r="L1104" s="112"/>
    </row>
    <row r="1105" spans="1:12" x14ac:dyDescent="0.25">
      <c r="A1105" s="54" t="s">
        <v>3543</v>
      </c>
      <c r="B1105" s="54" t="s">
        <v>1789</v>
      </c>
      <c r="C1105" s="55" t="s">
        <v>1790</v>
      </c>
      <c r="D1105" s="70">
        <v>17941.62</v>
      </c>
      <c r="E1105" s="94">
        <f>'Previous week'!F1116</f>
        <v>1</v>
      </c>
      <c r="F1105" s="57">
        <f t="shared" si="53"/>
        <v>0</v>
      </c>
      <c r="G1105" s="94">
        <f>'Current week'!F1116</f>
        <v>1</v>
      </c>
      <c r="H1105" s="107">
        <f t="shared" si="51"/>
        <v>17941.62</v>
      </c>
      <c r="I1105" s="107">
        <f t="shared" si="52"/>
        <v>0</v>
      </c>
      <c r="L1105" s="112"/>
    </row>
    <row r="1106" spans="1:12" x14ac:dyDescent="0.25">
      <c r="A1106" s="36" t="s">
        <v>3544</v>
      </c>
      <c r="B1106" s="36" t="s">
        <v>1791</v>
      </c>
      <c r="C1106" s="37" t="s">
        <v>1792</v>
      </c>
      <c r="D1106" s="79">
        <v>50825.95</v>
      </c>
      <c r="E1106" s="88">
        <f>VLOOKUP(A1106,'Previous week'!$A$3:$F$1765,6,FALSE)</f>
        <v>1</v>
      </c>
      <c r="F1106" s="22">
        <f t="shared" si="53"/>
        <v>0</v>
      </c>
      <c r="G1106" s="88">
        <f>VLOOKUP(A1106,'Current week'!$A$3:$F$1765,6,0)</f>
        <v>1</v>
      </c>
      <c r="H1106" s="105">
        <f t="shared" si="51"/>
        <v>50825.95</v>
      </c>
      <c r="I1106" s="105">
        <f t="shared" si="52"/>
        <v>0</v>
      </c>
      <c r="L1106" s="112"/>
    </row>
    <row r="1107" spans="1:12" x14ac:dyDescent="0.25">
      <c r="A1107" s="54" t="s">
        <v>3545</v>
      </c>
      <c r="B1107" s="54" t="s">
        <v>1793</v>
      </c>
      <c r="C1107" s="55" t="s">
        <v>1794</v>
      </c>
      <c r="D1107" s="70">
        <v>73193.61</v>
      </c>
      <c r="E1107" s="94">
        <f>'Previous week'!F1118</f>
        <v>1</v>
      </c>
      <c r="F1107" s="57">
        <f t="shared" si="53"/>
        <v>0</v>
      </c>
      <c r="G1107" s="94">
        <f>'Current week'!F1118</f>
        <v>1</v>
      </c>
      <c r="H1107" s="107">
        <f t="shared" si="51"/>
        <v>73193.61</v>
      </c>
      <c r="I1107" s="107">
        <f t="shared" si="52"/>
        <v>0</v>
      </c>
      <c r="L1107" s="112"/>
    </row>
    <row r="1108" spans="1:12" x14ac:dyDescent="0.25">
      <c r="A1108" s="36" t="s">
        <v>3546</v>
      </c>
      <c r="B1108" s="36" t="s">
        <v>1795</v>
      </c>
      <c r="C1108" s="37" t="s">
        <v>1796</v>
      </c>
      <c r="D1108" s="79">
        <v>17422</v>
      </c>
      <c r="E1108" s="88">
        <f>VLOOKUP(A1108,'Previous week'!$A$3:$F$1765,6,FALSE)</f>
        <v>1</v>
      </c>
      <c r="F1108" s="22">
        <f t="shared" si="53"/>
        <v>0</v>
      </c>
      <c r="G1108" s="88">
        <f>VLOOKUP(A1108,'Current week'!$A$3:$F$1765,6,0)</f>
        <v>1</v>
      </c>
      <c r="H1108" s="105">
        <f t="shared" si="51"/>
        <v>17422</v>
      </c>
      <c r="I1108" s="105">
        <f t="shared" si="52"/>
        <v>0</v>
      </c>
      <c r="L1108" s="112"/>
    </row>
    <row r="1109" spans="1:12" x14ac:dyDescent="0.25">
      <c r="A1109" s="41" t="s">
        <v>3547</v>
      </c>
      <c r="B1109" s="41" t="s">
        <v>1797</v>
      </c>
      <c r="C1109" s="42" t="s">
        <v>1798</v>
      </c>
      <c r="D1109" s="66">
        <v>3784.51</v>
      </c>
      <c r="E1109" s="91"/>
      <c r="F1109" s="44">
        <f t="shared" si="53"/>
        <v>0</v>
      </c>
      <c r="G1109" s="91"/>
      <c r="H1109" s="103"/>
      <c r="I1109" s="103"/>
      <c r="L1109" s="112"/>
    </row>
    <row r="1110" spans="1:12" x14ac:dyDescent="0.25">
      <c r="A1110" s="45" t="s">
        <v>3548</v>
      </c>
      <c r="B1110" s="45" t="s">
        <v>1799</v>
      </c>
      <c r="C1110" s="46"/>
      <c r="D1110" s="75">
        <v>213824.72</v>
      </c>
      <c r="E1110" s="92"/>
      <c r="F1110" s="48">
        <f t="shared" si="53"/>
        <v>0</v>
      </c>
      <c r="G1110" s="92"/>
      <c r="H1110" s="106"/>
      <c r="I1110" s="106"/>
      <c r="L1110" s="112"/>
    </row>
    <row r="1111" spans="1:12" x14ac:dyDescent="0.25">
      <c r="A1111" s="19" t="s">
        <v>3549</v>
      </c>
      <c r="B1111" s="19" t="s">
        <v>1800</v>
      </c>
      <c r="C1111" s="20" t="s">
        <v>1801</v>
      </c>
      <c r="D1111" s="77">
        <v>182034.85</v>
      </c>
      <c r="E1111" s="88">
        <f>VLOOKUP(A1111,'Previous week'!$A$3:$F$1765,6,FALSE)</f>
        <v>1</v>
      </c>
      <c r="F1111" s="22">
        <f t="shared" si="53"/>
        <v>0</v>
      </c>
      <c r="G1111" s="88">
        <f>VLOOKUP(A1111,'Current week'!$A$3:$F$1765,6,0)</f>
        <v>1</v>
      </c>
      <c r="H1111" s="101">
        <f t="shared" si="51"/>
        <v>182034.85</v>
      </c>
      <c r="I1111" s="101">
        <f t="shared" si="52"/>
        <v>0</v>
      </c>
      <c r="L1111" s="112"/>
    </row>
    <row r="1112" spans="1:12" x14ac:dyDescent="0.25">
      <c r="A1112" s="33" t="s">
        <v>3550</v>
      </c>
      <c r="B1112" s="33" t="s">
        <v>1802</v>
      </c>
      <c r="C1112" s="34" t="s">
        <v>1803</v>
      </c>
      <c r="D1112" s="78">
        <v>3406.06</v>
      </c>
      <c r="E1112" s="88">
        <f>VLOOKUP(A1112,'Previous week'!$A$3:$F$1765,6,FALSE)</f>
        <v>1</v>
      </c>
      <c r="F1112" s="22">
        <f t="shared" si="53"/>
        <v>0</v>
      </c>
      <c r="G1112" s="88">
        <f>VLOOKUP(A1112,'Current week'!$A$3:$F$1765,6,0)</f>
        <v>1</v>
      </c>
      <c r="H1112" s="104">
        <f t="shared" si="51"/>
        <v>3406.06</v>
      </c>
      <c r="I1112" s="104">
        <f t="shared" si="52"/>
        <v>0</v>
      </c>
      <c r="L1112" s="112"/>
    </row>
    <row r="1113" spans="1:12" x14ac:dyDescent="0.25">
      <c r="A1113" s="33" t="s">
        <v>3551</v>
      </c>
      <c r="B1113" s="33" t="s">
        <v>1804</v>
      </c>
      <c r="C1113" s="34" t="s">
        <v>1758</v>
      </c>
      <c r="D1113" s="78">
        <v>28383.81</v>
      </c>
      <c r="E1113" s="88">
        <f>VLOOKUP(A1113,'Previous week'!$A$3:$F$1765,6,FALSE)</f>
        <v>1</v>
      </c>
      <c r="F1113" s="22">
        <f t="shared" si="53"/>
        <v>0</v>
      </c>
      <c r="G1113" s="88">
        <f>VLOOKUP(A1113,'Current week'!$A$3:$F$1765,6,0)</f>
        <v>1</v>
      </c>
      <c r="H1113" s="104">
        <f t="shared" si="51"/>
        <v>28383.81</v>
      </c>
      <c r="I1113" s="104">
        <f t="shared" si="52"/>
        <v>0</v>
      </c>
      <c r="L1113" s="112"/>
    </row>
    <row r="1114" spans="1:12" x14ac:dyDescent="0.25">
      <c r="A1114" s="33" t="s">
        <v>3552</v>
      </c>
      <c r="B1114" s="33" t="s">
        <v>1805</v>
      </c>
      <c r="C1114" s="34"/>
      <c r="D1114" s="78">
        <v>5862192.5099999998</v>
      </c>
      <c r="E1114" s="88">
        <f>VLOOKUP(A1114,'Previous week'!$A$3:$F$1765,6,FALSE)</f>
        <v>1</v>
      </c>
      <c r="F1114" s="22">
        <f t="shared" si="53"/>
        <v>0</v>
      </c>
      <c r="G1114" s="88">
        <f>VLOOKUP(A1114,'Current week'!$A$3:$F$1765,6,0)</f>
        <v>1</v>
      </c>
      <c r="H1114" s="104">
        <f t="shared" si="51"/>
        <v>5862192.5099999998</v>
      </c>
      <c r="I1114" s="104">
        <f t="shared" si="52"/>
        <v>0</v>
      </c>
      <c r="L1114" s="112"/>
    </row>
    <row r="1115" spans="1:12" x14ac:dyDescent="0.25">
      <c r="A1115" s="33" t="s">
        <v>3474</v>
      </c>
      <c r="B1115" s="33" t="s">
        <v>1685</v>
      </c>
      <c r="C1115" s="34"/>
      <c r="D1115" s="78">
        <v>3190841.54</v>
      </c>
      <c r="E1115" s="88">
        <f>VLOOKUP(A1115,'Previous week'!$A$3:$F$1765,6,FALSE)</f>
        <v>1</v>
      </c>
      <c r="F1115" s="22">
        <f t="shared" si="53"/>
        <v>0</v>
      </c>
      <c r="G1115" s="88">
        <f>VLOOKUP(A1115,'Current week'!$A$3:$F$1765,6,0)</f>
        <v>1</v>
      </c>
      <c r="H1115" s="104">
        <f t="shared" si="51"/>
        <v>3190841.54</v>
      </c>
      <c r="I1115" s="104">
        <f t="shared" si="52"/>
        <v>0</v>
      </c>
      <c r="L1115" s="112"/>
    </row>
    <row r="1116" spans="1:12" x14ac:dyDescent="0.25">
      <c r="A1116" s="23" t="s">
        <v>3475</v>
      </c>
      <c r="B1116" s="23" t="s">
        <v>1686</v>
      </c>
      <c r="C1116" s="24"/>
      <c r="D1116" s="71">
        <v>1378550.68</v>
      </c>
      <c r="E1116" s="88">
        <f>VLOOKUP(A1116,'Previous week'!$A$3:$F$1765,6,FALSE)</f>
        <v>1</v>
      </c>
      <c r="F1116" s="22">
        <f t="shared" si="53"/>
        <v>0</v>
      </c>
      <c r="G1116" s="88">
        <f>VLOOKUP(A1116,'Current week'!$A$3:$F$1765,6,0)</f>
        <v>1</v>
      </c>
      <c r="H1116" s="102">
        <f t="shared" si="51"/>
        <v>1378550.68</v>
      </c>
      <c r="I1116" s="102">
        <f t="shared" si="52"/>
        <v>0</v>
      </c>
      <c r="L1116" s="112"/>
    </row>
    <row r="1117" spans="1:12" x14ac:dyDescent="0.25">
      <c r="A1117" s="41" t="s">
        <v>3553</v>
      </c>
      <c r="B1117" s="41" t="s">
        <v>1806</v>
      </c>
      <c r="C1117" s="42" t="s">
        <v>1807</v>
      </c>
      <c r="D1117" s="66">
        <v>1224367.31</v>
      </c>
      <c r="E1117" s="91"/>
      <c r="F1117" s="67">
        <f t="shared" si="53"/>
        <v>0</v>
      </c>
      <c r="G1117" s="91"/>
      <c r="H1117" s="103"/>
      <c r="I1117" s="103"/>
      <c r="L1117" s="112"/>
    </row>
    <row r="1118" spans="1:12" x14ac:dyDescent="0.25">
      <c r="A1118" s="45" t="s">
        <v>3554</v>
      </c>
      <c r="B1118" s="45" t="s">
        <v>1808</v>
      </c>
      <c r="C1118" s="46" t="s">
        <v>1809</v>
      </c>
      <c r="D1118" s="75">
        <v>31065.82</v>
      </c>
      <c r="E1118" s="92"/>
      <c r="F1118" s="80">
        <f t="shared" si="53"/>
        <v>0</v>
      </c>
      <c r="G1118" s="92"/>
      <c r="H1118" s="106"/>
      <c r="I1118" s="106"/>
      <c r="L1118" s="112"/>
    </row>
    <row r="1119" spans="1:12" x14ac:dyDescent="0.25">
      <c r="A1119" s="19" t="s">
        <v>3555</v>
      </c>
      <c r="B1119" s="19" t="s">
        <v>1810</v>
      </c>
      <c r="C1119" s="20" t="s">
        <v>1811</v>
      </c>
      <c r="D1119" s="77">
        <v>123117.55</v>
      </c>
      <c r="E1119" s="88">
        <f>VLOOKUP(A1119,'Previous week'!$A$3:$F$1765,6,FALSE)</f>
        <v>1</v>
      </c>
      <c r="F1119" s="22">
        <f t="shared" si="53"/>
        <v>0</v>
      </c>
      <c r="G1119" s="88">
        <f>VLOOKUP(A1119,'Current week'!$A$3:$F$1765,6,0)</f>
        <v>1</v>
      </c>
      <c r="H1119" s="101">
        <f t="shared" si="51"/>
        <v>123117.55</v>
      </c>
      <c r="I1119" s="101">
        <f t="shared" si="52"/>
        <v>0</v>
      </c>
      <c r="L1119" s="112"/>
    </row>
    <row r="1120" spans="1:12" x14ac:dyDescent="0.25">
      <c r="A1120" s="33" t="s">
        <v>3479</v>
      </c>
      <c r="B1120" s="33" t="s">
        <v>1693</v>
      </c>
      <c r="C1120" s="34"/>
      <c r="D1120" s="78">
        <v>825025.98</v>
      </c>
      <c r="E1120" s="88">
        <f>VLOOKUP(A1120,'Previous week'!$A$3:$F$1765,6,FALSE)</f>
        <v>1</v>
      </c>
      <c r="F1120" s="22">
        <f t="shared" si="53"/>
        <v>0</v>
      </c>
      <c r="G1120" s="88">
        <f>VLOOKUP(A1120,'Current week'!$A$3:$F$1765,6,0)</f>
        <v>1</v>
      </c>
      <c r="H1120" s="104">
        <f t="shared" si="51"/>
        <v>825025.98</v>
      </c>
      <c r="I1120" s="104">
        <f t="shared" si="52"/>
        <v>0</v>
      </c>
      <c r="L1120" s="112"/>
    </row>
    <row r="1121" spans="1:12" x14ac:dyDescent="0.25">
      <c r="A1121" s="33" t="s">
        <v>3556</v>
      </c>
      <c r="B1121" s="33" t="s">
        <v>1812</v>
      </c>
      <c r="C1121" s="34" t="s">
        <v>1813</v>
      </c>
      <c r="D1121" s="78">
        <v>125409.15</v>
      </c>
      <c r="E1121" s="88">
        <f>VLOOKUP(A1121,'Previous week'!$A$3:$F$1765,6,FALSE)</f>
        <v>1</v>
      </c>
      <c r="F1121" s="22">
        <f t="shared" si="53"/>
        <v>0</v>
      </c>
      <c r="G1121" s="88">
        <f>VLOOKUP(A1121,'Current week'!$A$3:$F$1765,6,0)</f>
        <v>1</v>
      </c>
      <c r="H1121" s="104">
        <f t="shared" si="51"/>
        <v>125409.15</v>
      </c>
      <c r="I1121" s="104">
        <f t="shared" si="52"/>
        <v>0</v>
      </c>
      <c r="L1121" s="112"/>
    </row>
    <row r="1122" spans="1:12" x14ac:dyDescent="0.25">
      <c r="A1122" s="33" t="s">
        <v>3557</v>
      </c>
      <c r="B1122" s="33" t="s">
        <v>1814</v>
      </c>
      <c r="C1122" s="34" t="s">
        <v>1815</v>
      </c>
      <c r="D1122" s="78">
        <v>70000.789999999994</v>
      </c>
      <c r="E1122" s="88">
        <f>VLOOKUP(A1122,'Previous week'!$A$3:$F$1765,6,FALSE)</f>
        <v>1</v>
      </c>
      <c r="F1122" s="22">
        <f t="shared" si="53"/>
        <v>0</v>
      </c>
      <c r="G1122" s="88">
        <f>VLOOKUP(A1122,'Current week'!$A$3:$F$1765,6,0)</f>
        <v>1</v>
      </c>
      <c r="H1122" s="104">
        <f t="shared" si="51"/>
        <v>70000.789999999994</v>
      </c>
      <c r="I1122" s="104">
        <f t="shared" si="52"/>
        <v>0</v>
      </c>
      <c r="L1122" s="112"/>
    </row>
    <row r="1123" spans="1:12" x14ac:dyDescent="0.25">
      <c r="A1123" s="33" t="s">
        <v>3558</v>
      </c>
      <c r="B1123" s="33" t="s">
        <v>1816</v>
      </c>
      <c r="C1123" s="34" t="s">
        <v>1817</v>
      </c>
      <c r="D1123" s="78">
        <v>629616.05000000005</v>
      </c>
      <c r="E1123" s="88">
        <f>VLOOKUP(A1123,'Previous week'!$A$3:$F$1765,6,FALSE)</f>
        <v>1</v>
      </c>
      <c r="F1123" s="22">
        <f t="shared" si="53"/>
        <v>0</v>
      </c>
      <c r="G1123" s="88">
        <f>VLOOKUP(A1123,'Current week'!$A$3:$F$1765,6,0)</f>
        <v>1</v>
      </c>
      <c r="H1123" s="104">
        <f t="shared" si="51"/>
        <v>629616.05000000005</v>
      </c>
      <c r="I1123" s="104">
        <f t="shared" si="52"/>
        <v>0</v>
      </c>
      <c r="L1123" s="112"/>
    </row>
    <row r="1124" spans="1:12" x14ac:dyDescent="0.25">
      <c r="A1124" s="33" t="s">
        <v>3483</v>
      </c>
      <c r="B1124" s="33" t="s">
        <v>1700</v>
      </c>
      <c r="C1124" s="34"/>
      <c r="D1124" s="78">
        <v>987264.88</v>
      </c>
      <c r="E1124" s="88">
        <f>VLOOKUP(A1124,'Previous week'!$A$3:$F$1765,6,FALSE)</f>
        <v>1</v>
      </c>
      <c r="F1124" s="22">
        <f t="shared" si="53"/>
        <v>0</v>
      </c>
      <c r="G1124" s="88">
        <f>VLOOKUP(A1124,'Current week'!$A$3:$F$1765,6,0)</f>
        <v>1</v>
      </c>
      <c r="H1124" s="104">
        <f t="shared" si="51"/>
        <v>987264.88</v>
      </c>
      <c r="I1124" s="104">
        <f t="shared" si="52"/>
        <v>0</v>
      </c>
      <c r="L1124" s="112"/>
    </row>
    <row r="1125" spans="1:12" x14ac:dyDescent="0.25">
      <c r="A1125" s="33" t="s">
        <v>3484</v>
      </c>
      <c r="B1125" s="33" t="s">
        <v>1701</v>
      </c>
      <c r="C1125" s="34"/>
      <c r="D1125" s="78">
        <v>370629.52</v>
      </c>
      <c r="E1125" s="88">
        <f>VLOOKUP(A1125,'Previous week'!$A$3:$F$1765,6,FALSE)</f>
        <v>1</v>
      </c>
      <c r="F1125" s="22">
        <f t="shared" si="53"/>
        <v>0</v>
      </c>
      <c r="G1125" s="88">
        <f>VLOOKUP(A1125,'Current week'!$A$3:$F$1765,6,0)</f>
        <v>1</v>
      </c>
      <c r="H1125" s="104">
        <f t="shared" si="51"/>
        <v>370629.52</v>
      </c>
      <c r="I1125" s="104">
        <f t="shared" si="52"/>
        <v>0</v>
      </c>
      <c r="L1125" s="112"/>
    </row>
    <row r="1126" spans="1:12" x14ac:dyDescent="0.25">
      <c r="A1126" s="23" t="s">
        <v>3559</v>
      </c>
      <c r="B1126" s="23" t="s">
        <v>1818</v>
      </c>
      <c r="C1126" s="24" t="s">
        <v>1819</v>
      </c>
      <c r="D1126" s="71">
        <v>36898.959999999999</v>
      </c>
      <c r="E1126" s="88">
        <f>VLOOKUP(A1126,'Previous week'!$A$3:$F$1765,6,FALSE)</f>
        <v>1</v>
      </c>
      <c r="F1126" s="22">
        <f t="shared" si="53"/>
        <v>0</v>
      </c>
      <c r="G1126" s="88">
        <f>VLOOKUP(A1126,'Current week'!$A$3:$F$1765,6,0)</f>
        <v>1</v>
      </c>
      <c r="H1126" s="102">
        <f t="shared" si="51"/>
        <v>36898.959999999999</v>
      </c>
      <c r="I1126" s="102">
        <f t="shared" si="52"/>
        <v>0</v>
      </c>
      <c r="L1126" s="112"/>
    </row>
    <row r="1127" spans="1:12" x14ac:dyDescent="0.25">
      <c r="A1127" s="45" t="s">
        <v>3560</v>
      </c>
      <c r="B1127" s="45" t="s">
        <v>1820</v>
      </c>
      <c r="C1127" s="46" t="s">
        <v>1821</v>
      </c>
      <c r="D1127" s="75">
        <v>333730.57</v>
      </c>
      <c r="E1127" s="92"/>
      <c r="F1127" s="80">
        <f t="shared" si="53"/>
        <v>0</v>
      </c>
      <c r="G1127" s="92"/>
      <c r="H1127" s="106"/>
      <c r="I1127" s="106"/>
      <c r="L1127" s="112"/>
    </row>
    <row r="1128" spans="1:12" x14ac:dyDescent="0.25">
      <c r="A1128" s="19" t="s">
        <v>3487</v>
      </c>
      <c r="B1128" s="19" t="s">
        <v>1706</v>
      </c>
      <c r="C1128" s="20"/>
      <c r="D1128" s="77">
        <v>231115.34</v>
      </c>
      <c r="E1128" s="88">
        <f>VLOOKUP(A1128,'Previous week'!$A$3:$F$1765,6,FALSE)</f>
        <v>1</v>
      </c>
      <c r="F1128" s="22">
        <f t="shared" si="53"/>
        <v>0</v>
      </c>
      <c r="G1128" s="88">
        <f>VLOOKUP(A1128,'Current week'!$A$3:$F$1765,6,0)</f>
        <v>1</v>
      </c>
      <c r="H1128" s="101">
        <f t="shared" si="51"/>
        <v>231115.34</v>
      </c>
      <c r="I1128" s="101">
        <f t="shared" si="52"/>
        <v>0</v>
      </c>
      <c r="L1128" s="112"/>
    </row>
    <row r="1129" spans="1:12" x14ac:dyDescent="0.25">
      <c r="A1129" s="33" t="s">
        <v>3561</v>
      </c>
      <c r="B1129" s="33" t="s">
        <v>1822</v>
      </c>
      <c r="C1129" s="34" t="s">
        <v>1823</v>
      </c>
      <c r="D1129" s="78">
        <v>231115.34</v>
      </c>
      <c r="E1129" s="88">
        <f>VLOOKUP(A1129,'Previous week'!$A$3:$F$1765,6,FALSE)</f>
        <v>1</v>
      </c>
      <c r="F1129" s="22">
        <f t="shared" si="53"/>
        <v>0</v>
      </c>
      <c r="G1129" s="88">
        <f>VLOOKUP(A1129,'Current week'!$A$3:$F$1765,6,0)</f>
        <v>1</v>
      </c>
      <c r="H1129" s="104">
        <f t="shared" si="51"/>
        <v>231115.34</v>
      </c>
      <c r="I1129" s="104">
        <f t="shared" si="52"/>
        <v>0</v>
      </c>
      <c r="L1129" s="112"/>
    </row>
    <row r="1130" spans="1:12" x14ac:dyDescent="0.25">
      <c r="A1130" s="33" t="s">
        <v>3489</v>
      </c>
      <c r="B1130" s="33" t="s">
        <v>1709</v>
      </c>
      <c r="C1130" s="34"/>
      <c r="D1130" s="78">
        <v>219785.33</v>
      </c>
      <c r="E1130" s="88">
        <f>VLOOKUP(A1130,'Previous week'!$A$3:$F$1765,6,FALSE)</f>
        <v>1</v>
      </c>
      <c r="F1130" s="22">
        <f t="shared" si="53"/>
        <v>0</v>
      </c>
      <c r="G1130" s="88">
        <f>VLOOKUP(A1130,'Current week'!$A$3:$F$1765,6,0)</f>
        <v>1</v>
      </c>
      <c r="H1130" s="104">
        <f t="shared" si="51"/>
        <v>219785.33</v>
      </c>
      <c r="I1130" s="104">
        <f t="shared" si="52"/>
        <v>0</v>
      </c>
      <c r="L1130" s="112"/>
    </row>
    <row r="1131" spans="1:12" x14ac:dyDescent="0.25">
      <c r="A1131" s="33" t="s">
        <v>3562</v>
      </c>
      <c r="B1131" s="33" t="s">
        <v>1824</v>
      </c>
      <c r="C1131" s="34" t="s">
        <v>1825</v>
      </c>
      <c r="D1131" s="78">
        <v>219785.33</v>
      </c>
      <c r="E1131" s="88">
        <f>VLOOKUP(A1131,'Previous week'!$A$3:$F$1765,6,FALSE)</f>
        <v>1</v>
      </c>
      <c r="F1131" s="22">
        <f t="shared" si="53"/>
        <v>0</v>
      </c>
      <c r="G1131" s="88">
        <f>VLOOKUP(A1131,'Current week'!$A$3:$F$1765,6,0)</f>
        <v>1</v>
      </c>
      <c r="H1131" s="104">
        <f t="shared" si="51"/>
        <v>219785.33</v>
      </c>
      <c r="I1131" s="104">
        <f t="shared" si="52"/>
        <v>0</v>
      </c>
      <c r="L1131" s="112"/>
    </row>
    <row r="1132" spans="1:12" x14ac:dyDescent="0.25">
      <c r="A1132" s="33" t="s">
        <v>2781</v>
      </c>
      <c r="B1132" s="33" t="s">
        <v>1712</v>
      </c>
      <c r="C1132" s="34"/>
      <c r="D1132" s="78">
        <v>62150.42</v>
      </c>
      <c r="E1132" s="88">
        <f>VLOOKUP(A1132,'Previous week'!$A$3:$F$1765,6,FALSE)</f>
        <v>0</v>
      </c>
      <c r="F1132" s="22">
        <f t="shared" si="53"/>
        <v>0</v>
      </c>
      <c r="G1132" s="88">
        <f>VLOOKUP(A1132,'Current week'!$A$3:$F$1765,6,0)</f>
        <v>0</v>
      </c>
      <c r="H1132" s="104">
        <f t="shared" si="51"/>
        <v>0</v>
      </c>
      <c r="I1132" s="104">
        <f t="shared" si="52"/>
        <v>0</v>
      </c>
      <c r="L1132" s="112"/>
    </row>
    <row r="1133" spans="1:12" x14ac:dyDescent="0.25">
      <c r="A1133" s="33" t="s">
        <v>3563</v>
      </c>
      <c r="B1133" s="33" t="s">
        <v>1826</v>
      </c>
      <c r="C1133" s="34" t="s">
        <v>1827</v>
      </c>
      <c r="D1133" s="78">
        <v>62150.42</v>
      </c>
      <c r="E1133" s="88">
        <f>VLOOKUP(A1133,'Previous week'!$A$3:$F$1765,6,FALSE)</f>
        <v>1</v>
      </c>
      <c r="F1133" s="22">
        <f t="shared" si="53"/>
        <v>0</v>
      </c>
      <c r="G1133" s="88">
        <f>VLOOKUP(A1133,'Current week'!$A$3:$F$1765,6,0)</f>
        <v>1</v>
      </c>
      <c r="H1133" s="104">
        <f t="shared" si="51"/>
        <v>62150.42</v>
      </c>
      <c r="I1133" s="104">
        <f t="shared" si="52"/>
        <v>0</v>
      </c>
      <c r="L1133" s="112"/>
    </row>
    <row r="1134" spans="1:12" x14ac:dyDescent="0.25">
      <c r="A1134" s="33" t="s">
        <v>3492</v>
      </c>
      <c r="B1134" s="33" t="s">
        <v>1715</v>
      </c>
      <c r="C1134" s="34"/>
      <c r="D1134" s="78">
        <v>103584.27</v>
      </c>
      <c r="E1134" s="88">
        <f>VLOOKUP(A1134,'Previous week'!$A$3:$F$1765,6,FALSE)</f>
        <v>1</v>
      </c>
      <c r="F1134" s="22">
        <f t="shared" si="53"/>
        <v>0</v>
      </c>
      <c r="G1134" s="88">
        <f>VLOOKUP(A1134,'Current week'!$A$3:$F$1765,6,0)</f>
        <v>1</v>
      </c>
      <c r="H1134" s="104">
        <f t="shared" si="51"/>
        <v>103584.27</v>
      </c>
      <c r="I1134" s="104">
        <f t="shared" si="52"/>
        <v>0</v>
      </c>
      <c r="L1134" s="112"/>
    </row>
    <row r="1135" spans="1:12" x14ac:dyDescent="0.25">
      <c r="A1135" s="23" t="s">
        <v>3564</v>
      </c>
      <c r="B1135" s="23" t="s">
        <v>1828</v>
      </c>
      <c r="C1135" s="24" t="s">
        <v>1829</v>
      </c>
      <c r="D1135" s="71">
        <v>103584.27</v>
      </c>
      <c r="E1135" s="88">
        <f>VLOOKUP(A1135,'Previous week'!$A$3:$F$1765,6,FALSE)</f>
        <v>1</v>
      </c>
      <c r="F1135" s="22">
        <f t="shared" si="53"/>
        <v>0</v>
      </c>
      <c r="G1135" s="88">
        <f>VLOOKUP(A1135,'Current week'!$A$3:$F$1765,6,0)</f>
        <v>1</v>
      </c>
      <c r="H1135" s="102">
        <f t="shared" si="51"/>
        <v>103584.27</v>
      </c>
      <c r="I1135" s="102">
        <f t="shared" si="52"/>
        <v>0</v>
      </c>
      <c r="L1135" s="112"/>
    </row>
    <row r="1136" spans="1:12" x14ac:dyDescent="0.25">
      <c r="A1136" s="45" t="s">
        <v>3496</v>
      </c>
      <c r="B1136" s="45" t="s">
        <v>1721</v>
      </c>
      <c r="C1136" s="46"/>
      <c r="D1136" s="75">
        <v>873381.08</v>
      </c>
      <c r="E1136" s="92"/>
      <c r="F1136" s="80">
        <f t="shared" si="53"/>
        <v>0</v>
      </c>
      <c r="G1136" s="92"/>
      <c r="H1136" s="106"/>
      <c r="I1136" s="106"/>
      <c r="L1136" s="112"/>
    </row>
    <row r="1137" spans="1:12" x14ac:dyDescent="0.25">
      <c r="A1137" s="19" t="s">
        <v>3497</v>
      </c>
      <c r="B1137" s="19" t="s">
        <v>1722</v>
      </c>
      <c r="C1137" s="20"/>
      <c r="D1137" s="77">
        <v>547196.15</v>
      </c>
      <c r="E1137" s="88">
        <f>VLOOKUP(A1137,'Previous week'!$A$3:$F$1765,6,FALSE)</f>
        <v>1</v>
      </c>
      <c r="F1137" s="22">
        <f t="shared" ref="F1137:F1194" si="54">G1137-E1137</f>
        <v>0</v>
      </c>
      <c r="G1137" s="88">
        <f>VLOOKUP(A1137,'Current week'!$A$3:$F$1765,6,0)</f>
        <v>1</v>
      </c>
      <c r="H1137" s="101">
        <f t="shared" ref="H1137:H1193" si="55">G1137*D1137</f>
        <v>547196.15</v>
      </c>
      <c r="I1137" s="101">
        <f t="shared" ref="I1137:I1193" si="56">F1137*D1137</f>
        <v>0</v>
      </c>
      <c r="L1137" s="112"/>
    </row>
    <row r="1138" spans="1:12" x14ac:dyDescent="0.25">
      <c r="A1138" s="33" t="s">
        <v>3565</v>
      </c>
      <c r="B1138" s="33" t="s">
        <v>1830</v>
      </c>
      <c r="C1138" s="34" t="s">
        <v>1831</v>
      </c>
      <c r="D1138" s="78">
        <v>54719.59</v>
      </c>
      <c r="E1138" s="88">
        <f>VLOOKUP(A1138,'Previous week'!$A$3:$F$1765,6,FALSE)</f>
        <v>1</v>
      </c>
      <c r="F1138" s="22">
        <f t="shared" si="54"/>
        <v>0</v>
      </c>
      <c r="G1138" s="88">
        <f>VLOOKUP(A1138,'Current week'!$A$3:$F$1765,6,0)</f>
        <v>1</v>
      </c>
      <c r="H1138" s="104">
        <f t="shared" si="55"/>
        <v>54719.59</v>
      </c>
      <c r="I1138" s="104">
        <f t="shared" si="56"/>
        <v>0</v>
      </c>
      <c r="L1138" s="112"/>
    </row>
    <row r="1139" spans="1:12" x14ac:dyDescent="0.25">
      <c r="A1139" s="33" t="s">
        <v>3566</v>
      </c>
      <c r="B1139" s="33" t="s">
        <v>1832</v>
      </c>
      <c r="C1139" s="34" t="s">
        <v>1833</v>
      </c>
      <c r="D1139" s="78">
        <v>27359.83</v>
      </c>
      <c r="E1139" s="88">
        <f>VLOOKUP(A1139,'Previous week'!$A$3:$F$1765,6,FALSE)</f>
        <v>1</v>
      </c>
      <c r="F1139" s="22">
        <f t="shared" si="54"/>
        <v>0</v>
      </c>
      <c r="G1139" s="88">
        <f>VLOOKUP(A1139,'Current week'!$A$3:$F$1765,6,0)</f>
        <v>1</v>
      </c>
      <c r="H1139" s="104">
        <f t="shared" si="55"/>
        <v>27359.83</v>
      </c>
      <c r="I1139" s="104">
        <f t="shared" si="56"/>
        <v>0</v>
      </c>
      <c r="L1139" s="112"/>
    </row>
    <row r="1140" spans="1:12" x14ac:dyDescent="0.25">
      <c r="A1140" s="33" t="s">
        <v>3567</v>
      </c>
      <c r="B1140" s="33" t="s">
        <v>1834</v>
      </c>
      <c r="C1140" s="34" t="s">
        <v>1835</v>
      </c>
      <c r="D1140" s="78">
        <v>383037.32</v>
      </c>
      <c r="E1140" s="88">
        <f>VLOOKUP(A1140,'Previous week'!$A$3:$F$1765,6,FALSE)</f>
        <v>1</v>
      </c>
      <c r="F1140" s="22">
        <f t="shared" si="54"/>
        <v>0</v>
      </c>
      <c r="G1140" s="88">
        <f>VLOOKUP(A1140,'Current week'!$A$3:$F$1765,6,0)</f>
        <v>1</v>
      </c>
      <c r="H1140" s="104">
        <f t="shared" si="55"/>
        <v>383037.32</v>
      </c>
      <c r="I1140" s="104">
        <f t="shared" si="56"/>
        <v>0</v>
      </c>
      <c r="L1140" s="112"/>
    </row>
    <row r="1141" spans="1:12" x14ac:dyDescent="0.25">
      <c r="A1141" s="33" t="s">
        <v>3568</v>
      </c>
      <c r="B1141" s="33" t="s">
        <v>1836</v>
      </c>
      <c r="C1141" s="34" t="s">
        <v>1837</v>
      </c>
      <c r="D1141" s="78">
        <v>27359.83</v>
      </c>
      <c r="E1141" s="88">
        <f>VLOOKUP(A1141,'Previous week'!$A$3:$F$1765,6,FALSE)</f>
        <v>1</v>
      </c>
      <c r="F1141" s="22">
        <f t="shared" si="54"/>
        <v>0</v>
      </c>
      <c r="G1141" s="88">
        <f>VLOOKUP(A1141,'Current week'!$A$3:$F$1765,6,0)</f>
        <v>1</v>
      </c>
      <c r="H1141" s="104">
        <f t="shared" si="55"/>
        <v>27359.83</v>
      </c>
      <c r="I1141" s="104">
        <f t="shared" si="56"/>
        <v>0</v>
      </c>
      <c r="L1141" s="112"/>
    </row>
    <row r="1142" spans="1:12" x14ac:dyDescent="0.25">
      <c r="A1142" s="33" t="s">
        <v>3569</v>
      </c>
      <c r="B1142" s="33" t="s">
        <v>1838</v>
      </c>
      <c r="C1142" s="34" t="s">
        <v>1839</v>
      </c>
      <c r="D1142" s="78">
        <v>54719.59</v>
      </c>
      <c r="E1142" s="88">
        <f>VLOOKUP(A1142,'Previous week'!$A$3:$F$1765,6,FALSE)</f>
        <v>1</v>
      </c>
      <c r="F1142" s="22">
        <f t="shared" si="54"/>
        <v>0</v>
      </c>
      <c r="G1142" s="88">
        <f>VLOOKUP(A1142,'Current week'!$A$3:$F$1765,6,0)</f>
        <v>1</v>
      </c>
      <c r="H1142" s="104">
        <f t="shared" si="55"/>
        <v>54719.59</v>
      </c>
      <c r="I1142" s="104">
        <f t="shared" si="56"/>
        <v>0</v>
      </c>
      <c r="L1142" s="112"/>
    </row>
    <row r="1143" spans="1:12" x14ac:dyDescent="0.25">
      <c r="A1143" s="33" t="s">
        <v>3503</v>
      </c>
      <c r="B1143" s="33" t="s">
        <v>1733</v>
      </c>
      <c r="C1143" s="34"/>
      <c r="D1143" s="78">
        <v>20926.82</v>
      </c>
      <c r="E1143" s="88">
        <f>VLOOKUP(A1143,'Previous week'!$A$3:$F$1765,6,FALSE)</f>
        <v>1</v>
      </c>
      <c r="F1143" s="22">
        <f t="shared" si="54"/>
        <v>0</v>
      </c>
      <c r="G1143" s="88">
        <f>VLOOKUP(A1143,'Current week'!$A$3:$F$1765,6,0)</f>
        <v>1</v>
      </c>
      <c r="H1143" s="104">
        <f t="shared" si="55"/>
        <v>20926.82</v>
      </c>
      <c r="I1143" s="104">
        <f t="shared" si="56"/>
        <v>0</v>
      </c>
      <c r="L1143" s="112"/>
    </row>
    <row r="1144" spans="1:12" x14ac:dyDescent="0.25">
      <c r="A1144" s="23" t="s">
        <v>3570</v>
      </c>
      <c r="B1144" s="23" t="s">
        <v>1840</v>
      </c>
      <c r="C1144" s="24" t="s">
        <v>1841</v>
      </c>
      <c r="D1144" s="71">
        <v>20926.82</v>
      </c>
      <c r="E1144" s="88">
        <f>VLOOKUP(A1144,'Previous week'!$A$3:$F$1765,6,FALSE)</f>
        <v>1</v>
      </c>
      <c r="F1144" s="22">
        <f t="shared" si="54"/>
        <v>0</v>
      </c>
      <c r="G1144" s="88">
        <f>VLOOKUP(A1144,'Current week'!$A$3:$F$1765,6,0)</f>
        <v>1</v>
      </c>
      <c r="H1144" s="102">
        <f t="shared" si="55"/>
        <v>20926.82</v>
      </c>
      <c r="I1144" s="102">
        <f t="shared" si="56"/>
        <v>0</v>
      </c>
      <c r="L1144" s="112"/>
    </row>
    <row r="1145" spans="1:12" x14ac:dyDescent="0.25">
      <c r="A1145" s="45" t="s">
        <v>2800</v>
      </c>
      <c r="B1145" s="45" t="s">
        <v>486</v>
      </c>
      <c r="C1145" s="46"/>
      <c r="D1145" s="75">
        <v>224206.55</v>
      </c>
      <c r="E1145" s="92"/>
      <c r="F1145" s="80">
        <f t="shared" si="54"/>
        <v>0</v>
      </c>
      <c r="G1145" s="92"/>
      <c r="H1145" s="106"/>
      <c r="I1145" s="106"/>
      <c r="L1145" s="112"/>
    </row>
    <row r="1146" spans="1:12" x14ac:dyDescent="0.25">
      <c r="A1146" s="19" t="s">
        <v>3571</v>
      </c>
      <c r="B1146" s="19" t="s">
        <v>1842</v>
      </c>
      <c r="C1146" s="20" t="s">
        <v>1843</v>
      </c>
      <c r="D1146" s="77">
        <v>224206.55</v>
      </c>
      <c r="E1146" s="88">
        <f>VLOOKUP(A1146,'Previous week'!$A$3:$F$1765,6,FALSE)</f>
        <v>1</v>
      </c>
      <c r="F1146" s="22">
        <f t="shared" si="54"/>
        <v>0</v>
      </c>
      <c r="G1146" s="88">
        <f>VLOOKUP(A1146,'Current week'!$A$3:$F$1765,6,0)</f>
        <v>1</v>
      </c>
      <c r="H1146" s="101">
        <f t="shared" si="55"/>
        <v>224206.55</v>
      </c>
      <c r="I1146" s="101">
        <f t="shared" si="56"/>
        <v>0</v>
      </c>
      <c r="L1146" s="112"/>
    </row>
    <row r="1147" spans="1:12" x14ac:dyDescent="0.25">
      <c r="A1147" s="33" t="s">
        <v>3506</v>
      </c>
      <c r="B1147" s="33" t="s">
        <v>1738</v>
      </c>
      <c r="C1147" s="34"/>
      <c r="D1147" s="78">
        <v>11353.53</v>
      </c>
      <c r="E1147" s="88">
        <f>VLOOKUP(A1147,'Previous week'!$A$3:$F$1765,6,FALSE)</f>
        <v>1</v>
      </c>
      <c r="F1147" s="22">
        <f t="shared" si="54"/>
        <v>0</v>
      </c>
      <c r="G1147" s="88">
        <f>VLOOKUP(A1147,'Current week'!$A$3:$F$1765,6,0)</f>
        <v>1</v>
      </c>
      <c r="H1147" s="104">
        <f t="shared" si="55"/>
        <v>11353.53</v>
      </c>
      <c r="I1147" s="104">
        <f t="shared" si="56"/>
        <v>0</v>
      </c>
      <c r="L1147" s="112"/>
    </row>
    <row r="1148" spans="1:12" x14ac:dyDescent="0.25">
      <c r="A1148" s="33" t="s">
        <v>3572</v>
      </c>
      <c r="B1148" s="33" t="s">
        <v>1844</v>
      </c>
      <c r="C1148" s="34" t="s">
        <v>1845</v>
      </c>
      <c r="D1148" s="78">
        <v>11353.53</v>
      </c>
      <c r="E1148" s="88">
        <f>VLOOKUP(A1148,'Previous week'!$A$3:$F$1765,6,FALSE)</f>
        <v>1</v>
      </c>
      <c r="F1148" s="22">
        <f t="shared" si="54"/>
        <v>0</v>
      </c>
      <c r="G1148" s="88">
        <f>VLOOKUP(A1148,'Current week'!$A$3:$F$1765,6,0)</f>
        <v>1</v>
      </c>
      <c r="H1148" s="104">
        <f t="shared" si="55"/>
        <v>11353.53</v>
      </c>
      <c r="I1148" s="104">
        <f t="shared" si="56"/>
        <v>0</v>
      </c>
      <c r="L1148" s="112"/>
    </row>
    <row r="1149" spans="1:12" x14ac:dyDescent="0.25">
      <c r="A1149" s="33" t="s">
        <v>3098</v>
      </c>
      <c r="B1149" s="33" t="s">
        <v>1741</v>
      </c>
      <c r="C1149" s="34"/>
      <c r="D1149" s="78">
        <v>69698.03</v>
      </c>
      <c r="E1149" s="88">
        <f>VLOOKUP(A1149,'Previous week'!$A$3:$F$1765,6,FALSE)</f>
        <v>1</v>
      </c>
      <c r="F1149" s="22">
        <f t="shared" si="54"/>
        <v>0</v>
      </c>
      <c r="G1149" s="88">
        <f>VLOOKUP(A1149,'Current week'!$A$3:$F$1765,6,0)</f>
        <v>1</v>
      </c>
      <c r="H1149" s="104">
        <f t="shared" si="55"/>
        <v>69698.03</v>
      </c>
      <c r="I1149" s="104">
        <f t="shared" si="56"/>
        <v>0</v>
      </c>
      <c r="L1149" s="112"/>
    </row>
    <row r="1150" spans="1:12" x14ac:dyDescent="0.25">
      <c r="A1150" s="33" t="s">
        <v>3573</v>
      </c>
      <c r="B1150" s="33" t="s">
        <v>1846</v>
      </c>
      <c r="C1150" s="34" t="s">
        <v>1847</v>
      </c>
      <c r="D1150" s="78">
        <v>69698.03</v>
      </c>
      <c r="E1150" s="88">
        <f>VLOOKUP(A1150,'Previous week'!$A$3:$F$1765,6,FALSE)</f>
        <v>1</v>
      </c>
      <c r="F1150" s="22">
        <f t="shared" si="54"/>
        <v>0</v>
      </c>
      <c r="G1150" s="88">
        <f>VLOOKUP(A1150,'Current week'!$A$3:$F$1765,6,0)</f>
        <v>1</v>
      </c>
      <c r="H1150" s="104">
        <f t="shared" si="55"/>
        <v>69698.03</v>
      </c>
      <c r="I1150" s="104">
        <f t="shared" si="56"/>
        <v>0</v>
      </c>
      <c r="L1150" s="112"/>
    </row>
    <row r="1151" spans="1:12" x14ac:dyDescent="0.25">
      <c r="A1151" s="33" t="s">
        <v>3511</v>
      </c>
      <c r="B1151" s="33" t="s">
        <v>221</v>
      </c>
      <c r="C1151" s="34"/>
      <c r="D1151" s="78">
        <v>558310.65</v>
      </c>
      <c r="E1151" s="88">
        <f>VLOOKUP(A1151,'Previous week'!$A$3:$F$1765,6,FALSE)</f>
        <v>1</v>
      </c>
      <c r="F1151" s="22">
        <f t="shared" si="54"/>
        <v>0</v>
      </c>
      <c r="G1151" s="88">
        <f>VLOOKUP(A1151,'Current week'!$A$3:$F$1765,6,0)</f>
        <v>1</v>
      </c>
      <c r="H1151" s="104">
        <f t="shared" si="55"/>
        <v>558310.65</v>
      </c>
      <c r="I1151" s="104">
        <f t="shared" si="56"/>
        <v>0</v>
      </c>
      <c r="L1151" s="112"/>
    </row>
    <row r="1152" spans="1:12" x14ac:dyDescent="0.25">
      <c r="A1152" s="33" t="s">
        <v>3497</v>
      </c>
      <c r="B1152" s="33" t="s">
        <v>1722</v>
      </c>
      <c r="C1152" s="34"/>
      <c r="D1152" s="78">
        <v>329545.93</v>
      </c>
      <c r="E1152" s="88">
        <f>VLOOKUP(A1152,'Previous week'!$A$3:$F$1765,6,FALSE)</f>
        <v>1</v>
      </c>
      <c r="F1152" s="22">
        <f t="shared" si="54"/>
        <v>0</v>
      </c>
      <c r="G1152" s="88">
        <f>VLOOKUP(A1152,'Current week'!$A$3:$F$1765,6,0)</f>
        <v>1</v>
      </c>
      <c r="H1152" s="104">
        <f t="shared" si="55"/>
        <v>329545.93</v>
      </c>
      <c r="I1152" s="104">
        <f t="shared" si="56"/>
        <v>0</v>
      </c>
      <c r="L1152" s="112"/>
    </row>
    <row r="1153" spans="1:12" x14ac:dyDescent="0.25">
      <c r="A1153" s="23" t="s">
        <v>3574</v>
      </c>
      <c r="B1153" s="23" t="s">
        <v>1848</v>
      </c>
      <c r="C1153" s="24" t="s">
        <v>1849</v>
      </c>
      <c r="D1153" s="71">
        <v>32954.6</v>
      </c>
      <c r="E1153" s="88">
        <f>VLOOKUP(A1153,'Previous week'!$A$3:$F$1765,6,FALSE)</f>
        <v>1</v>
      </c>
      <c r="F1153" s="22">
        <f t="shared" si="54"/>
        <v>0</v>
      </c>
      <c r="G1153" s="88">
        <f>VLOOKUP(A1153,'Current week'!$A$3:$F$1765,6,0)</f>
        <v>1</v>
      </c>
      <c r="H1153" s="102">
        <f t="shared" si="55"/>
        <v>32954.6</v>
      </c>
      <c r="I1153" s="102">
        <f t="shared" si="56"/>
        <v>0</v>
      </c>
      <c r="L1153" s="112"/>
    </row>
    <row r="1154" spans="1:12" x14ac:dyDescent="0.25">
      <c r="A1154" s="45" t="s">
        <v>3575</v>
      </c>
      <c r="B1154" s="45" t="s">
        <v>1850</v>
      </c>
      <c r="C1154" s="46" t="s">
        <v>1833</v>
      </c>
      <c r="D1154" s="75">
        <v>16477.28</v>
      </c>
      <c r="E1154" s="92"/>
      <c r="F1154" s="48">
        <f t="shared" si="54"/>
        <v>0</v>
      </c>
      <c r="G1154" s="92"/>
      <c r="H1154" s="106"/>
      <c r="I1154" s="106"/>
      <c r="L1154" s="112"/>
    </row>
    <row r="1155" spans="1:12" x14ac:dyDescent="0.25">
      <c r="A1155" s="19" t="s">
        <v>3576</v>
      </c>
      <c r="B1155" s="19" t="s">
        <v>1851</v>
      </c>
      <c r="C1155" s="20" t="s">
        <v>1852</v>
      </c>
      <c r="D1155" s="77">
        <v>164772.96</v>
      </c>
      <c r="E1155" s="88">
        <f>VLOOKUP(A1155,'Previous week'!$A$3:$F$1765,6,FALSE)</f>
        <v>1</v>
      </c>
      <c r="F1155" s="22">
        <f t="shared" si="54"/>
        <v>0</v>
      </c>
      <c r="G1155" s="88">
        <f>VLOOKUP(A1155,'Current week'!$A$3:$F$1765,6,0)</f>
        <v>1</v>
      </c>
      <c r="H1155" s="101">
        <f t="shared" si="55"/>
        <v>164772.96</v>
      </c>
      <c r="I1155" s="101">
        <f t="shared" si="56"/>
        <v>0</v>
      </c>
      <c r="L1155" s="112"/>
    </row>
    <row r="1156" spans="1:12" x14ac:dyDescent="0.25">
      <c r="A1156" s="33" t="s">
        <v>3577</v>
      </c>
      <c r="B1156" s="33" t="s">
        <v>1853</v>
      </c>
      <c r="C1156" s="34" t="s">
        <v>1854</v>
      </c>
      <c r="D1156" s="78">
        <v>65909.2</v>
      </c>
      <c r="E1156" s="88">
        <f>VLOOKUP(A1156,'Previous week'!$A$3:$F$1765,6,FALSE)</f>
        <v>1</v>
      </c>
      <c r="F1156" s="22">
        <f t="shared" si="54"/>
        <v>0</v>
      </c>
      <c r="G1156" s="88">
        <f>VLOOKUP(A1156,'Current week'!$A$3:$F$1765,6,0)</f>
        <v>1</v>
      </c>
      <c r="H1156" s="104">
        <f t="shared" si="55"/>
        <v>65909.2</v>
      </c>
      <c r="I1156" s="104">
        <f t="shared" si="56"/>
        <v>0</v>
      </c>
      <c r="L1156" s="112"/>
    </row>
    <row r="1157" spans="1:12" x14ac:dyDescent="0.25">
      <c r="A1157" s="33" t="s">
        <v>3578</v>
      </c>
      <c r="B1157" s="33" t="s">
        <v>1855</v>
      </c>
      <c r="C1157" s="34" t="s">
        <v>1837</v>
      </c>
      <c r="D1157" s="78">
        <v>16477.28</v>
      </c>
      <c r="E1157" s="88">
        <f>VLOOKUP(A1157,'Previous week'!$A$3:$F$1765,6,FALSE)</f>
        <v>1</v>
      </c>
      <c r="F1157" s="22">
        <f t="shared" si="54"/>
        <v>0</v>
      </c>
      <c r="G1157" s="88">
        <f>VLOOKUP(A1157,'Current week'!$A$3:$F$1765,6,0)</f>
        <v>1</v>
      </c>
      <c r="H1157" s="104">
        <f t="shared" si="55"/>
        <v>16477.28</v>
      </c>
      <c r="I1157" s="104">
        <f t="shared" si="56"/>
        <v>0</v>
      </c>
      <c r="L1157" s="112"/>
    </row>
    <row r="1158" spans="1:12" x14ac:dyDescent="0.25">
      <c r="A1158" s="33" t="s">
        <v>3579</v>
      </c>
      <c r="B1158" s="33" t="s">
        <v>1856</v>
      </c>
      <c r="C1158" s="34" t="s">
        <v>1839</v>
      </c>
      <c r="D1158" s="78">
        <v>32954.6</v>
      </c>
      <c r="E1158" s="88">
        <f>VLOOKUP(A1158,'Previous week'!$A$3:$F$1765,6,FALSE)</f>
        <v>1</v>
      </c>
      <c r="F1158" s="22">
        <f t="shared" si="54"/>
        <v>0</v>
      </c>
      <c r="G1158" s="88">
        <f>VLOOKUP(A1158,'Current week'!$A$3:$F$1765,6,0)</f>
        <v>1</v>
      </c>
      <c r="H1158" s="104">
        <f t="shared" si="55"/>
        <v>32954.6</v>
      </c>
      <c r="I1158" s="104">
        <f t="shared" si="56"/>
        <v>0</v>
      </c>
      <c r="L1158" s="112"/>
    </row>
    <row r="1159" spans="1:12" x14ac:dyDescent="0.25">
      <c r="A1159" s="33" t="s">
        <v>3503</v>
      </c>
      <c r="B1159" s="33" t="s">
        <v>1733</v>
      </c>
      <c r="C1159" s="34"/>
      <c r="D1159" s="78">
        <v>1673.19</v>
      </c>
      <c r="E1159" s="88">
        <f>VLOOKUP(A1159,'Previous week'!$A$3:$F$1765,6,FALSE)</f>
        <v>1</v>
      </c>
      <c r="F1159" s="22">
        <f t="shared" si="54"/>
        <v>0</v>
      </c>
      <c r="G1159" s="88">
        <f>VLOOKUP(A1159,'Current week'!$A$3:$F$1765,6,0)</f>
        <v>1</v>
      </c>
      <c r="H1159" s="104">
        <f t="shared" si="55"/>
        <v>1673.19</v>
      </c>
      <c r="I1159" s="104">
        <f t="shared" si="56"/>
        <v>0</v>
      </c>
      <c r="L1159" s="112"/>
    </row>
    <row r="1160" spans="1:12" x14ac:dyDescent="0.25">
      <c r="A1160" s="33" t="s">
        <v>3580</v>
      </c>
      <c r="B1160" s="33" t="s">
        <v>1857</v>
      </c>
      <c r="C1160" s="34" t="s">
        <v>1841</v>
      </c>
      <c r="D1160" s="78">
        <v>1673.19</v>
      </c>
      <c r="E1160" s="88">
        <f>VLOOKUP(A1160,'Previous week'!$A$3:$F$1765,6,FALSE)</f>
        <v>1</v>
      </c>
      <c r="F1160" s="22">
        <f t="shared" si="54"/>
        <v>0</v>
      </c>
      <c r="G1160" s="88">
        <f>VLOOKUP(A1160,'Current week'!$A$3:$F$1765,6,0)</f>
        <v>1</v>
      </c>
      <c r="H1160" s="104">
        <f t="shared" si="55"/>
        <v>1673.19</v>
      </c>
      <c r="I1160" s="104">
        <f t="shared" si="56"/>
        <v>0</v>
      </c>
      <c r="L1160" s="112"/>
    </row>
    <row r="1161" spans="1:12" x14ac:dyDescent="0.25">
      <c r="A1161" s="33" t="s">
        <v>2800</v>
      </c>
      <c r="B1161" s="33" t="s">
        <v>486</v>
      </c>
      <c r="C1161" s="34"/>
      <c r="D1161" s="78">
        <v>227091.53</v>
      </c>
      <c r="E1161" s="88">
        <f>VLOOKUP(A1161,'Previous week'!$A$3:$F$1765,6,FALSE)</f>
        <v>0</v>
      </c>
      <c r="F1161" s="22">
        <f t="shared" si="54"/>
        <v>0</v>
      </c>
      <c r="G1161" s="88">
        <f>VLOOKUP(A1161,'Current week'!$A$3:$F$1765,6,0)</f>
        <v>0</v>
      </c>
      <c r="H1161" s="104">
        <f t="shared" si="55"/>
        <v>0</v>
      </c>
      <c r="I1161" s="104">
        <f t="shared" si="56"/>
        <v>0</v>
      </c>
      <c r="L1161" s="112"/>
    </row>
    <row r="1162" spans="1:12" x14ac:dyDescent="0.25">
      <c r="A1162" s="23" t="s">
        <v>3581</v>
      </c>
      <c r="B1162" s="23" t="s">
        <v>1858</v>
      </c>
      <c r="C1162" s="24" t="s">
        <v>1859</v>
      </c>
      <c r="D1162" s="71">
        <v>227091.53</v>
      </c>
      <c r="E1162" s="88">
        <f>VLOOKUP(A1162,'Previous week'!$A$3:$F$1765,6,FALSE)</f>
        <v>1</v>
      </c>
      <c r="F1162" s="22">
        <f t="shared" si="54"/>
        <v>0</v>
      </c>
      <c r="G1162" s="88">
        <f>VLOOKUP(A1162,'Current week'!$A$3:$F$1765,6,0)</f>
        <v>1</v>
      </c>
      <c r="H1162" s="102">
        <f t="shared" si="55"/>
        <v>227091.53</v>
      </c>
      <c r="I1162" s="102">
        <f t="shared" si="56"/>
        <v>0</v>
      </c>
      <c r="L1162" s="112"/>
    </row>
    <row r="1163" spans="1:12" x14ac:dyDescent="0.25">
      <c r="A1163" s="26" t="s">
        <v>2803</v>
      </c>
      <c r="B1163" s="26" t="s">
        <v>491</v>
      </c>
      <c r="C1163" s="27"/>
      <c r="D1163" s="49">
        <v>229231.81</v>
      </c>
      <c r="E1163" s="89"/>
      <c r="F1163" s="18">
        <f t="shared" si="54"/>
        <v>0</v>
      </c>
      <c r="G1163" s="89"/>
      <c r="H1163" s="100"/>
      <c r="I1163" s="100"/>
      <c r="L1163" s="112"/>
    </row>
    <row r="1164" spans="1:12" x14ac:dyDescent="0.25">
      <c r="A1164" s="41" t="s">
        <v>3497</v>
      </c>
      <c r="B1164" s="41" t="s">
        <v>1722</v>
      </c>
      <c r="C1164" s="42"/>
      <c r="D1164" s="66">
        <v>195413.82</v>
      </c>
      <c r="E1164" s="91"/>
      <c r="F1164" s="67">
        <f t="shared" si="54"/>
        <v>0</v>
      </c>
      <c r="G1164" s="91"/>
      <c r="H1164" s="103"/>
      <c r="I1164" s="103"/>
      <c r="L1164" s="112"/>
    </row>
    <row r="1165" spans="1:12" x14ac:dyDescent="0.25">
      <c r="A1165" s="50" t="s">
        <v>3582</v>
      </c>
      <c r="B1165" s="50" t="s">
        <v>1860</v>
      </c>
      <c r="C1165" s="51" t="s">
        <v>1831</v>
      </c>
      <c r="D1165" s="68">
        <v>18710.259999999998</v>
      </c>
      <c r="E1165" s="93"/>
      <c r="F1165" s="69">
        <f t="shared" si="54"/>
        <v>0</v>
      </c>
      <c r="G1165" s="93"/>
      <c r="H1165" s="106"/>
      <c r="I1165" s="106"/>
      <c r="L1165" s="112"/>
    </row>
    <row r="1166" spans="1:12" x14ac:dyDescent="0.25">
      <c r="A1166" s="54" t="s">
        <v>3583</v>
      </c>
      <c r="B1166" s="54" t="s">
        <v>1861</v>
      </c>
      <c r="C1166" s="55" t="s">
        <v>1833</v>
      </c>
      <c r="D1166" s="70">
        <v>9355.16</v>
      </c>
      <c r="E1166" s="94">
        <f>'Previous week'!F1184</f>
        <v>1</v>
      </c>
      <c r="F1166" s="81">
        <f t="shared" si="54"/>
        <v>0</v>
      </c>
      <c r="G1166" s="94">
        <f>'Current week'!F1184</f>
        <v>1</v>
      </c>
      <c r="H1166" s="107">
        <f t="shared" si="55"/>
        <v>9355.16</v>
      </c>
      <c r="I1166" s="107">
        <f t="shared" si="56"/>
        <v>0</v>
      </c>
      <c r="L1166" s="112"/>
    </row>
    <row r="1167" spans="1:12" x14ac:dyDescent="0.25">
      <c r="A1167" s="19" t="s">
        <v>3584</v>
      </c>
      <c r="B1167" s="19" t="s">
        <v>1862</v>
      </c>
      <c r="C1167" s="20" t="s">
        <v>1863</v>
      </c>
      <c r="D1167" s="77">
        <v>93551.37</v>
      </c>
      <c r="E1167" s="88">
        <f>VLOOKUP(A1167,'Previous week'!$A$3:$F$1765,6,FALSE)</f>
        <v>1</v>
      </c>
      <c r="F1167" s="22">
        <f t="shared" si="54"/>
        <v>0</v>
      </c>
      <c r="G1167" s="88">
        <f>VLOOKUP(A1167,'Current week'!$A$3:$F$1765,6,0)</f>
        <v>1</v>
      </c>
      <c r="H1167" s="101">
        <f t="shared" si="55"/>
        <v>93551.37</v>
      </c>
      <c r="I1167" s="101">
        <f t="shared" si="56"/>
        <v>0</v>
      </c>
      <c r="L1167" s="112"/>
    </row>
    <row r="1168" spans="1:12" x14ac:dyDescent="0.25">
      <c r="A1168" s="33" t="s">
        <v>3585</v>
      </c>
      <c r="B1168" s="33" t="s">
        <v>1864</v>
      </c>
      <c r="C1168" s="34" t="s">
        <v>1865</v>
      </c>
      <c r="D1168" s="78">
        <v>37420.53</v>
      </c>
      <c r="E1168" s="88">
        <f>VLOOKUP(A1168,'Previous week'!$A$3:$F$1765,6,FALSE)</f>
        <v>1</v>
      </c>
      <c r="F1168" s="22">
        <f t="shared" si="54"/>
        <v>0</v>
      </c>
      <c r="G1168" s="88">
        <f>VLOOKUP(A1168,'Current week'!$A$3:$F$1765,6,0)</f>
        <v>1</v>
      </c>
      <c r="H1168" s="104">
        <f t="shared" si="55"/>
        <v>37420.53</v>
      </c>
      <c r="I1168" s="104">
        <f t="shared" si="56"/>
        <v>0</v>
      </c>
      <c r="L1168" s="112"/>
    </row>
    <row r="1169" spans="1:12" x14ac:dyDescent="0.25">
      <c r="A1169" s="33" t="s">
        <v>3586</v>
      </c>
      <c r="B1169" s="33" t="s">
        <v>1866</v>
      </c>
      <c r="C1169" s="34" t="s">
        <v>1867</v>
      </c>
      <c r="D1169" s="78">
        <v>8311.08</v>
      </c>
      <c r="E1169" s="88">
        <f>VLOOKUP(A1169,'Previous week'!$A$3:$F$1765,6,FALSE)</f>
        <v>1</v>
      </c>
      <c r="F1169" s="22">
        <f t="shared" si="54"/>
        <v>0</v>
      </c>
      <c r="G1169" s="88">
        <f>VLOOKUP(A1169,'Current week'!$A$3:$F$1765,6,0)</f>
        <v>1</v>
      </c>
      <c r="H1169" s="104">
        <f t="shared" si="55"/>
        <v>8311.08</v>
      </c>
      <c r="I1169" s="104">
        <f t="shared" si="56"/>
        <v>0</v>
      </c>
      <c r="L1169" s="112"/>
    </row>
    <row r="1170" spans="1:12" x14ac:dyDescent="0.25">
      <c r="A1170" s="23" t="s">
        <v>3587</v>
      </c>
      <c r="B1170" s="23" t="s">
        <v>1868</v>
      </c>
      <c r="C1170" s="24" t="s">
        <v>1869</v>
      </c>
      <c r="D1170" s="71">
        <v>9355.16</v>
      </c>
      <c r="E1170" s="88">
        <f>VLOOKUP(A1170,'Previous week'!$A$3:$F$1765,6,FALSE)</f>
        <v>1</v>
      </c>
      <c r="F1170" s="22">
        <f t="shared" si="54"/>
        <v>0</v>
      </c>
      <c r="G1170" s="88">
        <f>VLOOKUP(A1170,'Current week'!$A$3:$F$1765,6,0)</f>
        <v>1</v>
      </c>
      <c r="H1170" s="102">
        <f t="shared" si="55"/>
        <v>9355.16</v>
      </c>
      <c r="I1170" s="102">
        <f t="shared" si="56"/>
        <v>0</v>
      </c>
      <c r="L1170" s="112"/>
    </row>
    <row r="1171" spans="1:12" x14ac:dyDescent="0.25">
      <c r="A1171" s="54" t="s">
        <v>3588</v>
      </c>
      <c r="B1171" s="54" t="s">
        <v>1870</v>
      </c>
      <c r="C1171" s="55" t="s">
        <v>1839</v>
      </c>
      <c r="D1171" s="70">
        <v>18710.259999999998</v>
      </c>
      <c r="E1171" s="94">
        <f>'Previous week'!F1189</f>
        <v>1</v>
      </c>
      <c r="F1171" s="57">
        <f t="shared" si="54"/>
        <v>0</v>
      </c>
      <c r="G1171" s="94">
        <f>'Current week'!F1189</f>
        <v>1</v>
      </c>
      <c r="H1171" s="107">
        <f t="shared" si="55"/>
        <v>18710.259999999998</v>
      </c>
      <c r="I1171" s="107">
        <f t="shared" si="56"/>
        <v>0</v>
      </c>
      <c r="L1171" s="112"/>
    </row>
    <row r="1172" spans="1:12" x14ac:dyDescent="0.25">
      <c r="A1172" s="19" t="s">
        <v>3503</v>
      </c>
      <c r="B1172" s="19" t="s">
        <v>1733</v>
      </c>
      <c r="C1172" s="20"/>
      <c r="D1172" s="77">
        <v>9368.07</v>
      </c>
      <c r="E1172" s="88">
        <f>VLOOKUP(A1172,'Previous week'!$A$3:$F$1765,6,FALSE)</f>
        <v>1</v>
      </c>
      <c r="F1172" s="22">
        <f t="shared" si="54"/>
        <v>0</v>
      </c>
      <c r="G1172" s="88">
        <f>VLOOKUP(A1172,'Current week'!$A$3:$F$1765,6,0)</f>
        <v>1</v>
      </c>
      <c r="H1172" s="101">
        <f t="shared" si="55"/>
        <v>9368.07</v>
      </c>
      <c r="I1172" s="101">
        <f t="shared" si="56"/>
        <v>0</v>
      </c>
      <c r="L1172" s="112"/>
    </row>
    <row r="1173" spans="1:12" x14ac:dyDescent="0.25">
      <c r="A1173" s="33" t="s">
        <v>3589</v>
      </c>
      <c r="B1173" s="33" t="s">
        <v>1871</v>
      </c>
      <c r="C1173" s="34" t="s">
        <v>1872</v>
      </c>
      <c r="D1173" s="78">
        <v>9368.07</v>
      </c>
      <c r="E1173" s="88">
        <f>VLOOKUP(A1173,'Previous week'!$A$3:$F$1765,6,FALSE)</f>
        <v>1</v>
      </c>
      <c r="F1173" s="22">
        <f t="shared" si="54"/>
        <v>0</v>
      </c>
      <c r="G1173" s="88">
        <f>VLOOKUP(A1173,'Current week'!$A$3:$F$1765,6,0)</f>
        <v>1</v>
      </c>
      <c r="H1173" s="104">
        <f t="shared" si="55"/>
        <v>9368.07</v>
      </c>
      <c r="I1173" s="104">
        <f t="shared" si="56"/>
        <v>0</v>
      </c>
      <c r="L1173" s="112"/>
    </row>
    <row r="1174" spans="1:12" x14ac:dyDescent="0.25">
      <c r="A1174" s="23" t="s">
        <v>3528</v>
      </c>
      <c r="B1174" s="23" t="s">
        <v>127</v>
      </c>
      <c r="C1174" s="24"/>
      <c r="D1174" s="71">
        <v>11204.14</v>
      </c>
      <c r="E1174" s="88">
        <f>VLOOKUP(A1174,'Previous week'!$A$3:$F$1765,6,FALSE)</f>
        <v>1</v>
      </c>
      <c r="F1174" s="22">
        <f t="shared" si="54"/>
        <v>0</v>
      </c>
      <c r="G1174" s="88">
        <f>VLOOKUP(A1174,'Current week'!$A$3:$F$1765,6,0)</f>
        <v>1</v>
      </c>
      <c r="H1174" s="102">
        <f t="shared" si="55"/>
        <v>11204.14</v>
      </c>
      <c r="I1174" s="102">
        <f t="shared" si="56"/>
        <v>0</v>
      </c>
      <c r="L1174" s="112"/>
    </row>
    <row r="1175" spans="1:12" x14ac:dyDescent="0.25">
      <c r="A1175" s="54" t="s">
        <v>3590</v>
      </c>
      <c r="B1175" s="54" t="s">
        <v>1873</v>
      </c>
      <c r="C1175" s="55" t="s">
        <v>1874</v>
      </c>
      <c r="D1175" s="70">
        <v>11204.14</v>
      </c>
      <c r="E1175" s="94">
        <f>'Previous week'!F1193</f>
        <v>1</v>
      </c>
      <c r="F1175" s="57">
        <f t="shared" si="54"/>
        <v>0</v>
      </c>
      <c r="G1175" s="94">
        <f>'Current week'!F1193</f>
        <v>1</v>
      </c>
      <c r="H1175" s="107">
        <f t="shared" si="55"/>
        <v>11204.14</v>
      </c>
      <c r="I1175" s="107">
        <f t="shared" si="56"/>
        <v>0</v>
      </c>
      <c r="L1175" s="112"/>
    </row>
    <row r="1176" spans="1:12" x14ac:dyDescent="0.25">
      <c r="A1176" s="19" t="s">
        <v>2810</v>
      </c>
      <c r="B1176" s="19" t="s">
        <v>499</v>
      </c>
      <c r="C1176" s="20"/>
      <c r="D1176" s="77">
        <v>13245.78</v>
      </c>
      <c r="E1176" s="88">
        <f>VLOOKUP(A1176,'Previous week'!$A$3:$F$1765,6,FALSE)</f>
        <v>0</v>
      </c>
      <c r="F1176" s="22">
        <f t="shared" si="54"/>
        <v>0</v>
      </c>
      <c r="G1176" s="88">
        <f>VLOOKUP(A1176,'Current week'!$A$3:$F$1765,6,0)</f>
        <v>0</v>
      </c>
      <c r="H1176" s="101">
        <f t="shared" si="55"/>
        <v>0</v>
      </c>
      <c r="I1176" s="101">
        <f t="shared" si="56"/>
        <v>0</v>
      </c>
      <c r="L1176" s="112"/>
    </row>
    <row r="1177" spans="1:12" x14ac:dyDescent="0.25">
      <c r="A1177" s="33" t="s">
        <v>3591</v>
      </c>
      <c r="B1177" s="33" t="s">
        <v>1875</v>
      </c>
      <c r="C1177" s="34" t="s">
        <v>1876</v>
      </c>
      <c r="D1177" s="78">
        <v>13245.78</v>
      </c>
      <c r="E1177" s="88">
        <f>VLOOKUP(A1177,'Previous week'!$A$3:$F$1765,6,FALSE)</f>
        <v>1</v>
      </c>
      <c r="F1177" s="22">
        <f t="shared" si="54"/>
        <v>0</v>
      </c>
      <c r="G1177" s="88">
        <f>VLOOKUP(A1177,'Current week'!$A$3:$F$1765,6,0)</f>
        <v>1</v>
      </c>
      <c r="H1177" s="104">
        <f t="shared" si="55"/>
        <v>13245.78</v>
      </c>
      <c r="I1177" s="104">
        <f t="shared" si="56"/>
        <v>0</v>
      </c>
      <c r="L1177" s="112"/>
    </row>
    <row r="1178" spans="1:12" x14ac:dyDescent="0.25">
      <c r="A1178" s="33" t="s">
        <v>3530</v>
      </c>
      <c r="B1178" s="33" t="s">
        <v>120</v>
      </c>
      <c r="C1178" s="34"/>
      <c r="D1178" s="78">
        <v>199289.74</v>
      </c>
      <c r="E1178" s="88">
        <f>VLOOKUP(A1178,'Previous week'!$A$3:$F$1765,6,FALSE)</f>
        <v>1</v>
      </c>
      <c r="F1178" s="22">
        <f t="shared" si="54"/>
        <v>0</v>
      </c>
      <c r="G1178" s="88">
        <f>VLOOKUP(A1178,'Current week'!$A$3:$F$1765,6,0)</f>
        <v>1</v>
      </c>
      <c r="H1178" s="104">
        <f t="shared" si="55"/>
        <v>199289.74</v>
      </c>
      <c r="I1178" s="104">
        <f t="shared" si="56"/>
        <v>0</v>
      </c>
      <c r="L1178" s="112"/>
    </row>
    <row r="1179" spans="1:12" x14ac:dyDescent="0.25">
      <c r="A1179" s="23" t="s">
        <v>3497</v>
      </c>
      <c r="B1179" s="23" t="s">
        <v>1722</v>
      </c>
      <c r="C1179" s="24"/>
      <c r="D1179" s="71">
        <v>125752.87</v>
      </c>
      <c r="E1179" s="88">
        <f>VLOOKUP(A1179,'Previous week'!$A$3:$F$1765,6,FALSE)</f>
        <v>1</v>
      </c>
      <c r="F1179" s="22">
        <f t="shared" si="54"/>
        <v>0</v>
      </c>
      <c r="G1179" s="88">
        <f>VLOOKUP(A1179,'Current week'!$A$3:$F$1765,6,0)</f>
        <v>1</v>
      </c>
      <c r="H1179" s="102">
        <f t="shared" si="55"/>
        <v>125752.87</v>
      </c>
      <c r="I1179" s="102">
        <f t="shared" si="56"/>
        <v>0</v>
      </c>
      <c r="L1179" s="112"/>
    </row>
    <row r="1180" spans="1:12" x14ac:dyDescent="0.25">
      <c r="A1180" s="54" t="s">
        <v>3592</v>
      </c>
      <c r="B1180" s="54" t="s">
        <v>1877</v>
      </c>
      <c r="C1180" s="55" t="s">
        <v>1831</v>
      </c>
      <c r="D1180" s="70">
        <v>12575.3</v>
      </c>
      <c r="E1180" s="94">
        <f>'Previous week'!F1198</f>
        <v>1</v>
      </c>
      <c r="F1180" s="57">
        <f t="shared" si="54"/>
        <v>0</v>
      </c>
      <c r="G1180" s="94">
        <f>'Current week'!F1198</f>
        <v>1</v>
      </c>
      <c r="H1180" s="107">
        <f t="shared" si="55"/>
        <v>12575.3</v>
      </c>
      <c r="I1180" s="107">
        <f t="shared" si="56"/>
        <v>0</v>
      </c>
      <c r="L1180" s="112"/>
    </row>
    <row r="1181" spans="1:12" x14ac:dyDescent="0.25">
      <c r="A1181" s="19" t="s">
        <v>3593</v>
      </c>
      <c r="B1181" s="19" t="s">
        <v>1878</v>
      </c>
      <c r="C1181" s="20" t="s">
        <v>1833</v>
      </c>
      <c r="D1181" s="77">
        <v>6287.65</v>
      </c>
      <c r="E1181" s="88">
        <f>VLOOKUP(A1181,'Previous week'!$A$3:$F$1765,6,FALSE)</f>
        <v>1</v>
      </c>
      <c r="F1181" s="22">
        <f t="shared" si="54"/>
        <v>0</v>
      </c>
      <c r="G1181" s="88">
        <f>VLOOKUP(A1181,'Current week'!$A$3:$F$1765,6,0)</f>
        <v>1</v>
      </c>
      <c r="H1181" s="101">
        <f t="shared" si="55"/>
        <v>6287.65</v>
      </c>
      <c r="I1181" s="101">
        <f t="shared" si="56"/>
        <v>0</v>
      </c>
      <c r="L1181" s="112"/>
    </row>
    <row r="1182" spans="1:12" x14ac:dyDescent="0.25">
      <c r="A1182" s="33" t="s">
        <v>3594</v>
      </c>
      <c r="B1182" s="33" t="s">
        <v>1879</v>
      </c>
      <c r="C1182" s="34" t="s">
        <v>1863</v>
      </c>
      <c r="D1182" s="78">
        <v>62876.41</v>
      </c>
      <c r="E1182" s="88">
        <f>VLOOKUP(A1182,'Previous week'!$A$3:$F$1765,6,FALSE)</f>
        <v>1</v>
      </c>
      <c r="F1182" s="22">
        <f t="shared" si="54"/>
        <v>0</v>
      </c>
      <c r="G1182" s="88">
        <f>VLOOKUP(A1182,'Current week'!$A$3:$F$1765,6,0)</f>
        <v>1</v>
      </c>
      <c r="H1182" s="104">
        <f t="shared" si="55"/>
        <v>62876.41</v>
      </c>
      <c r="I1182" s="104">
        <f t="shared" si="56"/>
        <v>0</v>
      </c>
      <c r="L1182" s="112"/>
    </row>
    <row r="1183" spans="1:12" x14ac:dyDescent="0.25">
      <c r="A1183" s="54" t="s">
        <v>3595</v>
      </c>
      <c r="B1183" s="54" t="s">
        <v>1880</v>
      </c>
      <c r="C1183" s="55" t="s">
        <v>1865</v>
      </c>
      <c r="D1183" s="70">
        <v>25150.560000000001</v>
      </c>
      <c r="E1183" s="94">
        <f>'Previous week'!F1203</f>
        <v>1</v>
      </c>
      <c r="F1183" s="57">
        <f t="shared" si="54"/>
        <v>0</v>
      </c>
      <c r="G1183" s="94">
        <f>'Current week'!F1203</f>
        <v>1</v>
      </c>
      <c r="H1183" s="107">
        <f t="shared" si="55"/>
        <v>25150.560000000001</v>
      </c>
      <c r="I1183" s="107">
        <f t="shared" si="56"/>
        <v>0</v>
      </c>
      <c r="L1183" s="112"/>
    </row>
    <row r="1184" spans="1:12" x14ac:dyDescent="0.25">
      <c r="A1184" s="19" t="s">
        <v>3596</v>
      </c>
      <c r="B1184" s="19" t="s">
        <v>1881</v>
      </c>
      <c r="C1184" s="20" t="s">
        <v>1837</v>
      </c>
      <c r="D1184" s="77">
        <v>6287.65</v>
      </c>
      <c r="E1184" s="88">
        <f>VLOOKUP(A1184,'Previous week'!$A$3:$F$1765,6,FALSE)</f>
        <v>1</v>
      </c>
      <c r="F1184" s="22">
        <f t="shared" si="54"/>
        <v>0</v>
      </c>
      <c r="G1184" s="88">
        <f>VLOOKUP(A1184,'Current week'!$A$3:$F$1765,6,0)</f>
        <v>1</v>
      </c>
      <c r="H1184" s="101">
        <f t="shared" si="55"/>
        <v>6287.65</v>
      </c>
      <c r="I1184" s="101">
        <f t="shared" si="56"/>
        <v>0</v>
      </c>
      <c r="L1184" s="112"/>
    </row>
    <row r="1185" spans="1:12" x14ac:dyDescent="0.25">
      <c r="A1185" s="33" t="s">
        <v>3597</v>
      </c>
      <c r="B1185" s="33" t="s">
        <v>1882</v>
      </c>
      <c r="C1185" s="34" t="s">
        <v>1883</v>
      </c>
      <c r="D1185" s="78">
        <v>12575.3</v>
      </c>
      <c r="E1185" s="88">
        <f>VLOOKUP(A1185,'Previous week'!$A$3:$F$1765,6,FALSE)</f>
        <v>1</v>
      </c>
      <c r="F1185" s="22">
        <f t="shared" si="54"/>
        <v>0</v>
      </c>
      <c r="G1185" s="88">
        <f>VLOOKUP(A1185,'Current week'!$A$3:$F$1765,6,0)</f>
        <v>1</v>
      </c>
      <c r="H1185" s="104">
        <f t="shared" si="55"/>
        <v>12575.3</v>
      </c>
      <c r="I1185" s="104">
        <f t="shared" si="56"/>
        <v>0</v>
      </c>
      <c r="L1185" s="112"/>
    </row>
    <row r="1186" spans="1:12" x14ac:dyDescent="0.25">
      <c r="A1186" s="33" t="s">
        <v>3503</v>
      </c>
      <c r="B1186" s="33" t="s">
        <v>1733</v>
      </c>
      <c r="C1186" s="34"/>
      <c r="D1186" s="78">
        <v>9936.1</v>
      </c>
      <c r="E1186" s="88">
        <f>VLOOKUP(A1186,'Previous week'!$A$3:$F$1765,6,FALSE)</f>
        <v>1</v>
      </c>
      <c r="F1186" s="22">
        <f t="shared" si="54"/>
        <v>0</v>
      </c>
      <c r="G1186" s="88">
        <f>VLOOKUP(A1186,'Current week'!$A$3:$F$1765,6,0)</f>
        <v>1</v>
      </c>
      <c r="H1186" s="104">
        <f t="shared" si="55"/>
        <v>9936.1</v>
      </c>
      <c r="I1186" s="104">
        <f t="shared" si="56"/>
        <v>0</v>
      </c>
      <c r="L1186" s="112"/>
    </row>
    <row r="1187" spans="1:12" x14ac:dyDescent="0.25">
      <c r="A1187" s="33" t="s">
        <v>3598</v>
      </c>
      <c r="B1187" s="33" t="s">
        <v>1884</v>
      </c>
      <c r="C1187" s="34" t="s">
        <v>1872</v>
      </c>
      <c r="D1187" s="78">
        <v>9936.1</v>
      </c>
      <c r="E1187" s="88">
        <f>VLOOKUP(A1187,'Previous week'!$A$3:$F$1765,6,FALSE)</f>
        <v>1</v>
      </c>
      <c r="F1187" s="22">
        <f t="shared" si="54"/>
        <v>0</v>
      </c>
      <c r="G1187" s="88">
        <f>VLOOKUP(A1187,'Current week'!$A$3:$F$1765,6,0)</f>
        <v>1</v>
      </c>
      <c r="H1187" s="104">
        <f t="shared" si="55"/>
        <v>9936.1</v>
      </c>
      <c r="I1187" s="104">
        <f t="shared" si="56"/>
        <v>0</v>
      </c>
      <c r="L1187" s="112"/>
    </row>
    <row r="1188" spans="1:12" x14ac:dyDescent="0.25">
      <c r="A1188" s="33" t="s">
        <v>3528</v>
      </c>
      <c r="B1188" s="33" t="s">
        <v>127</v>
      </c>
      <c r="C1188" s="34"/>
      <c r="D1188" s="78">
        <v>13140.65</v>
      </c>
      <c r="E1188" s="88">
        <f>VLOOKUP(A1188,'Previous week'!$A$3:$F$1765,6,FALSE)</f>
        <v>1</v>
      </c>
      <c r="F1188" s="22">
        <f t="shared" si="54"/>
        <v>0</v>
      </c>
      <c r="G1188" s="88">
        <f>VLOOKUP(A1188,'Current week'!$A$3:$F$1765,6,0)</f>
        <v>1</v>
      </c>
      <c r="H1188" s="104">
        <f t="shared" si="55"/>
        <v>13140.65</v>
      </c>
      <c r="I1188" s="104">
        <f t="shared" si="56"/>
        <v>0</v>
      </c>
      <c r="L1188" s="112"/>
    </row>
    <row r="1189" spans="1:12" x14ac:dyDescent="0.25">
      <c r="A1189" s="33" t="s">
        <v>3599</v>
      </c>
      <c r="B1189" s="33" t="s">
        <v>1885</v>
      </c>
      <c r="C1189" s="34" t="s">
        <v>1874</v>
      </c>
      <c r="D1189" s="78">
        <v>13140.65</v>
      </c>
      <c r="E1189" s="88">
        <f>VLOOKUP(A1189,'Previous week'!$A$3:$F$1765,6,FALSE)</f>
        <v>1</v>
      </c>
      <c r="F1189" s="22">
        <f t="shared" si="54"/>
        <v>0</v>
      </c>
      <c r="G1189" s="88">
        <f>VLOOKUP(A1189,'Current week'!$A$3:$F$1765,6,0)</f>
        <v>1</v>
      </c>
      <c r="H1189" s="104">
        <f t="shared" si="55"/>
        <v>13140.65</v>
      </c>
      <c r="I1189" s="104">
        <f t="shared" si="56"/>
        <v>0</v>
      </c>
      <c r="L1189" s="112"/>
    </row>
    <row r="1190" spans="1:12" x14ac:dyDescent="0.25">
      <c r="A1190" s="23" t="s">
        <v>2818</v>
      </c>
      <c r="B1190" s="23" t="s">
        <v>124</v>
      </c>
      <c r="C1190" s="24"/>
      <c r="D1190" s="71">
        <v>50460.11</v>
      </c>
      <c r="E1190" s="88">
        <f>VLOOKUP(A1190,'Previous week'!$A$3:$F$1765,6,FALSE)</f>
        <v>0</v>
      </c>
      <c r="F1190" s="22">
        <f t="shared" si="54"/>
        <v>0</v>
      </c>
      <c r="G1190" s="88">
        <f>VLOOKUP(A1190,'Current week'!$A$3:$F$1765,6,0)</f>
        <v>0</v>
      </c>
      <c r="H1190" s="102">
        <f t="shared" si="55"/>
        <v>0</v>
      </c>
      <c r="I1190" s="102">
        <f t="shared" si="56"/>
        <v>0</v>
      </c>
      <c r="L1190" s="112"/>
    </row>
    <row r="1191" spans="1:12" x14ac:dyDescent="0.25">
      <c r="A1191" s="54" t="s">
        <v>3600</v>
      </c>
      <c r="B1191" s="54" t="s">
        <v>1886</v>
      </c>
      <c r="C1191" s="55" t="s">
        <v>1887</v>
      </c>
      <c r="D1191" s="70">
        <v>50460.11</v>
      </c>
      <c r="E1191" s="94">
        <f>'Previous week'!F1211</f>
        <v>1</v>
      </c>
      <c r="F1191" s="57">
        <f t="shared" si="54"/>
        <v>0</v>
      </c>
      <c r="G1191" s="94">
        <f>'Current week'!F1211</f>
        <v>1</v>
      </c>
      <c r="H1191" s="107">
        <f t="shared" si="55"/>
        <v>50460.11</v>
      </c>
      <c r="I1191" s="107">
        <f t="shared" si="56"/>
        <v>0</v>
      </c>
      <c r="L1191" s="112"/>
    </row>
    <row r="1192" spans="1:12" x14ac:dyDescent="0.25">
      <c r="A1192" s="19" t="s">
        <v>3540</v>
      </c>
      <c r="B1192" s="19" t="s">
        <v>1785</v>
      </c>
      <c r="C1192" s="20"/>
      <c r="D1192" s="77">
        <v>811137.69</v>
      </c>
      <c r="E1192" s="88">
        <f>VLOOKUP(A1192,'Previous week'!$A$3:$F$1765,6,FALSE)</f>
        <v>1</v>
      </c>
      <c r="F1192" s="22">
        <f t="shared" si="54"/>
        <v>0</v>
      </c>
      <c r="G1192" s="88">
        <f>VLOOKUP(A1192,'Current week'!$A$3:$F$1765,6,0)</f>
        <v>1</v>
      </c>
      <c r="H1192" s="101">
        <f t="shared" si="55"/>
        <v>811137.69</v>
      </c>
      <c r="I1192" s="101">
        <f t="shared" si="56"/>
        <v>0</v>
      </c>
      <c r="L1192" s="112"/>
    </row>
    <row r="1193" spans="1:12" x14ac:dyDescent="0.25">
      <c r="A1193" s="23" t="s">
        <v>3601</v>
      </c>
      <c r="B1193" s="23" t="s">
        <v>1888</v>
      </c>
      <c r="C1193" s="24"/>
      <c r="D1193" s="71">
        <v>361241.37</v>
      </c>
      <c r="E1193" s="88">
        <f>VLOOKUP(A1193,'Previous week'!$A$3:$F$1765,6,FALSE)</f>
        <v>1</v>
      </c>
      <c r="F1193" s="22">
        <f t="shared" si="54"/>
        <v>0</v>
      </c>
      <c r="G1193" s="88">
        <f>VLOOKUP(A1193,'Current week'!$A$3:$F$1765,6,0)</f>
        <v>1</v>
      </c>
      <c r="H1193" s="102">
        <f t="shared" si="55"/>
        <v>361241.37</v>
      </c>
      <c r="I1193" s="102">
        <f t="shared" si="56"/>
        <v>0</v>
      </c>
      <c r="L1193" s="112"/>
    </row>
    <row r="1194" spans="1:12" x14ac:dyDescent="0.25">
      <c r="A1194" s="50" t="s">
        <v>2831</v>
      </c>
      <c r="B1194" s="50" t="s">
        <v>1889</v>
      </c>
      <c r="C1194" s="51"/>
      <c r="D1194" s="68">
        <v>165937.26999999999</v>
      </c>
      <c r="E1194" s="93"/>
      <c r="F1194" s="69">
        <f t="shared" si="54"/>
        <v>0</v>
      </c>
      <c r="G1194" s="93"/>
      <c r="H1194" s="106"/>
      <c r="I1194" s="106"/>
      <c r="L1194" s="112"/>
    </row>
    <row r="1195" spans="1:12" x14ac:dyDescent="0.25">
      <c r="A1195" s="54" t="s">
        <v>3602</v>
      </c>
      <c r="B1195" s="54" t="s">
        <v>1890</v>
      </c>
      <c r="C1195" s="55" t="s">
        <v>1891</v>
      </c>
      <c r="D1195" s="70">
        <v>7545</v>
      </c>
      <c r="E1195" s="94">
        <f>'Previous week'!F1219</f>
        <v>1</v>
      </c>
      <c r="F1195" s="81">
        <f t="shared" ref="F1195:F1245" si="57">G1195-E1195</f>
        <v>0</v>
      </c>
      <c r="G1195" s="94">
        <f>'Current week'!F1219</f>
        <v>1</v>
      </c>
      <c r="H1195" s="107">
        <f t="shared" ref="H1195:H1245" si="58">G1195*D1195</f>
        <v>7545</v>
      </c>
      <c r="I1195" s="107">
        <f t="shared" ref="I1195:I1245" si="59">F1195*D1195</f>
        <v>0</v>
      </c>
      <c r="L1195" s="112"/>
    </row>
    <row r="1196" spans="1:12" x14ac:dyDescent="0.25">
      <c r="A1196" s="19" t="s">
        <v>3603</v>
      </c>
      <c r="B1196" s="19" t="s">
        <v>1892</v>
      </c>
      <c r="C1196" s="20" t="s">
        <v>1893</v>
      </c>
      <c r="D1196" s="77">
        <v>31916.02</v>
      </c>
      <c r="E1196" s="88">
        <f>VLOOKUP(A1196,'Previous week'!$A$3:$F$1765,6,FALSE)</f>
        <v>1</v>
      </c>
      <c r="F1196" s="22">
        <f t="shared" si="57"/>
        <v>0</v>
      </c>
      <c r="G1196" s="88">
        <f>VLOOKUP(A1196,'Current week'!$A$3:$F$1765,6,0)</f>
        <v>1</v>
      </c>
      <c r="H1196" s="101">
        <f t="shared" si="58"/>
        <v>31916.02</v>
      </c>
      <c r="I1196" s="101">
        <f t="shared" si="59"/>
        <v>0</v>
      </c>
      <c r="L1196" s="112"/>
    </row>
    <row r="1197" spans="1:12" x14ac:dyDescent="0.25">
      <c r="A1197" s="33" t="s">
        <v>3604</v>
      </c>
      <c r="B1197" s="33" t="s">
        <v>1894</v>
      </c>
      <c r="C1197" s="34" t="s">
        <v>1895</v>
      </c>
      <c r="D1197" s="78">
        <v>126476.25</v>
      </c>
      <c r="E1197" s="88">
        <f>VLOOKUP(A1197,'Previous week'!$A$3:$F$1765,6,FALSE)</f>
        <v>1</v>
      </c>
      <c r="F1197" s="22">
        <f t="shared" si="57"/>
        <v>0</v>
      </c>
      <c r="G1197" s="88">
        <f>VLOOKUP(A1197,'Current week'!$A$3:$F$1765,6,0)</f>
        <v>1</v>
      </c>
      <c r="H1197" s="104">
        <f t="shared" si="58"/>
        <v>126476.25</v>
      </c>
      <c r="I1197" s="104">
        <f t="shared" si="59"/>
        <v>0</v>
      </c>
      <c r="L1197" s="112"/>
    </row>
    <row r="1198" spans="1:12" x14ac:dyDescent="0.25">
      <c r="A1198" s="33" t="s">
        <v>3605</v>
      </c>
      <c r="B1198" s="33" t="s">
        <v>222</v>
      </c>
      <c r="C1198" s="34"/>
      <c r="D1198" s="78">
        <v>195304.09</v>
      </c>
      <c r="E1198" s="88">
        <f>VLOOKUP(A1198,'Previous week'!$A$3:$F$1765,6,FALSE)</f>
        <v>1</v>
      </c>
      <c r="F1198" s="22">
        <f t="shared" si="57"/>
        <v>0</v>
      </c>
      <c r="G1198" s="88">
        <f>VLOOKUP(A1198,'Current week'!$A$3:$F$1765,6,0)</f>
        <v>1</v>
      </c>
      <c r="H1198" s="104">
        <f t="shared" si="58"/>
        <v>195304.09</v>
      </c>
      <c r="I1198" s="104">
        <f t="shared" si="59"/>
        <v>0</v>
      </c>
      <c r="L1198" s="112"/>
    </row>
    <row r="1199" spans="1:12" x14ac:dyDescent="0.25">
      <c r="A1199" s="23" t="s">
        <v>3606</v>
      </c>
      <c r="B1199" s="23" t="s">
        <v>1896</v>
      </c>
      <c r="C1199" s="24" t="s">
        <v>1897</v>
      </c>
      <c r="D1199" s="71">
        <v>10823.69</v>
      </c>
      <c r="E1199" s="88">
        <f>VLOOKUP(A1199,'Previous week'!$A$3:$F$1765,6,FALSE)</f>
        <v>1</v>
      </c>
      <c r="F1199" s="22">
        <f t="shared" si="57"/>
        <v>0</v>
      </c>
      <c r="G1199" s="88">
        <f>VLOOKUP(A1199,'Current week'!$A$3:$F$1765,6,0)</f>
        <v>1</v>
      </c>
      <c r="H1199" s="102">
        <f t="shared" si="58"/>
        <v>10823.69</v>
      </c>
      <c r="I1199" s="102">
        <f t="shared" si="59"/>
        <v>0</v>
      </c>
      <c r="L1199" s="112"/>
    </row>
    <row r="1200" spans="1:12" x14ac:dyDescent="0.25">
      <c r="A1200" s="54" t="s">
        <v>3607</v>
      </c>
      <c r="B1200" s="54" t="s">
        <v>1898</v>
      </c>
      <c r="C1200" s="55" t="s">
        <v>1899</v>
      </c>
      <c r="D1200" s="70">
        <v>29946.31</v>
      </c>
      <c r="E1200" s="94">
        <f>'Previous week'!F1224</f>
        <v>1</v>
      </c>
      <c r="F1200" s="57">
        <f t="shared" si="57"/>
        <v>0</v>
      </c>
      <c r="G1200" s="94">
        <f>'Current week'!F1224</f>
        <v>1</v>
      </c>
      <c r="H1200" s="107">
        <f t="shared" si="58"/>
        <v>29946.31</v>
      </c>
      <c r="I1200" s="107">
        <f t="shared" si="59"/>
        <v>0</v>
      </c>
      <c r="L1200" s="112"/>
    </row>
    <row r="1201" spans="1:12" x14ac:dyDescent="0.25">
      <c r="A1201" s="19" t="s">
        <v>3608</v>
      </c>
      <c r="B1201" s="19" t="s">
        <v>1900</v>
      </c>
      <c r="C1201" s="20" t="s">
        <v>1901</v>
      </c>
      <c r="D1201" s="77">
        <v>15768.79</v>
      </c>
      <c r="E1201" s="88">
        <f>VLOOKUP(A1201,'Previous week'!$A$3:$F$1765,6,FALSE)</f>
        <v>1</v>
      </c>
      <c r="F1201" s="22">
        <f t="shared" si="57"/>
        <v>0</v>
      </c>
      <c r="G1201" s="88">
        <f>VLOOKUP(A1201,'Current week'!$A$3:$F$1765,6,0)</f>
        <v>1</v>
      </c>
      <c r="H1201" s="101">
        <f t="shared" si="58"/>
        <v>15768.79</v>
      </c>
      <c r="I1201" s="101">
        <f t="shared" si="59"/>
        <v>0</v>
      </c>
      <c r="L1201" s="112"/>
    </row>
    <row r="1202" spans="1:12" x14ac:dyDescent="0.25">
      <c r="A1202" s="33" t="s">
        <v>3609</v>
      </c>
      <c r="B1202" s="33" t="s">
        <v>1902</v>
      </c>
      <c r="C1202" s="34" t="s">
        <v>1903</v>
      </c>
      <c r="D1202" s="78">
        <v>75690.17</v>
      </c>
      <c r="E1202" s="88">
        <f>VLOOKUP(A1202,'Previous week'!$A$3:$F$1765,6,FALSE)</f>
        <v>1</v>
      </c>
      <c r="F1202" s="22">
        <f t="shared" si="57"/>
        <v>0</v>
      </c>
      <c r="G1202" s="88">
        <f>VLOOKUP(A1202,'Current week'!$A$3:$F$1765,6,0)</f>
        <v>1</v>
      </c>
      <c r="H1202" s="104">
        <f t="shared" si="58"/>
        <v>75690.17</v>
      </c>
      <c r="I1202" s="104">
        <f t="shared" si="59"/>
        <v>0</v>
      </c>
      <c r="L1202" s="112"/>
    </row>
    <row r="1203" spans="1:12" x14ac:dyDescent="0.25">
      <c r="A1203" s="23" t="s">
        <v>3610</v>
      </c>
      <c r="B1203" s="23" t="s">
        <v>1904</v>
      </c>
      <c r="C1203" s="24" t="s">
        <v>1905</v>
      </c>
      <c r="D1203" s="71">
        <v>63075.14</v>
      </c>
      <c r="E1203" s="88">
        <f>VLOOKUP(A1203,'Previous week'!$A$3:$F$1765,6,FALSE)</f>
        <v>1</v>
      </c>
      <c r="F1203" s="22">
        <f t="shared" si="57"/>
        <v>0</v>
      </c>
      <c r="G1203" s="88">
        <f>VLOOKUP(A1203,'Current week'!$A$3:$F$1765,6,0)</f>
        <v>1</v>
      </c>
      <c r="H1203" s="102">
        <f t="shared" si="58"/>
        <v>63075.14</v>
      </c>
      <c r="I1203" s="102">
        <f t="shared" si="59"/>
        <v>0</v>
      </c>
      <c r="L1203" s="112"/>
    </row>
    <row r="1204" spans="1:12" x14ac:dyDescent="0.25">
      <c r="A1204" s="54" t="s">
        <v>3541</v>
      </c>
      <c r="B1204" s="54" t="s">
        <v>1786</v>
      </c>
      <c r="C1204" s="55"/>
      <c r="D1204" s="70">
        <v>175355.47</v>
      </c>
      <c r="E1204" s="94">
        <f>'Previous week'!F1228</f>
        <v>1</v>
      </c>
      <c r="F1204" s="57">
        <f t="shared" si="57"/>
        <v>0</v>
      </c>
      <c r="G1204" s="94">
        <f>'Current week'!F1228</f>
        <v>1</v>
      </c>
      <c r="H1204" s="107">
        <f t="shared" si="58"/>
        <v>175355.47</v>
      </c>
      <c r="I1204" s="107">
        <f t="shared" si="59"/>
        <v>0</v>
      </c>
      <c r="L1204" s="112"/>
    </row>
    <row r="1205" spans="1:12" x14ac:dyDescent="0.25">
      <c r="A1205" s="19" t="s">
        <v>3611</v>
      </c>
      <c r="B1205" s="19" t="s">
        <v>1906</v>
      </c>
      <c r="C1205" s="20" t="s">
        <v>1897</v>
      </c>
      <c r="D1205" s="77">
        <v>8325.92</v>
      </c>
      <c r="E1205" s="88">
        <f>VLOOKUP(A1205,'Previous week'!$A$3:$F$1765,6,FALSE)</f>
        <v>1</v>
      </c>
      <c r="F1205" s="22">
        <f t="shared" si="57"/>
        <v>0</v>
      </c>
      <c r="G1205" s="88">
        <f>VLOOKUP(A1205,'Current week'!$A$3:$F$1765,6,0)</f>
        <v>1</v>
      </c>
      <c r="H1205" s="101">
        <f t="shared" si="58"/>
        <v>8325.92</v>
      </c>
      <c r="I1205" s="101">
        <f t="shared" si="59"/>
        <v>0</v>
      </c>
      <c r="L1205" s="112"/>
    </row>
    <row r="1206" spans="1:12" x14ac:dyDescent="0.25">
      <c r="A1206" s="33" t="s">
        <v>3612</v>
      </c>
      <c r="B1206" s="33" t="s">
        <v>1907</v>
      </c>
      <c r="C1206" s="34" t="s">
        <v>1908</v>
      </c>
      <c r="D1206" s="78">
        <v>17695.84</v>
      </c>
      <c r="E1206" s="88">
        <f>VLOOKUP(A1206,'Previous week'!$A$3:$F$1765,6,FALSE)</f>
        <v>1</v>
      </c>
      <c r="F1206" s="22">
        <f t="shared" si="57"/>
        <v>0</v>
      </c>
      <c r="G1206" s="88">
        <f>VLOOKUP(A1206,'Current week'!$A$3:$F$1765,6,0)</f>
        <v>1</v>
      </c>
      <c r="H1206" s="104">
        <f t="shared" si="58"/>
        <v>17695.84</v>
      </c>
      <c r="I1206" s="104">
        <f t="shared" si="59"/>
        <v>0</v>
      </c>
      <c r="L1206" s="112"/>
    </row>
    <row r="1207" spans="1:12" x14ac:dyDescent="0.25">
      <c r="A1207" s="33" t="s">
        <v>3613</v>
      </c>
      <c r="B1207" s="33" t="s">
        <v>1909</v>
      </c>
      <c r="C1207" s="34" t="s">
        <v>1899</v>
      </c>
      <c r="D1207" s="78">
        <v>42386.49</v>
      </c>
      <c r="E1207" s="88">
        <f>VLOOKUP(A1207,'Previous week'!$A$3:$F$1765,6,FALSE)</f>
        <v>1</v>
      </c>
      <c r="F1207" s="22">
        <f t="shared" si="57"/>
        <v>0</v>
      </c>
      <c r="G1207" s="88">
        <f>VLOOKUP(A1207,'Current week'!$A$3:$F$1765,6,0)</f>
        <v>1</v>
      </c>
      <c r="H1207" s="104">
        <f t="shared" si="58"/>
        <v>42386.49</v>
      </c>
      <c r="I1207" s="104">
        <f t="shared" si="59"/>
        <v>0</v>
      </c>
      <c r="L1207" s="112"/>
    </row>
    <row r="1208" spans="1:12" x14ac:dyDescent="0.25">
      <c r="A1208" s="23" t="s">
        <v>3614</v>
      </c>
      <c r="B1208" s="23" t="s">
        <v>1910</v>
      </c>
      <c r="C1208" s="24" t="s">
        <v>1911</v>
      </c>
      <c r="D1208" s="71">
        <v>79467.350000000006</v>
      </c>
      <c r="E1208" s="88">
        <f>VLOOKUP(A1208,'Previous week'!$A$3:$F$1765,6,FALSE)</f>
        <v>1</v>
      </c>
      <c r="F1208" s="22">
        <f t="shared" si="57"/>
        <v>0</v>
      </c>
      <c r="G1208" s="88">
        <f>VLOOKUP(A1208,'Current week'!$A$3:$F$1765,6,0)</f>
        <v>1</v>
      </c>
      <c r="H1208" s="102">
        <f t="shared" si="58"/>
        <v>79467.350000000006</v>
      </c>
      <c r="I1208" s="102">
        <f t="shared" si="59"/>
        <v>0</v>
      </c>
      <c r="L1208" s="112"/>
    </row>
    <row r="1209" spans="1:12" x14ac:dyDescent="0.25">
      <c r="A1209" s="54" t="s">
        <v>3615</v>
      </c>
      <c r="B1209" s="54" t="s">
        <v>1912</v>
      </c>
      <c r="C1209" s="55" t="s">
        <v>1913</v>
      </c>
      <c r="D1209" s="70">
        <v>19910.849999999999</v>
      </c>
      <c r="E1209" s="94">
        <f>'Previous week'!F1233</f>
        <v>1</v>
      </c>
      <c r="F1209" s="57">
        <f t="shared" si="57"/>
        <v>0</v>
      </c>
      <c r="G1209" s="94">
        <f>'Current week'!F1233</f>
        <v>1</v>
      </c>
      <c r="H1209" s="107">
        <f t="shared" si="58"/>
        <v>19910.849999999999</v>
      </c>
      <c r="I1209" s="107">
        <f t="shared" si="59"/>
        <v>0</v>
      </c>
      <c r="L1209" s="112"/>
    </row>
    <row r="1210" spans="1:12" x14ac:dyDescent="0.25">
      <c r="A1210" s="19" t="s">
        <v>3616</v>
      </c>
      <c r="B1210" s="19" t="s">
        <v>1914</v>
      </c>
      <c r="C1210" s="20" t="s">
        <v>1915</v>
      </c>
      <c r="D1210" s="77">
        <v>7569.02</v>
      </c>
      <c r="E1210" s="88">
        <f>VLOOKUP(A1210,'Previous week'!$A$3:$F$1765,6,FALSE)</f>
        <v>1</v>
      </c>
      <c r="F1210" s="22">
        <f t="shared" si="57"/>
        <v>0</v>
      </c>
      <c r="G1210" s="88">
        <f>VLOOKUP(A1210,'Current week'!$A$3:$F$1765,6,0)</f>
        <v>1</v>
      </c>
      <c r="H1210" s="101">
        <f t="shared" si="58"/>
        <v>7569.02</v>
      </c>
      <c r="I1210" s="101">
        <f t="shared" si="59"/>
        <v>0</v>
      </c>
      <c r="L1210" s="112"/>
    </row>
    <row r="1211" spans="1:12" x14ac:dyDescent="0.25">
      <c r="A1211" s="33" t="s">
        <v>3548</v>
      </c>
      <c r="B1211" s="33" t="s">
        <v>1799</v>
      </c>
      <c r="C1211" s="34"/>
      <c r="D1211" s="78">
        <v>274540.84999999998</v>
      </c>
      <c r="E1211" s="88">
        <f>VLOOKUP(A1211,'Previous week'!$A$3:$F$1765,6,FALSE)</f>
        <v>1</v>
      </c>
      <c r="F1211" s="22">
        <f t="shared" si="57"/>
        <v>0</v>
      </c>
      <c r="G1211" s="88">
        <f>VLOOKUP(A1211,'Current week'!$A$3:$F$1765,6,0)</f>
        <v>1</v>
      </c>
      <c r="H1211" s="104">
        <f t="shared" si="58"/>
        <v>274540.84999999998</v>
      </c>
      <c r="I1211" s="104">
        <f t="shared" si="59"/>
        <v>0</v>
      </c>
      <c r="L1211" s="112"/>
    </row>
    <row r="1212" spans="1:12" x14ac:dyDescent="0.25">
      <c r="A1212" s="54" t="s">
        <v>3617</v>
      </c>
      <c r="B1212" s="54" t="s">
        <v>1916</v>
      </c>
      <c r="C1212" s="55" t="s">
        <v>1917</v>
      </c>
      <c r="D1212" s="70">
        <v>126781.03</v>
      </c>
      <c r="E1212" s="94">
        <f>'Previous week'!F1238</f>
        <v>1</v>
      </c>
      <c r="F1212" s="57">
        <f t="shared" si="57"/>
        <v>0</v>
      </c>
      <c r="G1212" s="94">
        <f>'Current week'!F1238</f>
        <v>1</v>
      </c>
      <c r="H1212" s="107">
        <f t="shared" si="58"/>
        <v>126781.03</v>
      </c>
      <c r="I1212" s="107">
        <f t="shared" si="59"/>
        <v>0</v>
      </c>
      <c r="L1212" s="112"/>
    </row>
    <row r="1213" spans="1:12" x14ac:dyDescent="0.25">
      <c r="A1213" s="19" t="s">
        <v>3618</v>
      </c>
      <c r="B1213" s="19" t="s">
        <v>1918</v>
      </c>
      <c r="C1213" s="20" t="s">
        <v>1919</v>
      </c>
      <c r="D1213" s="77">
        <v>3973.73</v>
      </c>
      <c r="E1213" s="88">
        <f>VLOOKUP(A1213,'Previous week'!$A$3:$F$1765,6,FALSE)</f>
        <v>1</v>
      </c>
      <c r="F1213" s="22">
        <f t="shared" si="57"/>
        <v>0</v>
      </c>
      <c r="G1213" s="88">
        <f>VLOOKUP(A1213,'Current week'!$A$3:$F$1765,6,0)</f>
        <v>1</v>
      </c>
      <c r="H1213" s="101">
        <f t="shared" si="58"/>
        <v>3973.73</v>
      </c>
      <c r="I1213" s="101">
        <f t="shared" si="59"/>
        <v>0</v>
      </c>
      <c r="L1213" s="112"/>
    </row>
    <row r="1214" spans="1:12" x14ac:dyDescent="0.25">
      <c r="A1214" s="33" t="s">
        <v>3619</v>
      </c>
      <c r="B1214" s="33" t="s">
        <v>1920</v>
      </c>
      <c r="C1214" s="34" t="s">
        <v>1921</v>
      </c>
      <c r="D1214" s="78">
        <v>98371.99</v>
      </c>
      <c r="E1214" s="88">
        <f>VLOOKUP(A1214,'Previous week'!$A$3:$F$1765,6,FALSE)</f>
        <v>1</v>
      </c>
      <c r="F1214" s="22">
        <f t="shared" si="57"/>
        <v>0</v>
      </c>
      <c r="G1214" s="88">
        <f>VLOOKUP(A1214,'Current week'!$A$3:$F$1765,6,0)</f>
        <v>1</v>
      </c>
      <c r="H1214" s="104">
        <f t="shared" si="58"/>
        <v>98371.99</v>
      </c>
      <c r="I1214" s="104">
        <f t="shared" si="59"/>
        <v>0</v>
      </c>
      <c r="L1214" s="112"/>
    </row>
    <row r="1215" spans="1:12" x14ac:dyDescent="0.25">
      <c r="A1215" s="33" t="s">
        <v>3620</v>
      </c>
      <c r="B1215" s="33" t="s">
        <v>1922</v>
      </c>
      <c r="C1215" s="34" t="s">
        <v>1859</v>
      </c>
      <c r="D1215" s="78">
        <v>45414.1</v>
      </c>
      <c r="E1215" s="88">
        <f>VLOOKUP(A1215,'Previous week'!$A$3:$F$1765,6,FALSE)</f>
        <v>1</v>
      </c>
      <c r="F1215" s="22">
        <f t="shared" si="57"/>
        <v>0</v>
      </c>
      <c r="G1215" s="88">
        <f>VLOOKUP(A1215,'Current week'!$A$3:$F$1765,6,0)</f>
        <v>1</v>
      </c>
      <c r="H1215" s="104">
        <f t="shared" si="58"/>
        <v>45414.1</v>
      </c>
      <c r="I1215" s="104">
        <f t="shared" si="59"/>
        <v>0</v>
      </c>
      <c r="L1215" s="112"/>
    </row>
    <row r="1216" spans="1:12" x14ac:dyDescent="0.25">
      <c r="A1216" s="33" t="s">
        <v>3621</v>
      </c>
      <c r="B1216" s="33" t="s">
        <v>1923</v>
      </c>
      <c r="C1216" s="34"/>
      <c r="D1216" s="78">
        <v>3665687.82</v>
      </c>
      <c r="E1216" s="88">
        <f>VLOOKUP(A1216,'Previous week'!$A$3:$F$1765,6,FALSE)</f>
        <v>0.98429999999999995</v>
      </c>
      <c r="F1216" s="22">
        <f t="shared" si="57"/>
        <v>1.0400000000000076E-2</v>
      </c>
      <c r="G1216" s="88">
        <f>VLOOKUP(A1216,'Current week'!$A$3:$F$1765,6,0)</f>
        <v>0.99470000000000003</v>
      </c>
      <c r="H1216" s="104">
        <f t="shared" si="58"/>
        <v>3646259.6745540001</v>
      </c>
      <c r="I1216" s="104">
        <f t="shared" si="59"/>
        <v>38123.153328000277</v>
      </c>
      <c r="L1216" s="112"/>
    </row>
    <row r="1217" spans="1:12" x14ac:dyDescent="0.25">
      <c r="A1217" s="33" t="s">
        <v>3622</v>
      </c>
      <c r="B1217" s="33" t="s">
        <v>1924</v>
      </c>
      <c r="C1217" s="34"/>
      <c r="D1217" s="78">
        <v>826699.01</v>
      </c>
      <c r="E1217" s="88">
        <f>VLOOKUP(A1217,'Previous week'!$A$3:$F$1765,6,FALSE)</f>
        <v>0.93530000000000002</v>
      </c>
      <c r="F1217" s="22">
        <f t="shared" si="57"/>
        <v>4.2799999999999949E-2</v>
      </c>
      <c r="G1217" s="88">
        <f>VLOOKUP(A1217,'Current week'!$A$3:$F$1765,6,0)</f>
        <v>0.97809999999999997</v>
      </c>
      <c r="H1217" s="104">
        <f t="shared" si="58"/>
        <v>808594.30168100004</v>
      </c>
      <c r="I1217" s="104">
        <f t="shared" si="59"/>
        <v>35382.717627999955</v>
      </c>
      <c r="L1217" s="112"/>
    </row>
    <row r="1218" spans="1:12" x14ac:dyDescent="0.25">
      <c r="A1218" s="54" t="s">
        <v>3475</v>
      </c>
      <c r="B1218" s="54" t="s">
        <v>1686</v>
      </c>
      <c r="C1218" s="55"/>
      <c r="D1218" s="70">
        <v>357790.57</v>
      </c>
      <c r="E1218" s="94">
        <f>'Previous week'!F1245</f>
        <v>1</v>
      </c>
      <c r="F1218" s="57">
        <f t="shared" si="57"/>
        <v>0</v>
      </c>
      <c r="G1218" s="94">
        <f>'Current week'!F1245</f>
        <v>1</v>
      </c>
      <c r="H1218" s="107">
        <f t="shared" si="58"/>
        <v>357790.57</v>
      </c>
      <c r="I1218" s="107">
        <f t="shared" si="59"/>
        <v>0</v>
      </c>
      <c r="L1218" s="112"/>
    </row>
    <row r="1219" spans="1:12" x14ac:dyDescent="0.25">
      <c r="A1219" s="36" t="s">
        <v>3623</v>
      </c>
      <c r="B1219" s="36" t="s">
        <v>1925</v>
      </c>
      <c r="C1219" s="37" t="s">
        <v>1926</v>
      </c>
      <c r="D1219" s="79">
        <v>8053.45</v>
      </c>
      <c r="E1219" s="88">
        <f>VLOOKUP(A1219,'Previous week'!$A$3:$F$1765,6,FALSE)</f>
        <v>1</v>
      </c>
      <c r="F1219" s="22">
        <f t="shared" si="57"/>
        <v>0</v>
      </c>
      <c r="G1219" s="88">
        <f>VLOOKUP(A1219,'Current week'!$A$3:$F$1765,6,0)</f>
        <v>1</v>
      </c>
      <c r="H1219" s="105">
        <f t="shared" si="58"/>
        <v>8053.45</v>
      </c>
      <c r="I1219" s="105">
        <f t="shared" si="59"/>
        <v>0</v>
      </c>
      <c r="L1219" s="112"/>
    </row>
    <row r="1220" spans="1:12" x14ac:dyDescent="0.25">
      <c r="A1220" s="50" t="s">
        <v>3624</v>
      </c>
      <c r="B1220" s="50" t="s">
        <v>1927</v>
      </c>
      <c r="C1220" s="51" t="s">
        <v>1928</v>
      </c>
      <c r="D1220" s="68">
        <v>317788.32</v>
      </c>
      <c r="E1220" s="93"/>
      <c r="F1220" s="69">
        <f t="shared" si="57"/>
        <v>0</v>
      </c>
      <c r="G1220" s="93"/>
      <c r="H1220" s="106"/>
      <c r="I1220" s="106"/>
      <c r="L1220" s="112"/>
    </row>
    <row r="1221" spans="1:12" x14ac:dyDescent="0.25">
      <c r="A1221" s="54" t="s">
        <v>3625</v>
      </c>
      <c r="B1221" s="54" t="s">
        <v>1929</v>
      </c>
      <c r="C1221" s="55" t="s">
        <v>1930</v>
      </c>
      <c r="D1221" s="70">
        <v>31948.799999999999</v>
      </c>
      <c r="E1221" s="94">
        <f>'Previous week'!F1252</f>
        <v>1</v>
      </c>
      <c r="F1221" s="81">
        <f t="shared" si="57"/>
        <v>0</v>
      </c>
      <c r="G1221" s="94">
        <f>'Current week'!F1252</f>
        <v>1</v>
      </c>
      <c r="H1221" s="107">
        <f t="shared" si="58"/>
        <v>31948.799999999999</v>
      </c>
      <c r="I1221" s="107">
        <f t="shared" si="59"/>
        <v>0</v>
      </c>
      <c r="L1221" s="112"/>
    </row>
    <row r="1222" spans="1:12" x14ac:dyDescent="0.25">
      <c r="A1222" s="19" t="s">
        <v>3479</v>
      </c>
      <c r="B1222" s="19" t="s">
        <v>1693</v>
      </c>
      <c r="C1222" s="20"/>
      <c r="D1222" s="77">
        <v>213995.03</v>
      </c>
      <c r="E1222" s="88">
        <f>VLOOKUP(A1222,'Previous week'!$A$3:$F$1765,6,FALSE)</f>
        <v>1</v>
      </c>
      <c r="F1222" s="22">
        <f t="shared" si="57"/>
        <v>0</v>
      </c>
      <c r="G1222" s="88">
        <f>VLOOKUP(A1222,'Current week'!$A$3:$F$1765,6,0)</f>
        <v>1</v>
      </c>
      <c r="H1222" s="101">
        <f t="shared" si="58"/>
        <v>213995.03</v>
      </c>
      <c r="I1222" s="101">
        <f t="shared" si="59"/>
        <v>0</v>
      </c>
      <c r="L1222" s="112"/>
    </row>
    <row r="1223" spans="1:12" x14ac:dyDescent="0.25">
      <c r="A1223" s="33" t="s">
        <v>3626</v>
      </c>
      <c r="B1223" s="33" t="s">
        <v>1931</v>
      </c>
      <c r="C1223" s="34" t="s">
        <v>1932</v>
      </c>
      <c r="D1223" s="78">
        <v>32540.46</v>
      </c>
      <c r="E1223" s="88">
        <f>VLOOKUP(A1223,'Previous week'!$A$3:$F$1765,6,FALSE)</f>
        <v>1</v>
      </c>
      <c r="F1223" s="22">
        <f t="shared" si="57"/>
        <v>0</v>
      </c>
      <c r="G1223" s="88">
        <f>VLOOKUP(A1223,'Current week'!$A$3:$F$1765,6,0)</f>
        <v>1</v>
      </c>
      <c r="H1223" s="104">
        <f t="shared" si="58"/>
        <v>32540.46</v>
      </c>
      <c r="I1223" s="104">
        <f t="shared" si="59"/>
        <v>0</v>
      </c>
      <c r="L1223" s="112"/>
    </row>
    <row r="1224" spans="1:12" x14ac:dyDescent="0.25">
      <c r="A1224" s="33" t="s">
        <v>3627</v>
      </c>
      <c r="B1224" s="33" t="s">
        <v>1933</v>
      </c>
      <c r="C1224" s="34" t="s">
        <v>1934</v>
      </c>
      <c r="D1224" s="78">
        <v>17989.03</v>
      </c>
      <c r="E1224" s="88">
        <f>VLOOKUP(A1224,'Previous week'!$A$3:$F$1765,6,FALSE)</f>
        <v>1</v>
      </c>
      <c r="F1224" s="22">
        <f t="shared" si="57"/>
        <v>0</v>
      </c>
      <c r="G1224" s="88">
        <f>VLOOKUP(A1224,'Current week'!$A$3:$F$1765,6,0)</f>
        <v>1</v>
      </c>
      <c r="H1224" s="104">
        <f t="shared" si="58"/>
        <v>17989.03</v>
      </c>
      <c r="I1224" s="104">
        <f t="shared" si="59"/>
        <v>0</v>
      </c>
      <c r="L1224" s="112"/>
    </row>
    <row r="1225" spans="1:12" x14ac:dyDescent="0.25">
      <c r="A1225" s="23" t="s">
        <v>3628</v>
      </c>
      <c r="B1225" s="23" t="s">
        <v>1935</v>
      </c>
      <c r="C1225" s="24" t="s">
        <v>1936</v>
      </c>
      <c r="D1225" s="71">
        <v>163465.53</v>
      </c>
      <c r="E1225" s="88">
        <f>VLOOKUP(A1225,'Previous week'!$A$3:$F$1765,6,FALSE)</f>
        <v>1</v>
      </c>
      <c r="F1225" s="22">
        <f t="shared" si="57"/>
        <v>0</v>
      </c>
      <c r="G1225" s="88">
        <f>VLOOKUP(A1225,'Current week'!$A$3:$F$1765,6,0)</f>
        <v>1</v>
      </c>
      <c r="H1225" s="102">
        <f t="shared" si="58"/>
        <v>163465.53</v>
      </c>
      <c r="I1225" s="102">
        <f t="shared" si="59"/>
        <v>0</v>
      </c>
      <c r="L1225" s="112"/>
    </row>
    <row r="1226" spans="1:12" x14ac:dyDescent="0.25">
      <c r="A1226" s="54" t="s">
        <v>3483</v>
      </c>
      <c r="B1226" s="54" t="s">
        <v>1700</v>
      </c>
      <c r="C1226" s="55"/>
      <c r="D1226" s="70">
        <v>254913.42</v>
      </c>
      <c r="E1226" s="94">
        <f>'Previous week'!F1257</f>
        <v>1</v>
      </c>
      <c r="F1226" s="57">
        <f t="shared" si="57"/>
        <v>0</v>
      </c>
      <c r="G1226" s="94">
        <f>'Current week'!F1257</f>
        <v>1</v>
      </c>
      <c r="H1226" s="107">
        <f t="shared" si="58"/>
        <v>254913.42</v>
      </c>
      <c r="I1226" s="107">
        <f t="shared" si="59"/>
        <v>0</v>
      </c>
      <c r="L1226" s="112"/>
    </row>
    <row r="1227" spans="1:12" x14ac:dyDescent="0.25">
      <c r="A1227" s="19" t="s">
        <v>3484</v>
      </c>
      <c r="B1227" s="19" t="s">
        <v>1701</v>
      </c>
      <c r="C1227" s="20"/>
      <c r="D1227" s="77">
        <v>95937.29</v>
      </c>
      <c r="E1227" s="88">
        <f>VLOOKUP(A1227,'Previous week'!$A$3:$F$1765,6,FALSE)</f>
        <v>1</v>
      </c>
      <c r="F1227" s="22">
        <f t="shared" si="57"/>
        <v>0</v>
      </c>
      <c r="G1227" s="88">
        <f>VLOOKUP(A1227,'Current week'!$A$3:$F$1765,6,0)</f>
        <v>1</v>
      </c>
      <c r="H1227" s="101">
        <f t="shared" si="58"/>
        <v>95937.29</v>
      </c>
      <c r="I1227" s="101">
        <f t="shared" si="59"/>
        <v>0</v>
      </c>
      <c r="L1227" s="112"/>
    </row>
    <row r="1228" spans="1:12" x14ac:dyDescent="0.25">
      <c r="A1228" s="33" t="s">
        <v>3629</v>
      </c>
      <c r="B1228" s="33" t="s">
        <v>1937</v>
      </c>
      <c r="C1228" s="34" t="s">
        <v>1938</v>
      </c>
      <c r="D1228" s="78">
        <v>9429.73</v>
      </c>
      <c r="E1228" s="88">
        <f>VLOOKUP(A1228,'Previous week'!$A$3:$F$1765,6,FALSE)</f>
        <v>1</v>
      </c>
      <c r="F1228" s="22">
        <f t="shared" si="57"/>
        <v>0</v>
      </c>
      <c r="G1228" s="88">
        <f>VLOOKUP(A1228,'Current week'!$A$3:$F$1765,6,0)</f>
        <v>1</v>
      </c>
      <c r="H1228" s="104">
        <f t="shared" si="58"/>
        <v>9429.73</v>
      </c>
      <c r="I1228" s="104">
        <f t="shared" si="59"/>
        <v>0</v>
      </c>
      <c r="L1228" s="112"/>
    </row>
    <row r="1229" spans="1:12" x14ac:dyDescent="0.25">
      <c r="A1229" s="23" t="s">
        <v>3630</v>
      </c>
      <c r="B1229" s="23" t="s">
        <v>1939</v>
      </c>
      <c r="C1229" s="24" t="s">
        <v>1940</v>
      </c>
      <c r="D1229" s="71">
        <v>86507.55</v>
      </c>
      <c r="E1229" s="88">
        <f>VLOOKUP(A1229,'Previous week'!$A$3:$F$1765,6,FALSE)</f>
        <v>1</v>
      </c>
      <c r="F1229" s="22">
        <f t="shared" si="57"/>
        <v>0</v>
      </c>
      <c r="G1229" s="88">
        <f>VLOOKUP(A1229,'Current week'!$A$3:$F$1765,6,0)</f>
        <v>1</v>
      </c>
      <c r="H1229" s="102">
        <f t="shared" si="58"/>
        <v>86507.55</v>
      </c>
      <c r="I1229" s="102">
        <f t="shared" si="59"/>
        <v>0</v>
      </c>
      <c r="L1229" s="112"/>
    </row>
    <row r="1230" spans="1:12" x14ac:dyDescent="0.25">
      <c r="A1230" s="54" t="s">
        <v>3487</v>
      </c>
      <c r="B1230" s="54" t="s">
        <v>1706</v>
      </c>
      <c r="C1230" s="55"/>
      <c r="D1230" s="70">
        <v>59926.12</v>
      </c>
      <c r="E1230" s="94">
        <f>'Previous week'!F1261</f>
        <v>1</v>
      </c>
      <c r="F1230" s="57">
        <f t="shared" si="57"/>
        <v>0</v>
      </c>
      <c r="G1230" s="94">
        <f>'Current week'!F1261</f>
        <v>1</v>
      </c>
      <c r="H1230" s="107">
        <f t="shared" si="58"/>
        <v>59926.12</v>
      </c>
      <c r="I1230" s="107">
        <f t="shared" si="59"/>
        <v>0</v>
      </c>
      <c r="L1230" s="112"/>
    </row>
    <row r="1231" spans="1:12" x14ac:dyDescent="0.25">
      <c r="A1231" s="19" t="s">
        <v>3631</v>
      </c>
      <c r="B1231" s="19" t="s">
        <v>1941</v>
      </c>
      <c r="C1231" s="20" t="s">
        <v>1942</v>
      </c>
      <c r="D1231" s="77">
        <v>59926.12</v>
      </c>
      <c r="E1231" s="88">
        <f>VLOOKUP(A1231,'Previous week'!$A$3:$F$1765,6,FALSE)</f>
        <v>1</v>
      </c>
      <c r="F1231" s="22">
        <f t="shared" si="57"/>
        <v>0</v>
      </c>
      <c r="G1231" s="88">
        <f>VLOOKUP(A1231,'Current week'!$A$3:$F$1765,6,0)</f>
        <v>1</v>
      </c>
      <c r="H1231" s="101">
        <f t="shared" si="58"/>
        <v>59926.12</v>
      </c>
      <c r="I1231" s="101">
        <f t="shared" si="59"/>
        <v>0</v>
      </c>
      <c r="L1231" s="112"/>
    </row>
    <row r="1232" spans="1:12" x14ac:dyDescent="0.25">
      <c r="A1232" s="33" t="s">
        <v>3489</v>
      </c>
      <c r="B1232" s="33" t="s">
        <v>1709</v>
      </c>
      <c r="C1232" s="34"/>
      <c r="D1232" s="78">
        <v>57004.160000000003</v>
      </c>
      <c r="E1232" s="88">
        <f>VLOOKUP(A1232,'Previous week'!$A$3:$F$1765,6,FALSE)</f>
        <v>1</v>
      </c>
      <c r="F1232" s="22">
        <f t="shared" si="57"/>
        <v>0</v>
      </c>
      <c r="G1232" s="88">
        <f>VLOOKUP(A1232,'Current week'!$A$3:$F$1765,6,0)</f>
        <v>1</v>
      </c>
      <c r="H1232" s="104">
        <f t="shared" si="58"/>
        <v>57004.160000000003</v>
      </c>
      <c r="I1232" s="104">
        <f t="shared" si="59"/>
        <v>0</v>
      </c>
      <c r="L1232" s="112"/>
    </row>
    <row r="1233" spans="1:12" x14ac:dyDescent="0.25">
      <c r="A1233" s="33" t="s">
        <v>3632</v>
      </c>
      <c r="B1233" s="33" t="s">
        <v>1943</v>
      </c>
      <c r="C1233" s="34" t="s">
        <v>1944</v>
      </c>
      <c r="D1233" s="78">
        <v>57004.160000000003</v>
      </c>
      <c r="E1233" s="88">
        <f>VLOOKUP(A1233,'Previous week'!$A$3:$F$1765,6,FALSE)</f>
        <v>0.8</v>
      </c>
      <c r="F1233" s="22">
        <f t="shared" si="57"/>
        <v>0.19999999999999996</v>
      </c>
      <c r="G1233" s="88">
        <f>VLOOKUP(A1233,'Current week'!$A$3:$F$1765,6,0)</f>
        <v>1</v>
      </c>
      <c r="H1233" s="104">
        <f t="shared" si="58"/>
        <v>57004.160000000003</v>
      </c>
      <c r="I1233" s="104">
        <f t="shared" si="59"/>
        <v>11400.831999999999</v>
      </c>
      <c r="L1233" s="112"/>
    </row>
    <row r="1234" spans="1:12" x14ac:dyDescent="0.25">
      <c r="A1234" s="23" t="s">
        <v>2781</v>
      </c>
      <c r="B1234" s="23" t="s">
        <v>1712</v>
      </c>
      <c r="C1234" s="24"/>
      <c r="D1234" s="71">
        <v>16149.78</v>
      </c>
      <c r="E1234" s="88">
        <f>VLOOKUP(A1234,'Previous week'!$A$3:$F$1765,6,FALSE)</f>
        <v>0</v>
      </c>
      <c r="F1234" s="22">
        <f t="shared" si="57"/>
        <v>0</v>
      </c>
      <c r="G1234" s="88">
        <f>VLOOKUP(A1234,'Current week'!$A$3:$F$1765,6,0)</f>
        <v>0</v>
      </c>
      <c r="H1234" s="102">
        <f t="shared" si="58"/>
        <v>0</v>
      </c>
      <c r="I1234" s="102">
        <f t="shared" si="59"/>
        <v>0</v>
      </c>
      <c r="L1234" s="112"/>
    </row>
    <row r="1235" spans="1:12" x14ac:dyDescent="0.25">
      <c r="A1235" s="54" t="s">
        <v>3633</v>
      </c>
      <c r="B1235" s="54" t="s">
        <v>1945</v>
      </c>
      <c r="C1235" s="55" t="s">
        <v>1946</v>
      </c>
      <c r="D1235" s="70">
        <v>16149.78</v>
      </c>
      <c r="E1235" s="94">
        <f>'Previous week'!F1266</f>
        <v>1</v>
      </c>
      <c r="F1235" s="57">
        <f t="shared" si="57"/>
        <v>0</v>
      </c>
      <c r="G1235" s="94">
        <f>'Current week'!F1266</f>
        <v>1</v>
      </c>
      <c r="H1235" s="107">
        <f t="shared" si="58"/>
        <v>16149.78</v>
      </c>
      <c r="I1235" s="107">
        <f t="shared" si="59"/>
        <v>0</v>
      </c>
      <c r="L1235" s="112"/>
    </row>
    <row r="1236" spans="1:12" x14ac:dyDescent="0.25">
      <c r="A1236" s="19" t="s">
        <v>3492</v>
      </c>
      <c r="B1236" s="19" t="s">
        <v>1715</v>
      </c>
      <c r="C1236" s="20"/>
      <c r="D1236" s="77">
        <v>25896.07</v>
      </c>
      <c r="E1236" s="88">
        <f>VLOOKUP(A1236,'Previous week'!$A$3:$F$1765,6,FALSE)</f>
        <v>1</v>
      </c>
      <c r="F1236" s="22">
        <f t="shared" si="57"/>
        <v>0</v>
      </c>
      <c r="G1236" s="88">
        <f>VLOOKUP(A1236,'Current week'!$A$3:$F$1765,6,0)</f>
        <v>1</v>
      </c>
      <c r="H1236" s="101">
        <f t="shared" si="58"/>
        <v>25896.07</v>
      </c>
      <c r="I1236" s="101">
        <f t="shared" si="59"/>
        <v>0</v>
      </c>
      <c r="L1236" s="112"/>
    </row>
    <row r="1237" spans="1:12" x14ac:dyDescent="0.25">
      <c r="A1237" s="33" t="s">
        <v>3634</v>
      </c>
      <c r="B1237" s="33" t="s">
        <v>1947</v>
      </c>
      <c r="C1237" s="34" t="s">
        <v>1948</v>
      </c>
      <c r="D1237" s="78">
        <v>25896.07</v>
      </c>
      <c r="E1237" s="88">
        <f>VLOOKUP(A1237,'Previous week'!$A$3:$F$1765,6,FALSE)</f>
        <v>0</v>
      </c>
      <c r="F1237" s="22">
        <f t="shared" si="57"/>
        <v>0.3</v>
      </c>
      <c r="G1237" s="88">
        <f>VLOOKUP(A1237,'Current week'!$A$3:$F$1765,6,0)</f>
        <v>0.3</v>
      </c>
      <c r="H1237" s="104">
        <f t="shared" si="58"/>
        <v>7768.8209999999999</v>
      </c>
      <c r="I1237" s="104">
        <f t="shared" si="59"/>
        <v>7768.8209999999999</v>
      </c>
      <c r="L1237" s="112"/>
    </row>
    <row r="1238" spans="1:12" x14ac:dyDescent="0.25">
      <c r="A1238" s="54" t="s">
        <v>3496</v>
      </c>
      <c r="B1238" s="54" t="s">
        <v>1721</v>
      </c>
      <c r="C1238" s="55"/>
      <c r="D1238" s="70">
        <v>131305.16</v>
      </c>
      <c r="E1238" s="94">
        <f>'Previous week'!F1271</f>
        <v>1</v>
      </c>
      <c r="F1238" s="57">
        <f t="shared" si="57"/>
        <v>0</v>
      </c>
      <c r="G1238" s="94">
        <f>'Current week'!F1271</f>
        <v>1</v>
      </c>
      <c r="H1238" s="107">
        <f t="shared" si="58"/>
        <v>131305.16</v>
      </c>
      <c r="I1238" s="107">
        <f t="shared" si="59"/>
        <v>0</v>
      </c>
      <c r="L1238" s="112"/>
    </row>
    <row r="1239" spans="1:12" x14ac:dyDescent="0.25">
      <c r="A1239" s="19" t="s">
        <v>3497</v>
      </c>
      <c r="B1239" s="19" t="s">
        <v>1722</v>
      </c>
      <c r="C1239" s="20"/>
      <c r="D1239" s="77">
        <v>26247.16</v>
      </c>
      <c r="E1239" s="88">
        <f>VLOOKUP(A1239,'Previous week'!$A$3:$F$1765,6,FALSE)</f>
        <v>1</v>
      </c>
      <c r="F1239" s="22">
        <f t="shared" si="57"/>
        <v>0</v>
      </c>
      <c r="G1239" s="88">
        <f>VLOOKUP(A1239,'Current week'!$A$3:$F$1765,6,0)</f>
        <v>1</v>
      </c>
      <c r="H1239" s="101">
        <f t="shared" si="58"/>
        <v>26247.16</v>
      </c>
      <c r="I1239" s="101">
        <f t="shared" si="59"/>
        <v>0</v>
      </c>
      <c r="L1239" s="112"/>
    </row>
    <row r="1240" spans="1:12" x14ac:dyDescent="0.25">
      <c r="A1240" s="33" t="s">
        <v>3635</v>
      </c>
      <c r="B1240" s="33" t="s">
        <v>1949</v>
      </c>
      <c r="C1240" s="34" t="s">
        <v>1950</v>
      </c>
      <c r="D1240" s="78">
        <v>2624.71</v>
      </c>
      <c r="E1240" s="88">
        <f>VLOOKUP(A1240,'Previous week'!$A$3:$F$1765,6,FALSE)</f>
        <v>1</v>
      </c>
      <c r="F1240" s="22">
        <f t="shared" si="57"/>
        <v>0</v>
      </c>
      <c r="G1240" s="88">
        <f>VLOOKUP(A1240,'Current week'!$A$3:$F$1765,6,0)</f>
        <v>1</v>
      </c>
      <c r="H1240" s="104">
        <f t="shared" si="58"/>
        <v>2624.71</v>
      </c>
      <c r="I1240" s="104">
        <f t="shared" si="59"/>
        <v>0</v>
      </c>
      <c r="L1240" s="112"/>
    </row>
    <row r="1241" spans="1:12" x14ac:dyDescent="0.25">
      <c r="A1241" s="33" t="s">
        <v>3636</v>
      </c>
      <c r="B1241" s="33" t="s">
        <v>1951</v>
      </c>
      <c r="C1241" s="34" t="s">
        <v>1952</v>
      </c>
      <c r="D1241" s="78">
        <v>1312.36</v>
      </c>
      <c r="E1241" s="88">
        <f>VLOOKUP(A1241,'Previous week'!$A$3:$F$1765,6,FALSE)</f>
        <v>1</v>
      </c>
      <c r="F1241" s="22">
        <f t="shared" si="57"/>
        <v>0</v>
      </c>
      <c r="G1241" s="88">
        <f>VLOOKUP(A1241,'Current week'!$A$3:$F$1765,6,0)</f>
        <v>1</v>
      </c>
      <c r="H1241" s="104">
        <f t="shared" si="58"/>
        <v>1312.36</v>
      </c>
      <c r="I1241" s="104">
        <f t="shared" si="59"/>
        <v>0</v>
      </c>
      <c r="L1241" s="112"/>
    </row>
    <row r="1242" spans="1:12" x14ac:dyDescent="0.25">
      <c r="A1242" s="33" t="s">
        <v>3637</v>
      </c>
      <c r="B1242" s="33" t="s">
        <v>1953</v>
      </c>
      <c r="C1242" s="34" t="s">
        <v>1954</v>
      </c>
      <c r="D1242" s="78">
        <v>18373.009999999998</v>
      </c>
      <c r="E1242" s="88">
        <f>VLOOKUP(A1242,'Previous week'!$A$3:$F$1765,6,FALSE)</f>
        <v>1</v>
      </c>
      <c r="F1242" s="22">
        <f t="shared" si="57"/>
        <v>0</v>
      </c>
      <c r="G1242" s="88">
        <f>VLOOKUP(A1242,'Current week'!$A$3:$F$1765,6,0)</f>
        <v>1</v>
      </c>
      <c r="H1242" s="104">
        <f t="shared" si="58"/>
        <v>18373.009999999998</v>
      </c>
      <c r="I1242" s="104">
        <f t="shared" si="59"/>
        <v>0</v>
      </c>
      <c r="L1242" s="112"/>
    </row>
    <row r="1243" spans="1:12" x14ac:dyDescent="0.25">
      <c r="A1243" s="33" t="s">
        <v>3638</v>
      </c>
      <c r="B1243" s="33" t="s">
        <v>1955</v>
      </c>
      <c r="C1243" s="34" t="s">
        <v>1956</v>
      </c>
      <c r="D1243" s="78">
        <v>1312.36</v>
      </c>
      <c r="E1243" s="88">
        <f>VLOOKUP(A1243,'Previous week'!$A$3:$F$1765,6,FALSE)</f>
        <v>1</v>
      </c>
      <c r="F1243" s="22">
        <f t="shared" si="57"/>
        <v>0</v>
      </c>
      <c r="G1243" s="88">
        <f>VLOOKUP(A1243,'Current week'!$A$3:$F$1765,6,0)</f>
        <v>1</v>
      </c>
      <c r="H1243" s="104">
        <f t="shared" si="58"/>
        <v>1312.36</v>
      </c>
      <c r="I1243" s="104">
        <f t="shared" si="59"/>
        <v>0</v>
      </c>
      <c r="L1243" s="112"/>
    </row>
    <row r="1244" spans="1:12" x14ac:dyDescent="0.25">
      <c r="A1244" s="54" t="s">
        <v>3639</v>
      </c>
      <c r="B1244" s="54" t="s">
        <v>1957</v>
      </c>
      <c r="C1244" s="55" t="s">
        <v>1958</v>
      </c>
      <c r="D1244" s="70">
        <v>2624.71</v>
      </c>
      <c r="E1244" s="94">
        <f>'Previous week'!F1278</f>
        <v>1</v>
      </c>
      <c r="F1244" s="57">
        <f t="shared" si="57"/>
        <v>0</v>
      </c>
      <c r="G1244" s="94">
        <f>'Current week'!F1278</f>
        <v>1</v>
      </c>
      <c r="H1244" s="107">
        <f t="shared" si="58"/>
        <v>2624.71</v>
      </c>
      <c r="I1244" s="107">
        <f t="shared" si="59"/>
        <v>0</v>
      </c>
      <c r="L1244" s="112"/>
    </row>
    <row r="1245" spans="1:12" x14ac:dyDescent="0.25">
      <c r="A1245" s="36" t="s">
        <v>3503</v>
      </c>
      <c r="B1245" s="36" t="s">
        <v>1733</v>
      </c>
      <c r="C1245" s="37"/>
      <c r="D1245" s="79">
        <v>1307.93</v>
      </c>
      <c r="E1245" s="88">
        <f>VLOOKUP(A1245,'Previous week'!$A$3:$F$1765,6,FALSE)</f>
        <v>1</v>
      </c>
      <c r="F1245" s="22">
        <f t="shared" si="57"/>
        <v>0</v>
      </c>
      <c r="G1245" s="88">
        <f>VLOOKUP(A1245,'Current week'!$A$3:$F$1765,6,0)</f>
        <v>1</v>
      </c>
      <c r="H1245" s="105">
        <f t="shared" si="58"/>
        <v>1307.93</v>
      </c>
      <c r="I1245" s="105">
        <f t="shared" si="59"/>
        <v>0</v>
      </c>
      <c r="L1245" s="112"/>
    </row>
    <row r="1246" spans="1:12" x14ac:dyDescent="0.25">
      <c r="A1246" s="50" t="s">
        <v>3640</v>
      </c>
      <c r="B1246" s="50" t="s">
        <v>1959</v>
      </c>
      <c r="C1246" s="51" t="s">
        <v>1960</v>
      </c>
      <c r="D1246" s="68">
        <v>1307.93</v>
      </c>
      <c r="E1246" s="93"/>
      <c r="F1246" s="69">
        <f t="shared" ref="F1246:F1296" si="60">G1246-E1246</f>
        <v>0</v>
      </c>
      <c r="G1246" s="93"/>
      <c r="H1246" s="106"/>
      <c r="I1246" s="106"/>
      <c r="L1246" s="112"/>
    </row>
    <row r="1247" spans="1:12" x14ac:dyDescent="0.25">
      <c r="A1247" s="54" t="s">
        <v>2800</v>
      </c>
      <c r="B1247" s="54" t="s">
        <v>486</v>
      </c>
      <c r="C1247" s="55"/>
      <c r="D1247" s="70">
        <v>74735.520000000004</v>
      </c>
      <c r="E1247" s="94">
        <f>'Previous week'!F1285</f>
        <v>1</v>
      </c>
      <c r="F1247" s="81">
        <f t="shared" si="60"/>
        <v>0</v>
      </c>
      <c r="G1247" s="94">
        <f>'Current week'!F1285</f>
        <v>1</v>
      </c>
      <c r="H1247" s="107">
        <f t="shared" ref="H1247:H1296" si="61">G1247*D1247</f>
        <v>74735.520000000004</v>
      </c>
      <c r="I1247" s="107">
        <f t="shared" ref="I1247:I1296" si="62">F1247*D1247</f>
        <v>0</v>
      </c>
      <c r="L1247" s="112"/>
    </row>
    <row r="1248" spans="1:12" x14ac:dyDescent="0.25">
      <c r="A1248" s="19" t="s">
        <v>3641</v>
      </c>
      <c r="B1248" s="19" t="s">
        <v>1961</v>
      </c>
      <c r="C1248" s="20" t="s">
        <v>1962</v>
      </c>
      <c r="D1248" s="77">
        <v>74735.520000000004</v>
      </c>
      <c r="E1248" s="88">
        <f>VLOOKUP(A1248,'Previous week'!$A$3:$F$1765,6,FALSE)</f>
        <v>1</v>
      </c>
      <c r="F1248" s="22">
        <f t="shared" si="60"/>
        <v>0</v>
      </c>
      <c r="G1248" s="88">
        <f>VLOOKUP(A1248,'Current week'!$A$3:$F$1765,6,0)</f>
        <v>1</v>
      </c>
      <c r="H1248" s="101">
        <f t="shared" si="61"/>
        <v>74735.520000000004</v>
      </c>
      <c r="I1248" s="101">
        <f t="shared" si="62"/>
        <v>0</v>
      </c>
      <c r="L1248" s="112"/>
    </row>
    <row r="1249" spans="1:12" x14ac:dyDescent="0.25">
      <c r="A1249" s="33" t="s">
        <v>3506</v>
      </c>
      <c r="B1249" s="33" t="s">
        <v>1738</v>
      </c>
      <c r="C1249" s="34"/>
      <c r="D1249" s="78">
        <v>3784.51</v>
      </c>
      <c r="E1249" s="88">
        <f>VLOOKUP(A1249,'Previous week'!$A$3:$F$1765,6,FALSE)</f>
        <v>1</v>
      </c>
      <c r="F1249" s="22">
        <f t="shared" si="60"/>
        <v>0</v>
      </c>
      <c r="G1249" s="88">
        <f>VLOOKUP(A1249,'Current week'!$A$3:$F$1765,6,0)</f>
        <v>1</v>
      </c>
      <c r="H1249" s="104">
        <f t="shared" si="61"/>
        <v>3784.51</v>
      </c>
      <c r="I1249" s="104">
        <f t="shared" si="62"/>
        <v>0</v>
      </c>
      <c r="L1249" s="112"/>
    </row>
    <row r="1250" spans="1:12" x14ac:dyDescent="0.25">
      <c r="A1250" s="33" t="s">
        <v>3642</v>
      </c>
      <c r="B1250" s="33" t="s">
        <v>1963</v>
      </c>
      <c r="C1250" s="34" t="s">
        <v>1964</v>
      </c>
      <c r="D1250" s="78">
        <v>3784.51</v>
      </c>
      <c r="E1250" s="88">
        <f>VLOOKUP(A1250,'Previous week'!$A$3:$F$1765,6,FALSE)</f>
        <v>1</v>
      </c>
      <c r="F1250" s="22">
        <f t="shared" si="60"/>
        <v>0</v>
      </c>
      <c r="G1250" s="88">
        <f>VLOOKUP(A1250,'Current week'!$A$3:$F$1765,6,0)</f>
        <v>1</v>
      </c>
      <c r="H1250" s="104">
        <f t="shared" si="61"/>
        <v>3784.51</v>
      </c>
      <c r="I1250" s="104">
        <f t="shared" si="62"/>
        <v>0</v>
      </c>
      <c r="L1250" s="112"/>
    </row>
    <row r="1251" spans="1:12" x14ac:dyDescent="0.25">
      <c r="A1251" s="23" t="s">
        <v>3509</v>
      </c>
      <c r="B1251" s="23" t="s">
        <v>1744</v>
      </c>
      <c r="C1251" s="24"/>
      <c r="D1251" s="71">
        <v>25230.06</v>
      </c>
      <c r="E1251" s="88">
        <f>VLOOKUP(A1251,'Previous week'!$A$3:$F$1765,6,FALSE)</f>
        <v>1</v>
      </c>
      <c r="F1251" s="22">
        <f t="shared" si="60"/>
        <v>0</v>
      </c>
      <c r="G1251" s="88">
        <f>VLOOKUP(A1251,'Current week'!$A$3:$F$1765,6,0)</f>
        <v>1</v>
      </c>
      <c r="H1251" s="102">
        <f t="shared" si="61"/>
        <v>25230.06</v>
      </c>
      <c r="I1251" s="102">
        <f t="shared" si="62"/>
        <v>0</v>
      </c>
      <c r="L1251" s="112"/>
    </row>
    <row r="1252" spans="1:12" x14ac:dyDescent="0.25">
      <c r="A1252" s="54" t="s">
        <v>3643</v>
      </c>
      <c r="B1252" s="54" t="s">
        <v>1965</v>
      </c>
      <c r="C1252" s="55" t="s">
        <v>1966</v>
      </c>
      <c r="D1252" s="70">
        <v>25230.06</v>
      </c>
      <c r="E1252" s="94">
        <f>'Previous week'!F1290</f>
        <v>1</v>
      </c>
      <c r="F1252" s="57">
        <f t="shared" si="60"/>
        <v>0</v>
      </c>
      <c r="G1252" s="94">
        <f>'Current week'!F1290</f>
        <v>1</v>
      </c>
      <c r="H1252" s="107">
        <f t="shared" si="61"/>
        <v>25230.06</v>
      </c>
      <c r="I1252" s="107">
        <f t="shared" si="62"/>
        <v>0</v>
      </c>
      <c r="L1252" s="112"/>
    </row>
    <row r="1253" spans="1:12" x14ac:dyDescent="0.25">
      <c r="A1253" s="19" t="s">
        <v>3511</v>
      </c>
      <c r="B1253" s="19" t="s">
        <v>221</v>
      </c>
      <c r="C1253" s="20"/>
      <c r="D1253" s="77">
        <v>134037.31</v>
      </c>
      <c r="E1253" s="88">
        <f>VLOOKUP(A1253,'Previous week'!$A$3:$F$1765,6,FALSE)</f>
        <v>1</v>
      </c>
      <c r="F1253" s="22">
        <f t="shared" si="60"/>
        <v>0</v>
      </c>
      <c r="G1253" s="88">
        <f>VLOOKUP(A1253,'Current week'!$A$3:$F$1765,6,0)</f>
        <v>1</v>
      </c>
      <c r="H1253" s="101">
        <f t="shared" si="61"/>
        <v>134037.31</v>
      </c>
      <c r="I1253" s="101">
        <f t="shared" si="62"/>
        <v>0</v>
      </c>
      <c r="L1253" s="112"/>
    </row>
    <row r="1254" spans="1:12" x14ac:dyDescent="0.25">
      <c r="A1254" s="33" t="s">
        <v>3497</v>
      </c>
      <c r="B1254" s="33" t="s">
        <v>1722</v>
      </c>
      <c r="C1254" s="34"/>
      <c r="D1254" s="78">
        <v>52628.98</v>
      </c>
      <c r="E1254" s="88">
        <f>VLOOKUP(A1254,'Previous week'!$A$3:$F$1765,6,FALSE)</f>
        <v>1</v>
      </c>
      <c r="F1254" s="22">
        <f t="shared" si="60"/>
        <v>0</v>
      </c>
      <c r="G1254" s="88">
        <f>VLOOKUP(A1254,'Current week'!$A$3:$F$1765,6,0)</f>
        <v>1</v>
      </c>
      <c r="H1254" s="104">
        <f t="shared" si="61"/>
        <v>52628.98</v>
      </c>
      <c r="I1254" s="104">
        <f t="shared" si="62"/>
        <v>0</v>
      </c>
      <c r="L1254" s="112"/>
    </row>
    <row r="1255" spans="1:12" x14ac:dyDescent="0.25">
      <c r="A1255" s="23" t="s">
        <v>3644</v>
      </c>
      <c r="B1255" s="23" t="s">
        <v>1967</v>
      </c>
      <c r="C1255" s="24" t="s">
        <v>1968</v>
      </c>
      <c r="D1255" s="71">
        <v>5262.9</v>
      </c>
      <c r="E1255" s="88">
        <f>VLOOKUP(A1255,'Previous week'!$A$3:$F$1765,6,FALSE)</f>
        <v>1</v>
      </c>
      <c r="F1255" s="22">
        <f t="shared" si="60"/>
        <v>0</v>
      </c>
      <c r="G1255" s="88">
        <f>VLOOKUP(A1255,'Current week'!$A$3:$F$1765,6,0)</f>
        <v>1</v>
      </c>
      <c r="H1255" s="102">
        <f t="shared" si="61"/>
        <v>5262.9</v>
      </c>
      <c r="I1255" s="102">
        <f t="shared" si="62"/>
        <v>0</v>
      </c>
      <c r="L1255" s="112"/>
    </row>
    <row r="1256" spans="1:12" x14ac:dyDescent="0.25">
      <c r="A1256" s="54" t="s">
        <v>3645</v>
      </c>
      <c r="B1256" s="54" t="s">
        <v>1969</v>
      </c>
      <c r="C1256" s="55" t="s">
        <v>1952</v>
      </c>
      <c r="D1256" s="70">
        <v>2631.45</v>
      </c>
      <c r="E1256" s="94">
        <f>'Previous week'!F1294</f>
        <v>1</v>
      </c>
      <c r="F1256" s="57">
        <f t="shared" si="60"/>
        <v>0</v>
      </c>
      <c r="G1256" s="94">
        <f>'Current week'!F1294</f>
        <v>1</v>
      </c>
      <c r="H1256" s="107">
        <f t="shared" si="61"/>
        <v>2631.45</v>
      </c>
      <c r="I1256" s="107">
        <f t="shared" si="62"/>
        <v>0</v>
      </c>
      <c r="L1256" s="112"/>
    </row>
    <row r="1257" spans="1:12" x14ac:dyDescent="0.25">
      <c r="A1257" s="19" t="s">
        <v>3646</v>
      </c>
      <c r="B1257" s="19" t="s">
        <v>1970</v>
      </c>
      <c r="C1257" s="20" t="s">
        <v>1971</v>
      </c>
      <c r="D1257" s="77">
        <v>26314.49</v>
      </c>
      <c r="E1257" s="88">
        <f>VLOOKUP(A1257,'Previous week'!$A$3:$F$1765,6,FALSE)</f>
        <v>1</v>
      </c>
      <c r="F1257" s="22">
        <f t="shared" si="60"/>
        <v>0</v>
      </c>
      <c r="G1257" s="88">
        <f>VLOOKUP(A1257,'Current week'!$A$3:$F$1765,6,0)</f>
        <v>1</v>
      </c>
      <c r="H1257" s="101">
        <f t="shared" si="61"/>
        <v>26314.49</v>
      </c>
      <c r="I1257" s="101">
        <f t="shared" si="62"/>
        <v>0</v>
      </c>
      <c r="L1257" s="112"/>
    </row>
    <row r="1258" spans="1:12" x14ac:dyDescent="0.25">
      <c r="A1258" s="33" t="s">
        <v>3647</v>
      </c>
      <c r="B1258" s="33" t="s">
        <v>1972</v>
      </c>
      <c r="C1258" s="34" t="s">
        <v>1973</v>
      </c>
      <c r="D1258" s="78">
        <v>10525.8</v>
      </c>
      <c r="E1258" s="88">
        <f>VLOOKUP(A1258,'Previous week'!$A$3:$F$1765,6,FALSE)</f>
        <v>1</v>
      </c>
      <c r="F1258" s="22">
        <f t="shared" si="60"/>
        <v>0</v>
      </c>
      <c r="G1258" s="88">
        <f>VLOOKUP(A1258,'Current week'!$A$3:$F$1765,6,0)</f>
        <v>1</v>
      </c>
      <c r="H1258" s="104">
        <f t="shared" si="61"/>
        <v>10525.8</v>
      </c>
      <c r="I1258" s="104">
        <f t="shared" si="62"/>
        <v>0</v>
      </c>
      <c r="L1258" s="112"/>
    </row>
    <row r="1259" spans="1:12" x14ac:dyDescent="0.25">
      <c r="A1259" s="33" t="s">
        <v>3648</v>
      </c>
      <c r="B1259" s="33" t="s">
        <v>1974</v>
      </c>
      <c r="C1259" s="34" t="s">
        <v>1956</v>
      </c>
      <c r="D1259" s="78">
        <v>2631.45</v>
      </c>
      <c r="E1259" s="88">
        <f>VLOOKUP(A1259,'Previous week'!$A$3:$F$1765,6,FALSE)</f>
        <v>1</v>
      </c>
      <c r="F1259" s="22">
        <f t="shared" si="60"/>
        <v>0</v>
      </c>
      <c r="G1259" s="88">
        <f>VLOOKUP(A1259,'Current week'!$A$3:$F$1765,6,0)</f>
        <v>1</v>
      </c>
      <c r="H1259" s="104">
        <f t="shared" si="61"/>
        <v>2631.45</v>
      </c>
      <c r="I1259" s="104">
        <f t="shared" si="62"/>
        <v>0</v>
      </c>
      <c r="L1259" s="112"/>
    </row>
    <row r="1260" spans="1:12" x14ac:dyDescent="0.25">
      <c r="A1260" s="23" t="s">
        <v>3649</v>
      </c>
      <c r="B1260" s="23" t="s">
        <v>1975</v>
      </c>
      <c r="C1260" s="24" t="s">
        <v>1958</v>
      </c>
      <c r="D1260" s="71">
        <v>5262.9</v>
      </c>
      <c r="E1260" s="88">
        <f>VLOOKUP(A1260,'Previous week'!$A$3:$F$1765,6,FALSE)</f>
        <v>1</v>
      </c>
      <c r="F1260" s="22">
        <f t="shared" si="60"/>
        <v>0</v>
      </c>
      <c r="G1260" s="88">
        <f>VLOOKUP(A1260,'Current week'!$A$3:$F$1765,6,0)</f>
        <v>1</v>
      </c>
      <c r="H1260" s="102">
        <f t="shared" si="61"/>
        <v>5262.9</v>
      </c>
      <c r="I1260" s="102">
        <f t="shared" si="62"/>
        <v>0</v>
      </c>
      <c r="L1260" s="112"/>
    </row>
    <row r="1261" spans="1:12" x14ac:dyDescent="0.25">
      <c r="A1261" s="54" t="s">
        <v>3503</v>
      </c>
      <c r="B1261" s="54" t="s">
        <v>1733</v>
      </c>
      <c r="C1261" s="55"/>
      <c r="D1261" s="70">
        <v>304.22000000000003</v>
      </c>
      <c r="E1261" s="94">
        <f>'Previous week'!F1299</f>
        <v>1</v>
      </c>
      <c r="F1261" s="57">
        <f t="shared" si="60"/>
        <v>0</v>
      </c>
      <c r="G1261" s="94">
        <f>'Current week'!F1299</f>
        <v>1</v>
      </c>
      <c r="H1261" s="107">
        <f t="shared" si="61"/>
        <v>304.22000000000003</v>
      </c>
      <c r="I1261" s="107">
        <f t="shared" si="62"/>
        <v>0</v>
      </c>
      <c r="L1261" s="112"/>
    </row>
    <row r="1262" spans="1:12" x14ac:dyDescent="0.25">
      <c r="A1262" s="19" t="s">
        <v>3650</v>
      </c>
      <c r="B1262" s="19" t="s">
        <v>1976</v>
      </c>
      <c r="C1262" s="20" t="s">
        <v>1960</v>
      </c>
      <c r="D1262" s="77">
        <v>304.22000000000003</v>
      </c>
      <c r="E1262" s="88">
        <f>VLOOKUP(A1262,'Previous week'!$A$3:$F$1765,6,FALSE)</f>
        <v>1</v>
      </c>
      <c r="F1262" s="22">
        <f t="shared" si="60"/>
        <v>0</v>
      </c>
      <c r="G1262" s="88">
        <f>VLOOKUP(A1262,'Current week'!$A$3:$F$1765,6,0)</f>
        <v>1</v>
      </c>
      <c r="H1262" s="101">
        <f t="shared" si="61"/>
        <v>304.22000000000003</v>
      </c>
      <c r="I1262" s="101">
        <f t="shared" si="62"/>
        <v>0</v>
      </c>
      <c r="L1262" s="112"/>
    </row>
    <row r="1263" spans="1:12" x14ac:dyDescent="0.25">
      <c r="A1263" s="33" t="s">
        <v>2800</v>
      </c>
      <c r="B1263" s="33" t="s">
        <v>486</v>
      </c>
      <c r="C1263" s="34"/>
      <c r="D1263" s="78">
        <v>81104.12</v>
      </c>
      <c r="E1263" s="88">
        <f>VLOOKUP(A1263,'Previous week'!$A$3:$F$1765,6,FALSE)</f>
        <v>0</v>
      </c>
      <c r="F1263" s="22">
        <f t="shared" si="60"/>
        <v>0</v>
      </c>
      <c r="G1263" s="88">
        <f>VLOOKUP(A1263,'Current week'!$A$3:$F$1765,6,0)</f>
        <v>0</v>
      </c>
      <c r="H1263" s="104">
        <f t="shared" si="61"/>
        <v>0</v>
      </c>
      <c r="I1263" s="104">
        <f t="shared" si="62"/>
        <v>0</v>
      </c>
      <c r="L1263" s="112"/>
    </row>
    <row r="1264" spans="1:12" x14ac:dyDescent="0.25">
      <c r="A1264" s="54" t="s">
        <v>3651</v>
      </c>
      <c r="B1264" s="54" t="s">
        <v>1977</v>
      </c>
      <c r="C1264" s="55" t="s">
        <v>1978</v>
      </c>
      <c r="D1264" s="70">
        <v>81104.12</v>
      </c>
      <c r="E1264" s="94">
        <f>'Previous week'!F1304</f>
        <v>1</v>
      </c>
      <c r="F1264" s="57">
        <f t="shared" si="60"/>
        <v>0</v>
      </c>
      <c r="G1264" s="94">
        <f>'Current week'!F1304</f>
        <v>1</v>
      </c>
      <c r="H1264" s="107">
        <f t="shared" si="61"/>
        <v>81104.12</v>
      </c>
      <c r="I1264" s="107">
        <f t="shared" si="62"/>
        <v>0</v>
      </c>
      <c r="L1264" s="112"/>
    </row>
    <row r="1265" spans="1:12" x14ac:dyDescent="0.25">
      <c r="A1265" s="19" t="s">
        <v>2803</v>
      </c>
      <c r="B1265" s="19" t="s">
        <v>491</v>
      </c>
      <c r="C1265" s="20"/>
      <c r="D1265" s="77">
        <v>315401.48</v>
      </c>
      <c r="E1265" s="88">
        <f>VLOOKUP(A1265,'Previous week'!$A$3:$F$1765,6,FALSE)</f>
        <v>0</v>
      </c>
      <c r="F1265" s="22">
        <f t="shared" si="60"/>
        <v>0</v>
      </c>
      <c r="G1265" s="88">
        <f>VLOOKUP(A1265,'Current week'!$A$3:$F$1765,6,0)</f>
        <v>0</v>
      </c>
      <c r="H1265" s="101">
        <f t="shared" si="61"/>
        <v>0</v>
      </c>
      <c r="I1265" s="101">
        <f t="shared" si="62"/>
        <v>0</v>
      </c>
      <c r="L1265" s="112"/>
    </row>
    <row r="1266" spans="1:12" x14ac:dyDescent="0.25">
      <c r="A1266" s="33" t="s">
        <v>3497</v>
      </c>
      <c r="B1266" s="33" t="s">
        <v>1722</v>
      </c>
      <c r="C1266" s="34"/>
      <c r="D1266" s="78">
        <v>199896.71</v>
      </c>
      <c r="E1266" s="88">
        <f>VLOOKUP(A1266,'Previous week'!$A$3:$F$1765,6,FALSE)</f>
        <v>1</v>
      </c>
      <c r="F1266" s="22">
        <f t="shared" si="60"/>
        <v>0</v>
      </c>
      <c r="G1266" s="88">
        <f>VLOOKUP(A1266,'Current week'!$A$3:$F$1765,6,0)</f>
        <v>1</v>
      </c>
      <c r="H1266" s="104">
        <f t="shared" si="61"/>
        <v>199896.71</v>
      </c>
      <c r="I1266" s="104">
        <f t="shared" si="62"/>
        <v>0</v>
      </c>
      <c r="L1266" s="112"/>
    </row>
    <row r="1267" spans="1:12" x14ac:dyDescent="0.25">
      <c r="A1267" s="33" t="s">
        <v>3652</v>
      </c>
      <c r="B1267" s="33" t="s">
        <v>1979</v>
      </c>
      <c r="C1267" s="34" t="s">
        <v>1950</v>
      </c>
      <c r="D1267" s="78">
        <v>18327.45</v>
      </c>
      <c r="E1267" s="88">
        <f>VLOOKUP(A1267,'Previous week'!$A$3:$F$1765,6,FALSE)</f>
        <v>1</v>
      </c>
      <c r="F1267" s="22">
        <f t="shared" si="60"/>
        <v>0</v>
      </c>
      <c r="G1267" s="88">
        <f>VLOOKUP(A1267,'Current week'!$A$3:$F$1765,6,0)</f>
        <v>1</v>
      </c>
      <c r="H1267" s="104">
        <f t="shared" si="61"/>
        <v>18327.45</v>
      </c>
      <c r="I1267" s="104">
        <f t="shared" si="62"/>
        <v>0</v>
      </c>
      <c r="L1267" s="112"/>
    </row>
    <row r="1268" spans="1:12" x14ac:dyDescent="0.25">
      <c r="A1268" s="33" t="s">
        <v>3653</v>
      </c>
      <c r="B1268" s="33" t="s">
        <v>1980</v>
      </c>
      <c r="C1268" s="34" t="s">
        <v>1952</v>
      </c>
      <c r="D1268" s="78">
        <v>9163.75</v>
      </c>
      <c r="E1268" s="88">
        <f>VLOOKUP(A1268,'Previous week'!$A$3:$F$1765,6,FALSE)</f>
        <v>1</v>
      </c>
      <c r="F1268" s="22">
        <f t="shared" si="60"/>
        <v>0</v>
      </c>
      <c r="G1268" s="88">
        <f>VLOOKUP(A1268,'Current week'!$A$3:$F$1765,6,0)</f>
        <v>1</v>
      </c>
      <c r="H1268" s="104">
        <f t="shared" si="61"/>
        <v>9163.75</v>
      </c>
      <c r="I1268" s="104">
        <f t="shared" si="62"/>
        <v>0</v>
      </c>
      <c r="L1268" s="112"/>
    </row>
    <row r="1269" spans="1:12" x14ac:dyDescent="0.25">
      <c r="A1269" s="33" t="s">
        <v>3654</v>
      </c>
      <c r="B1269" s="33" t="s">
        <v>1981</v>
      </c>
      <c r="C1269" s="34" t="s">
        <v>1982</v>
      </c>
      <c r="D1269" s="78">
        <v>91637.28</v>
      </c>
      <c r="E1269" s="88">
        <f>VLOOKUP(A1269,'Previous week'!$A$3:$F$1765,6,FALSE)</f>
        <v>1</v>
      </c>
      <c r="F1269" s="22">
        <f t="shared" si="60"/>
        <v>0</v>
      </c>
      <c r="G1269" s="88">
        <f>VLOOKUP(A1269,'Current week'!$A$3:$F$1765,6,0)</f>
        <v>1</v>
      </c>
      <c r="H1269" s="104">
        <f t="shared" si="61"/>
        <v>91637.28</v>
      </c>
      <c r="I1269" s="104">
        <f t="shared" si="62"/>
        <v>0</v>
      </c>
      <c r="L1269" s="112"/>
    </row>
    <row r="1270" spans="1:12" x14ac:dyDescent="0.25">
      <c r="A1270" s="54" t="s">
        <v>3655</v>
      </c>
      <c r="B1270" s="54" t="s">
        <v>1983</v>
      </c>
      <c r="C1270" s="55" t="s">
        <v>1984</v>
      </c>
      <c r="D1270" s="70">
        <v>36654.89</v>
      </c>
      <c r="E1270" s="94">
        <f>'Previous week'!F1311</f>
        <v>1</v>
      </c>
      <c r="F1270" s="57">
        <f t="shared" si="60"/>
        <v>0</v>
      </c>
      <c r="G1270" s="94">
        <f>'Current week'!F1311</f>
        <v>1</v>
      </c>
      <c r="H1270" s="107">
        <f t="shared" si="61"/>
        <v>36654.89</v>
      </c>
      <c r="I1270" s="107">
        <f t="shared" si="62"/>
        <v>0</v>
      </c>
      <c r="L1270" s="112"/>
    </row>
    <row r="1271" spans="1:12" x14ac:dyDescent="0.25">
      <c r="A1271" s="36" t="s">
        <v>3656</v>
      </c>
      <c r="B1271" s="36" t="s">
        <v>1985</v>
      </c>
      <c r="C1271" s="37" t="s">
        <v>1986</v>
      </c>
      <c r="D1271" s="79">
        <v>9163.75</v>
      </c>
      <c r="E1271" s="88">
        <f>VLOOKUP(A1271,'Previous week'!$A$3:$F$1765,6,FALSE)</f>
        <v>1</v>
      </c>
      <c r="F1271" s="22">
        <f t="shared" si="60"/>
        <v>0</v>
      </c>
      <c r="G1271" s="88">
        <f>VLOOKUP(A1271,'Current week'!$A$3:$F$1765,6,0)</f>
        <v>1</v>
      </c>
      <c r="H1271" s="105">
        <f t="shared" si="61"/>
        <v>9163.75</v>
      </c>
      <c r="I1271" s="105">
        <f t="shared" si="62"/>
        <v>0</v>
      </c>
      <c r="L1271" s="112"/>
    </row>
    <row r="1272" spans="1:12" x14ac:dyDescent="0.25">
      <c r="A1272" s="54" t="s">
        <v>3657</v>
      </c>
      <c r="B1272" s="54" t="s">
        <v>1987</v>
      </c>
      <c r="C1272" s="55" t="s">
        <v>1958</v>
      </c>
      <c r="D1272" s="70">
        <v>18327.45</v>
      </c>
      <c r="E1272" s="94">
        <f>'Previous week'!F1318</f>
        <v>1</v>
      </c>
      <c r="F1272" s="81">
        <f t="shared" si="60"/>
        <v>0</v>
      </c>
      <c r="G1272" s="94">
        <f>'Current week'!F1318</f>
        <v>1</v>
      </c>
      <c r="H1272" s="107">
        <f t="shared" si="61"/>
        <v>18327.45</v>
      </c>
      <c r="I1272" s="107">
        <f t="shared" si="62"/>
        <v>0</v>
      </c>
      <c r="L1272" s="112"/>
    </row>
    <row r="1273" spans="1:12" x14ac:dyDescent="0.25">
      <c r="A1273" s="19" t="s">
        <v>3658</v>
      </c>
      <c r="B1273" s="19" t="s">
        <v>1988</v>
      </c>
      <c r="C1273" s="20" t="s">
        <v>1989</v>
      </c>
      <c r="D1273" s="21">
        <v>16622.150000000001</v>
      </c>
      <c r="E1273" s="88">
        <f>VLOOKUP(A1273,'Previous week'!$A$3:$F$1765,6,FALSE)</f>
        <v>1</v>
      </c>
      <c r="F1273" s="22">
        <f t="shared" si="60"/>
        <v>0</v>
      </c>
      <c r="G1273" s="88">
        <f>VLOOKUP(A1273,'Current week'!$A$3:$F$1765,6,0)</f>
        <v>1</v>
      </c>
      <c r="H1273" s="101">
        <f t="shared" si="61"/>
        <v>16622.150000000001</v>
      </c>
      <c r="I1273" s="101">
        <f t="shared" si="62"/>
        <v>0</v>
      </c>
      <c r="L1273" s="112"/>
    </row>
    <row r="1274" spans="1:12" x14ac:dyDescent="0.25">
      <c r="A1274" s="33" t="s">
        <v>3503</v>
      </c>
      <c r="B1274" s="33" t="s">
        <v>1733</v>
      </c>
      <c r="C1274" s="34"/>
      <c r="D1274" s="78">
        <v>9065.8799999999992</v>
      </c>
      <c r="E1274" s="88">
        <f>VLOOKUP(A1274,'Previous week'!$A$3:$F$1765,6,FALSE)</f>
        <v>1</v>
      </c>
      <c r="F1274" s="22">
        <f t="shared" si="60"/>
        <v>0</v>
      </c>
      <c r="G1274" s="88">
        <f>VLOOKUP(A1274,'Current week'!$A$3:$F$1765,6,0)</f>
        <v>1</v>
      </c>
      <c r="H1274" s="104">
        <f t="shared" si="61"/>
        <v>9065.8799999999992</v>
      </c>
      <c r="I1274" s="104">
        <f t="shared" si="62"/>
        <v>0</v>
      </c>
      <c r="L1274" s="112"/>
    </row>
    <row r="1275" spans="1:12" x14ac:dyDescent="0.25">
      <c r="A1275" s="33" t="s">
        <v>3659</v>
      </c>
      <c r="B1275" s="33" t="s">
        <v>1990</v>
      </c>
      <c r="C1275" s="34" t="s">
        <v>1991</v>
      </c>
      <c r="D1275" s="78">
        <v>9065.8799999999992</v>
      </c>
      <c r="E1275" s="88">
        <f>VLOOKUP(A1275,'Previous week'!$A$3:$F$1765,6,FALSE)</f>
        <v>1</v>
      </c>
      <c r="F1275" s="22">
        <f t="shared" si="60"/>
        <v>0</v>
      </c>
      <c r="G1275" s="88">
        <f>VLOOKUP(A1275,'Current week'!$A$3:$F$1765,6,0)</f>
        <v>1</v>
      </c>
      <c r="H1275" s="104">
        <f t="shared" si="61"/>
        <v>9065.8799999999992</v>
      </c>
      <c r="I1275" s="104">
        <f t="shared" si="62"/>
        <v>0</v>
      </c>
      <c r="L1275" s="112"/>
    </row>
    <row r="1276" spans="1:12" x14ac:dyDescent="0.25">
      <c r="A1276" s="23" t="s">
        <v>3528</v>
      </c>
      <c r="B1276" s="23" t="s">
        <v>127</v>
      </c>
      <c r="C1276" s="24"/>
      <c r="D1276" s="71">
        <v>93193.11</v>
      </c>
      <c r="E1276" s="88">
        <f>VLOOKUP(A1276,'Previous week'!$A$3:$F$1765,6,FALSE)</f>
        <v>1</v>
      </c>
      <c r="F1276" s="22">
        <f t="shared" si="60"/>
        <v>0</v>
      </c>
      <c r="G1276" s="88">
        <f>VLOOKUP(A1276,'Current week'!$A$3:$F$1765,6,0)</f>
        <v>1</v>
      </c>
      <c r="H1276" s="102">
        <f t="shared" si="61"/>
        <v>93193.11</v>
      </c>
      <c r="I1276" s="102">
        <f t="shared" si="62"/>
        <v>0</v>
      </c>
      <c r="L1276" s="112"/>
    </row>
    <row r="1277" spans="1:12" x14ac:dyDescent="0.25">
      <c r="A1277" s="54" t="s">
        <v>3660</v>
      </c>
      <c r="B1277" s="54" t="s">
        <v>1992</v>
      </c>
      <c r="C1277" s="55" t="s">
        <v>1993</v>
      </c>
      <c r="D1277" s="70">
        <v>11204.14</v>
      </c>
      <c r="E1277" s="94">
        <f>'Previous week'!F1323</f>
        <v>1</v>
      </c>
      <c r="F1277" s="57">
        <f t="shared" si="60"/>
        <v>0</v>
      </c>
      <c r="G1277" s="94">
        <f>'Current week'!F1323</f>
        <v>1</v>
      </c>
      <c r="H1277" s="107">
        <f t="shared" si="61"/>
        <v>11204.14</v>
      </c>
      <c r="I1277" s="107">
        <f t="shared" si="62"/>
        <v>0</v>
      </c>
      <c r="L1277" s="112"/>
    </row>
    <row r="1278" spans="1:12" x14ac:dyDescent="0.25">
      <c r="A1278" s="19" t="s">
        <v>3661</v>
      </c>
      <c r="B1278" s="19" t="s">
        <v>1994</v>
      </c>
      <c r="C1278" s="20" t="s">
        <v>1995</v>
      </c>
      <c r="D1278" s="77">
        <v>44152.6</v>
      </c>
      <c r="E1278" s="88">
        <f>VLOOKUP(A1278,'Previous week'!$A$3:$F$1765,6,FALSE)</f>
        <v>1</v>
      </c>
      <c r="F1278" s="22">
        <f t="shared" si="60"/>
        <v>0</v>
      </c>
      <c r="G1278" s="88">
        <f>VLOOKUP(A1278,'Current week'!$A$3:$F$1765,6,0)</f>
        <v>1</v>
      </c>
      <c r="H1278" s="101">
        <f t="shared" si="61"/>
        <v>44152.6</v>
      </c>
      <c r="I1278" s="101">
        <f t="shared" si="62"/>
        <v>0</v>
      </c>
      <c r="L1278" s="112"/>
    </row>
    <row r="1279" spans="1:12" x14ac:dyDescent="0.25">
      <c r="A1279" s="33" t="s">
        <v>3662</v>
      </c>
      <c r="B1279" s="33" t="s">
        <v>1996</v>
      </c>
      <c r="C1279" s="34" t="s">
        <v>1997</v>
      </c>
      <c r="D1279" s="78">
        <v>23329.09</v>
      </c>
      <c r="E1279" s="88">
        <f>VLOOKUP(A1279,'Previous week'!$A$3:$F$1765,6,FALSE)</f>
        <v>1</v>
      </c>
      <c r="F1279" s="22">
        <f t="shared" si="60"/>
        <v>0</v>
      </c>
      <c r="G1279" s="88">
        <f>VLOOKUP(A1279,'Current week'!$A$3:$F$1765,6,0)</f>
        <v>1</v>
      </c>
      <c r="H1279" s="104">
        <f t="shared" si="61"/>
        <v>23329.09</v>
      </c>
      <c r="I1279" s="104">
        <f t="shared" si="62"/>
        <v>0</v>
      </c>
      <c r="L1279" s="112"/>
    </row>
    <row r="1280" spans="1:12" x14ac:dyDescent="0.25">
      <c r="A1280" s="23" t="s">
        <v>3663</v>
      </c>
      <c r="B1280" s="23" t="s">
        <v>1998</v>
      </c>
      <c r="C1280" s="24" t="s">
        <v>1999</v>
      </c>
      <c r="D1280" s="71">
        <v>14507.28</v>
      </c>
      <c r="E1280" s="88">
        <f>VLOOKUP(A1280,'Previous week'!$A$3:$F$1765,6,FALSE)</f>
        <v>1</v>
      </c>
      <c r="F1280" s="22">
        <f t="shared" si="60"/>
        <v>0</v>
      </c>
      <c r="G1280" s="88">
        <f>VLOOKUP(A1280,'Current week'!$A$3:$F$1765,6,0)</f>
        <v>1</v>
      </c>
      <c r="H1280" s="102">
        <f t="shared" si="61"/>
        <v>14507.28</v>
      </c>
      <c r="I1280" s="102">
        <f t="shared" si="62"/>
        <v>0</v>
      </c>
      <c r="L1280" s="112"/>
    </row>
    <row r="1281" spans="1:12" x14ac:dyDescent="0.25">
      <c r="A1281" s="54" t="s">
        <v>2810</v>
      </c>
      <c r="B1281" s="54" t="s">
        <v>499</v>
      </c>
      <c r="C1281" s="55"/>
      <c r="D1281" s="70">
        <v>13245.78</v>
      </c>
      <c r="E1281" s="94">
        <f>'Previous week'!F1327</f>
        <v>1</v>
      </c>
      <c r="F1281" s="57">
        <f t="shared" si="60"/>
        <v>0</v>
      </c>
      <c r="G1281" s="94">
        <f>'Current week'!F1327</f>
        <v>1</v>
      </c>
      <c r="H1281" s="107">
        <f t="shared" si="61"/>
        <v>13245.78</v>
      </c>
      <c r="I1281" s="107">
        <f t="shared" si="62"/>
        <v>0</v>
      </c>
      <c r="L1281" s="112"/>
    </row>
    <row r="1282" spans="1:12" x14ac:dyDescent="0.25">
      <c r="A1282" s="19" t="s">
        <v>3664</v>
      </c>
      <c r="B1282" s="19" t="s">
        <v>2000</v>
      </c>
      <c r="C1282" s="20" t="s">
        <v>2001</v>
      </c>
      <c r="D1282" s="77">
        <v>13245.78</v>
      </c>
      <c r="E1282" s="88">
        <f>VLOOKUP(A1282,'Previous week'!$A$3:$F$1765,6,FALSE)</f>
        <v>1</v>
      </c>
      <c r="F1282" s="22">
        <f t="shared" si="60"/>
        <v>0</v>
      </c>
      <c r="G1282" s="88">
        <f>VLOOKUP(A1282,'Current week'!$A$3:$F$1765,6,0)</f>
        <v>1</v>
      </c>
      <c r="H1282" s="101">
        <f t="shared" si="61"/>
        <v>13245.78</v>
      </c>
      <c r="I1282" s="101">
        <f t="shared" si="62"/>
        <v>0</v>
      </c>
      <c r="L1282" s="112"/>
    </row>
    <row r="1283" spans="1:12" x14ac:dyDescent="0.25">
      <c r="A1283" s="33" t="s">
        <v>3530</v>
      </c>
      <c r="B1283" s="33" t="s">
        <v>120</v>
      </c>
      <c r="C1283" s="34"/>
      <c r="D1283" s="78">
        <v>1242733.03</v>
      </c>
      <c r="E1283" s="88">
        <f>VLOOKUP(A1283,'Previous week'!$A$3:$F$1765,6,FALSE)</f>
        <v>1</v>
      </c>
      <c r="F1283" s="22">
        <f t="shared" si="60"/>
        <v>0</v>
      </c>
      <c r="G1283" s="88">
        <f>VLOOKUP(A1283,'Current week'!$A$3:$F$1765,6,0)</f>
        <v>1</v>
      </c>
      <c r="H1283" s="104">
        <f t="shared" si="61"/>
        <v>1242733.03</v>
      </c>
      <c r="I1283" s="104">
        <f t="shared" si="62"/>
        <v>0</v>
      </c>
      <c r="L1283" s="112"/>
    </row>
    <row r="1284" spans="1:12" x14ac:dyDescent="0.25">
      <c r="A1284" s="33" t="s">
        <v>3497</v>
      </c>
      <c r="B1284" s="33" t="s">
        <v>1722</v>
      </c>
      <c r="C1284" s="34"/>
      <c r="D1284" s="78">
        <v>176873.67</v>
      </c>
      <c r="E1284" s="88">
        <f>VLOOKUP(A1284,'Previous week'!$A$3:$F$1765,6,FALSE)</f>
        <v>1</v>
      </c>
      <c r="F1284" s="22">
        <f t="shared" si="60"/>
        <v>0</v>
      </c>
      <c r="G1284" s="88">
        <f>VLOOKUP(A1284,'Current week'!$A$3:$F$1765,6,0)</f>
        <v>1</v>
      </c>
      <c r="H1284" s="104">
        <f t="shared" si="61"/>
        <v>176873.67</v>
      </c>
      <c r="I1284" s="104">
        <f t="shared" si="62"/>
        <v>0</v>
      </c>
      <c r="L1284" s="112"/>
    </row>
    <row r="1285" spans="1:12" x14ac:dyDescent="0.25">
      <c r="A1285" s="23" t="s">
        <v>3665</v>
      </c>
      <c r="B1285" s="23" t="s">
        <v>2002</v>
      </c>
      <c r="C1285" s="24" t="s">
        <v>1950</v>
      </c>
      <c r="D1285" s="71">
        <v>17687.38</v>
      </c>
      <c r="E1285" s="88">
        <f>VLOOKUP(A1285,'Previous week'!$A$3:$F$1765,6,FALSE)</f>
        <v>1</v>
      </c>
      <c r="F1285" s="22">
        <f t="shared" si="60"/>
        <v>0</v>
      </c>
      <c r="G1285" s="88">
        <f>VLOOKUP(A1285,'Current week'!$A$3:$F$1765,6,0)</f>
        <v>1</v>
      </c>
      <c r="H1285" s="102">
        <f t="shared" si="61"/>
        <v>17687.38</v>
      </c>
      <c r="I1285" s="102">
        <f t="shared" si="62"/>
        <v>0</v>
      </c>
      <c r="L1285" s="112"/>
    </row>
    <row r="1286" spans="1:12" x14ac:dyDescent="0.25">
      <c r="A1286" s="54" t="s">
        <v>3666</v>
      </c>
      <c r="B1286" s="54" t="s">
        <v>2003</v>
      </c>
      <c r="C1286" s="55" t="s">
        <v>1952</v>
      </c>
      <c r="D1286" s="70">
        <v>8843.69</v>
      </c>
      <c r="E1286" s="94">
        <f>'Previous week'!F1332</f>
        <v>1</v>
      </c>
      <c r="F1286" s="57">
        <f t="shared" si="60"/>
        <v>0</v>
      </c>
      <c r="G1286" s="94">
        <f>'Current week'!F1332</f>
        <v>1</v>
      </c>
      <c r="H1286" s="107">
        <f t="shared" si="61"/>
        <v>8843.69</v>
      </c>
      <c r="I1286" s="107">
        <f t="shared" si="62"/>
        <v>0</v>
      </c>
      <c r="L1286" s="112"/>
    </row>
    <row r="1287" spans="1:12" x14ac:dyDescent="0.25">
      <c r="A1287" s="19" t="s">
        <v>3667</v>
      </c>
      <c r="B1287" s="19" t="s">
        <v>2004</v>
      </c>
      <c r="C1287" s="20" t="s">
        <v>1982</v>
      </c>
      <c r="D1287" s="77">
        <v>88436.81</v>
      </c>
      <c r="E1287" s="88">
        <f>VLOOKUP(A1287,'Previous week'!$A$3:$F$1765,6,FALSE)</f>
        <v>1</v>
      </c>
      <c r="F1287" s="22">
        <f t="shared" si="60"/>
        <v>0</v>
      </c>
      <c r="G1287" s="88">
        <f>VLOOKUP(A1287,'Current week'!$A$3:$F$1765,6,0)</f>
        <v>1</v>
      </c>
      <c r="H1287" s="101">
        <f t="shared" si="61"/>
        <v>88436.81</v>
      </c>
      <c r="I1287" s="101">
        <f t="shared" si="62"/>
        <v>0</v>
      </c>
      <c r="L1287" s="112"/>
    </row>
    <row r="1288" spans="1:12" x14ac:dyDescent="0.25">
      <c r="A1288" s="33" t="s">
        <v>3668</v>
      </c>
      <c r="B1288" s="33" t="s">
        <v>2005</v>
      </c>
      <c r="C1288" s="34" t="s">
        <v>1984</v>
      </c>
      <c r="D1288" s="78">
        <v>35374.71</v>
      </c>
      <c r="E1288" s="88">
        <f>VLOOKUP(A1288,'Previous week'!$A$3:$F$1765,6,FALSE)</f>
        <v>1</v>
      </c>
      <c r="F1288" s="22">
        <f t="shared" si="60"/>
        <v>0</v>
      </c>
      <c r="G1288" s="88">
        <f>VLOOKUP(A1288,'Current week'!$A$3:$F$1765,6,0)</f>
        <v>1</v>
      </c>
      <c r="H1288" s="104">
        <f t="shared" si="61"/>
        <v>35374.71</v>
      </c>
      <c r="I1288" s="104">
        <f t="shared" si="62"/>
        <v>0</v>
      </c>
      <c r="L1288" s="112"/>
    </row>
    <row r="1289" spans="1:12" x14ac:dyDescent="0.25">
      <c r="A1289" s="54" t="s">
        <v>3669</v>
      </c>
      <c r="B1289" s="54" t="s">
        <v>2006</v>
      </c>
      <c r="C1289" s="55" t="s">
        <v>1956</v>
      </c>
      <c r="D1289" s="70">
        <v>8843.69</v>
      </c>
      <c r="E1289" s="94">
        <f>'Previous week'!F1337</f>
        <v>1</v>
      </c>
      <c r="F1289" s="57">
        <f t="shared" si="60"/>
        <v>0</v>
      </c>
      <c r="G1289" s="94">
        <f>'Current week'!F1337</f>
        <v>1</v>
      </c>
      <c r="H1289" s="107">
        <f t="shared" si="61"/>
        <v>8843.69</v>
      </c>
      <c r="I1289" s="107">
        <f t="shared" si="62"/>
        <v>0</v>
      </c>
      <c r="L1289" s="112"/>
    </row>
    <row r="1290" spans="1:12" x14ac:dyDescent="0.25">
      <c r="A1290" s="19" t="s">
        <v>3670</v>
      </c>
      <c r="B1290" s="19" t="s">
        <v>2007</v>
      </c>
      <c r="C1290" s="20" t="s">
        <v>2008</v>
      </c>
      <c r="D1290" s="21">
        <v>17687.38</v>
      </c>
      <c r="E1290" s="88">
        <f>VLOOKUP(A1290,'Previous week'!$A$3:$F$1765,6,FALSE)</f>
        <v>1</v>
      </c>
      <c r="F1290" s="22">
        <f t="shared" si="60"/>
        <v>0</v>
      </c>
      <c r="G1290" s="88">
        <f>VLOOKUP(A1290,'Current week'!$A$3:$F$1765,6,0)</f>
        <v>1</v>
      </c>
      <c r="H1290" s="101">
        <f t="shared" si="61"/>
        <v>17687.38</v>
      </c>
      <c r="I1290" s="101">
        <f t="shared" si="62"/>
        <v>0</v>
      </c>
      <c r="L1290" s="112"/>
    </row>
    <row r="1291" spans="1:12" x14ac:dyDescent="0.25">
      <c r="A1291" s="33" t="s">
        <v>3503</v>
      </c>
      <c r="B1291" s="33" t="s">
        <v>1733</v>
      </c>
      <c r="C1291" s="34"/>
      <c r="D1291" s="35">
        <v>13294.79</v>
      </c>
      <c r="E1291" s="88">
        <f>VLOOKUP(A1291,'Previous week'!$A$3:$F$1765,6,FALSE)</f>
        <v>1</v>
      </c>
      <c r="F1291" s="22">
        <f t="shared" si="60"/>
        <v>0</v>
      </c>
      <c r="G1291" s="88">
        <f>VLOOKUP(A1291,'Current week'!$A$3:$F$1765,6,0)</f>
        <v>1</v>
      </c>
      <c r="H1291" s="104">
        <f t="shared" si="61"/>
        <v>13294.79</v>
      </c>
      <c r="I1291" s="104">
        <f t="shared" si="62"/>
        <v>0</v>
      </c>
      <c r="L1291" s="112"/>
    </row>
    <row r="1292" spans="1:12" x14ac:dyDescent="0.25">
      <c r="A1292" s="33" t="s">
        <v>3671</v>
      </c>
      <c r="B1292" s="33" t="s">
        <v>2009</v>
      </c>
      <c r="C1292" s="34" t="s">
        <v>1991</v>
      </c>
      <c r="D1292" s="35">
        <v>13294.79</v>
      </c>
      <c r="E1292" s="88">
        <f>VLOOKUP(A1292,'Previous week'!$A$3:$F$1765,6,FALSE)</f>
        <v>1</v>
      </c>
      <c r="F1292" s="22">
        <f t="shared" si="60"/>
        <v>0</v>
      </c>
      <c r="G1292" s="88">
        <f>VLOOKUP(A1292,'Current week'!$A$3:$F$1765,6,0)</f>
        <v>1</v>
      </c>
      <c r="H1292" s="104">
        <f t="shared" si="61"/>
        <v>13294.79</v>
      </c>
      <c r="I1292" s="104">
        <f t="shared" si="62"/>
        <v>0</v>
      </c>
      <c r="L1292" s="112"/>
    </row>
    <row r="1293" spans="1:12" x14ac:dyDescent="0.25">
      <c r="A1293" s="33" t="s">
        <v>3528</v>
      </c>
      <c r="B1293" s="33" t="s">
        <v>127</v>
      </c>
      <c r="C1293" s="34"/>
      <c r="D1293" s="78">
        <v>141183.19</v>
      </c>
      <c r="E1293" s="88">
        <f>VLOOKUP(A1293,'Previous week'!$A$3:$F$1765,6,FALSE)</f>
        <v>1</v>
      </c>
      <c r="F1293" s="22">
        <f t="shared" si="60"/>
        <v>0</v>
      </c>
      <c r="G1293" s="88">
        <f>VLOOKUP(A1293,'Current week'!$A$3:$F$1765,6,0)</f>
        <v>1</v>
      </c>
      <c r="H1293" s="104">
        <f t="shared" si="61"/>
        <v>141183.19</v>
      </c>
      <c r="I1293" s="104">
        <f t="shared" si="62"/>
        <v>0</v>
      </c>
      <c r="L1293" s="112"/>
    </row>
    <row r="1294" spans="1:12" x14ac:dyDescent="0.25">
      <c r="A1294" s="33" t="s">
        <v>3672</v>
      </c>
      <c r="B1294" s="33" t="s">
        <v>2010</v>
      </c>
      <c r="C1294" s="34" t="s">
        <v>1993</v>
      </c>
      <c r="D1294" s="78">
        <v>13140.65</v>
      </c>
      <c r="E1294" s="88">
        <f>VLOOKUP(A1294,'Previous week'!$A$3:$F$1765,6,FALSE)</f>
        <v>1</v>
      </c>
      <c r="F1294" s="22">
        <f t="shared" si="60"/>
        <v>0</v>
      </c>
      <c r="G1294" s="88">
        <f>VLOOKUP(A1294,'Current week'!$A$3:$F$1765,6,0)</f>
        <v>1</v>
      </c>
      <c r="H1294" s="104">
        <f t="shared" si="61"/>
        <v>13140.65</v>
      </c>
      <c r="I1294" s="104">
        <f t="shared" si="62"/>
        <v>0</v>
      </c>
      <c r="L1294" s="112"/>
    </row>
    <row r="1295" spans="1:12" x14ac:dyDescent="0.25">
      <c r="A1295" s="54" t="s">
        <v>3673</v>
      </c>
      <c r="B1295" s="54" t="s">
        <v>2011</v>
      </c>
      <c r="C1295" s="55" t="s">
        <v>2012</v>
      </c>
      <c r="D1295" s="70">
        <v>37845.08</v>
      </c>
      <c r="E1295" s="94">
        <f>'Previous week'!F1344</f>
        <v>0.98429999999999995</v>
      </c>
      <c r="F1295" s="57">
        <f t="shared" si="60"/>
        <v>1.0400000000000076E-2</v>
      </c>
      <c r="G1295" s="94">
        <f>'Current week'!F1344</f>
        <v>0.99470000000000003</v>
      </c>
      <c r="H1295" s="107">
        <f t="shared" si="61"/>
        <v>37644.501076</v>
      </c>
      <c r="I1295" s="107">
        <f t="shared" si="62"/>
        <v>393.58883200000287</v>
      </c>
      <c r="L1295" s="112"/>
    </row>
    <row r="1296" spans="1:12" x14ac:dyDescent="0.25">
      <c r="A1296" s="36" t="s">
        <v>3674</v>
      </c>
      <c r="B1296" s="36" t="s">
        <v>2013</v>
      </c>
      <c r="C1296" s="37" t="s">
        <v>2014</v>
      </c>
      <c r="D1296" s="79">
        <v>29645.32</v>
      </c>
      <c r="E1296" s="88">
        <f>VLOOKUP(A1296,'Previous week'!$A$3:$F$1765,6,FALSE)</f>
        <v>1</v>
      </c>
      <c r="F1296" s="22">
        <f t="shared" si="60"/>
        <v>0</v>
      </c>
      <c r="G1296" s="88">
        <f>VLOOKUP(A1296,'Current week'!$A$3:$F$1765,6,0)</f>
        <v>1</v>
      </c>
      <c r="H1296" s="105">
        <f t="shared" si="61"/>
        <v>29645.32</v>
      </c>
      <c r="I1296" s="105">
        <f t="shared" si="62"/>
        <v>0</v>
      </c>
      <c r="L1296" s="112"/>
    </row>
    <row r="1297" spans="1:12" x14ac:dyDescent="0.25">
      <c r="A1297" s="41" t="s">
        <v>3675</v>
      </c>
      <c r="B1297" s="41" t="s">
        <v>2015</v>
      </c>
      <c r="C1297" s="42" t="s">
        <v>2016</v>
      </c>
      <c r="D1297" s="66">
        <v>60552.14</v>
      </c>
      <c r="E1297" s="91"/>
      <c r="F1297" s="44">
        <f t="shared" ref="F1297:F1342" si="63">G1297-E1297</f>
        <v>0</v>
      </c>
      <c r="G1297" s="91"/>
      <c r="H1297" s="103"/>
      <c r="I1297" s="103"/>
      <c r="L1297" s="112"/>
    </row>
    <row r="1298" spans="1:12" x14ac:dyDescent="0.25">
      <c r="A1298" s="45" t="s">
        <v>2818</v>
      </c>
      <c r="B1298" s="45" t="s">
        <v>124</v>
      </c>
      <c r="C1298" s="46"/>
      <c r="D1298" s="75">
        <v>75690.17</v>
      </c>
      <c r="E1298" s="92"/>
      <c r="F1298" s="48">
        <f t="shared" si="63"/>
        <v>0</v>
      </c>
      <c r="G1298" s="92"/>
      <c r="H1298" s="106"/>
      <c r="I1298" s="106"/>
      <c r="L1298" s="112"/>
    </row>
    <row r="1299" spans="1:12" x14ac:dyDescent="0.25">
      <c r="A1299" s="19" t="s">
        <v>3676</v>
      </c>
      <c r="B1299" s="19" t="s">
        <v>2017</v>
      </c>
      <c r="C1299" s="20" t="s">
        <v>2018</v>
      </c>
      <c r="D1299" s="77">
        <v>75690.17</v>
      </c>
      <c r="E1299" s="88">
        <f>VLOOKUP(A1299,'Previous week'!$A$3:$F$1765,6,FALSE)</f>
        <v>1</v>
      </c>
      <c r="F1299" s="22">
        <f t="shared" si="63"/>
        <v>0</v>
      </c>
      <c r="G1299" s="88">
        <f>VLOOKUP(A1299,'Current week'!$A$3:$F$1765,6,0)</f>
        <v>1</v>
      </c>
      <c r="H1299" s="101">
        <f t="shared" ref="H1299:H1340" si="64">G1299*D1299</f>
        <v>75690.17</v>
      </c>
      <c r="I1299" s="101">
        <f t="shared" ref="I1299:I1340" si="65">F1299*D1299</f>
        <v>0</v>
      </c>
      <c r="L1299" s="112"/>
    </row>
    <row r="1300" spans="1:12" x14ac:dyDescent="0.25">
      <c r="A1300" s="33" t="s">
        <v>3677</v>
      </c>
      <c r="B1300" s="33" t="s">
        <v>2019</v>
      </c>
      <c r="C1300" s="34"/>
      <c r="D1300" s="78">
        <v>829383.7</v>
      </c>
      <c r="E1300" s="88">
        <f>VLOOKUP(A1300,'Previous week'!$A$3:$F$1765,6,FALSE)</f>
        <v>1</v>
      </c>
      <c r="F1300" s="22">
        <f t="shared" si="63"/>
        <v>0</v>
      </c>
      <c r="G1300" s="88">
        <f>VLOOKUP(A1300,'Current week'!$A$3:$F$1765,6,0)</f>
        <v>1</v>
      </c>
      <c r="H1300" s="104">
        <f t="shared" si="64"/>
        <v>829383.7</v>
      </c>
      <c r="I1300" s="104">
        <f t="shared" si="65"/>
        <v>0</v>
      </c>
      <c r="L1300" s="112"/>
    </row>
    <row r="1301" spans="1:12" x14ac:dyDescent="0.25">
      <c r="A1301" s="33" t="s">
        <v>3678</v>
      </c>
      <c r="B1301" s="33" t="s">
        <v>2020</v>
      </c>
      <c r="C1301" s="34" t="s">
        <v>2021</v>
      </c>
      <c r="D1301" s="78">
        <v>104035.15</v>
      </c>
      <c r="E1301" s="88">
        <f>VLOOKUP(A1301,'Previous week'!$A$3:$F$1765,6,FALSE)</f>
        <v>1</v>
      </c>
      <c r="F1301" s="22">
        <f t="shared" si="63"/>
        <v>0</v>
      </c>
      <c r="G1301" s="88">
        <f>VLOOKUP(A1301,'Current week'!$A$3:$F$1765,6,0)</f>
        <v>1</v>
      </c>
      <c r="H1301" s="104">
        <f t="shared" si="64"/>
        <v>104035.15</v>
      </c>
      <c r="I1301" s="104">
        <f t="shared" si="65"/>
        <v>0</v>
      </c>
      <c r="L1301" s="112"/>
    </row>
    <row r="1302" spans="1:12" x14ac:dyDescent="0.25">
      <c r="A1302" s="33" t="s">
        <v>3679</v>
      </c>
      <c r="B1302" s="33" t="s">
        <v>2022</v>
      </c>
      <c r="C1302" s="34" t="s">
        <v>2023</v>
      </c>
      <c r="D1302" s="78">
        <v>261848.65</v>
      </c>
      <c r="E1302" s="88">
        <f>VLOOKUP(A1302,'Previous week'!$A$3:$F$1765,6,FALSE)</f>
        <v>1</v>
      </c>
      <c r="F1302" s="22">
        <f t="shared" si="63"/>
        <v>0</v>
      </c>
      <c r="G1302" s="88">
        <f>VLOOKUP(A1302,'Current week'!$A$3:$F$1765,6,0)</f>
        <v>1</v>
      </c>
      <c r="H1302" s="104">
        <f t="shared" si="64"/>
        <v>261848.65</v>
      </c>
      <c r="I1302" s="104">
        <f t="shared" si="65"/>
        <v>0</v>
      </c>
      <c r="L1302" s="112"/>
    </row>
    <row r="1303" spans="1:12" x14ac:dyDescent="0.25">
      <c r="A1303" s="33" t="s">
        <v>3680</v>
      </c>
      <c r="B1303" s="33" t="s">
        <v>2024</v>
      </c>
      <c r="C1303" s="34" t="s">
        <v>2025</v>
      </c>
      <c r="D1303" s="78">
        <v>274274.48</v>
      </c>
      <c r="E1303" s="88">
        <f>VLOOKUP(A1303,'Previous week'!$A$3:$F$1765,6,FALSE)</f>
        <v>1</v>
      </c>
      <c r="F1303" s="22">
        <f t="shared" si="63"/>
        <v>0</v>
      </c>
      <c r="G1303" s="88">
        <f>VLOOKUP(A1303,'Current week'!$A$3:$F$1765,6,0)</f>
        <v>1</v>
      </c>
      <c r="H1303" s="104">
        <f t="shared" si="64"/>
        <v>274274.48</v>
      </c>
      <c r="I1303" s="104">
        <f t="shared" si="65"/>
        <v>0</v>
      </c>
      <c r="L1303" s="112"/>
    </row>
    <row r="1304" spans="1:12" x14ac:dyDescent="0.25">
      <c r="A1304" s="23" t="s">
        <v>3681</v>
      </c>
      <c r="B1304" s="23" t="s">
        <v>2026</v>
      </c>
      <c r="C1304" s="24" t="s">
        <v>2021</v>
      </c>
      <c r="D1304" s="71">
        <v>75690.17</v>
      </c>
      <c r="E1304" s="88">
        <f>VLOOKUP(A1304,'Previous week'!$A$3:$F$1765,6,FALSE)</f>
        <v>1</v>
      </c>
      <c r="F1304" s="22">
        <f t="shared" si="63"/>
        <v>0</v>
      </c>
      <c r="G1304" s="88">
        <f>VLOOKUP(A1304,'Current week'!$A$3:$F$1765,6,0)</f>
        <v>1</v>
      </c>
      <c r="H1304" s="102">
        <f t="shared" si="64"/>
        <v>75690.17</v>
      </c>
      <c r="I1304" s="102">
        <f t="shared" si="65"/>
        <v>0</v>
      </c>
      <c r="L1304" s="112"/>
    </row>
    <row r="1305" spans="1:12" x14ac:dyDescent="0.25">
      <c r="A1305" s="45" t="s">
        <v>3682</v>
      </c>
      <c r="B1305" s="45" t="s">
        <v>2027</v>
      </c>
      <c r="C1305" s="46" t="s">
        <v>2028</v>
      </c>
      <c r="D1305" s="75">
        <v>37845.08</v>
      </c>
      <c r="E1305" s="92"/>
      <c r="F1305" s="48">
        <f t="shared" si="63"/>
        <v>0</v>
      </c>
      <c r="G1305" s="92"/>
      <c r="H1305" s="106"/>
      <c r="I1305" s="106"/>
      <c r="L1305" s="112"/>
    </row>
    <row r="1306" spans="1:12" x14ac:dyDescent="0.25">
      <c r="A1306" s="19" t="s">
        <v>3683</v>
      </c>
      <c r="B1306" s="19" t="s">
        <v>2029</v>
      </c>
      <c r="C1306" s="20" t="s">
        <v>2025</v>
      </c>
      <c r="D1306" s="77">
        <v>75690.17</v>
      </c>
      <c r="E1306" s="88">
        <f>VLOOKUP(A1306,'Previous week'!$A$3:$F$1765,6,FALSE)</f>
        <v>1</v>
      </c>
      <c r="F1306" s="22">
        <f t="shared" si="63"/>
        <v>0</v>
      </c>
      <c r="G1306" s="88">
        <f>VLOOKUP(A1306,'Current week'!$A$3:$F$1765,6,0)</f>
        <v>1</v>
      </c>
      <c r="H1306" s="101">
        <f t="shared" si="64"/>
        <v>75690.17</v>
      </c>
      <c r="I1306" s="101">
        <f t="shared" si="65"/>
        <v>0</v>
      </c>
      <c r="L1306" s="112"/>
    </row>
    <row r="1307" spans="1:12" x14ac:dyDescent="0.25">
      <c r="A1307" s="33" t="s">
        <v>3684</v>
      </c>
      <c r="B1307" s="33" t="s">
        <v>2030</v>
      </c>
      <c r="C1307" s="34"/>
      <c r="D1307" s="78">
        <v>6307.51</v>
      </c>
      <c r="E1307" s="88">
        <f>VLOOKUP(A1307,'Previous week'!$A$3:$F$1765,6,FALSE)</f>
        <v>1</v>
      </c>
      <c r="F1307" s="22">
        <f t="shared" si="63"/>
        <v>0</v>
      </c>
      <c r="G1307" s="88">
        <f>VLOOKUP(A1307,'Current week'!$A$3:$F$1765,6,0)</f>
        <v>1</v>
      </c>
      <c r="H1307" s="104">
        <f t="shared" si="64"/>
        <v>6307.51</v>
      </c>
      <c r="I1307" s="104">
        <f t="shared" si="65"/>
        <v>0</v>
      </c>
      <c r="L1307" s="112"/>
    </row>
    <row r="1308" spans="1:12" x14ac:dyDescent="0.25">
      <c r="A1308" s="23" t="s">
        <v>3685</v>
      </c>
      <c r="B1308" s="23" t="s">
        <v>2031</v>
      </c>
      <c r="C1308" s="24" t="s">
        <v>2032</v>
      </c>
      <c r="D1308" s="71">
        <v>6307.51</v>
      </c>
      <c r="E1308" s="88">
        <f>VLOOKUP(A1308,'Previous week'!$A$3:$F$1765,6,FALSE)</f>
        <v>1</v>
      </c>
      <c r="F1308" s="22">
        <f t="shared" si="63"/>
        <v>0</v>
      </c>
      <c r="G1308" s="88">
        <f>VLOOKUP(A1308,'Current week'!$A$3:$F$1765,6,0)</f>
        <v>1</v>
      </c>
      <c r="H1308" s="102">
        <f t="shared" si="64"/>
        <v>6307.51</v>
      </c>
      <c r="I1308" s="102">
        <f t="shared" si="65"/>
        <v>0</v>
      </c>
      <c r="L1308" s="112"/>
    </row>
    <row r="1309" spans="1:12" x14ac:dyDescent="0.25">
      <c r="A1309" s="45" t="s">
        <v>3540</v>
      </c>
      <c r="B1309" s="45" t="s">
        <v>1785</v>
      </c>
      <c r="C1309" s="46"/>
      <c r="D1309" s="75">
        <v>625707.06999999995</v>
      </c>
      <c r="E1309" s="92"/>
      <c r="F1309" s="48">
        <f t="shared" si="63"/>
        <v>0</v>
      </c>
      <c r="G1309" s="92"/>
      <c r="H1309" s="106"/>
      <c r="I1309" s="106"/>
      <c r="L1309" s="112"/>
    </row>
    <row r="1310" spans="1:12" x14ac:dyDescent="0.25">
      <c r="A1310" s="45" t="s">
        <v>3601</v>
      </c>
      <c r="B1310" s="45" t="s">
        <v>1888</v>
      </c>
      <c r="C1310" s="46"/>
      <c r="D1310" s="75">
        <v>336867.08</v>
      </c>
      <c r="E1310" s="92"/>
      <c r="F1310" s="48">
        <f t="shared" si="63"/>
        <v>0</v>
      </c>
      <c r="G1310" s="92"/>
      <c r="H1310" s="106"/>
      <c r="I1310" s="106"/>
      <c r="L1310" s="112"/>
    </row>
    <row r="1311" spans="1:12" x14ac:dyDescent="0.25">
      <c r="A1311" s="41" t="s">
        <v>2831</v>
      </c>
      <c r="B1311" s="41" t="s">
        <v>1889</v>
      </c>
      <c r="C1311" s="42"/>
      <c r="D1311" s="66">
        <v>264999.32</v>
      </c>
      <c r="E1311" s="91"/>
      <c r="F1311" s="44">
        <f t="shared" si="63"/>
        <v>0</v>
      </c>
      <c r="G1311" s="91"/>
      <c r="H1311" s="103"/>
      <c r="I1311" s="103"/>
      <c r="L1311" s="112"/>
    </row>
    <row r="1312" spans="1:12" x14ac:dyDescent="0.25">
      <c r="A1312" s="45" t="s">
        <v>3686</v>
      </c>
      <c r="B1312" s="45" t="s">
        <v>2033</v>
      </c>
      <c r="C1312" s="46" t="s">
        <v>2034</v>
      </c>
      <c r="D1312" s="75">
        <v>13372.86</v>
      </c>
      <c r="E1312" s="92"/>
      <c r="F1312" s="48">
        <f t="shared" si="63"/>
        <v>0</v>
      </c>
      <c r="G1312" s="92"/>
      <c r="H1312" s="106"/>
      <c r="I1312" s="106"/>
      <c r="L1312" s="112"/>
    </row>
    <row r="1313" spans="1:12" x14ac:dyDescent="0.25">
      <c r="A1313" s="19" t="s">
        <v>3687</v>
      </c>
      <c r="B1313" s="19" t="s">
        <v>2035</v>
      </c>
      <c r="C1313" s="20" t="s">
        <v>2036</v>
      </c>
      <c r="D1313" s="77">
        <v>27290.51</v>
      </c>
      <c r="E1313" s="88">
        <f>VLOOKUP(A1313,'Previous week'!$A$3:$F$1765,6,FALSE)</f>
        <v>1</v>
      </c>
      <c r="F1313" s="22">
        <f t="shared" si="63"/>
        <v>0</v>
      </c>
      <c r="G1313" s="88">
        <f>VLOOKUP(A1313,'Current week'!$A$3:$F$1765,6,0)</f>
        <v>1</v>
      </c>
      <c r="H1313" s="101">
        <f t="shared" si="64"/>
        <v>27290.51</v>
      </c>
      <c r="I1313" s="101">
        <f t="shared" si="65"/>
        <v>0</v>
      </c>
      <c r="L1313" s="112"/>
    </row>
    <row r="1314" spans="1:12" x14ac:dyDescent="0.25">
      <c r="A1314" s="33" t="s">
        <v>3688</v>
      </c>
      <c r="B1314" s="33" t="s">
        <v>2037</v>
      </c>
      <c r="C1314" s="34" t="s">
        <v>2038</v>
      </c>
      <c r="D1314" s="78">
        <v>224335.95</v>
      </c>
      <c r="E1314" s="88">
        <f>VLOOKUP(A1314,'Previous week'!$A$3:$F$1765,6,FALSE)</f>
        <v>1</v>
      </c>
      <c r="F1314" s="22">
        <f t="shared" si="63"/>
        <v>0</v>
      </c>
      <c r="G1314" s="88">
        <f>VLOOKUP(A1314,'Current week'!$A$3:$F$1765,6,0)</f>
        <v>1</v>
      </c>
      <c r="H1314" s="104">
        <f t="shared" si="64"/>
        <v>224335.95</v>
      </c>
      <c r="I1314" s="104">
        <f t="shared" si="65"/>
        <v>0</v>
      </c>
      <c r="L1314" s="112"/>
    </row>
    <row r="1315" spans="1:12" x14ac:dyDescent="0.25">
      <c r="A1315" s="33" t="s">
        <v>3605</v>
      </c>
      <c r="B1315" s="33" t="s">
        <v>222</v>
      </c>
      <c r="C1315" s="34"/>
      <c r="D1315" s="78">
        <v>71867.759999999995</v>
      </c>
      <c r="E1315" s="88">
        <f>VLOOKUP(A1315,'Previous week'!$A$3:$F$1765,6,FALSE)</f>
        <v>1</v>
      </c>
      <c r="F1315" s="22">
        <f t="shared" si="63"/>
        <v>0</v>
      </c>
      <c r="G1315" s="88">
        <f>VLOOKUP(A1315,'Current week'!$A$3:$F$1765,6,0)</f>
        <v>1</v>
      </c>
      <c r="H1315" s="104">
        <f t="shared" si="64"/>
        <v>71867.759999999995</v>
      </c>
      <c r="I1315" s="104">
        <f t="shared" si="65"/>
        <v>0</v>
      </c>
      <c r="L1315" s="112"/>
    </row>
    <row r="1316" spans="1:12" x14ac:dyDescent="0.25">
      <c r="A1316" s="23" t="s">
        <v>3689</v>
      </c>
      <c r="B1316" s="23" t="s">
        <v>2039</v>
      </c>
      <c r="C1316" s="24" t="s">
        <v>2040</v>
      </c>
      <c r="D1316" s="71">
        <v>19225.3</v>
      </c>
      <c r="E1316" s="88">
        <f>VLOOKUP(A1316,'Previous week'!$A$3:$F$1765,6,FALSE)</f>
        <v>1</v>
      </c>
      <c r="F1316" s="22">
        <f t="shared" si="63"/>
        <v>0</v>
      </c>
      <c r="G1316" s="88">
        <f>VLOOKUP(A1316,'Current week'!$A$3:$F$1765,6,0)</f>
        <v>1</v>
      </c>
      <c r="H1316" s="102">
        <f t="shared" si="64"/>
        <v>19225.3</v>
      </c>
      <c r="I1316" s="102">
        <f t="shared" si="65"/>
        <v>0</v>
      </c>
      <c r="L1316" s="112"/>
    </row>
    <row r="1317" spans="1:12" x14ac:dyDescent="0.25">
      <c r="A1317" s="45" t="s">
        <v>3690</v>
      </c>
      <c r="B1317" s="45" t="s">
        <v>2041</v>
      </c>
      <c r="C1317" s="46" t="s">
        <v>2042</v>
      </c>
      <c r="D1317" s="75">
        <v>52642.45</v>
      </c>
      <c r="E1317" s="92"/>
      <c r="F1317" s="48">
        <f t="shared" si="63"/>
        <v>0</v>
      </c>
      <c r="G1317" s="92"/>
      <c r="H1317" s="106"/>
      <c r="I1317" s="106"/>
      <c r="L1317" s="112"/>
    </row>
    <row r="1318" spans="1:12" x14ac:dyDescent="0.25">
      <c r="A1318" s="19" t="s">
        <v>3541</v>
      </c>
      <c r="B1318" s="19" t="s">
        <v>1786</v>
      </c>
      <c r="C1318" s="20"/>
      <c r="D1318" s="77">
        <v>20045.28</v>
      </c>
      <c r="E1318" s="88">
        <f>VLOOKUP(A1318,'Previous week'!$A$3:$F$1765,6,FALSE)</f>
        <v>1</v>
      </c>
      <c r="F1318" s="22">
        <f t="shared" si="63"/>
        <v>0</v>
      </c>
      <c r="G1318" s="88">
        <f>VLOOKUP(A1318,'Current week'!$A$3:$F$1765,6,0)</f>
        <v>1</v>
      </c>
      <c r="H1318" s="101">
        <f t="shared" si="64"/>
        <v>20045.28</v>
      </c>
      <c r="I1318" s="101">
        <f t="shared" si="65"/>
        <v>0</v>
      </c>
      <c r="L1318" s="112"/>
    </row>
    <row r="1319" spans="1:12" x14ac:dyDescent="0.25">
      <c r="A1319" s="33" t="s">
        <v>3691</v>
      </c>
      <c r="B1319" s="33" t="s">
        <v>2043</v>
      </c>
      <c r="C1319" s="34" t="s">
        <v>2040</v>
      </c>
      <c r="D1319" s="78">
        <v>3279.91</v>
      </c>
      <c r="E1319" s="88">
        <f>VLOOKUP(A1319,'Previous week'!$A$3:$F$1765,6,FALSE)</f>
        <v>1</v>
      </c>
      <c r="F1319" s="22">
        <f t="shared" si="63"/>
        <v>0</v>
      </c>
      <c r="G1319" s="88">
        <f>VLOOKUP(A1319,'Current week'!$A$3:$F$1765,6,0)</f>
        <v>1</v>
      </c>
      <c r="H1319" s="104">
        <f t="shared" si="64"/>
        <v>3279.91</v>
      </c>
      <c r="I1319" s="104">
        <f t="shared" si="65"/>
        <v>0</v>
      </c>
      <c r="L1319" s="112"/>
    </row>
    <row r="1320" spans="1:12" x14ac:dyDescent="0.25">
      <c r="A1320" s="33" t="s">
        <v>3692</v>
      </c>
      <c r="B1320" s="33" t="s">
        <v>2044</v>
      </c>
      <c r="C1320" s="34" t="s">
        <v>2042</v>
      </c>
      <c r="D1320" s="78">
        <v>16765.37</v>
      </c>
      <c r="E1320" s="88">
        <f>VLOOKUP(A1320,'Previous week'!$A$3:$F$1765,6,FALSE)</f>
        <v>1</v>
      </c>
      <c r="F1320" s="22">
        <f t="shared" si="63"/>
        <v>0</v>
      </c>
      <c r="G1320" s="88">
        <f>VLOOKUP(A1320,'Current week'!$A$3:$F$1765,6,0)</f>
        <v>1</v>
      </c>
      <c r="H1320" s="104">
        <f t="shared" si="64"/>
        <v>16765.37</v>
      </c>
      <c r="I1320" s="104">
        <f t="shared" si="65"/>
        <v>0</v>
      </c>
      <c r="L1320" s="112"/>
    </row>
    <row r="1321" spans="1:12" x14ac:dyDescent="0.25">
      <c r="A1321" s="33" t="s">
        <v>3548</v>
      </c>
      <c r="B1321" s="33" t="s">
        <v>1799</v>
      </c>
      <c r="C1321" s="34"/>
      <c r="D1321" s="78">
        <v>268794.71000000002</v>
      </c>
      <c r="E1321" s="88">
        <f>VLOOKUP(A1321,'Previous week'!$A$3:$F$1765,6,FALSE)</f>
        <v>1</v>
      </c>
      <c r="F1321" s="22">
        <f t="shared" si="63"/>
        <v>0</v>
      </c>
      <c r="G1321" s="88">
        <f>VLOOKUP(A1321,'Current week'!$A$3:$F$1765,6,0)</f>
        <v>1</v>
      </c>
      <c r="H1321" s="104">
        <f t="shared" si="64"/>
        <v>268794.71000000002</v>
      </c>
      <c r="I1321" s="104">
        <f t="shared" si="65"/>
        <v>0</v>
      </c>
      <c r="L1321" s="112"/>
    </row>
    <row r="1322" spans="1:12" x14ac:dyDescent="0.25">
      <c r="A1322" s="23" t="s">
        <v>3693</v>
      </c>
      <c r="B1322" s="23" t="s">
        <v>2045</v>
      </c>
      <c r="C1322" s="24" t="s">
        <v>2046</v>
      </c>
      <c r="D1322" s="25">
        <v>206634.16</v>
      </c>
      <c r="E1322" s="88">
        <f>VLOOKUP(A1322,'Previous week'!$A$3:$F$1765,6,FALSE)</f>
        <v>1</v>
      </c>
      <c r="F1322" s="22">
        <f t="shared" si="63"/>
        <v>0</v>
      </c>
      <c r="G1322" s="88">
        <f>VLOOKUP(A1322,'Current week'!$A$3:$F$1765,6,0)</f>
        <v>1</v>
      </c>
      <c r="H1322" s="102">
        <f t="shared" si="64"/>
        <v>206634.16</v>
      </c>
      <c r="I1322" s="102">
        <f t="shared" si="65"/>
        <v>0</v>
      </c>
      <c r="L1322" s="112"/>
    </row>
    <row r="1323" spans="1:12" x14ac:dyDescent="0.25">
      <c r="A1323" s="45" t="s">
        <v>3694</v>
      </c>
      <c r="B1323" s="45" t="s">
        <v>2047</v>
      </c>
      <c r="C1323" s="46" t="s">
        <v>2048</v>
      </c>
      <c r="D1323" s="75">
        <v>5392.92</v>
      </c>
      <c r="E1323" s="92"/>
      <c r="F1323" s="48">
        <f t="shared" si="63"/>
        <v>0</v>
      </c>
      <c r="G1323" s="92"/>
      <c r="H1323" s="106"/>
      <c r="I1323" s="106"/>
      <c r="L1323" s="112"/>
    </row>
    <row r="1324" spans="1:12" x14ac:dyDescent="0.25">
      <c r="A1324" s="19" t="s">
        <v>3695</v>
      </c>
      <c r="B1324" s="19" t="s">
        <v>2049</v>
      </c>
      <c r="C1324" s="20" t="s">
        <v>1978</v>
      </c>
      <c r="D1324" s="77">
        <v>56767.63</v>
      </c>
      <c r="E1324" s="88">
        <f>VLOOKUP(A1324,'Previous week'!$A$3:$F$1765,6,FALSE)</f>
        <v>1</v>
      </c>
      <c r="F1324" s="22">
        <f t="shared" si="63"/>
        <v>0</v>
      </c>
      <c r="G1324" s="88">
        <f>VLOOKUP(A1324,'Current week'!$A$3:$F$1765,6,0)</f>
        <v>1</v>
      </c>
      <c r="H1324" s="101">
        <f t="shared" si="64"/>
        <v>56767.63</v>
      </c>
      <c r="I1324" s="101">
        <f t="shared" si="65"/>
        <v>0</v>
      </c>
      <c r="L1324" s="112"/>
    </row>
    <row r="1325" spans="1:12" x14ac:dyDescent="0.25">
      <c r="A1325" s="33" t="s">
        <v>3696</v>
      </c>
      <c r="B1325" s="33" t="s">
        <v>2050</v>
      </c>
      <c r="C1325" s="34"/>
      <c r="D1325" s="78">
        <v>389804.75</v>
      </c>
      <c r="E1325" s="88">
        <f>VLOOKUP(A1325,'Previous week'!$A$3:$F$1765,6,FALSE)</f>
        <v>1</v>
      </c>
      <c r="F1325" s="22">
        <f t="shared" si="63"/>
        <v>0</v>
      </c>
      <c r="G1325" s="88">
        <f>VLOOKUP(A1325,'Current week'!$A$3:$F$1765,6,0)</f>
        <v>1</v>
      </c>
      <c r="H1325" s="104">
        <f t="shared" si="64"/>
        <v>389804.75</v>
      </c>
      <c r="I1325" s="104">
        <f t="shared" si="65"/>
        <v>0</v>
      </c>
      <c r="L1325" s="112"/>
    </row>
    <row r="1326" spans="1:12" x14ac:dyDescent="0.25">
      <c r="A1326" s="23" t="s">
        <v>3697</v>
      </c>
      <c r="B1326" s="23" t="s">
        <v>2051</v>
      </c>
      <c r="C1326" s="24" t="s">
        <v>2052</v>
      </c>
      <c r="D1326" s="71">
        <v>164626.5</v>
      </c>
      <c r="E1326" s="88">
        <f>VLOOKUP(A1326,'Previous week'!$A$3:$F$1765,6,FALSE)</f>
        <v>1</v>
      </c>
      <c r="F1326" s="22">
        <f t="shared" si="63"/>
        <v>0</v>
      </c>
      <c r="G1326" s="88">
        <f>VLOOKUP(A1326,'Current week'!$A$3:$F$1765,6,0)</f>
        <v>1</v>
      </c>
      <c r="H1326" s="102">
        <f t="shared" si="64"/>
        <v>164626.5</v>
      </c>
      <c r="I1326" s="102">
        <f t="shared" si="65"/>
        <v>0</v>
      </c>
      <c r="L1326" s="112"/>
    </row>
    <row r="1327" spans="1:12" x14ac:dyDescent="0.25">
      <c r="A1327" s="45" t="s">
        <v>3698</v>
      </c>
      <c r="B1327" s="45" t="s">
        <v>2053</v>
      </c>
      <c r="C1327" s="46" t="s">
        <v>2054</v>
      </c>
      <c r="D1327" s="75">
        <v>50460.11</v>
      </c>
      <c r="E1327" s="92"/>
      <c r="F1327" s="48">
        <f t="shared" si="63"/>
        <v>0</v>
      </c>
      <c r="G1327" s="92"/>
      <c r="H1327" s="106"/>
      <c r="I1327" s="106"/>
      <c r="L1327" s="112"/>
    </row>
    <row r="1328" spans="1:12" x14ac:dyDescent="0.25">
      <c r="A1328" s="19" t="s">
        <v>3699</v>
      </c>
      <c r="B1328" s="19" t="s">
        <v>2055</v>
      </c>
      <c r="C1328" s="20" t="s">
        <v>2056</v>
      </c>
      <c r="D1328" s="77">
        <v>18922.54</v>
      </c>
      <c r="E1328" s="88">
        <f>VLOOKUP(A1328,'Previous week'!$A$3:$F$1765,6,FALSE)</f>
        <v>1</v>
      </c>
      <c r="F1328" s="22">
        <f t="shared" si="63"/>
        <v>0</v>
      </c>
      <c r="G1328" s="88">
        <f>VLOOKUP(A1328,'Current week'!$A$3:$F$1765,6,0)</f>
        <v>1</v>
      </c>
      <c r="H1328" s="101">
        <f t="shared" si="64"/>
        <v>18922.54</v>
      </c>
      <c r="I1328" s="101">
        <f t="shared" si="65"/>
        <v>0</v>
      </c>
      <c r="L1328" s="112"/>
    </row>
    <row r="1329" spans="1:12" x14ac:dyDescent="0.25">
      <c r="A1329" s="33" t="s">
        <v>3700</v>
      </c>
      <c r="B1329" s="33" t="s">
        <v>2057</v>
      </c>
      <c r="C1329" s="34" t="s">
        <v>2058</v>
      </c>
      <c r="D1329" s="78">
        <v>155795.6</v>
      </c>
      <c r="E1329" s="88">
        <f>VLOOKUP(A1329,'Previous week'!$A$3:$F$1765,6,FALSE)</f>
        <v>1</v>
      </c>
      <c r="F1329" s="22">
        <f t="shared" si="63"/>
        <v>0</v>
      </c>
      <c r="G1329" s="88">
        <f>VLOOKUP(A1329,'Current week'!$A$3:$F$1765,6,0)</f>
        <v>1</v>
      </c>
      <c r="H1329" s="104">
        <f t="shared" si="64"/>
        <v>155795.6</v>
      </c>
      <c r="I1329" s="104">
        <f t="shared" si="65"/>
        <v>0</v>
      </c>
      <c r="L1329" s="112"/>
    </row>
    <row r="1330" spans="1:12" x14ac:dyDescent="0.25">
      <c r="A1330" s="33" t="s">
        <v>3701</v>
      </c>
      <c r="B1330" s="33" t="s">
        <v>2059</v>
      </c>
      <c r="C1330" s="34"/>
      <c r="D1330" s="78">
        <v>658318.98</v>
      </c>
      <c r="E1330" s="88">
        <f>VLOOKUP(A1330,'Previous week'!$A$3:$F$1765,6,FALSE)</f>
        <v>1</v>
      </c>
      <c r="F1330" s="22">
        <f t="shared" si="63"/>
        <v>0</v>
      </c>
      <c r="G1330" s="88">
        <f>VLOOKUP(A1330,'Current week'!$A$3:$F$1765,6,0)</f>
        <v>1</v>
      </c>
      <c r="H1330" s="104">
        <f t="shared" si="64"/>
        <v>658318.98</v>
      </c>
      <c r="I1330" s="104">
        <f t="shared" si="65"/>
        <v>0</v>
      </c>
      <c r="L1330" s="112"/>
    </row>
    <row r="1331" spans="1:12" x14ac:dyDescent="0.25">
      <c r="A1331" s="23" t="s">
        <v>3702</v>
      </c>
      <c r="B1331" s="23" t="s">
        <v>2060</v>
      </c>
      <c r="C1331" s="24"/>
      <c r="D1331" s="71">
        <v>112526.05</v>
      </c>
      <c r="E1331" s="88">
        <f>VLOOKUP(A1331,'Previous week'!$A$3:$F$1765,6,FALSE)</f>
        <v>1</v>
      </c>
      <c r="F1331" s="22">
        <f t="shared" si="63"/>
        <v>0</v>
      </c>
      <c r="G1331" s="88">
        <f>VLOOKUP(A1331,'Current week'!$A$3:$F$1765,6,0)</f>
        <v>1</v>
      </c>
      <c r="H1331" s="102">
        <f t="shared" si="64"/>
        <v>112526.05</v>
      </c>
      <c r="I1331" s="102">
        <f t="shared" si="65"/>
        <v>0</v>
      </c>
      <c r="L1331" s="112"/>
    </row>
    <row r="1332" spans="1:12" x14ac:dyDescent="0.25">
      <c r="A1332" s="45" t="s">
        <v>3703</v>
      </c>
      <c r="B1332" s="45" t="s">
        <v>2061</v>
      </c>
      <c r="C1332" s="46" t="s">
        <v>2062</v>
      </c>
      <c r="D1332" s="75">
        <v>16651.84</v>
      </c>
      <c r="E1332" s="92"/>
      <c r="F1332" s="48">
        <f t="shared" si="63"/>
        <v>0</v>
      </c>
      <c r="G1332" s="92"/>
      <c r="H1332" s="106"/>
      <c r="I1332" s="106"/>
      <c r="L1332" s="112"/>
    </row>
    <row r="1333" spans="1:12" x14ac:dyDescent="0.25">
      <c r="A1333" s="36" t="s">
        <v>3704</v>
      </c>
      <c r="B1333" s="36" t="s">
        <v>2063</v>
      </c>
      <c r="C1333" s="37" t="s">
        <v>2064</v>
      </c>
      <c r="D1333" s="79">
        <v>95874.21</v>
      </c>
      <c r="E1333" s="88">
        <f>VLOOKUP(A1333,'Previous week'!$A$3:$F$1765,6,FALSE)</f>
        <v>1</v>
      </c>
      <c r="F1333" s="22">
        <f t="shared" si="63"/>
        <v>0</v>
      </c>
      <c r="G1333" s="88">
        <f>VLOOKUP(A1333,'Current week'!$A$3:$F$1765,6,0)</f>
        <v>1</v>
      </c>
      <c r="H1333" s="105">
        <f t="shared" si="64"/>
        <v>95874.21</v>
      </c>
      <c r="I1333" s="105">
        <f t="shared" si="65"/>
        <v>0</v>
      </c>
      <c r="L1333" s="112"/>
    </row>
    <row r="1334" spans="1:12" x14ac:dyDescent="0.25">
      <c r="A1334" s="45" t="s">
        <v>3511</v>
      </c>
      <c r="B1334" s="45" t="s">
        <v>221</v>
      </c>
      <c r="C1334" s="46"/>
      <c r="D1334" s="75">
        <v>89801.58</v>
      </c>
      <c r="E1334" s="92"/>
      <c r="F1334" s="48">
        <f t="shared" si="63"/>
        <v>0</v>
      </c>
      <c r="G1334" s="92"/>
      <c r="H1334" s="106"/>
      <c r="I1334" s="106"/>
      <c r="L1334" s="112"/>
    </row>
    <row r="1335" spans="1:12" x14ac:dyDescent="0.25">
      <c r="A1335" s="45" t="s">
        <v>3497</v>
      </c>
      <c r="B1335" s="45" t="s">
        <v>1722</v>
      </c>
      <c r="C1335" s="46"/>
      <c r="D1335" s="75">
        <v>57055.71</v>
      </c>
      <c r="E1335" s="92"/>
      <c r="F1335" s="48">
        <f t="shared" si="63"/>
        <v>0</v>
      </c>
      <c r="G1335" s="92"/>
      <c r="H1335" s="106"/>
      <c r="I1335" s="106"/>
      <c r="L1335" s="112"/>
    </row>
    <row r="1336" spans="1:12" x14ac:dyDescent="0.25">
      <c r="A1336" s="19" t="s">
        <v>3705</v>
      </c>
      <c r="B1336" s="19" t="s">
        <v>2065</v>
      </c>
      <c r="C1336" s="20" t="s">
        <v>2066</v>
      </c>
      <c r="D1336" s="77">
        <v>5705.57</v>
      </c>
      <c r="E1336" s="88">
        <f>VLOOKUP(A1336,'Previous week'!$A$3:$F$1765,6,FALSE)</f>
        <v>1</v>
      </c>
      <c r="F1336" s="22">
        <f t="shared" si="63"/>
        <v>0</v>
      </c>
      <c r="G1336" s="88">
        <f>VLOOKUP(A1336,'Current week'!$A$3:$F$1765,6,0)</f>
        <v>1</v>
      </c>
      <c r="H1336" s="101">
        <f t="shared" si="64"/>
        <v>5705.57</v>
      </c>
      <c r="I1336" s="101">
        <f t="shared" si="65"/>
        <v>0</v>
      </c>
      <c r="L1336" s="112"/>
    </row>
    <row r="1337" spans="1:12" x14ac:dyDescent="0.25">
      <c r="A1337" s="33" t="s">
        <v>3706</v>
      </c>
      <c r="B1337" s="33" t="s">
        <v>2067</v>
      </c>
      <c r="C1337" s="34" t="s">
        <v>2068</v>
      </c>
      <c r="D1337" s="78">
        <v>2852.78</v>
      </c>
      <c r="E1337" s="88">
        <f>VLOOKUP(A1337,'Previous week'!$A$3:$F$1765,6,FALSE)</f>
        <v>1</v>
      </c>
      <c r="F1337" s="22">
        <f t="shared" si="63"/>
        <v>0</v>
      </c>
      <c r="G1337" s="88">
        <f>VLOOKUP(A1337,'Current week'!$A$3:$F$1765,6,0)</f>
        <v>1</v>
      </c>
      <c r="H1337" s="104">
        <f t="shared" si="64"/>
        <v>2852.78</v>
      </c>
      <c r="I1337" s="104">
        <f t="shared" si="65"/>
        <v>0</v>
      </c>
      <c r="L1337" s="112"/>
    </row>
    <row r="1338" spans="1:12" x14ac:dyDescent="0.25">
      <c r="A1338" s="23" t="s">
        <v>3707</v>
      </c>
      <c r="B1338" s="23" t="s">
        <v>2069</v>
      </c>
      <c r="C1338" s="24" t="s">
        <v>2070</v>
      </c>
      <c r="D1338" s="71">
        <v>28527.86</v>
      </c>
      <c r="E1338" s="88">
        <f>VLOOKUP(A1338,'Previous week'!$A$3:$F$1765,6,FALSE)</f>
        <v>1</v>
      </c>
      <c r="F1338" s="22">
        <f t="shared" si="63"/>
        <v>0</v>
      </c>
      <c r="G1338" s="88">
        <f>VLOOKUP(A1338,'Current week'!$A$3:$F$1765,6,0)</f>
        <v>1</v>
      </c>
      <c r="H1338" s="102">
        <f t="shared" si="64"/>
        <v>28527.86</v>
      </c>
      <c r="I1338" s="102">
        <f t="shared" si="65"/>
        <v>0</v>
      </c>
      <c r="L1338" s="112"/>
    </row>
    <row r="1339" spans="1:12" x14ac:dyDescent="0.25">
      <c r="A1339" s="45" t="s">
        <v>3708</v>
      </c>
      <c r="B1339" s="45" t="s">
        <v>2071</v>
      </c>
      <c r="C1339" s="46" t="s">
        <v>2072</v>
      </c>
      <c r="D1339" s="75">
        <v>11411.15</v>
      </c>
      <c r="E1339" s="92"/>
      <c r="F1339" s="48">
        <f t="shared" si="63"/>
        <v>0</v>
      </c>
      <c r="G1339" s="92"/>
      <c r="H1339" s="106"/>
      <c r="I1339" s="106"/>
      <c r="L1339" s="112"/>
    </row>
    <row r="1340" spans="1:12" x14ac:dyDescent="0.25">
      <c r="A1340" s="23" t="s">
        <v>3709</v>
      </c>
      <c r="B1340" s="23" t="s">
        <v>2073</v>
      </c>
      <c r="C1340" s="24" t="s">
        <v>2074</v>
      </c>
      <c r="D1340" s="71">
        <v>2852.78</v>
      </c>
      <c r="E1340" s="88">
        <f>VLOOKUP(A1340,'Previous week'!$A$3:$F$1765,6,FALSE)</f>
        <v>1</v>
      </c>
      <c r="F1340" s="22">
        <f t="shared" si="63"/>
        <v>0</v>
      </c>
      <c r="G1340" s="88">
        <f>VLOOKUP(A1340,'Current week'!$A$3:$F$1765,6,0)</f>
        <v>1</v>
      </c>
      <c r="H1340" s="102">
        <f t="shared" si="64"/>
        <v>2852.78</v>
      </c>
      <c r="I1340" s="102">
        <f t="shared" si="65"/>
        <v>0</v>
      </c>
      <c r="L1340" s="112"/>
    </row>
    <row r="1341" spans="1:12" x14ac:dyDescent="0.25">
      <c r="A1341" s="45" t="s">
        <v>3710</v>
      </c>
      <c r="B1341" s="45" t="s">
        <v>2075</v>
      </c>
      <c r="C1341" s="46" t="s">
        <v>2076</v>
      </c>
      <c r="D1341" s="75">
        <v>5705.57</v>
      </c>
      <c r="E1341" s="92"/>
      <c r="F1341" s="48">
        <f t="shared" si="63"/>
        <v>0</v>
      </c>
      <c r="G1341" s="92"/>
      <c r="H1341" s="106"/>
      <c r="I1341" s="106"/>
      <c r="L1341" s="112"/>
    </row>
    <row r="1342" spans="1:12" x14ac:dyDescent="0.25">
      <c r="A1342" s="19" t="s">
        <v>3503</v>
      </c>
      <c r="B1342" s="19" t="s">
        <v>1733</v>
      </c>
      <c r="C1342" s="20"/>
      <c r="D1342" s="77">
        <v>304.22000000000003</v>
      </c>
      <c r="E1342" s="88">
        <f>VLOOKUP(A1342,'Previous week'!$A$3:$F$1765,6,FALSE)</f>
        <v>1</v>
      </c>
      <c r="F1342" s="22">
        <f t="shared" si="63"/>
        <v>0</v>
      </c>
      <c r="G1342" s="88">
        <f>VLOOKUP(A1342,'Current week'!$A$3:$F$1765,6,0)</f>
        <v>1</v>
      </c>
      <c r="H1342" s="101">
        <f t="shared" ref="H1342:H1402" si="66">G1342*D1342</f>
        <v>304.22000000000003</v>
      </c>
      <c r="I1342" s="101">
        <f t="shared" ref="I1342:I1402" si="67">F1342*D1342</f>
        <v>0</v>
      </c>
      <c r="L1342" s="112"/>
    </row>
    <row r="1343" spans="1:12" x14ac:dyDescent="0.25">
      <c r="A1343" s="33" t="s">
        <v>3711</v>
      </c>
      <c r="B1343" s="33" t="s">
        <v>2077</v>
      </c>
      <c r="C1343" s="34" t="s">
        <v>2078</v>
      </c>
      <c r="D1343" s="78">
        <v>304.22000000000003</v>
      </c>
      <c r="E1343" s="88">
        <f>VLOOKUP(A1343,'Previous week'!$A$3:$F$1765,6,FALSE)</f>
        <v>1</v>
      </c>
      <c r="F1343" s="22">
        <f t="shared" ref="F1343:F1403" si="68">G1343-E1343</f>
        <v>0</v>
      </c>
      <c r="G1343" s="88">
        <f>VLOOKUP(A1343,'Current week'!$A$3:$F$1765,6,0)</f>
        <v>1</v>
      </c>
      <c r="H1343" s="104">
        <f t="shared" si="66"/>
        <v>304.22000000000003</v>
      </c>
      <c r="I1343" s="104">
        <f t="shared" si="67"/>
        <v>0</v>
      </c>
      <c r="L1343" s="112"/>
    </row>
    <row r="1344" spans="1:12" x14ac:dyDescent="0.25">
      <c r="A1344" s="23" t="s">
        <v>2800</v>
      </c>
      <c r="B1344" s="23" t="s">
        <v>486</v>
      </c>
      <c r="C1344" s="24"/>
      <c r="D1344" s="71">
        <v>32441.65</v>
      </c>
      <c r="E1344" s="88">
        <f>VLOOKUP(A1344,'Previous week'!$A$3:$F$1765,6,FALSE)</f>
        <v>0</v>
      </c>
      <c r="F1344" s="22">
        <f t="shared" si="68"/>
        <v>0</v>
      </c>
      <c r="G1344" s="88">
        <f>VLOOKUP(A1344,'Current week'!$A$3:$F$1765,6,0)</f>
        <v>0</v>
      </c>
      <c r="H1344" s="102">
        <f t="shared" si="66"/>
        <v>0</v>
      </c>
      <c r="I1344" s="102">
        <f t="shared" si="67"/>
        <v>0</v>
      </c>
      <c r="L1344" s="112"/>
    </row>
    <row r="1345" spans="1:12" x14ac:dyDescent="0.25">
      <c r="A1345" s="45" t="s">
        <v>3712</v>
      </c>
      <c r="B1345" s="45" t="s">
        <v>2079</v>
      </c>
      <c r="C1345" s="46" t="s">
        <v>2080</v>
      </c>
      <c r="D1345" s="75">
        <v>32441.65</v>
      </c>
      <c r="E1345" s="92"/>
      <c r="F1345" s="48">
        <f t="shared" si="68"/>
        <v>0</v>
      </c>
      <c r="G1345" s="92"/>
      <c r="H1345" s="106"/>
      <c r="I1345" s="106"/>
      <c r="L1345" s="112"/>
    </row>
    <row r="1346" spans="1:12" x14ac:dyDescent="0.25">
      <c r="A1346" s="41" t="s">
        <v>2803</v>
      </c>
      <c r="B1346" s="41" t="s">
        <v>491</v>
      </c>
      <c r="C1346" s="42"/>
      <c r="D1346" s="66">
        <v>145684.48000000001</v>
      </c>
      <c r="E1346" s="91"/>
      <c r="F1346" s="67">
        <f t="shared" si="68"/>
        <v>0</v>
      </c>
      <c r="G1346" s="91"/>
      <c r="H1346" s="103"/>
      <c r="I1346" s="103"/>
      <c r="L1346" s="112"/>
    </row>
    <row r="1347" spans="1:12" x14ac:dyDescent="0.25">
      <c r="A1347" s="45" t="s">
        <v>3497</v>
      </c>
      <c r="B1347" s="45" t="s">
        <v>1722</v>
      </c>
      <c r="C1347" s="46"/>
      <c r="D1347" s="75">
        <v>113107.76</v>
      </c>
      <c r="E1347" s="92"/>
      <c r="F1347" s="80">
        <f t="shared" si="68"/>
        <v>0</v>
      </c>
      <c r="G1347" s="92"/>
      <c r="H1347" s="106"/>
      <c r="I1347" s="106"/>
      <c r="L1347" s="112"/>
    </row>
    <row r="1348" spans="1:12" x14ac:dyDescent="0.25">
      <c r="A1348" s="19" t="s">
        <v>3713</v>
      </c>
      <c r="B1348" s="19" t="s">
        <v>2081</v>
      </c>
      <c r="C1348" s="20" t="s">
        <v>2082</v>
      </c>
      <c r="D1348" s="77">
        <v>10479.66</v>
      </c>
      <c r="E1348" s="88">
        <f>VLOOKUP(A1348,'Previous week'!$A$3:$F$1765,6,FALSE)</f>
        <v>1</v>
      </c>
      <c r="F1348" s="22">
        <f t="shared" si="68"/>
        <v>0</v>
      </c>
      <c r="G1348" s="88">
        <f>VLOOKUP(A1348,'Current week'!$A$3:$F$1765,6,0)</f>
        <v>1</v>
      </c>
      <c r="H1348" s="101">
        <f t="shared" si="66"/>
        <v>10479.66</v>
      </c>
      <c r="I1348" s="101">
        <f t="shared" si="67"/>
        <v>0</v>
      </c>
      <c r="L1348" s="112"/>
    </row>
    <row r="1349" spans="1:12" x14ac:dyDescent="0.25">
      <c r="A1349" s="33" t="s">
        <v>3714</v>
      </c>
      <c r="B1349" s="33" t="s">
        <v>2083</v>
      </c>
      <c r="C1349" s="34" t="s">
        <v>2068</v>
      </c>
      <c r="D1349" s="78">
        <v>5239.8500000000004</v>
      </c>
      <c r="E1349" s="88">
        <f>VLOOKUP(A1349,'Previous week'!$A$3:$F$1765,6,FALSE)</f>
        <v>1</v>
      </c>
      <c r="F1349" s="22">
        <f t="shared" si="68"/>
        <v>0</v>
      </c>
      <c r="G1349" s="88">
        <f>VLOOKUP(A1349,'Current week'!$A$3:$F$1765,6,0)</f>
        <v>1</v>
      </c>
      <c r="H1349" s="104">
        <f t="shared" si="66"/>
        <v>5239.8500000000004</v>
      </c>
      <c r="I1349" s="104">
        <f t="shared" si="67"/>
        <v>0</v>
      </c>
      <c r="L1349" s="112"/>
    </row>
    <row r="1350" spans="1:12" x14ac:dyDescent="0.25">
      <c r="A1350" s="23" t="s">
        <v>3715</v>
      </c>
      <c r="B1350" s="23" t="s">
        <v>2084</v>
      </c>
      <c r="C1350" s="24" t="s">
        <v>2085</v>
      </c>
      <c r="D1350" s="71">
        <v>52398.34</v>
      </c>
      <c r="E1350" s="88">
        <f>VLOOKUP(A1350,'Previous week'!$A$3:$F$1765,6,FALSE)</f>
        <v>1</v>
      </c>
      <c r="F1350" s="22">
        <f t="shared" si="68"/>
        <v>0</v>
      </c>
      <c r="G1350" s="88">
        <f>VLOOKUP(A1350,'Current week'!$A$3:$F$1765,6,0)</f>
        <v>1</v>
      </c>
      <c r="H1350" s="102">
        <f t="shared" si="66"/>
        <v>52398.34</v>
      </c>
      <c r="I1350" s="102">
        <f t="shared" si="67"/>
        <v>0</v>
      </c>
      <c r="L1350" s="112"/>
    </row>
    <row r="1351" spans="1:12" x14ac:dyDescent="0.25">
      <c r="A1351" s="45" t="s">
        <v>3716</v>
      </c>
      <c r="B1351" s="45" t="s">
        <v>2086</v>
      </c>
      <c r="C1351" s="46" t="s">
        <v>2087</v>
      </c>
      <c r="D1351" s="75">
        <v>20959.32</v>
      </c>
      <c r="E1351" s="92"/>
      <c r="F1351" s="48">
        <f t="shared" si="68"/>
        <v>0</v>
      </c>
      <c r="G1351" s="92"/>
      <c r="H1351" s="106"/>
      <c r="I1351" s="106"/>
      <c r="L1351" s="112"/>
    </row>
    <row r="1352" spans="1:12" x14ac:dyDescent="0.25">
      <c r="A1352" s="19" t="s">
        <v>3717</v>
      </c>
      <c r="B1352" s="19" t="s">
        <v>2088</v>
      </c>
      <c r="C1352" s="20" t="s">
        <v>2089</v>
      </c>
      <c r="D1352" s="77">
        <v>5239.8500000000004</v>
      </c>
      <c r="E1352" s="88">
        <f>VLOOKUP(A1352,'Previous week'!$A$3:$F$1765,6,FALSE)</f>
        <v>1</v>
      </c>
      <c r="F1352" s="22">
        <f t="shared" si="68"/>
        <v>0</v>
      </c>
      <c r="G1352" s="88">
        <f>VLOOKUP(A1352,'Current week'!$A$3:$F$1765,6,0)</f>
        <v>1</v>
      </c>
      <c r="H1352" s="101">
        <f t="shared" si="66"/>
        <v>5239.8500000000004</v>
      </c>
      <c r="I1352" s="101">
        <f t="shared" si="67"/>
        <v>0</v>
      </c>
      <c r="L1352" s="112"/>
    </row>
    <row r="1353" spans="1:12" x14ac:dyDescent="0.25">
      <c r="A1353" s="33" t="s">
        <v>3718</v>
      </c>
      <c r="B1353" s="33" t="s">
        <v>2090</v>
      </c>
      <c r="C1353" s="34" t="s">
        <v>2076</v>
      </c>
      <c r="D1353" s="78">
        <v>10479.66</v>
      </c>
      <c r="E1353" s="88">
        <f>VLOOKUP(A1353,'Previous week'!$A$3:$F$1765,6,FALSE)</f>
        <v>1</v>
      </c>
      <c r="F1353" s="22">
        <f t="shared" si="68"/>
        <v>0</v>
      </c>
      <c r="G1353" s="88">
        <f>VLOOKUP(A1353,'Current week'!$A$3:$F$1765,6,0)</f>
        <v>1</v>
      </c>
      <c r="H1353" s="104">
        <f t="shared" si="66"/>
        <v>10479.66</v>
      </c>
      <c r="I1353" s="104">
        <f t="shared" si="67"/>
        <v>0</v>
      </c>
      <c r="L1353" s="112"/>
    </row>
    <row r="1354" spans="1:12" x14ac:dyDescent="0.25">
      <c r="A1354" s="23" t="s">
        <v>3719</v>
      </c>
      <c r="B1354" s="23" t="s">
        <v>2091</v>
      </c>
      <c r="C1354" s="24" t="s">
        <v>2092</v>
      </c>
      <c r="D1354" s="71">
        <v>8311.08</v>
      </c>
      <c r="E1354" s="88">
        <f>VLOOKUP(A1354,'Previous week'!$A$3:$F$1765,6,FALSE)</f>
        <v>1</v>
      </c>
      <c r="F1354" s="22">
        <f t="shared" si="68"/>
        <v>0</v>
      </c>
      <c r="G1354" s="88">
        <f>VLOOKUP(A1354,'Current week'!$A$3:$F$1765,6,0)</f>
        <v>1</v>
      </c>
      <c r="H1354" s="102">
        <f t="shared" si="66"/>
        <v>8311.08</v>
      </c>
      <c r="I1354" s="102">
        <f t="shared" si="67"/>
        <v>0</v>
      </c>
      <c r="L1354" s="112"/>
    </row>
    <row r="1355" spans="1:12" x14ac:dyDescent="0.25">
      <c r="A1355" s="45" t="s">
        <v>3503</v>
      </c>
      <c r="B1355" s="45" t="s">
        <v>1733</v>
      </c>
      <c r="C1355" s="46"/>
      <c r="D1355" s="75">
        <v>5288.43</v>
      </c>
      <c r="E1355" s="92"/>
      <c r="F1355" s="48">
        <f t="shared" si="68"/>
        <v>0</v>
      </c>
      <c r="G1355" s="92"/>
      <c r="H1355" s="106"/>
      <c r="I1355" s="106"/>
      <c r="L1355" s="112"/>
    </row>
    <row r="1356" spans="1:12" x14ac:dyDescent="0.25">
      <c r="A1356" s="19" t="s">
        <v>3720</v>
      </c>
      <c r="B1356" s="19" t="s">
        <v>2093</v>
      </c>
      <c r="C1356" s="20" t="s">
        <v>2094</v>
      </c>
      <c r="D1356" s="77">
        <v>5288.43</v>
      </c>
      <c r="E1356" s="88">
        <f>VLOOKUP(A1356,'Previous week'!$A$3:$F$1765,6,FALSE)</f>
        <v>1</v>
      </c>
      <c r="F1356" s="22">
        <f t="shared" si="68"/>
        <v>0</v>
      </c>
      <c r="G1356" s="88">
        <f>VLOOKUP(A1356,'Current week'!$A$3:$F$1765,6,0)</f>
        <v>1</v>
      </c>
      <c r="H1356" s="101">
        <f t="shared" si="66"/>
        <v>5288.43</v>
      </c>
      <c r="I1356" s="101">
        <f t="shared" si="67"/>
        <v>0</v>
      </c>
      <c r="L1356" s="112"/>
    </row>
    <row r="1357" spans="1:12" x14ac:dyDescent="0.25">
      <c r="A1357" s="23" t="s">
        <v>3528</v>
      </c>
      <c r="B1357" s="23" t="s">
        <v>127</v>
      </c>
      <c r="C1357" s="24"/>
      <c r="D1357" s="71">
        <v>18457.78</v>
      </c>
      <c r="E1357" s="88">
        <f>VLOOKUP(A1357,'Previous week'!$A$3:$F$1765,6,FALSE)</f>
        <v>1</v>
      </c>
      <c r="F1357" s="22">
        <f t="shared" si="68"/>
        <v>0</v>
      </c>
      <c r="G1357" s="88">
        <f>VLOOKUP(A1357,'Current week'!$A$3:$F$1765,6,0)</f>
        <v>1</v>
      </c>
      <c r="H1357" s="102">
        <f t="shared" si="66"/>
        <v>18457.78</v>
      </c>
      <c r="I1357" s="102">
        <f t="shared" si="67"/>
        <v>0</v>
      </c>
      <c r="L1357" s="112"/>
    </row>
    <row r="1358" spans="1:12" x14ac:dyDescent="0.25">
      <c r="A1358" s="45" t="s">
        <v>3721</v>
      </c>
      <c r="B1358" s="45" t="s">
        <v>2095</v>
      </c>
      <c r="C1358" s="46" t="s">
        <v>2096</v>
      </c>
      <c r="D1358" s="75">
        <v>11204.14</v>
      </c>
      <c r="E1358" s="92"/>
      <c r="F1358" s="48">
        <f t="shared" si="68"/>
        <v>0</v>
      </c>
      <c r="G1358" s="92"/>
      <c r="H1358" s="106"/>
      <c r="I1358" s="106"/>
      <c r="L1358" s="112"/>
    </row>
    <row r="1359" spans="1:12" x14ac:dyDescent="0.25">
      <c r="A1359" s="19" t="s">
        <v>3722</v>
      </c>
      <c r="B1359" s="19" t="s">
        <v>2097</v>
      </c>
      <c r="C1359" s="20" t="s">
        <v>2098</v>
      </c>
      <c r="D1359" s="77">
        <v>7253.64</v>
      </c>
      <c r="E1359" s="88">
        <f>VLOOKUP(A1359,'Previous week'!$A$3:$F$1765,6,FALSE)</f>
        <v>1</v>
      </c>
      <c r="F1359" s="22">
        <f t="shared" si="68"/>
        <v>0</v>
      </c>
      <c r="G1359" s="88">
        <f>VLOOKUP(A1359,'Current week'!$A$3:$F$1765,6,0)</f>
        <v>1</v>
      </c>
      <c r="H1359" s="101">
        <f t="shared" si="66"/>
        <v>7253.64</v>
      </c>
      <c r="I1359" s="101">
        <f t="shared" si="67"/>
        <v>0</v>
      </c>
      <c r="L1359" s="112"/>
    </row>
    <row r="1360" spans="1:12" x14ac:dyDescent="0.25">
      <c r="A1360" s="23" t="s">
        <v>2810</v>
      </c>
      <c r="B1360" s="23" t="s">
        <v>499</v>
      </c>
      <c r="C1360" s="24"/>
      <c r="D1360" s="71">
        <v>8830.52</v>
      </c>
      <c r="E1360" s="88">
        <f>VLOOKUP(A1360,'Previous week'!$A$3:$F$1765,6,FALSE)</f>
        <v>0</v>
      </c>
      <c r="F1360" s="22">
        <f t="shared" si="68"/>
        <v>0</v>
      </c>
      <c r="G1360" s="88">
        <f>VLOOKUP(A1360,'Current week'!$A$3:$F$1765,6,0)</f>
        <v>0</v>
      </c>
      <c r="H1360" s="102">
        <f t="shared" si="66"/>
        <v>0</v>
      </c>
      <c r="I1360" s="102">
        <f t="shared" si="67"/>
        <v>0</v>
      </c>
      <c r="L1360" s="112"/>
    </row>
    <row r="1361" spans="1:12" x14ac:dyDescent="0.25">
      <c r="A1361" s="41" t="s">
        <v>3723</v>
      </c>
      <c r="B1361" s="41" t="s">
        <v>2099</v>
      </c>
      <c r="C1361" s="42" t="s">
        <v>2100</v>
      </c>
      <c r="D1361" s="66">
        <v>8830.52</v>
      </c>
      <c r="E1361" s="91"/>
      <c r="F1361" s="67">
        <f t="shared" si="68"/>
        <v>0</v>
      </c>
      <c r="G1361" s="91"/>
      <c r="H1361" s="103"/>
      <c r="I1361" s="103"/>
      <c r="L1361" s="112"/>
    </row>
    <row r="1362" spans="1:12" x14ac:dyDescent="0.25">
      <c r="A1362" s="45" t="s">
        <v>3530</v>
      </c>
      <c r="B1362" s="45" t="s">
        <v>120</v>
      </c>
      <c r="C1362" s="46"/>
      <c r="D1362" s="75">
        <v>139057.87</v>
      </c>
      <c r="E1362" s="92"/>
      <c r="F1362" s="80">
        <f t="shared" si="68"/>
        <v>0</v>
      </c>
      <c r="G1362" s="92"/>
      <c r="H1362" s="106"/>
      <c r="I1362" s="106"/>
      <c r="L1362" s="112"/>
    </row>
    <row r="1363" spans="1:12" x14ac:dyDescent="0.25">
      <c r="A1363" s="19" t="s">
        <v>3497</v>
      </c>
      <c r="B1363" s="19" t="s">
        <v>1722</v>
      </c>
      <c r="C1363" s="20"/>
      <c r="D1363" s="77">
        <v>84122.84</v>
      </c>
      <c r="E1363" s="88">
        <f>VLOOKUP(A1363,'Previous week'!$A$3:$F$1765,6,FALSE)</f>
        <v>1</v>
      </c>
      <c r="F1363" s="22">
        <f t="shared" si="68"/>
        <v>0</v>
      </c>
      <c r="G1363" s="88">
        <f>VLOOKUP(A1363,'Current week'!$A$3:$F$1765,6,0)</f>
        <v>1</v>
      </c>
      <c r="H1363" s="101">
        <f t="shared" si="66"/>
        <v>84122.84</v>
      </c>
      <c r="I1363" s="101">
        <f t="shared" si="67"/>
        <v>0</v>
      </c>
      <c r="L1363" s="112"/>
    </row>
    <row r="1364" spans="1:12" x14ac:dyDescent="0.25">
      <c r="A1364" s="33" t="s">
        <v>3724</v>
      </c>
      <c r="B1364" s="33" t="s">
        <v>2101</v>
      </c>
      <c r="C1364" s="34" t="s">
        <v>2082</v>
      </c>
      <c r="D1364" s="78">
        <v>8412.2900000000009</v>
      </c>
      <c r="E1364" s="88">
        <f>VLOOKUP(A1364,'Previous week'!$A$3:$F$1765,6,FALSE)</f>
        <v>1</v>
      </c>
      <c r="F1364" s="22">
        <f t="shared" si="68"/>
        <v>0</v>
      </c>
      <c r="G1364" s="88">
        <f>VLOOKUP(A1364,'Current week'!$A$3:$F$1765,6,0)</f>
        <v>1</v>
      </c>
      <c r="H1364" s="104">
        <f t="shared" si="66"/>
        <v>8412.2900000000009</v>
      </c>
      <c r="I1364" s="104">
        <f t="shared" si="67"/>
        <v>0</v>
      </c>
      <c r="L1364" s="112"/>
    </row>
    <row r="1365" spans="1:12" x14ac:dyDescent="0.25">
      <c r="A1365" s="33" t="s">
        <v>3725</v>
      </c>
      <c r="B1365" s="33" t="s">
        <v>2102</v>
      </c>
      <c r="C1365" s="34" t="s">
        <v>2068</v>
      </c>
      <c r="D1365" s="78">
        <v>4206.1499999999996</v>
      </c>
      <c r="E1365" s="88">
        <f>VLOOKUP(A1365,'Previous week'!$A$3:$F$1765,6,FALSE)</f>
        <v>1</v>
      </c>
      <c r="F1365" s="22">
        <f t="shared" si="68"/>
        <v>0</v>
      </c>
      <c r="G1365" s="88">
        <f>VLOOKUP(A1365,'Current week'!$A$3:$F$1765,6,0)</f>
        <v>1</v>
      </c>
      <c r="H1365" s="104">
        <f t="shared" si="66"/>
        <v>4206.1499999999996</v>
      </c>
      <c r="I1365" s="104">
        <f t="shared" si="67"/>
        <v>0</v>
      </c>
      <c r="L1365" s="112"/>
    </row>
    <row r="1366" spans="1:12" x14ac:dyDescent="0.25">
      <c r="A1366" s="33" t="s">
        <v>3726</v>
      </c>
      <c r="B1366" s="33" t="s">
        <v>2103</v>
      </c>
      <c r="C1366" s="34" t="s">
        <v>2085</v>
      </c>
      <c r="D1366" s="78">
        <v>42061.41</v>
      </c>
      <c r="E1366" s="88">
        <f>VLOOKUP(A1366,'Previous week'!$A$3:$F$1765,6,FALSE)</f>
        <v>1</v>
      </c>
      <c r="F1366" s="22">
        <f t="shared" si="68"/>
        <v>0</v>
      </c>
      <c r="G1366" s="88">
        <f>VLOOKUP(A1366,'Current week'!$A$3:$F$1765,6,0)</f>
        <v>1</v>
      </c>
      <c r="H1366" s="104">
        <f t="shared" si="66"/>
        <v>42061.41</v>
      </c>
      <c r="I1366" s="104">
        <f t="shared" si="67"/>
        <v>0</v>
      </c>
      <c r="L1366" s="112"/>
    </row>
    <row r="1367" spans="1:12" x14ac:dyDescent="0.25">
      <c r="A1367" s="33" t="s">
        <v>3727</v>
      </c>
      <c r="B1367" s="33" t="s">
        <v>2104</v>
      </c>
      <c r="C1367" s="34" t="s">
        <v>2087</v>
      </c>
      <c r="D1367" s="78">
        <v>16824.560000000001</v>
      </c>
      <c r="E1367" s="88">
        <f>VLOOKUP(A1367,'Previous week'!$A$3:$F$1765,6,FALSE)</f>
        <v>1</v>
      </c>
      <c r="F1367" s="22">
        <f t="shared" si="68"/>
        <v>0</v>
      </c>
      <c r="G1367" s="88">
        <f>VLOOKUP(A1367,'Current week'!$A$3:$F$1765,6,0)</f>
        <v>1</v>
      </c>
      <c r="H1367" s="104">
        <f t="shared" si="66"/>
        <v>16824.560000000001</v>
      </c>
      <c r="I1367" s="104">
        <f t="shared" si="67"/>
        <v>0</v>
      </c>
      <c r="L1367" s="112"/>
    </row>
    <row r="1368" spans="1:12" x14ac:dyDescent="0.25">
      <c r="A1368" s="23" t="s">
        <v>3728</v>
      </c>
      <c r="B1368" s="23" t="s">
        <v>2105</v>
      </c>
      <c r="C1368" s="24" t="s">
        <v>2074</v>
      </c>
      <c r="D1368" s="71">
        <v>4206.1499999999996</v>
      </c>
      <c r="E1368" s="88">
        <f>VLOOKUP(A1368,'Previous week'!$A$3:$F$1765,6,FALSE)</f>
        <v>1</v>
      </c>
      <c r="F1368" s="22">
        <f t="shared" si="68"/>
        <v>0</v>
      </c>
      <c r="G1368" s="88">
        <f>VLOOKUP(A1368,'Current week'!$A$3:$F$1765,6,0)</f>
        <v>1</v>
      </c>
      <c r="H1368" s="102">
        <f t="shared" si="66"/>
        <v>4206.1499999999996</v>
      </c>
      <c r="I1368" s="102">
        <f t="shared" si="67"/>
        <v>0</v>
      </c>
      <c r="L1368" s="112"/>
    </row>
    <row r="1369" spans="1:12" x14ac:dyDescent="0.25">
      <c r="A1369" s="45" t="s">
        <v>3729</v>
      </c>
      <c r="B1369" s="45" t="s">
        <v>2106</v>
      </c>
      <c r="C1369" s="46" t="s">
        <v>2107</v>
      </c>
      <c r="D1369" s="75">
        <v>8412.2900000000009</v>
      </c>
      <c r="E1369" s="92"/>
      <c r="F1369" s="48">
        <f t="shared" si="68"/>
        <v>0</v>
      </c>
      <c r="G1369" s="92"/>
      <c r="H1369" s="106"/>
      <c r="I1369" s="106"/>
      <c r="L1369" s="112"/>
    </row>
    <row r="1370" spans="1:12" x14ac:dyDescent="0.25">
      <c r="A1370" s="19" t="s">
        <v>3503</v>
      </c>
      <c r="B1370" s="19" t="s">
        <v>1733</v>
      </c>
      <c r="C1370" s="20"/>
      <c r="D1370" s="77">
        <v>6577.42</v>
      </c>
      <c r="E1370" s="88">
        <f>VLOOKUP(A1370,'Previous week'!$A$3:$F$1765,6,FALSE)</f>
        <v>1</v>
      </c>
      <c r="F1370" s="22">
        <f t="shared" si="68"/>
        <v>0</v>
      </c>
      <c r="G1370" s="88">
        <f>VLOOKUP(A1370,'Current week'!$A$3:$F$1765,6,0)</f>
        <v>1</v>
      </c>
      <c r="H1370" s="101">
        <f t="shared" si="66"/>
        <v>6577.42</v>
      </c>
      <c r="I1370" s="101">
        <f t="shared" si="67"/>
        <v>0</v>
      </c>
      <c r="L1370" s="112"/>
    </row>
    <row r="1371" spans="1:12" x14ac:dyDescent="0.25">
      <c r="A1371" s="33" t="s">
        <v>3730</v>
      </c>
      <c r="B1371" s="33" t="s">
        <v>2108</v>
      </c>
      <c r="C1371" s="34" t="s">
        <v>2094</v>
      </c>
      <c r="D1371" s="78">
        <v>6577.42</v>
      </c>
      <c r="E1371" s="88">
        <f>VLOOKUP(A1371,'Previous week'!$A$3:$F$1765,6,FALSE)</f>
        <v>1</v>
      </c>
      <c r="F1371" s="22">
        <f t="shared" si="68"/>
        <v>0</v>
      </c>
      <c r="G1371" s="88">
        <f>VLOOKUP(A1371,'Current week'!$A$3:$F$1765,6,0)</f>
        <v>1</v>
      </c>
      <c r="H1371" s="104">
        <f t="shared" si="66"/>
        <v>6577.42</v>
      </c>
      <c r="I1371" s="104">
        <f t="shared" si="67"/>
        <v>0</v>
      </c>
      <c r="L1371" s="112"/>
    </row>
    <row r="1372" spans="1:12" x14ac:dyDescent="0.25">
      <c r="A1372" s="33" t="s">
        <v>3528</v>
      </c>
      <c r="B1372" s="33" t="s">
        <v>127</v>
      </c>
      <c r="C1372" s="34"/>
      <c r="D1372" s="78">
        <v>10512.52</v>
      </c>
      <c r="E1372" s="88">
        <f>VLOOKUP(A1372,'Previous week'!$A$3:$F$1765,6,FALSE)</f>
        <v>1</v>
      </c>
      <c r="F1372" s="22">
        <f t="shared" si="68"/>
        <v>0</v>
      </c>
      <c r="G1372" s="88">
        <f>VLOOKUP(A1372,'Current week'!$A$3:$F$1765,6,0)</f>
        <v>1</v>
      </c>
      <c r="H1372" s="104">
        <f t="shared" si="66"/>
        <v>10512.52</v>
      </c>
      <c r="I1372" s="104">
        <f t="shared" si="67"/>
        <v>0</v>
      </c>
      <c r="L1372" s="112"/>
    </row>
    <row r="1373" spans="1:12" x14ac:dyDescent="0.25">
      <c r="A1373" s="33" t="s">
        <v>3731</v>
      </c>
      <c r="B1373" s="33" t="s">
        <v>2109</v>
      </c>
      <c r="C1373" s="34" t="s">
        <v>2096</v>
      </c>
      <c r="D1373" s="78">
        <v>10512.52</v>
      </c>
      <c r="E1373" s="88">
        <f>VLOOKUP(A1373,'Previous week'!$A$3:$F$1765,6,FALSE)</f>
        <v>1</v>
      </c>
      <c r="F1373" s="22">
        <f t="shared" si="68"/>
        <v>0</v>
      </c>
      <c r="G1373" s="88">
        <f>VLOOKUP(A1373,'Current week'!$A$3:$F$1765,6,0)</f>
        <v>1</v>
      </c>
      <c r="H1373" s="104">
        <f t="shared" si="66"/>
        <v>10512.52</v>
      </c>
      <c r="I1373" s="104">
        <f t="shared" si="67"/>
        <v>0</v>
      </c>
      <c r="L1373" s="112"/>
    </row>
    <row r="1374" spans="1:12" x14ac:dyDescent="0.25">
      <c r="A1374" s="33" t="s">
        <v>3677</v>
      </c>
      <c r="B1374" s="33" t="s">
        <v>2019</v>
      </c>
      <c r="C1374" s="34"/>
      <c r="D1374" s="78">
        <v>37845.08</v>
      </c>
      <c r="E1374" s="88">
        <f>VLOOKUP(A1374,'Previous week'!$A$3:$F$1765,6,FALSE)</f>
        <v>1</v>
      </c>
      <c r="F1374" s="22">
        <f t="shared" si="68"/>
        <v>0</v>
      </c>
      <c r="G1374" s="88">
        <f>VLOOKUP(A1374,'Current week'!$A$3:$F$1765,6,0)</f>
        <v>1</v>
      </c>
      <c r="H1374" s="104">
        <f t="shared" si="66"/>
        <v>37845.08</v>
      </c>
      <c r="I1374" s="104">
        <f t="shared" si="67"/>
        <v>0</v>
      </c>
      <c r="L1374" s="112"/>
    </row>
    <row r="1375" spans="1:12" x14ac:dyDescent="0.25">
      <c r="A1375" s="23" t="s">
        <v>3732</v>
      </c>
      <c r="B1375" s="23" t="s">
        <v>2110</v>
      </c>
      <c r="C1375" s="24" t="s">
        <v>2111</v>
      </c>
      <c r="D1375" s="71">
        <v>37845.08</v>
      </c>
      <c r="E1375" s="88">
        <f>VLOOKUP(A1375,'Previous week'!$A$3:$F$1765,6,FALSE)</f>
        <v>1</v>
      </c>
      <c r="F1375" s="22">
        <f t="shared" si="68"/>
        <v>0</v>
      </c>
      <c r="G1375" s="88">
        <f>VLOOKUP(A1375,'Current week'!$A$3:$F$1765,6,0)</f>
        <v>1</v>
      </c>
      <c r="H1375" s="102">
        <f t="shared" si="66"/>
        <v>37845.08</v>
      </c>
      <c r="I1375" s="102">
        <f t="shared" si="67"/>
        <v>0</v>
      </c>
      <c r="L1375" s="112"/>
    </row>
    <row r="1376" spans="1:12" x14ac:dyDescent="0.25">
      <c r="A1376" s="45" t="s">
        <v>3540</v>
      </c>
      <c r="B1376" s="45" t="s">
        <v>1785</v>
      </c>
      <c r="C1376" s="46"/>
      <c r="D1376" s="75">
        <v>171249.01</v>
      </c>
      <c r="E1376" s="92"/>
      <c r="F1376" s="48">
        <f t="shared" si="68"/>
        <v>0</v>
      </c>
      <c r="G1376" s="92"/>
      <c r="H1376" s="106"/>
      <c r="I1376" s="106"/>
      <c r="L1376" s="112"/>
    </row>
    <row r="1377" spans="1:12" x14ac:dyDescent="0.25">
      <c r="A1377" s="19" t="s">
        <v>3548</v>
      </c>
      <c r="B1377" s="19" t="s">
        <v>1799</v>
      </c>
      <c r="C1377" s="20"/>
      <c r="D1377" s="77">
        <v>171249.01</v>
      </c>
      <c r="E1377" s="88">
        <f>VLOOKUP(A1377,'Previous week'!$A$3:$F$1765,6,FALSE)</f>
        <v>1</v>
      </c>
      <c r="F1377" s="22">
        <f t="shared" si="68"/>
        <v>0</v>
      </c>
      <c r="G1377" s="88">
        <f>VLOOKUP(A1377,'Current week'!$A$3:$F$1765,6,0)</f>
        <v>1</v>
      </c>
      <c r="H1377" s="101">
        <f t="shared" si="66"/>
        <v>171249.01</v>
      </c>
      <c r="I1377" s="101">
        <f t="shared" si="67"/>
        <v>0</v>
      </c>
      <c r="L1377" s="112"/>
    </row>
    <row r="1378" spans="1:12" x14ac:dyDescent="0.25">
      <c r="A1378" s="33" t="s">
        <v>3733</v>
      </c>
      <c r="B1378" s="33" t="s">
        <v>2112</v>
      </c>
      <c r="C1378" s="34" t="s">
        <v>2113</v>
      </c>
      <c r="D1378" s="78">
        <v>133214.70000000001</v>
      </c>
      <c r="E1378" s="88">
        <f>VLOOKUP(A1378,'Previous week'!$A$3:$F$1765,6,FALSE)</f>
        <v>1</v>
      </c>
      <c r="F1378" s="22">
        <f t="shared" si="68"/>
        <v>0</v>
      </c>
      <c r="G1378" s="88">
        <f>VLOOKUP(A1378,'Current week'!$A$3:$F$1765,6,0)</f>
        <v>1</v>
      </c>
      <c r="H1378" s="104">
        <f t="shared" si="66"/>
        <v>133214.70000000001</v>
      </c>
      <c r="I1378" s="104">
        <f t="shared" si="67"/>
        <v>0</v>
      </c>
      <c r="L1378" s="112"/>
    </row>
    <row r="1379" spans="1:12" x14ac:dyDescent="0.25">
      <c r="A1379" s="33" t="s">
        <v>3734</v>
      </c>
      <c r="B1379" s="33" t="s">
        <v>2114</v>
      </c>
      <c r="C1379" s="34" t="s">
        <v>2115</v>
      </c>
      <c r="D1379" s="78">
        <v>3973.73</v>
      </c>
      <c r="E1379" s="88">
        <f>VLOOKUP(A1379,'Previous week'!$A$3:$F$1765,6,FALSE)</f>
        <v>1</v>
      </c>
      <c r="F1379" s="22">
        <f t="shared" si="68"/>
        <v>0</v>
      </c>
      <c r="G1379" s="88">
        <f>VLOOKUP(A1379,'Current week'!$A$3:$F$1765,6,0)</f>
        <v>1</v>
      </c>
      <c r="H1379" s="104">
        <f t="shared" si="66"/>
        <v>3973.73</v>
      </c>
      <c r="I1379" s="104">
        <f t="shared" si="67"/>
        <v>0</v>
      </c>
      <c r="L1379" s="112"/>
    </row>
    <row r="1380" spans="1:12" x14ac:dyDescent="0.25">
      <c r="A1380" s="33" t="s">
        <v>3735</v>
      </c>
      <c r="B1380" s="33" t="s">
        <v>2116</v>
      </c>
      <c r="C1380" s="34" t="s">
        <v>2080</v>
      </c>
      <c r="D1380" s="78">
        <v>34060.58</v>
      </c>
      <c r="E1380" s="88">
        <f>VLOOKUP(A1380,'Previous week'!$A$3:$F$1765,6,FALSE)</f>
        <v>1</v>
      </c>
      <c r="F1380" s="22">
        <f t="shared" si="68"/>
        <v>0</v>
      </c>
      <c r="G1380" s="88">
        <f>VLOOKUP(A1380,'Current week'!$A$3:$F$1765,6,0)</f>
        <v>1</v>
      </c>
      <c r="H1380" s="104">
        <f t="shared" si="66"/>
        <v>34060.58</v>
      </c>
      <c r="I1380" s="104">
        <f t="shared" si="67"/>
        <v>0</v>
      </c>
      <c r="L1380" s="112"/>
    </row>
    <row r="1381" spans="1:12" x14ac:dyDescent="0.25">
      <c r="A1381" s="33" t="s">
        <v>3736</v>
      </c>
      <c r="B1381" s="33" t="s">
        <v>2117</v>
      </c>
      <c r="C1381" s="34"/>
      <c r="D1381" s="78">
        <v>5641570.8300000001</v>
      </c>
      <c r="E1381" s="88">
        <f>VLOOKUP(A1381,'Previous week'!$A$3:$F$1765,6,FALSE)</f>
        <v>1</v>
      </c>
      <c r="F1381" s="22">
        <f t="shared" si="68"/>
        <v>0</v>
      </c>
      <c r="G1381" s="88">
        <f>VLOOKUP(A1381,'Current week'!$A$3:$F$1765,6,0)</f>
        <v>1</v>
      </c>
      <c r="H1381" s="104">
        <f t="shared" si="66"/>
        <v>5641570.8300000001</v>
      </c>
      <c r="I1381" s="104">
        <f t="shared" si="67"/>
        <v>0</v>
      </c>
      <c r="L1381" s="112"/>
    </row>
    <row r="1382" spans="1:12" x14ac:dyDescent="0.25">
      <c r="A1382" s="23" t="s">
        <v>3737</v>
      </c>
      <c r="B1382" s="23" t="s">
        <v>2118</v>
      </c>
      <c r="C1382" s="24"/>
      <c r="D1382" s="71">
        <v>3118321.42</v>
      </c>
      <c r="E1382" s="88">
        <f>VLOOKUP(A1382,'Previous week'!$A$3:$F$1765,6,FALSE)</f>
        <v>1</v>
      </c>
      <c r="F1382" s="22">
        <f t="shared" si="68"/>
        <v>0</v>
      </c>
      <c r="G1382" s="88">
        <f>VLOOKUP(A1382,'Current week'!$A$3:$F$1765,6,0)</f>
        <v>1</v>
      </c>
      <c r="H1382" s="102">
        <f t="shared" si="66"/>
        <v>3118321.42</v>
      </c>
      <c r="I1382" s="102">
        <f t="shared" si="67"/>
        <v>0</v>
      </c>
      <c r="L1382" s="112"/>
    </row>
    <row r="1383" spans="1:12" x14ac:dyDescent="0.25">
      <c r="A1383" s="45" t="s">
        <v>3475</v>
      </c>
      <c r="B1383" s="45" t="s">
        <v>1686</v>
      </c>
      <c r="C1383" s="46"/>
      <c r="D1383" s="75">
        <v>1345969.85</v>
      </c>
      <c r="E1383" s="92"/>
      <c r="F1383" s="48">
        <f t="shared" si="68"/>
        <v>0</v>
      </c>
      <c r="G1383" s="92"/>
      <c r="H1383" s="106"/>
      <c r="I1383" s="106"/>
      <c r="L1383" s="112"/>
    </row>
    <row r="1384" spans="1:12" x14ac:dyDescent="0.25">
      <c r="A1384" s="19" t="s">
        <v>3738</v>
      </c>
      <c r="B1384" s="19" t="s">
        <v>2119</v>
      </c>
      <c r="C1384" s="20" t="s">
        <v>2120</v>
      </c>
      <c r="D1384" s="77">
        <v>1195447.3600000001</v>
      </c>
      <c r="E1384" s="88">
        <f>VLOOKUP(A1384,'Previous week'!$A$3:$F$1765,6,FALSE)</f>
        <v>1</v>
      </c>
      <c r="F1384" s="22">
        <f t="shared" si="68"/>
        <v>0</v>
      </c>
      <c r="G1384" s="88">
        <f>VLOOKUP(A1384,'Current week'!$A$3:$F$1765,6,0)</f>
        <v>1</v>
      </c>
      <c r="H1384" s="101">
        <f t="shared" si="66"/>
        <v>1195447.3600000001</v>
      </c>
      <c r="I1384" s="101">
        <f t="shared" si="67"/>
        <v>0</v>
      </c>
      <c r="L1384" s="112"/>
    </row>
    <row r="1385" spans="1:12" x14ac:dyDescent="0.25">
      <c r="A1385" s="33" t="s">
        <v>3739</v>
      </c>
      <c r="B1385" s="33" t="s">
        <v>2121</v>
      </c>
      <c r="C1385" s="34" t="s">
        <v>2122</v>
      </c>
      <c r="D1385" s="78">
        <v>30288.73</v>
      </c>
      <c r="E1385" s="88">
        <f>VLOOKUP(A1385,'Previous week'!$A$3:$F$1765,6,FALSE)</f>
        <v>1</v>
      </c>
      <c r="F1385" s="22">
        <f t="shared" si="68"/>
        <v>0</v>
      </c>
      <c r="G1385" s="88">
        <f>VLOOKUP(A1385,'Current week'!$A$3:$F$1765,6,0)</f>
        <v>1</v>
      </c>
      <c r="H1385" s="104">
        <f t="shared" si="66"/>
        <v>30288.73</v>
      </c>
      <c r="I1385" s="104">
        <f t="shared" si="67"/>
        <v>0</v>
      </c>
      <c r="L1385" s="112"/>
    </row>
    <row r="1386" spans="1:12" x14ac:dyDescent="0.25">
      <c r="A1386" s="33" t="s">
        <v>3740</v>
      </c>
      <c r="B1386" s="33" t="s">
        <v>2123</v>
      </c>
      <c r="C1386" s="34" t="s">
        <v>2124</v>
      </c>
      <c r="D1386" s="78">
        <v>120233.76</v>
      </c>
      <c r="E1386" s="88">
        <f>VLOOKUP(A1386,'Previous week'!$A$3:$F$1765,6,FALSE)</f>
        <v>1</v>
      </c>
      <c r="F1386" s="22">
        <f t="shared" si="68"/>
        <v>0</v>
      </c>
      <c r="G1386" s="88">
        <f>VLOOKUP(A1386,'Current week'!$A$3:$F$1765,6,0)</f>
        <v>1</v>
      </c>
      <c r="H1386" s="104">
        <f t="shared" si="66"/>
        <v>120233.76</v>
      </c>
      <c r="I1386" s="104">
        <f t="shared" si="67"/>
        <v>0</v>
      </c>
      <c r="L1386" s="112"/>
    </row>
    <row r="1387" spans="1:12" x14ac:dyDescent="0.25">
      <c r="A1387" s="33" t="s">
        <v>3479</v>
      </c>
      <c r="B1387" s="33" t="s">
        <v>1693</v>
      </c>
      <c r="C1387" s="34"/>
      <c r="D1387" s="78">
        <v>805652.46</v>
      </c>
      <c r="E1387" s="88">
        <f>VLOOKUP(A1387,'Previous week'!$A$3:$F$1765,6,FALSE)</f>
        <v>1</v>
      </c>
      <c r="F1387" s="22">
        <f t="shared" si="68"/>
        <v>0</v>
      </c>
      <c r="G1387" s="88">
        <f>VLOOKUP(A1387,'Current week'!$A$3:$F$1765,6,0)</f>
        <v>1</v>
      </c>
      <c r="H1387" s="104">
        <f t="shared" si="66"/>
        <v>805652.46</v>
      </c>
      <c r="I1387" s="104">
        <f t="shared" si="67"/>
        <v>0</v>
      </c>
      <c r="L1387" s="112"/>
    </row>
    <row r="1388" spans="1:12" x14ac:dyDescent="0.25">
      <c r="A1388" s="33" t="s">
        <v>3741</v>
      </c>
      <c r="B1388" s="33" t="s">
        <v>2125</v>
      </c>
      <c r="C1388" s="34" t="s">
        <v>2126</v>
      </c>
      <c r="D1388" s="78">
        <v>122460.38</v>
      </c>
      <c r="E1388" s="88">
        <f>VLOOKUP(A1388,'Previous week'!$A$3:$F$1765,6,FALSE)</f>
        <v>1</v>
      </c>
      <c r="F1388" s="22">
        <f t="shared" si="68"/>
        <v>0</v>
      </c>
      <c r="G1388" s="88">
        <f>VLOOKUP(A1388,'Current week'!$A$3:$F$1765,6,0)</f>
        <v>1</v>
      </c>
      <c r="H1388" s="104">
        <f t="shared" si="66"/>
        <v>122460.38</v>
      </c>
      <c r="I1388" s="104">
        <f t="shared" si="67"/>
        <v>0</v>
      </c>
      <c r="L1388" s="112"/>
    </row>
    <row r="1389" spans="1:12" x14ac:dyDescent="0.25">
      <c r="A1389" s="23" t="s">
        <v>3742</v>
      </c>
      <c r="B1389" s="23" t="s">
        <v>2127</v>
      </c>
      <c r="C1389" s="24" t="s">
        <v>2128</v>
      </c>
      <c r="D1389" s="71">
        <v>68436.53</v>
      </c>
      <c r="E1389" s="88">
        <f>VLOOKUP(A1389,'Previous week'!$A$3:$F$1765,6,FALSE)</f>
        <v>1</v>
      </c>
      <c r="F1389" s="22">
        <f t="shared" si="68"/>
        <v>0</v>
      </c>
      <c r="G1389" s="88">
        <f>VLOOKUP(A1389,'Current week'!$A$3:$F$1765,6,0)</f>
        <v>1</v>
      </c>
      <c r="H1389" s="102">
        <f t="shared" si="66"/>
        <v>68436.53</v>
      </c>
      <c r="I1389" s="102">
        <f t="shared" si="67"/>
        <v>0</v>
      </c>
      <c r="L1389" s="112"/>
    </row>
    <row r="1390" spans="1:12" x14ac:dyDescent="0.25">
      <c r="A1390" s="45" t="s">
        <v>3743</v>
      </c>
      <c r="B1390" s="45" t="s">
        <v>2129</v>
      </c>
      <c r="C1390" s="46" t="s">
        <v>2130</v>
      </c>
      <c r="D1390" s="75">
        <v>614755.54</v>
      </c>
      <c r="E1390" s="92"/>
      <c r="F1390" s="48">
        <f t="shared" si="68"/>
        <v>0</v>
      </c>
      <c r="G1390" s="92"/>
      <c r="H1390" s="106"/>
      <c r="I1390" s="106"/>
      <c r="L1390" s="112"/>
    </row>
    <row r="1391" spans="1:12" x14ac:dyDescent="0.25">
      <c r="A1391" s="19" t="s">
        <v>3483</v>
      </c>
      <c r="B1391" s="19" t="s">
        <v>1700</v>
      </c>
      <c r="C1391" s="20"/>
      <c r="D1391" s="77">
        <v>966699.12</v>
      </c>
      <c r="E1391" s="88">
        <f>VLOOKUP(A1391,'Previous week'!$A$3:$F$1765,6,FALSE)</f>
        <v>1</v>
      </c>
      <c r="F1391" s="22">
        <f t="shared" si="68"/>
        <v>0</v>
      </c>
      <c r="G1391" s="88">
        <f>VLOOKUP(A1391,'Current week'!$A$3:$F$1765,6,0)</f>
        <v>1</v>
      </c>
      <c r="H1391" s="101">
        <f t="shared" si="66"/>
        <v>966699.12</v>
      </c>
      <c r="I1391" s="101">
        <f t="shared" si="67"/>
        <v>0</v>
      </c>
      <c r="L1391" s="112"/>
    </row>
    <row r="1392" spans="1:12" x14ac:dyDescent="0.25">
      <c r="A1392" s="33" t="s">
        <v>3484</v>
      </c>
      <c r="B1392" s="33" t="s">
        <v>1701</v>
      </c>
      <c r="C1392" s="34"/>
      <c r="D1392" s="78">
        <v>362429.75</v>
      </c>
      <c r="E1392" s="88">
        <f>VLOOKUP(A1392,'Previous week'!$A$3:$F$1765,6,FALSE)</f>
        <v>1</v>
      </c>
      <c r="F1392" s="22">
        <f t="shared" si="68"/>
        <v>0</v>
      </c>
      <c r="G1392" s="88">
        <f>VLOOKUP(A1392,'Current week'!$A$3:$F$1765,6,0)</f>
        <v>1</v>
      </c>
      <c r="H1392" s="104">
        <f t="shared" si="66"/>
        <v>362429.75</v>
      </c>
      <c r="I1392" s="104">
        <f t="shared" si="67"/>
        <v>0</v>
      </c>
      <c r="L1392" s="112"/>
    </row>
    <row r="1393" spans="1:12" x14ac:dyDescent="0.25">
      <c r="A1393" s="33" t="s">
        <v>3744</v>
      </c>
      <c r="B1393" s="33" t="s">
        <v>2131</v>
      </c>
      <c r="C1393" s="34" t="s">
        <v>2132</v>
      </c>
      <c r="D1393" s="78">
        <v>36078.980000000003</v>
      </c>
      <c r="E1393" s="88">
        <f>VLOOKUP(A1393,'Previous week'!$A$3:$F$1765,6,FALSE)</f>
        <v>1</v>
      </c>
      <c r="F1393" s="22">
        <f t="shared" si="68"/>
        <v>0</v>
      </c>
      <c r="G1393" s="88">
        <f>VLOOKUP(A1393,'Current week'!$A$3:$F$1765,6,0)</f>
        <v>1</v>
      </c>
      <c r="H1393" s="104">
        <f t="shared" si="66"/>
        <v>36078.980000000003</v>
      </c>
      <c r="I1393" s="104">
        <f t="shared" si="67"/>
        <v>0</v>
      </c>
      <c r="L1393" s="112"/>
    </row>
    <row r="1394" spans="1:12" x14ac:dyDescent="0.25">
      <c r="A1394" s="33" t="s">
        <v>3745</v>
      </c>
      <c r="B1394" s="33" t="s">
        <v>2133</v>
      </c>
      <c r="C1394" s="34" t="s">
        <v>2134</v>
      </c>
      <c r="D1394" s="78">
        <v>326350.77</v>
      </c>
      <c r="E1394" s="88">
        <f>VLOOKUP(A1394,'Previous week'!$A$3:$F$1765,6,FALSE)</f>
        <v>1</v>
      </c>
      <c r="F1394" s="22">
        <f t="shared" si="68"/>
        <v>0</v>
      </c>
      <c r="G1394" s="88">
        <f>VLOOKUP(A1394,'Current week'!$A$3:$F$1765,6,0)</f>
        <v>1</v>
      </c>
      <c r="H1394" s="104">
        <f t="shared" si="66"/>
        <v>326350.77</v>
      </c>
      <c r="I1394" s="104">
        <f t="shared" si="67"/>
        <v>0</v>
      </c>
      <c r="L1394" s="112"/>
    </row>
    <row r="1395" spans="1:12" x14ac:dyDescent="0.25">
      <c r="A1395" s="33" t="s">
        <v>3487</v>
      </c>
      <c r="B1395" s="33" t="s">
        <v>1706</v>
      </c>
      <c r="C1395" s="34"/>
      <c r="D1395" s="78">
        <v>225534.37</v>
      </c>
      <c r="E1395" s="88">
        <f>VLOOKUP(A1395,'Previous week'!$A$3:$F$1765,6,FALSE)</f>
        <v>1</v>
      </c>
      <c r="F1395" s="22">
        <f t="shared" si="68"/>
        <v>0</v>
      </c>
      <c r="G1395" s="88">
        <f>VLOOKUP(A1395,'Current week'!$A$3:$F$1765,6,0)</f>
        <v>1</v>
      </c>
      <c r="H1395" s="104">
        <f t="shared" si="66"/>
        <v>225534.37</v>
      </c>
      <c r="I1395" s="104">
        <f t="shared" si="67"/>
        <v>0</v>
      </c>
      <c r="L1395" s="112"/>
    </row>
    <row r="1396" spans="1:12" x14ac:dyDescent="0.25">
      <c r="A1396" s="23" t="s">
        <v>3746</v>
      </c>
      <c r="B1396" s="23" t="s">
        <v>2135</v>
      </c>
      <c r="C1396" s="24" t="s">
        <v>2136</v>
      </c>
      <c r="D1396" s="71">
        <v>225534.37</v>
      </c>
      <c r="E1396" s="88">
        <f>VLOOKUP(A1396,'Previous week'!$A$3:$F$1765,6,FALSE)</f>
        <v>1</v>
      </c>
      <c r="F1396" s="22">
        <f t="shared" si="68"/>
        <v>0</v>
      </c>
      <c r="G1396" s="88">
        <f>VLOOKUP(A1396,'Current week'!$A$3:$F$1765,6,0)</f>
        <v>1</v>
      </c>
      <c r="H1396" s="102">
        <f t="shared" si="66"/>
        <v>225534.37</v>
      </c>
      <c r="I1396" s="102">
        <f t="shared" si="67"/>
        <v>0</v>
      </c>
      <c r="L1396" s="112"/>
    </row>
    <row r="1397" spans="1:12" x14ac:dyDescent="0.25">
      <c r="A1397" s="45" t="s">
        <v>3489</v>
      </c>
      <c r="B1397" s="45" t="s">
        <v>1709</v>
      </c>
      <c r="C1397" s="46"/>
      <c r="D1397" s="75">
        <v>214487.01</v>
      </c>
      <c r="E1397" s="92"/>
      <c r="F1397" s="48">
        <f t="shared" si="68"/>
        <v>0</v>
      </c>
      <c r="G1397" s="92"/>
      <c r="H1397" s="106"/>
      <c r="I1397" s="106"/>
      <c r="L1397" s="112"/>
    </row>
    <row r="1398" spans="1:12" x14ac:dyDescent="0.25">
      <c r="A1398" s="19" t="s">
        <v>3747</v>
      </c>
      <c r="B1398" s="19" t="s">
        <v>2137</v>
      </c>
      <c r="C1398" s="20" t="s">
        <v>2138</v>
      </c>
      <c r="D1398" s="77">
        <v>214487.01</v>
      </c>
      <c r="E1398" s="88">
        <f>VLOOKUP(A1398,'Previous week'!$A$3:$F$1765,6,FALSE)</f>
        <v>1</v>
      </c>
      <c r="F1398" s="22">
        <f t="shared" si="68"/>
        <v>0</v>
      </c>
      <c r="G1398" s="88">
        <f>VLOOKUP(A1398,'Current week'!$A$3:$F$1765,6,0)</f>
        <v>1</v>
      </c>
      <c r="H1398" s="101">
        <f t="shared" si="66"/>
        <v>214487.01</v>
      </c>
      <c r="I1398" s="101">
        <f t="shared" si="67"/>
        <v>0</v>
      </c>
      <c r="L1398" s="112"/>
    </row>
    <row r="1399" spans="1:12" x14ac:dyDescent="0.25">
      <c r="A1399" s="33" t="s">
        <v>2781</v>
      </c>
      <c r="B1399" s="33" t="s">
        <v>1712</v>
      </c>
      <c r="C1399" s="34"/>
      <c r="D1399" s="78">
        <v>60663.71</v>
      </c>
      <c r="E1399" s="88">
        <f>VLOOKUP(A1399,'Previous week'!$A$3:$F$1765,6,FALSE)</f>
        <v>0</v>
      </c>
      <c r="F1399" s="22">
        <f t="shared" si="68"/>
        <v>0</v>
      </c>
      <c r="G1399" s="88">
        <f>VLOOKUP(A1399,'Current week'!$A$3:$F$1765,6,0)</f>
        <v>0</v>
      </c>
      <c r="H1399" s="104">
        <f t="shared" si="66"/>
        <v>0</v>
      </c>
      <c r="I1399" s="104">
        <f t="shared" si="67"/>
        <v>0</v>
      </c>
      <c r="L1399" s="112"/>
    </row>
    <row r="1400" spans="1:12" x14ac:dyDescent="0.25">
      <c r="A1400" s="33" t="s">
        <v>3748</v>
      </c>
      <c r="B1400" s="33" t="s">
        <v>2139</v>
      </c>
      <c r="C1400" s="34" t="s">
        <v>2140</v>
      </c>
      <c r="D1400" s="78">
        <v>60663.71</v>
      </c>
      <c r="E1400" s="88">
        <f>VLOOKUP(A1400,'Previous week'!$A$3:$F$1765,6,FALSE)</f>
        <v>1</v>
      </c>
      <c r="F1400" s="22">
        <f t="shared" si="68"/>
        <v>0</v>
      </c>
      <c r="G1400" s="88">
        <f>VLOOKUP(A1400,'Current week'!$A$3:$F$1765,6,0)</f>
        <v>1</v>
      </c>
      <c r="H1400" s="104">
        <f t="shared" si="66"/>
        <v>60663.71</v>
      </c>
      <c r="I1400" s="104">
        <f t="shared" si="67"/>
        <v>0</v>
      </c>
      <c r="L1400" s="112"/>
    </row>
    <row r="1401" spans="1:12" x14ac:dyDescent="0.25">
      <c r="A1401" s="33" t="s">
        <v>3492</v>
      </c>
      <c r="B1401" s="33" t="s">
        <v>1715</v>
      </c>
      <c r="C1401" s="34"/>
      <c r="D1401" s="78">
        <v>103584.27</v>
      </c>
      <c r="E1401" s="88">
        <f>VLOOKUP(A1401,'Previous week'!$A$3:$F$1765,6,FALSE)</f>
        <v>1</v>
      </c>
      <c r="F1401" s="22">
        <f t="shared" si="68"/>
        <v>0</v>
      </c>
      <c r="G1401" s="88">
        <f>VLOOKUP(A1401,'Current week'!$A$3:$F$1765,6,0)</f>
        <v>1</v>
      </c>
      <c r="H1401" s="104">
        <f t="shared" si="66"/>
        <v>103584.27</v>
      </c>
      <c r="I1401" s="104">
        <f t="shared" si="67"/>
        <v>0</v>
      </c>
      <c r="L1401" s="112"/>
    </row>
    <row r="1402" spans="1:12" x14ac:dyDescent="0.25">
      <c r="A1402" s="33" t="s">
        <v>3749</v>
      </c>
      <c r="B1402" s="33" t="s">
        <v>2141</v>
      </c>
      <c r="C1402" s="34" t="s">
        <v>2142</v>
      </c>
      <c r="D1402" s="78">
        <v>103584.27</v>
      </c>
      <c r="E1402" s="88">
        <f>VLOOKUP(A1402,'Previous week'!$A$3:$F$1765,6,FALSE)</f>
        <v>1</v>
      </c>
      <c r="F1402" s="22">
        <f t="shared" si="68"/>
        <v>0</v>
      </c>
      <c r="G1402" s="88">
        <f>VLOOKUP(A1402,'Current week'!$A$3:$F$1765,6,0)</f>
        <v>1</v>
      </c>
      <c r="H1402" s="104">
        <f t="shared" si="66"/>
        <v>103584.27</v>
      </c>
      <c r="I1402" s="104">
        <f t="shared" si="67"/>
        <v>0</v>
      </c>
      <c r="L1402" s="112"/>
    </row>
    <row r="1403" spans="1:12" x14ac:dyDescent="0.25">
      <c r="A1403" s="23" t="s">
        <v>3496</v>
      </c>
      <c r="B1403" s="23" t="s">
        <v>1721</v>
      </c>
      <c r="C1403" s="24"/>
      <c r="D1403" s="71">
        <v>936796.62</v>
      </c>
      <c r="E1403" s="88">
        <f>VLOOKUP(A1403,'Previous week'!$A$3:$F$1765,6,FALSE)</f>
        <v>1</v>
      </c>
      <c r="F1403" s="22">
        <f t="shared" si="68"/>
        <v>0</v>
      </c>
      <c r="G1403" s="88">
        <f>VLOOKUP(A1403,'Current week'!$A$3:$F$1765,6,0)</f>
        <v>1</v>
      </c>
      <c r="H1403" s="102">
        <f t="shared" ref="H1403:H1466" si="69">G1403*D1403</f>
        <v>936796.62</v>
      </c>
      <c r="I1403" s="102">
        <f t="shared" ref="I1403:I1466" si="70">F1403*D1403</f>
        <v>0</v>
      </c>
      <c r="L1403" s="112"/>
    </row>
    <row r="1404" spans="1:12" x14ac:dyDescent="0.25">
      <c r="A1404" s="45" t="s">
        <v>3497</v>
      </c>
      <c r="B1404" s="45" t="s">
        <v>1722</v>
      </c>
      <c r="C1404" s="46"/>
      <c r="D1404" s="75">
        <v>649331.82999999996</v>
      </c>
      <c r="E1404" s="92"/>
      <c r="F1404" s="48">
        <f t="shared" ref="F1404:F1467" si="71">G1404-E1404</f>
        <v>0</v>
      </c>
      <c r="G1404" s="92"/>
      <c r="H1404" s="106"/>
      <c r="I1404" s="106"/>
      <c r="L1404" s="112"/>
    </row>
    <row r="1405" spans="1:12" x14ac:dyDescent="0.25">
      <c r="A1405" s="19" t="s">
        <v>3750</v>
      </c>
      <c r="B1405" s="19" t="s">
        <v>2143</v>
      </c>
      <c r="C1405" s="20" t="s">
        <v>2144</v>
      </c>
      <c r="D1405" s="77">
        <v>64933.15</v>
      </c>
      <c r="E1405" s="88">
        <f>VLOOKUP(A1405,'Previous week'!$A$3:$F$1765,6,FALSE)</f>
        <v>1</v>
      </c>
      <c r="F1405" s="22">
        <f t="shared" si="71"/>
        <v>0</v>
      </c>
      <c r="G1405" s="88">
        <f>VLOOKUP(A1405,'Current week'!$A$3:$F$1765,6,0)</f>
        <v>1</v>
      </c>
      <c r="H1405" s="101">
        <f t="shared" si="69"/>
        <v>64933.15</v>
      </c>
      <c r="I1405" s="101">
        <f t="shared" si="70"/>
        <v>0</v>
      </c>
      <c r="L1405" s="112"/>
    </row>
    <row r="1406" spans="1:12" x14ac:dyDescent="0.25">
      <c r="A1406" s="23" t="s">
        <v>3751</v>
      </c>
      <c r="B1406" s="23" t="s">
        <v>2145</v>
      </c>
      <c r="C1406" s="24" t="s">
        <v>2146</v>
      </c>
      <c r="D1406" s="71">
        <v>32466.61</v>
      </c>
      <c r="E1406" s="88">
        <f>VLOOKUP(A1406,'Previous week'!$A$3:$F$1765,6,FALSE)</f>
        <v>1</v>
      </c>
      <c r="F1406" s="22">
        <f t="shared" si="71"/>
        <v>0</v>
      </c>
      <c r="G1406" s="88">
        <f>VLOOKUP(A1406,'Current week'!$A$3:$F$1765,6,0)</f>
        <v>1</v>
      </c>
      <c r="H1406" s="102">
        <f t="shared" si="69"/>
        <v>32466.61</v>
      </c>
      <c r="I1406" s="102">
        <f t="shared" si="70"/>
        <v>0</v>
      </c>
      <c r="L1406" s="112"/>
    </row>
    <row r="1407" spans="1:12" x14ac:dyDescent="0.25">
      <c r="A1407" s="45" t="s">
        <v>3752</v>
      </c>
      <c r="B1407" s="45" t="s">
        <v>2147</v>
      </c>
      <c r="C1407" s="46" t="s">
        <v>2148</v>
      </c>
      <c r="D1407" s="75">
        <v>454532.29</v>
      </c>
      <c r="E1407" s="92"/>
      <c r="F1407" s="48">
        <f t="shared" si="71"/>
        <v>0</v>
      </c>
      <c r="G1407" s="92"/>
      <c r="H1407" s="106"/>
      <c r="I1407" s="106"/>
      <c r="L1407" s="112"/>
    </row>
    <row r="1408" spans="1:12" x14ac:dyDescent="0.25">
      <c r="A1408" s="36" t="s">
        <v>3753</v>
      </c>
      <c r="B1408" s="36" t="s">
        <v>2149</v>
      </c>
      <c r="C1408" s="37" t="s">
        <v>2150</v>
      </c>
      <c r="D1408" s="79">
        <v>32466.61</v>
      </c>
      <c r="E1408" s="88">
        <f>VLOOKUP(A1408,'Previous week'!$A$3:$F$1765,6,FALSE)</f>
        <v>1</v>
      </c>
      <c r="F1408" s="22">
        <f t="shared" si="71"/>
        <v>0</v>
      </c>
      <c r="G1408" s="88">
        <f>VLOOKUP(A1408,'Current week'!$A$3:$F$1765,6,0)</f>
        <v>1</v>
      </c>
      <c r="H1408" s="105">
        <f t="shared" si="69"/>
        <v>32466.61</v>
      </c>
      <c r="I1408" s="105">
        <f t="shared" si="70"/>
        <v>0</v>
      </c>
      <c r="L1408" s="112"/>
    </row>
    <row r="1409" spans="1:12" x14ac:dyDescent="0.25">
      <c r="A1409" s="45" t="s">
        <v>3754</v>
      </c>
      <c r="B1409" s="45" t="s">
        <v>2151</v>
      </c>
      <c r="C1409" s="46" t="s">
        <v>2152</v>
      </c>
      <c r="D1409" s="75">
        <v>64933.15</v>
      </c>
      <c r="E1409" s="92"/>
      <c r="F1409" s="48">
        <f t="shared" si="71"/>
        <v>0</v>
      </c>
      <c r="G1409" s="92"/>
      <c r="H1409" s="106"/>
      <c r="I1409" s="106"/>
      <c r="L1409" s="112"/>
    </row>
    <row r="1410" spans="1:12" x14ac:dyDescent="0.25">
      <c r="A1410" s="19" t="s">
        <v>3503</v>
      </c>
      <c r="B1410" s="19" t="s">
        <v>1733</v>
      </c>
      <c r="C1410" s="20"/>
      <c r="D1410" s="77">
        <v>24850.59</v>
      </c>
      <c r="E1410" s="88">
        <f>VLOOKUP(A1410,'Previous week'!$A$3:$F$1765,6,FALSE)</f>
        <v>1</v>
      </c>
      <c r="F1410" s="22">
        <f t="shared" si="71"/>
        <v>0</v>
      </c>
      <c r="G1410" s="88">
        <f>VLOOKUP(A1410,'Current week'!$A$3:$F$1765,6,0)</f>
        <v>1</v>
      </c>
      <c r="H1410" s="101">
        <f t="shared" si="69"/>
        <v>24850.59</v>
      </c>
      <c r="I1410" s="101">
        <f t="shared" si="70"/>
        <v>0</v>
      </c>
      <c r="L1410" s="112"/>
    </row>
    <row r="1411" spans="1:12" x14ac:dyDescent="0.25">
      <c r="A1411" s="23" t="s">
        <v>3755</v>
      </c>
      <c r="B1411" s="23" t="s">
        <v>2153</v>
      </c>
      <c r="C1411" s="24" t="s">
        <v>2154</v>
      </c>
      <c r="D1411" s="71">
        <v>24850.59</v>
      </c>
      <c r="E1411" s="88">
        <f>VLOOKUP(A1411,'Previous week'!$A$3:$F$1765,6,FALSE)</f>
        <v>1</v>
      </c>
      <c r="F1411" s="22">
        <f t="shared" si="71"/>
        <v>0</v>
      </c>
      <c r="G1411" s="88">
        <f>VLOOKUP(A1411,'Current week'!$A$3:$F$1765,6,0)</f>
        <v>1</v>
      </c>
      <c r="H1411" s="102">
        <f t="shared" si="69"/>
        <v>24850.59</v>
      </c>
      <c r="I1411" s="102">
        <f t="shared" si="70"/>
        <v>0</v>
      </c>
      <c r="L1411" s="112"/>
    </row>
    <row r="1412" spans="1:12" x14ac:dyDescent="0.25">
      <c r="A1412" s="41" t="s">
        <v>2800</v>
      </c>
      <c r="B1412" s="41" t="s">
        <v>486</v>
      </c>
      <c r="C1412" s="42"/>
      <c r="D1412" s="66">
        <v>130787.16</v>
      </c>
      <c r="E1412" s="91"/>
      <c r="F1412" s="44">
        <f t="shared" si="71"/>
        <v>0</v>
      </c>
      <c r="G1412" s="91"/>
      <c r="H1412" s="103"/>
      <c r="I1412" s="103"/>
      <c r="L1412" s="112"/>
    </row>
    <row r="1413" spans="1:12" x14ac:dyDescent="0.25">
      <c r="A1413" s="45" t="s">
        <v>3756</v>
      </c>
      <c r="B1413" s="45" t="s">
        <v>2155</v>
      </c>
      <c r="C1413" s="46" t="s">
        <v>2156</v>
      </c>
      <c r="D1413" s="75">
        <v>130787.16</v>
      </c>
      <c r="E1413" s="92"/>
      <c r="F1413" s="48">
        <f t="shared" si="71"/>
        <v>0</v>
      </c>
      <c r="G1413" s="92"/>
      <c r="H1413" s="106"/>
      <c r="I1413" s="106"/>
      <c r="L1413" s="112"/>
    </row>
    <row r="1414" spans="1:12" x14ac:dyDescent="0.25">
      <c r="A1414" s="19" t="s">
        <v>3506</v>
      </c>
      <c r="B1414" s="19" t="s">
        <v>1738</v>
      </c>
      <c r="C1414" s="20"/>
      <c r="D1414" s="77">
        <v>7569.02</v>
      </c>
      <c r="E1414" s="88">
        <f>VLOOKUP(A1414,'Previous week'!$A$3:$F$1765,6,FALSE)</f>
        <v>1</v>
      </c>
      <c r="F1414" s="22">
        <f t="shared" si="71"/>
        <v>0</v>
      </c>
      <c r="G1414" s="88">
        <f>VLOOKUP(A1414,'Current week'!$A$3:$F$1765,6,0)</f>
        <v>1</v>
      </c>
      <c r="H1414" s="101">
        <f t="shared" si="69"/>
        <v>7569.02</v>
      </c>
      <c r="I1414" s="101">
        <f t="shared" si="70"/>
        <v>0</v>
      </c>
      <c r="L1414" s="112"/>
    </row>
    <row r="1415" spans="1:12" x14ac:dyDescent="0.25">
      <c r="A1415" s="33" t="s">
        <v>3757</v>
      </c>
      <c r="B1415" s="33" t="s">
        <v>2157</v>
      </c>
      <c r="C1415" s="34" t="s">
        <v>2158</v>
      </c>
      <c r="D1415" s="78">
        <v>7569.02</v>
      </c>
      <c r="E1415" s="88">
        <f>VLOOKUP(A1415,'Previous week'!$A$3:$F$1765,6,FALSE)</f>
        <v>1</v>
      </c>
      <c r="F1415" s="22">
        <f t="shared" si="71"/>
        <v>0</v>
      </c>
      <c r="G1415" s="88">
        <f>VLOOKUP(A1415,'Current week'!$A$3:$F$1765,6,0)</f>
        <v>1</v>
      </c>
      <c r="H1415" s="104">
        <f t="shared" si="69"/>
        <v>7569.02</v>
      </c>
      <c r="I1415" s="104">
        <f t="shared" si="70"/>
        <v>0</v>
      </c>
      <c r="L1415" s="112"/>
    </row>
    <row r="1416" spans="1:12" x14ac:dyDescent="0.25">
      <c r="A1416" s="33" t="s">
        <v>3098</v>
      </c>
      <c r="B1416" s="33" t="s">
        <v>1741</v>
      </c>
      <c r="C1416" s="34"/>
      <c r="D1416" s="78">
        <v>73797.91</v>
      </c>
      <c r="E1416" s="88">
        <f>VLOOKUP(A1416,'Previous week'!$A$3:$F$1765,6,FALSE)</f>
        <v>1</v>
      </c>
      <c r="F1416" s="22">
        <f t="shared" si="71"/>
        <v>0</v>
      </c>
      <c r="G1416" s="88">
        <f>VLOOKUP(A1416,'Current week'!$A$3:$F$1765,6,0)</f>
        <v>1</v>
      </c>
      <c r="H1416" s="104">
        <f t="shared" si="69"/>
        <v>73797.91</v>
      </c>
      <c r="I1416" s="104">
        <f t="shared" si="70"/>
        <v>0</v>
      </c>
      <c r="L1416" s="112"/>
    </row>
    <row r="1417" spans="1:12" x14ac:dyDescent="0.25">
      <c r="A1417" s="33" t="s">
        <v>3758</v>
      </c>
      <c r="B1417" s="33" t="s">
        <v>2159</v>
      </c>
      <c r="C1417" s="34" t="s">
        <v>2160</v>
      </c>
      <c r="D1417" s="78">
        <v>73797.91</v>
      </c>
      <c r="E1417" s="88">
        <f>VLOOKUP(A1417,'Previous week'!$A$3:$F$1765,6,FALSE)</f>
        <v>1</v>
      </c>
      <c r="F1417" s="22">
        <f t="shared" si="71"/>
        <v>0</v>
      </c>
      <c r="G1417" s="88">
        <f>VLOOKUP(A1417,'Current week'!$A$3:$F$1765,6,0)</f>
        <v>1</v>
      </c>
      <c r="H1417" s="104">
        <f t="shared" si="69"/>
        <v>73797.91</v>
      </c>
      <c r="I1417" s="104">
        <f t="shared" si="70"/>
        <v>0</v>
      </c>
      <c r="L1417" s="112"/>
    </row>
    <row r="1418" spans="1:12" x14ac:dyDescent="0.25">
      <c r="A1418" s="33" t="s">
        <v>3509</v>
      </c>
      <c r="B1418" s="33" t="s">
        <v>1744</v>
      </c>
      <c r="C1418" s="34"/>
      <c r="D1418" s="78">
        <v>50460.11</v>
      </c>
      <c r="E1418" s="88">
        <f>VLOOKUP(A1418,'Previous week'!$A$3:$F$1765,6,FALSE)</f>
        <v>1</v>
      </c>
      <c r="F1418" s="22">
        <f t="shared" si="71"/>
        <v>0</v>
      </c>
      <c r="G1418" s="88">
        <f>VLOOKUP(A1418,'Current week'!$A$3:$F$1765,6,0)</f>
        <v>1</v>
      </c>
      <c r="H1418" s="104">
        <f t="shared" si="69"/>
        <v>50460.11</v>
      </c>
      <c r="I1418" s="104">
        <f t="shared" si="70"/>
        <v>0</v>
      </c>
      <c r="L1418" s="112"/>
    </row>
    <row r="1419" spans="1:12" x14ac:dyDescent="0.25">
      <c r="A1419" s="23" t="s">
        <v>3759</v>
      </c>
      <c r="B1419" s="23" t="s">
        <v>2161</v>
      </c>
      <c r="C1419" s="24" t="s">
        <v>2162</v>
      </c>
      <c r="D1419" s="71">
        <v>50460.11</v>
      </c>
      <c r="E1419" s="88">
        <f>VLOOKUP(A1419,'Previous week'!$A$3:$F$1765,6,FALSE)</f>
        <v>1</v>
      </c>
      <c r="F1419" s="22">
        <f t="shared" si="71"/>
        <v>0</v>
      </c>
      <c r="G1419" s="88">
        <f>VLOOKUP(A1419,'Current week'!$A$3:$F$1765,6,0)</f>
        <v>1</v>
      </c>
      <c r="H1419" s="102">
        <f t="shared" si="69"/>
        <v>50460.11</v>
      </c>
      <c r="I1419" s="102">
        <f t="shared" si="70"/>
        <v>0</v>
      </c>
      <c r="L1419" s="112"/>
    </row>
    <row r="1420" spans="1:12" x14ac:dyDescent="0.25">
      <c r="A1420" s="45" t="s">
        <v>3511</v>
      </c>
      <c r="B1420" s="45" t="s">
        <v>221</v>
      </c>
      <c r="C1420" s="46"/>
      <c r="D1420" s="75">
        <v>489984.34</v>
      </c>
      <c r="E1420" s="92"/>
      <c r="F1420" s="48">
        <f t="shared" si="71"/>
        <v>0</v>
      </c>
      <c r="G1420" s="92"/>
      <c r="H1420" s="106"/>
      <c r="I1420" s="106"/>
      <c r="L1420" s="112"/>
    </row>
    <row r="1421" spans="1:12" x14ac:dyDescent="0.25">
      <c r="A1421" s="19" t="s">
        <v>3497</v>
      </c>
      <c r="B1421" s="19" t="s">
        <v>1722</v>
      </c>
      <c r="C1421" s="20"/>
      <c r="D1421" s="77">
        <v>326102.90999999997</v>
      </c>
      <c r="E1421" s="88">
        <f>VLOOKUP(A1421,'Previous week'!$A$3:$F$1765,6,FALSE)</f>
        <v>1</v>
      </c>
      <c r="F1421" s="22">
        <f t="shared" si="71"/>
        <v>0</v>
      </c>
      <c r="G1421" s="88">
        <f>VLOOKUP(A1421,'Current week'!$A$3:$F$1765,6,0)</f>
        <v>1</v>
      </c>
      <c r="H1421" s="101">
        <f t="shared" si="69"/>
        <v>326102.90999999997</v>
      </c>
      <c r="I1421" s="101">
        <f t="shared" si="70"/>
        <v>0</v>
      </c>
      <c r="L1421" s="112"/>
    </row>
    <row r="1422" spans="1:12" x14ac:dyDescent="0.25">
      <c r="A1422" s="33" t="s">
        <v>3760</v>
      </c>
      <c r="B1422" s="33" t="s">
        <v>2163</v>
      </c>
      <c r="C1422" s="34" t="s">
        <v>2164</v>
      </c>
      <c r="D1422" s="78">
        <v>32610.3</v>
      </c>
      <c r="E1422" s="88">
        <f>VLOOKUP(A1422,'Previous week'!$A$3:$F$1765,6,FALSE)</f>
        <v>1</v>
      </c>
      <c r="F1422" s="22">
        <f t="shared" si="71"/>
        <v>0</v>
      </c>
      <c r="G1422" s="88">
        <f>VLOOKUP(A1422,'Current week'!$A$3:$F$1765,6,0)</f>
        <v>1</v>
      </c>
      <c r="H1422" s="104">
        <f t="shared" si="69"/>
        <v>32610.3</v>
      </c>
      <c r="I1422" s="104">
        <f t="shared" si="70"/>
        <v>0</v>
      </c>
      <c r="L1422" s="112"/>
    </row>
    <row r="1423" spans="1:12" x14ac:dyDescent="0.25">
      <c r="A1423" s="33" t="s">
        <v>3761</v>
      </c>
      <c r="B1423" s="33" t="s">
        <v>2165</v>
      </c>
      <c r="C1423" s="34" t="s">
        <v>2146</v>
      </c>
      <c r="D1423" s="78">
        <v>16305.13</v>
      </c>
      <c r="E1423" s="88">
        <f>VLOOKUP(A1423,'Previous week'!$A$3:$F$1765,6,FALSE)</f>
        <v>1</v>
      </c>
      <c r="F1423" s="22">
        <f t="shared" si="71"/>
        <v>0</v>
      </c>
      <c r="G1423" s="88">
        <f>VLOOKUP(A1423,'Current week'!$A$3:$F$1765,6,0)</f>
        <v>1</v>
      </c>
      <c r="H1423" s="104">
        <f t="shared" si="69"/>
        <v>16305.13</v>
      </c>
      <c r="I1423" s="104">
        <f t="shared" si="70"/>
        <v>0</v>
      </c>
      <c r="L1423" s="112"/>
    </row>
    <row r="1424" spans="1:12" x14ac:dyDescent="0.25">
      <c r="A1424" s="33" t="s">
        <v>3762</v>
      </c>
      <c r="B1424" s="33" t="s">
        <v>2166</v>
      </c>
      <c r="C1424" s="34" t="s">
        <v>2167</v>
      </c>
      <c r="D1424" s="78">
        <v>163051.46</v>
      </c>
      <c r="E1424" s="88">
        <f>VLOOKUP(A1424,'Previous week'!$A$3:$F$1765,6,FALSE)</f>
        <v>1</v>
      </c>
      <c r="F1424" s="22">
        <f t="shared" si="71"/>
        <v>0</v>
      </c>
      <c r="G1424" s="88">
        <f>VLOOKUP(A1424,'Current week'!$A$3:$F$1765,6,0)</f>
        <v>1</v>
      </c>
      <c r="H1424" s="104">
        <f t="shared" si="69"/>
        <v>163051.46</v>
      </c>
      <c r="I1424" s="104">
        <f t="shared" si="70"/>
        <v>0</v>
      </c>
      <c r="L1424" s="112"/>
    </row>
    <row r="1425" spans="1:12" x14ac:dyDescent="0.25">
      <c r="A1425" s="33" t="s">
        <v>3763</v>
      </c>
      <c r="B1425" s="33" t="s">
        <v>2168</v>
      </c>
      <c r="C1425" s="34" t="s">
        <v>2169</v>
      </c>
      <c r="D1425" s="78">
        <v>65220.6</v>
      </c>
      <c r="E1425" s="88">
        <f>VLOOKUP(A1425,'Previous week'!$A$3:$F$1765,6,FALSE)</f>
        <v>1</v>
      </c>
      <c r="F1425" s="22">
        <f t="shared" si="71"/>
        <v>0</v>
      </c>
      <c r="G1425" s="88">
        <f>VLOOKUP(A1425,'Current week'!$A$3:$F$1765,6,0)</f>
        <v>1</v>
      </c>
      <c r="H1425" s="104">
        <f t="shared" si="69"/>
        <v>65220.6</v>
      </c>
      <c r="I1425" s="104">
        <f t="shared" si="70"/>
        <v>0</v>
      </c>
      <c r="L1425" s="112"/>
    </row>
    <row r="1426" spans="1:12" x14ac:dyDescent="0.25">
      <c r="A1426" s="23" t="s">
        <v>3764</v>
      </c>
      <c r="B1426" s="23" t="s">
        <v>2170</v>
      </c>
      <c r="C1426" s="24" t="s">
        <v>2150</v>
      </c>
      <c r="D1426" s="71">
        <v>16305.13</v>
      </c>
      <c r="E1426" s="88">
        <f>VLOOKUP(A1426,'Previous week'!$A$3:$F$1765,6,FALSE)</f>
        <v>1</v>
      </c>
      <c r="F1426" s="22">
        <f t="shared" si="71"/>
        <v>0</v>
      </c>
      <c r="G1426" s="88">
        <f>VLOOKUP(A1426,'Current week'!$A$3:$F$1765,6,0)</f>
        <v>1</v>
      </c>
      <c r="H1426" s="102">
        <f t="shared" si="69"/>
        <v>16305.13</v>
      </c>
      <c r="I1426" s="102">
        <f t="shared" si="70"/>
        <v>0</v>
      </c>
      <c r="L1426" s="112"/>
    </row>
    <row r="1427" spans="1:12" x14ac:dyDescent="0.25">
      <c r="A1427" s="45" t="s">
        <v>3765</v>
      </c>
      <c r="B1427" s="45" t="s">
        <v>2171</v>
      </c>
      <c r="C1427" s="46" t="s">
        <v>2152</v>
      </c>
      <c r="D1427" s="75">
        <v>32610.3</v>
      </c>
      <c r="E1427" s="92"/>
      <c r="F1427" s="48">
        <f t="shared" si="71"/>
        <v>0</v>
      </c>
      <c r="G1427" s="92"/>
      <c r="H1427" s="106"/>
      <c r="I1427" s="106"/>
      <c r="L1427" s="112"/>
    </row>
    <row r="1428" spans="1:12" x14ac:dyDescent="0.25">
      <c r="A1428" s="19" t="s">
        <v>3503</v>
      </c>
      <c r="B1428" s="19" t="s">
        <v>1733</v>
      </c>
      <c r="C1428" s="20"/>
      <c r="D1428" s="77">
        <v>1673.19</v>
      </c>
      <c r="E1428" s="88">
        <f>VLOOKUP(A1428,'Previous week'!$A$3:$F$1765,6,FALSE)</f>
        <v>1</v>
      </c>
      <c r="F1428" s="22">
        <f t="shared" si="71"/>
        <v>0</v>
      </c>
      <c r="G1428" s="88">
        <f>VLOOKUP(A1428,'Current week'!$A$3:$F$1765,6,0)</f>
        <v>1</v>
      </c>
      <c r="H1428" s="101">
        <f t="shared" si="69"/>
        <v>1673.19</v>
      </c>
      <c r="I1428" s="101">
        <f t="shared" si="70"/>
        <v>0</v>
      </c>
      <c r="L1428" s="112"/>
    </row>
    <row r="1429" spans="1:12" x14ac:dyDescent="0.25">
      <c r="A1429" s="33" t="s">
        <v>3766</v>
      </c>
      <c r="B1429" s="33" t="s">
        <v>2172</v>
      </c>
      <c r="C1429" s="34" t="s">
        <v>2154</v>
      </c>
      <c r="D1429" s="78">
        <v>1673.19</v>
      </c>
      <c r="E1429" s="88">
        <f>VLOOKUP(A1429,'Previous week'!$A$3:$F$1765,6,FALSE)</f>
        <v>1</v>
      </c>
      <c r="F1429" s="22">
        <f t="shared" si="71"/>
        <v>0</v>
      </c>
      <c r="G1429" s="88">
        <f>VLOOKUP(A1429,'Current week'!$A$3:$F$1765,6,0)</f>
        <v>1</v>
      </c>
      <c r="H1429" s="104">
        <f t="shared" si="69"/>
        <v>1673.19</v>
      </c>
      <c r="I1429" s="104">
        <f t="shared" si="70"/>
        <v>0</v>
      </c>
      <c r="L1429" s="112"/>
    </row>
    <row r="1430" spans="1:12" x14ac:dyDescent="0.25">
      <c r="A1430" s="33" t="s">
        <v>2800</v>
      </c>
      <c r="B1430" s="33" t="s">
        <v>486</v>
      </c>
      <c r="C1430" s="34"/>
      <c r="D1430" s="78">
        <v>162208.24</v>
      </c>
      <c r="E1430" s="88">
        <f>VLOOKUP(A1430,'Previous week'!$A$3:$F$1765,6,FALSE)</f>
        <v>0</v>
      </c>
      <c r="F1430" s="22">
        <f t="shared" si="71"/>
        <v>0</v>
      </c>
      <c r="G1430" s="88">
        <f>VLOOKUP(A1430,'Current week'!$A$3:$F$1765,6,0)</f>
        <v>0</v>
      </c>
      <c r="H1430" s="104">
        <f t="shared" si="69"/>
        <v>0</v>
      </c>
      <c r="I1430" s="104">
        <f t="shared" si="70"/>
        <v>0</v>
      </c>
      <c r="L1430" s="112"/>
    </row>
    <row r="1431" spans="1:12" x14ac:dyDescent="0.25">
      <c r="A1431" s="33" t="s">
        <v>3767</v>
      </c>
      <c r="B1431" s="33" t="s">
        <v>2173</v>
      </c>
      <c r="C1431" s="34" t="s">
        <v>2174</v>
      </c>
      <c r="D1431" s="78">
        <v>162208.24</v>
      </c>
      <c r="E1431" s="88">
        <f>VLOOKUP(A1431,'Previous week'!$A$3:$F$1765,6,FALSE)</f>
        <v>1</v>
      </c>
      <c r="F1431" s="22">
        <f t="shared" si="71"/>
        <v>0</v>
      </c>
      <c r="G1431" s="88">
        <f>VLOOKUP(A1431,'Current week'!$A$3:$F$1765,6,0)</f>
        <v>1</v>
      </c>
      <c r="H1431" s="104">
        <f t="shared" si="69"/>
        <v>162208.24</v>
      </c>
      <c r="I1431" s="104">
        <f t="shared" si="70"/>
        <v>0</v>
      </c>
      <c r="L1431" s="112"/>
    </row>
    <row r="1432" spans="1:12" x14ac:dyDescent="0.25">
      <c r="A1432" s="33" t="s">
        <v>2803</v>
      </c>
      <c r="B1432" s="33" t="s">
        <v>491</v>
      </c>
      <c r="C1432" s="34"/>
      <c r="D1432" s="78">
        <v>244612.82</v>
      </c>
      <c r="E1432" s="88">
        <f>VLOOKUP(A1432,'Previous week'!$A$3:$F$1765,6,FALSE)</f>
        <v>0</v>
      </c>
      <c r="F1432" s="22">
        <f t="shared" si="71"/>
        <v>0</v>
      </c>
      <c r="G1432" s="88">
        <f>VLOOKUP(A1432,'Current week'!$A$3:$F$1765,6,0)</f>
        <v>0</v>
      </c>
      <c r="H1432" s="104">
        <f t="shared" si="69"/>
        <v>0</v>
      </c>
      <c r="I1432" s="104">
        <f t="shared" si="70"/>
        <v>0</v>
      </c>
      <c r="L1432" s="112"/>
    </row>
    <row r="1433" spans="1:12" x14ac:dyDescent="0.25">
      <c r="A1433" s="23" t="s">
        <v>3497</v>
      </c>
      <c r="B1433" s="23" t="s">
        <v>1722</v>
      </c>
      <c r="C1433" s="24"/>
      <c r="D1433" s="71">
        <v>214076.25</v>
      </c>
      <c r="E1433" s="88">
        <f>VLOOKUP(A1433,'Previous week'!$A$3:$F$1765,6,FALSE)</f>
        <v>1</v>
      </c>
      <c r="F1433" s="22">
        <f t="shared" si="71"/>
        <v>0</v>
      </c>
      <c r="G1433" s="88">
        <f>VLOOKUP(A1433,'Current week'!$A$3:$F$1765,6,0)</f>
        <v>1</v>
      </c>
      <c r="H1433" s="102">
        <f t="shared" si="69"/>
        <v>214076.25</v>
      </c>
      <c r="I1433" s="102">
        <f t="shared" si="70"/>
        <v>0</v>
      </c>
      <c r="L1433" s="112"/>
    </row>
    <row r="1434" spans="1:12" x14ac:dyDescent="0.25">
      <c r="A1434" s="45" t="s">
        <v>3768</v>
      </c>
      <c r="B1434" s="45" t="s">
        <v>2175</v>
      </c>
      <c r="C1434" s="46" t="s">
        <v>2144</v>
      </c>
      <c r="D1434" s="75">
        <v>20576.509999999998</v>
      </c>
      <c r="E1434" s="92"/>
      <c r="F1434" s="48">
        <f t="shared" si="71"/>
        <v>0</v>
      </c>
      <c r="G1434" s="92"/>
      <c r="H1434" s="106"/>
      <c r="I1434" s="106"/>
      <c r="L1434" s="112"/>
    </row>
    <row r="1435" spans="1:12" x14ac:dyDescent="0.25">
      <c r="A1435" s="19" t="s">
        <v>3769</v>
      </c>
      <c r="B1435" s="19" t="s">
        <v>2176</v>
      </c>
      <c r="C1435" s="20" t="s">
        <v>2146</v>
      </c>
      <c r="D1435" s="77">
        <v>10288.280000000001</v>
      </c>
      <c r="E1435" s="88">
        <f>VLOOKUP(A1435,'Previous week'!$A$3:$F$1765,6,FALSE)</f>
        <v>1</v>
      </c>
      <c r="F1435" s="22">
        <f t="shared" si="71"/>
        <v>0</v>
      </c>
      <c r="G1435" s="88">
        <f>VLOOKUP(A1435,'Current week'!$A$3:$F$1765,6,0)</f>
        <v>1</v>
      </c>
      <c r="H1435" s="101">
        <f t="shared" si="69"/>
        <v>10288.280000000001</v>
      </c>
      <c r="I1435" s="101">
        <f t="shared" si="70"/>
        <v>0</v>
      </c>
      <c r="L1435" s="112"/>
    </row>
    <row r="1436" spans="1:12" x14ac:dyDescent="0.25">
      <c r="A1436" s="33" t="s">
        <v>3770</v>
      </c>
      <c r="B1436" s="33" t="s">
        <v>2177</v>
      </c>
      <c r="C1436" s="34" t="s">
        <v>2178</v>
      </c>
      <c r="D1436" s="78">
        <v>102882.58</v>
      </c>
      <c r="E1436" s="88">
        <f>VLOOKUP(A1436,'Previous week'!$A$3:$F$1765,6,FALSE)</f>
        <v>1</v>
      </c>
      <c r="F1436" s="22">
        <f t="shared" si="71"/>
        <v>0</v>
      </c>
      <c r="G1436" s="88">
        <f>VLOOKUP(A1436,'Current week'!$A$3:$F$1765,6,0)</f>
        <v>1</v>
      </c>
      <c r="H1436" s="104">
        <f t="shared" si="69"/>
        <v>102882.58</v>
      </c>
      <c r="I1436" s="104">
        <f t="shared" si="70"/>
        <v>0</v>
      </c>
      <c r="L1436" s="112"/>
    </row>
    <row r="1437" spans="1:12" x14ac:dyDescent="0.25">
      <c r="A1437" s="33" t="s">
        <v>3771</v>
      </c>
      <c r="B1437" s="33" t="s">
        <v>2179</v>
      </c>
      <c r="C1437" s="34" t="s">
        <v>2180</v>
      </c>
      <c r="D1437" s="78">
        <v>41153.01</v>
      </c>
      <c r="E1437" s="88">
        <f>VLOOKUP(A1437,'Previous week'!$A$3:$F$1765,6,FALSE)</f>
        <v>1</v>
      </c>
      <c r="F1437" s="22">
        <f t="shared" si="71"/>
        <v>0</v>
      </c>
      <c r="G1437" s="88">
        <f>VLOOKUP(A1437,'Current week'!$A$3:$F$1765,6,0)</f>
        <v>1</v>
      </c>
      <c r="H1437" s="104">
        <f t="shared" si="69"/>
        <v>41153.01</v>
      </c>
      <c r="I1437" s="104">
        <f t="shared" si="70"/>
        <v>0</v>
      </c>
      <c r="L1437" s="112"/>
    </row>
    <row r="1438" spans="1:12" x14ac:dyDescent="0.25">
      <c r="A1438" s="33" t="s">
        <v>3772</v>
      </c>
      <c r="B1438" s="33" t="s">
        <v>2181</v>
      </c>
      <c r="C1438" s="34" t="s">
        <v>2182</v>
      </c>
      <c r="D1438" s="78">
        <v>10288.280000000001</v>
      </c>
      <c r="E1438" s="88">
        <f>VLOOKUP(A1438,'Previous week'!$A$3:$F$1765,6,FALSE)</f>
        <v>1</v>
      </c>
      <c r="F1438" s="22">
        <f t="shared" si="71"/>
        <v>0</v>
      </c>
      <c r="G1438" s="88">
        <f>VLOOKUP(A1438,'Current week'!$A$3:$F$1765,6,0)</f>
        <v>1</v>
      </c>
      <c r="H1438" s="104">
        <f t="shared" si="69"/>
        <v>10288.280000000001</v>
      </c>
      <c r="I1438" s="104">
        <f t="shared" si="70"/>
        <v>0</v>
      </c>
      <c r="L1438" s="112"/>
    </row>
    <row r="1439" spans="1:12" x14ac:dyDescent="0.25">
      <c r="A1439" s="33" t="s">
        <v>3773</v>
      </c>
      <c r="B1439" s="33" t="s">
        <v>2183</v>
      </c>
      <c r="C1439" s="34" t="s">
        <v>2152</v>
      </c>
      <c r="D1439" s="78">
        <v>20576.509999999998</v>
      </c>
      <c r="E1439" s="88">
        <f>VLOOKUP(A1439,'Previous week'!$A$3:$F$1765,6,FALSE)</f>
        <v>1</v>
      </c>
      <c r="F1439" s="22">
        <f t="shared" si="71"/>
        <v>0</v>
      </c>
      <c r="G1439" s="88">
        <f>VLOOKUP(A1439,'Current week'!$A$3:$F$1765,6,0)</f>
        <v>1</v>
      </c>
      <c r="H1439" s="104">
        <f t="shared" si="69"/>
        <v>20576.509999999998</v>
      </c>
      <c r="I1439" s="104">
        <f t="shared" si="70"/>
        <v>0</v>
      </c>
      <c r="L1439" s="112"/>
    </row>
    <row r="1440" spans="1:12" x14ac:dyDescent="0.25">
      <c r="A1440" s="23" t="s">
        <v>3774</v>
      </c>
      <c r="B1440" s="23" t="s">
        <v>2184</v>
      </c>
      <c r="C1440" s="24" t="s">
        <v>2185</v>
      </c>
      <c r="D1440" s="71">
        <v>8311.08</v>
      </c>
      <c r="E1440" s="88">
        <f>VLOOKUP(A1440,'Previous week'!$A$3:$F$1765,6,FALSE)</f>
        <v>1</v>
      </c>
      <c r="F1440" s="22">
        <f t="shared" si="71"/>
        <v>0</v>
      </c>
      <c r="G1440" s="88">
        <f>VLOOKUP(A1440,'Current week'!$A$3:$F$1765,6,0)</f>
        <v>1</v>
      </c>
      <c r="H1440" s="102">
        <f t="shared" si="69"/>
        <v>8311.08</v>
      </c>
      <c r="I1440" s="102">
        <f t="shared" si="70"/>
        <v>0</v>
      </c>
      <c r="L1440" s="112"/>
    </row>
    <row r="1441" spans="1:12" x14ac:dyDescent="0.25">
      <c r="A1441" s="45" t="s">
        <v>3503</v>
      </c>
      <c r="B1441" s="45" t="s">
        <v>1733</v>
      </c>
      <c r="C1441" s="46"/>
      <c r="D1441" s="75">
        <v>9821.3700000000008</v>
      </c>
      <c r="E1441" s="92"/>
      <c r="F1441" s="48">
        <f t="shared" si="71"/>
        <v>0</v>
      </c>
      <c r="G1441" s="92"/>
      <c r="H1441" s="106"/>
      <c r="I1441" s="106"/>
      <c r="L1441" s="112"/>
    </row>
    <row r="1442" spans="1:12" x14ac:dyDescent="0.25">
      <c r="A1442" s="19" t="s">
        <v>3775</v>
      </c>
      <c r="B1442" s="19" t="s">
        <v>2186</v>
      </c>
      <c r="C1442" s="20" t="s">
        <v>2187</v>
      </c>
      <c r="D1442" s="77">
        <v>9821.3700000000008</v>
      </c>
      <c r="E1442" s="88">
        <f>VLOOKUP(A1442,'Previous week'!$A$3:$F$1765,6,FALSE)</f>
        <v>1</v>
      </c>
      <c r="F1442" s="22">
        <f t="shared" si="71"/>
        <v>0</v>
      </c>
      <c r="G1442" s="88">
        <f>VLOOKUP(A1442,'Current week'!$A$3:$F$1765,6,0)</f>
        <v>1</v>
      </c>
      <c r="H1442" s="101">
        <f t="shared" si="69"/>
        <v>9821.3700000000008</v>
      </c>
      <c r="I1442" s="101">
        <f t="shared" si="70"/>
        <v>0</v>
      </c>
      <c r="L1442" s="112"/>
    </row>
    <row r="1443" spans="1:12" x14ac:dyDescent="0.25">
      <c r="A1443" s="33" t="s">
        <v>3528</v>
      </c>
      <c r="B1443" s="33" t="s">
        <v>127</v>
      </c>
      <c r="C1443" s="34"/>
      <c r="D1443" s="78">
        <v>7469.42</v>
      </c>
      <c r="E1443" s="88">
        <f>VLOOKUP(A1443,'Previous week'!$A$3:$F$1765,6,FALSE)</f>
        <v>1</v>
      </c>
      <c r="F1443" s="22">
        <f t="shared" si="71"/>
        <v>0</v>
      </c>
      <c r="G1443" s="88">
        <f>VLOOKUP(A1443,'Current week'!$A$3:$F$1765,6,0)</f>
        <v>1</v>
      </c>
      <c r="H1443" s="104">
        <f t="shared" si="69"/>
        <v>7469.42</v>
      </c>
      <c r="I1443" s="104">
        <f t="shared" si="70"/>
        <v>0</v>
      </c>
      <c r="L1443" s="112"/>
    </row>
    <row r="1444" spans="1:12" x14ac:dyDescent="0.25">
      <c r="A1444" s="33" t="s">
        <v>3776</v>
      </c>
      <c r="B1444" s="33" t="s">
        <v>2188</v>
      </c>
      <c r="C1444" s="34" t="s">
        <v>2189</v>
      </c>
      <c r="D1444" s="78">
        <v>7469.42</v>
      </c>
      <c r="E1444" s="88">
        <f>VLOOKUP(A1444,'Previous week'!$A$3:$F$1765,6,FALSE)</f>
        <v>1</v>
      </c>
      <c r="F1444" s="22">
        <f t="shared" si="71"/>
        <v>0</v>
      </c>
      <c r="G1444" s="88">
        <f>VLOOKUP(A1444,'Current week'!$A$3:$F$1765,6,0)</f>
        <v>1</v>
      </c>
      <c r="H1444" s="104">
        <f t="shared" si="69"/>
        <v>7469.42</v>
      </c>
      <c r="I1444" s="104">
        <f t="shared" si="70"/>
        <v>0</v>
      </c>
      <c r="L1444" s="112"/>
    </row>
    <row r="1445" spans="1:12" x14ac:dyDescent="0.25">
      <c r="A1445" s="33" t="s">
        <v>2810</v>
      </c>
      <c r="B1445" s="33" t="s">
        <v>499</v>
      </c>
      <c r="C1445" s="34"/>
      <c r="D1445" s="78">
        <v>13245.78</v>
      </c>
      <c r="E1445" s="88">
        <f>VLOOKUP(A1445,'Previous week'!$A$3:$F$1765,6,FALSE)</f>
        <v>0</v>
      </c>
      <c r="F1445" s="22">
        <f t="shared" si="71"/>
        <v>0</v>
      </c>
      <c r="G1445" s="88">
        <f>VLOOKUP(A1445,'Current week'!$A$3:$F$1765,6,0)</f>
        <v>0</v>
      </c>
      <c r="H1445" s="104">
        <f t="shared" si="69"/>
        <v>0</v>
      </c>
      <c r="I1445" s="104">
        <f t="shared" si="70"/>
        <v>0</v>
      </c>
      <c r="L1445" s="112"/>
    </row>
    <row r="1446" spans="1:12" x14ac:dyDescent="0.25">
      <c r="A1446" s="33" t="s">
        <v>3777</v>
      </c>
      <c r="B1446" s="33" t="s">
        <v>2190</v>
      </c>
      <c r="C1446" s="34" t="s">
        <v>2191</v>
      </c>
      <c r="D1446" s="78">
        <v>13245.78</v>
      </c>
      <c r="E1446" s="88">
        <f>VLOOKUP(A1446,'Previous week'!$A$3:$F$1765,6,FALSE)</f>
        <v>1</v>
      </c>
      <c r="F1446" s="22">
        <f t="shared" si="71"/>
        <v>0</v>
      </c>
      <c r="G1446" s="88">
        <f>VLOOKUP(A1446,'Current week'!$A$3:$F$1765,6,0)</f>
        <v>1</v>
      </c>
      <c r="H1446" s="104">
        <f t="shared" si="69"/>
        <v>13245.78</v>
      </c>
      <c r="I1446" s="104">
        <f t="shared" si="70"/>
        <v>0</v>
      </c>
      <c r="L1446" s="112"/>
    </row>
    <row r="1447" spans="1:12" x14ac:dyDescent="0.25">
      <c r="A1447" s="23" t="s">
        <v>3530</v>
      </c>
      <c r="B1447" s="23" t="s">
        <v>120</v>
      </c>
      <c r="C1447" s="24"/>
      <c r="D1447" s="71">
        <v>167864.19</v>
      </c>
      <c r="E1447" s="88">
        <f>VLOOKUP(A1447,'Previous week'!$A$3:$F$1765,6,FALSE)</f>
        <v>1</v>
      </c>
      <c r="F1447" s="22">
        <f t="shared" si="71"/>
        <v>0</v>
      </c>
      <c r="G1447" s="88">
        <f>VLOOKUP(A1447,'Current week'!$A$3:$F$1765,6,0)</f>
        <v>1</v>
      </c>
      <c r="H1447" s="102">
        <f t="shared" si="69"/>
        <v>167864.19</v>
      </c>
      <c r="I1447" s="102">
        <f t="shared" si="70"/>
        <v>0</v>
      </c>
      <c r="L1447" s="112"/>
    </row>
    <row r="1448" spans="1:12" x14ac:dyDescent="0.25">
      <c r="A1448" s="45" t="s">
        <v>3497</v>
      </c>
      <c r="B1448" s="45" t="s">
        <v>1722</v>
      </c>
      <c r="C1448" s="46"/>
      <c r="D1448" s="75">
        <v>98143.32</v>
      </c>
      <c r="E1448" s="92"/>
      <c r="F1448" s="48">
        <f t="shared" si="71"/>
        <v>0</v>
      </c>
      <c r="G1448" s="92"/>
      <c r="H1448" s="106"/>
      <c r="I1448" s="106"/>
      <c r="L1448" s="112"/>
    </row>
    <row r="1449" spans="1:12" x14ac:dyDescent="0.25">
      <c r="A1449" s="19" t="s">
        <v>3778</v>
      </c>
      <c r="B1449" s="19" t="s">
        <v>2192</v>
      </c>
      <c r="C1449" s="20" t="s">
        <v>2144</v>
      </c>
      <c r="D1449" s="77">
        <v>9814.34</v>
      </c>
      <c r="E1449" s="88">
        <f>VLOOKUP(A1449,'Previous week'!$A$3:$F$1765,6,FALSE)</f>
        <v>1</v>
      </c>
      <c r="F1449" s="22">
        <f t="shared" si="71"/>
        <v>0</v>
      </c>
      <c r="G1449" s="88">
        <f>VLOOKUP(A1449,'Current week'!$A$3:$F$1765,6,0)</f>
        <v>1</v>
      </c>
      <c r="H1449" s="101">
        <f t="shared" si="69"/>
        <v>9814.34</v>
      </c>
      <c r="I1449" s="101">
        <f t="shared" si="70"/>
        <v>0</v>
      </c>
      <c r="L1449" s="112"/>
    </row>
    <row r="1450" spans="1:12" x14ac:dyDescent="0.25">
      <c r="A1450" s="33" t="s">
        <v>3779</v>
      </c>
      <c r="B1450" s="33" t="s">
        <v>2193</v>
      </c>
      <c r="C1450" s="34" t="s">
        <v>2146</v>
      </c>
      <c r="D1450" s="78">
        <v>4907.17</v>
      </c>
      <c r="E1450" s="88">
        <f>VLOOKUP(A1450,'Previous week'!$A$3:$F$1765,6,FALSE)</f>
        <v>1</v>
      </c>
      <c r="F1450" s="22">
        <f t="shared" si="71"/>
        <v>0</v>
      </c>
      <c r="G1450" s="88">
        <f>VLOOKUP(A1450,'Current week'!$A$3:$F$1765,6,0)</f>
        <v>1</v>
      </c>
      <c r="H1450" s="104">
        <f t="shared" si="69"/>
        <v>4907.17</v>
      </c>
      <c r="I1450" s="104">
        <f t="shared" si="70"/>
        <v>0</v>
      </c>
      <c r="L1450" s="112"/>
    </row>
    <row r="1451" spans="1:12" x14ac:dyDescent="0.25">
      <c r="A1451" s="33" t="s">
        <v>3780</v>
      </c>
      <c r="B1451" s="33" t="s">
        <v>2194</v>
      </c>
      <c r="C1451" s="34" t="s">
        <v>2178</v>
      </c>
      <c r="D1451" s="78">
        <v>49071.64</v>
      </c>
      <c r="E1451" s="88">
        <f>VLOOKUP(A1451,'Previous week'!$A$3:$F$1765,6,FALSE)</f>
        <v>1</v>
      </c>
      <c r="F1451" s="22">
        <f t="shared" si="71"/>
        <v>0</v>
      </c>
      <c r="G1451" s="88">
        <f>VLOOKUP(A1451,'Current week'!$A$3:$F$1765,6,0)</f>
        <v>1</v>
      </c>
      <c r="H1451" s="104">
        <f t="shared" si="69"/>
        <v>49071.64</v>
      </c>
      <c r="I1451" s="104">
        <f t="shared" si="70"/>
        <v>0</v>
      </c>
      <c r="L1451" s="112"/>
    </row>
    <row r="1452" spans="1:12" x14ac:dyDescent="0.25">
      <c r="A1452" s="33" t="s">
        <v>3781</v>
      </c>
      <c r="B1452" s="33" t="s">
        <v>2195</v>
      </c>
      <c r="C1452" s="34" t="s">
        <v>2180</v>
      </c>
      <c r="D1452" s="78">
        <v>19628.650000000001</v>
      </c>
      <c r="E1452" s="88">
        <f>VLOOKUP(A1452,'Previous week'!$A$3:$F$1765,6,FALSE)</f>
        <v>1</v>
      </c>
      <c r="F1452" s="22">
        <f t="shared" si="71"/>
        <v>0</v>
      </c>
      <c r="G1452" s="88">
        <f>VLOOKUP(A1452,'Current week'!$A$3:$F$1765,6,0)</f>
        <v>1</v>
      </c>
      <c r="H1452" s="104">
        <f t="shared" si="69"/>
        <v>19628.650000000001</v>
      </c>
      <c r="I1452" s="104">
        <f t="shared" si="70"/>
        <v>0</v>
      </c>
      <c r="L1452" s="112"/>
    </row>
    <row r="1453" spans="1:12" x14ac:dyDescent="0.25">
      <c r="A1453" s="33" t="s">
        <v>3782</v>
      </c>
      <c r="B1453" s="33" t="s">
        <v>2196</v>
      </c>
      <c r="C1453" s="34" t="s">
        <v>2150</v>
      </c>
      <c r="D1453" s="78">
        <v>4907.17</v>
      </c>
      <c r="E1453" s="88">
        <f>VLOOKUP(A1453,'Previous week'!$A$3:$F$1765,6,FALSE)</f>
        <v>1</v>
      </c>
      <c r="F1453" s="22">
        <f t="shared" si="71"/>
        <v>0</v>
      </c>
      <c r="G1453" s="88">
        <f>VLOOKUP(A1453,'Current week'!$A$3:$F$1765,6,0)</f>
        <v>1</v>
      </c>
      <c r="H1453" s="104">
        <f t="shared" si="69"/>
        <v>4907.17</v>
      </c>
      <c r="I1453" s="104">
        <f t="shared" si="70"/>
        <v>0</v>
      </c>
      <c r="L1453" s="112"/>
    </row>
    <row r="1454" spans="1:12" x14ac:dyDescent="0.25">
      <c r="A1454" s="23" t="s">
        <v>3783</v>
      </c>
      <c r="B1454" s="23" t="s">
        <v>2197</v>
      </c>
      <c r="C1454" s="24" t="s">
        <v>2198</v>
      </c>
      <c r="D1454" s="71">
        <v>9814.34</v>
      </c>
      <c r="E1454" s="88">
        <f>VLOOKUP(A1454,'Previous week'!$A$3:$F$1765,6,FALSE)</f>
        <v>1</v>
      </c>
      <c r="F1454" s="22">
        <f t="shared" si="71"/>
        <v>0</v>
      </c>
      <c r="G1454" s="88">
        <f>VLOOKUP(A1454,'Current week'!$A$3:$F$1765,6,0)</f>
        <v>1</v>
      </c>
      <c r="H1454" s="102">
        <f t="shared" si="69"/>
        <v>9814.34</v>
      </c>
      <c r="I1454" s="102">
        <f t="shared" si="70"/>
        <v>0</v>
      </c>
      <c r="L1454" s="112"/>
    </row>
    <row r="1455" spans="1:12" x14ac:dyDescent="0.25">
      <c r="A1455" s="45" t="s">
        <v>3503</v>
      </c>
      <c r="B1455" s="45" t="s">
        <v>1733</v>
      </c>
      <c r="C1455" s="46"/>
      <c r="D1455" s="75">
        <v>7696.98</v>
      </c>
      <c r="E1455" s="92"/>
      <c r="F1455" s="48">
        <f t="shared" si="71"/>
        <v>0</v>
      </c>
      <c r="G1455" s="92"/>
      <c r="H1455" s="106"/>
      <c r="I1455" s="106"/>
      <c r="L1455" s="112"/>
    </row>
    <row r="1456" spans="1:12" x14ac:dyDescent="0.25">
      <c r="A1456" s="19" t="s">
        <v>3784</v>
      </c>
      <c r="B1456" s="19" t="s">
        <v>2199</v>
      </c>
      <c r="C1456" s="20" t="s">
        <v>2187</v>
      </c>
      <c r="D1456" s="77">
        <v>7696.98</v>
      </c>
      <c r="E1456" s="88">
        <f>VLOOKUP(A1456,'Previous week'!$A$3:$F$1765,6,FALSE)</f>
        <v>1</v>
      </c>
      <c r="F1456" s="22">
        <f t="shared" si="71"/>
        <v>0</v>
      </c>
      <c r="G1456" s="88">
        <f>VLOOKUP(A1456,'Current week'!$A$3:$F$1765,6,0)</f>
        <v>1</v>
      </c>
      <c r="H1456" s="101">
        <f t="shared" si="69"/>
        <v>7696.98</v>
      </c>
      <c r="I1456" s="101">
        <f t="shared" si="70"/>
        <v>0</v>
      </c>
      <c r="L1456" s="112"/>
    </row>
    <row r="1457" spans="1:12" x14ac:dyDescent="0.25">
      <c r="A1457" s="33" t="s">
        <v>3528</v>
      </c>
      <c r="B1457" s="33" t="s">
        <v>127</v>
      </c>
      <c r="C1457" s="34"/>
      <c r="D1457" s="78">
        <v>5256.26</v>
      </c>
      <c r="E1457" s="88">
        <f>VLOOKUP(A1457,'Previous week'!$A$3:$F$1765,6,FALSE)</f>
        <v>1</v>
      </c>
      <c r="F1457" s="22">
        <f t="shared" si="71"/>
        <v>0</v>
      </c>
      <c r="G1457" s="88">
        <f>VLOOKUP(A1457,'Current week'!$A$3:$F$1765,6,0)</f>
        <v>1</v>
      </c>
      <c r="H1457" s="104">
        <f t="shared" si="69"/>
        <v>5256.26</v>
      </c>
      <c r="I1457" s="104">
        <f t="shared" si="70"/>
        <v>0</v>
      </c>
      <c r="L1457" s="112"/>
    </row>
    <row r="1458" spans="1:12" x14ac:dyDescent="0.25">
      <c r="A1458" s="23" t="s">
        <v>3785</v>
      </c>
      <c r="B1458" s="23" t="s">
        <v>2200</v>
      </c>
      <c r="C1458" s="24" t="s">
        <v>2189</v>
      </c>
      <c r="D1458" s="71">
        <v>5256.26</v>
      </c>
      <c r="E1458" s="88">
        <f>VLOOKUP(A1458,'Previous week'!$A$3:$F$1765,6,FALSE)</f>
        <v>1</v>
      </c>
      <c r="F1458" s="22">
        <f t="shared" si="71"/>
        <v>0</v>
      </c>
      <c r="G1458" s="88">
        <f>VLOOKUP(A1458,'Current week'!$A$3:$F$1765,6,0)</f>
        <v>1</v>
      </c>
      <c r="H1458" s="102">
        <f t="shared" si="69"/>
        <v>5256.26</v>
      </c>
      <c r="I1458" s="102">
        <f t="shared" si="70"/>
        <v>0</v>
      </c>
      <c r="L1458" s="112"/>
    </row>
    <row r="1459" spans="1:12" x14ac:dyDescent="0.25">
      <c r="A1459" s="45" t="s">
        <v>2818</v>
      </c>
      <c r="B1459" s="45" t="s">
        <v>124</v>
      </c>
      <c r="C1459" s="46"/>
      <c r="D1459" s="75">
        <v>56767.63</v>
      </c>
      <c r="E1459" s="92"/>
      <c r="F1459" s="48">
        <f t="shared" si="71"/>
        <v>0</v>
      </c>
      <c r="G1459" s="92"/>
      <c r="H1459" s="106"/>
      <c r="I1459" s="106"/>
      <c r="L1459" s="112"/>
    </row>
    <row r="1460" spans="1:12" x14ac:dyDescent="0.25">
      <c r="A1460" s="19" t="s">
        <v>3786</v>
      </c>
      <c r="B1460" s="19" t="s">
        <v>2201</v>
      </c>
      <c r="C1460" s="20" t="s">
        <v>2202</v>
      </c>
      <c r="D1460" s="77">
        <v>56767.63</v>
      </c>
      <c r="E1460" s="88">
        <f>VLOOKUP(A1460,'Previous week'!$A$3:$F$1765,6,FALSE)</f>
        <v>1</v>
      </c>
      <c r="F1460" s="22">
        <f t="shared" si="71"/>
        <v>0</v>
      </c>
      <c r="G1460" s="88">
        <f>VLOOKUP(A1460,'Current week'!$A$3:$F$1765,6,0)</f>
        <v>1</v>
      </c>
      <c r="H1460" s="101">
        <f t="shared" si="69"/>
        <v>56767.63</v>
      </c>
      <c r="I1460" s="101">
        <f t="shared" si="70"/>
        <v>0</v>
      </c>
      <c r="L1460" s="112"/>
    </row>
    <row r="1461" spans="1:12" x14ac:dyDescent="0.25">
      <c r="A1461" s="33" t="s">
        <v>3540</v>
      </c>
      <c r="B1461" s="33" t="s">
        <v>1785</v>
      </c>
      <c r="C1461" s="34"/>
      <c r="D1461" s="78">
        <v>683991.44</v>
      </c>
      <c r="E1461" s="88">
        <f>VLOOKUP(A1461,'Previous week'!$A$3:$F$1765,6,FALSE)</f>
        <v>1</v>
      </c>
      <c r="F1461" s="22">
        <f t="shared" si="71"/>
        <v>0</v>
      </c>
      <c r="G1461" s="88">
        <f>VLOOKUP(A1461,'Current week'!$A$3:$F$1765,6,0)</f>
        <v>1</v>
      </c>
      <c r="H1461" s="104">
        <f t="shared" si="69"/>
        <v>683991.44</v>
      </c>
      <c r="I1461" s="104">
        <f t="shared" si="70"/>
        <v>0</v>
      </c>
      <c r="L1461" s="112"/>
    </row>
    <row r="1462" spans="1:12" x14ac:dyDescent="0.25">
      <c r="A1462" s="23" t="s">
        <v>3601</v>
      </c>
      <c r="B1462" s="23" t="s">
        <v>1888</v>
      </c>
      <c r="C1462" s="24"/>
      <c r="D1462" s="71">
        <v>165204.70000000001</v>
      </c>
      <c r="E1462" s="88">
        <f>VLOOKUP(A1462,'Previous week'!$A$3:$F$1765,6,FALSE)</f>
        <v>1</v>
      </c>
      <c r="F1462" s="22">
        <f t="shared" si="71"/>
        <v>0</v>
      </c>
      <c r="G1462" s="88">
        <f>VLOOKUP(A1462,'Current week'!$A$3:$F$1765,6,0)</f>
        <v>1</v>
      </c>
      <c r="H1462" s="102">
        <f t="shared" si="69"/>
        <v>165204.70000000001</v>
      </c>
      <c r="I1462" s="102">
        <f t="shared" si="70"/>
        <v>0</v>
      </c>
      <c r="L1462" s="112"/>
    </row>
    <row r="1463" spans="1:12" x14ac:dyDescent="0.25">
      <c r="A1463" s="41" t="s">
        <v>2831</v>
      </c>
      <c r="B1463" s="41" t="s">
        <v>1889</v>
      </c>
      <c r="C1463" s="42"/>
      <c r="D1463" s="66">
        <v>130128.34</v>
      </c>
      <c r="E1463" s="91"/>
      <c r="F1463" s="67">
        <f t="shared" si="71"/>
        <v>0</v>
      </c>
      <c r="G1463" s="91"/>
      <c r="H1463" s="103"/>
      <c r="I1463" s="103"/>
      <c r="L1463" s="112"/>
    </row>
    <row r="1464" spans="1:12" x14ac:dyDescent="0.25">
      <c r="A1464" s="50" t="s">
        <v>3787</v>
      </c>
      <c r="B1464" s="50" t="s">
        <v>2203</v>
      </c>
      <c r="C1464" s="51" t="s">
        <v>2204</v>
      </c>
      <c r="D1464" s="68">
        <v>6530.33</v>
      </c>
      <c r="E1464" s="93"/>
      <c r="F1464" s="69">
        <f t="shared" si="71"/>
        <v>0</v>
      </c>
      <c r="G1464" s="93"/>
      <c r="H1464" s="106"/>
      <c r="I1464" s="106"/>
      <c r="L1464" s="112"/>
    </row>
    <row r="1465" spans="1:12" x14ac:dyDescent="0.25">
      <c r="A1465" s="54" t="s">
        <v>3788</v>
      </c>
      <c r="B1465" s="54" t="s">
        <v>2205</v>
      </c>
      <c r="C1465" s="55" t="s">
        <v>2206</v>
      </c>
      <c r="D1465" s="70">
        <v>13876.53</v>
      </c>
      <c r="E1465" s="94">
        <f>'Previous week'!F1536</f>
        <v>1</v>
      </c>
      <c r="F1465" s="57">
        <f t="shared" si="71"/>
        <v>0</v>
      </c>
      <c r="G1465" s="94">
        <f>'Current week'!F1536</f>
        <v>1</v>
      </c>
      <c r="H1465" s="107">
        <f t="shared" si="69"/>
        <v>13876.53</v>
      </c>
      <c r="I1465" s="107">
        <f t="shared" si="70"/>
        <v>0</v>
      </c>
      <c r="L1465" s="112"/>
    </row>
    <row r="1466" spans="1:12" x14ac:dyDescent="0.25">
      <c r="A1466" s="19" t="s">
        <v>3789</v>
      </c>
      <c r="B1466" s="19" t="s">
        <v>2207</v>
      </c>
      <c r="C1466" s="20" t="s">
        <v>2208</v>
      </c>
      <c r="D1466" s="77">
        <v>109721.48</v>
      </c>
      <c r="E1466" s="88">
        <f>VLOOKUP(A1466,'Previous week'!$A$3:$F$1765,6,FALSE)</f>
        <v>1</v>
      </c>
      <c r="F1466" s="22">
        <f t="shared" si="71"/>
        <v>0</v>
      </c>
      <c r="G1466" s="88">
        <f>VLOOKUP(A1466,'Current week'!$A$3:$F$1765,6,0)</f>
        <v>1</v>
      </c>
      <c r="H1466" s="101">
        <f t="shared" si="69"/>
        <v>109721.48</v>
      </c>
      <c r="I1466" s="101">
        <f t="shared" si="70"/>
        <v>0</v>
      </c>
      <c r="L1466" s="112"/>
    </row>
    <row r="1467" spans="1:12" x14ac:dyDescent="0.25">
      <c r="A1467" s="33" t="s">
        <v>3605</v>
      </c>
      <c r="B1467" s="33" t="s">
        <v>222</v>
      </c>
      <c r="C1467" s="34"/>
      <c r="D1467" s="78">
        <v>35076.36</v>
      </c>
      <c r="E1467" s="88">
        <f>VLOOKUP(A1467,'Previous week'!$A$3:$F$1765,6,FALSE)</f>
        <v>1</v>
      </c>
      <c r="F1467" s="22">
        <f t="shared" si="71"/>
        <v>0</v>
      </c>
      <c r="G1467" s="88">
        <f>VLOOKUP(A1467,'Current week'!$A$3:$F$1765,6,0)</f>
        <v>1</v>
      </c>
      <c r="H1467" s="104">
        <f t="shared" ref="H1467:H1530" si="72">G1467*D1467</f>
        <v>35076.36</v>
      </c>
      <c r="I1467" s="104">
        <f t="shared" ref="I1467:I1530" si="73">F1467*D1467</f>
        <v>0</v>
      </c>
      <c r="L1467" s="112"/>
    </row>
    <row r="1468" spans="1:12" x14ac:dyDescent="0.25">
      <c r="A1468" s="33" t="s">
        <v>3790</v>
      </c>
      <c r="B1468" s="33" t="s">
        <v>2209</v>
      </c>
      <c r="C1468" s="34" t="s">
        <v>2210</v>
      </c>
      <c r="D1468" s="78">
        <v>9385.58</v>
      </c>
      <c r="E1468" s="88">
        <f>VLOOKUP(A1468,'Previous week'!$A$3:$F$1765,6,FALSE)</f>
        <v>1</v>
      </c>
      <c r="F1468" s="22">
        <f t="shared" ref="F1468:F1531" si="74">G1468-E1468</f>
        <v>0</v>
      </c>
      <c r="G1468" s="88">
        <f>VLOOKUP(A1468,'Current week'!$A$3:$F$1765,6,0)</f>
        <v>1</v>
      </c>
      <c r="H1468" s="104">
        <f t="shared" si="72"/>
        <v>9385.58</v>
      </c>
      <c r="I1468" s="104">
        <f t="shared" si="73"/>
        <v>0</v>
      </c>
      <c r="L1468" s="112"/>
    </row>
    <row r="1469" spans="1:12" x14ac:dyDescent="0.25">
      <c r="A1469" s="33" t="s">
        <v>3791</v>
      </c>
      <c r="B1469" s="33" t="s">
        <v>2211</v>
      </c>
      <c r="C1469" s="34" t="s">
        <v>2212</v>
      </c>
      <c r="D1469" s="78">
        <v>25690.78</v>
      </c>
      <c r="E1469" s="88">
        <f>VLOOKUP(A1469,'Previous week'!$A$3:$F$1765,6,FALSE)</f>
        <v>1</v>
      </c>
      <c r="F1469" s="22">
        <f t="shared" si="74"/>
        <v>0</v>
      </c>
      <c r="G1469" s="88">
        <f>VLOOKUP(A1469,'Current week'!$A$3:$F$1765,6,0)</f>
        <v>1</v>
      </c>
      <c r="H1469" s="104">
        <f t="shared" si="72"/>
        <v>25690.78</v>
      </c>
      <c r="I1469" s="104">
        <f t="shared" si="73"/>
        <v>0</v>
      </c>
      <c r="L1469" s="112"/>
    </row>
    <row r="1470" spans="1:12" x14ac:dyDescent="0.25">
      <c r="A1470" s="33" t="s">
        <v>3541</v>
      </c>
      <c r="B1470" s="33" t="s">
        <v>1786</v>
      </c>
      <c r="C1470" s="34"/>
      <c r="D1470" s="78">
        <v>267583.69</v>
      </c>
      <c r="E1470" s="88">
        <f>VLOOKUP(A1470,'Previous week'!$A$3:$F$1765,6,FALSE)</f>
        <v>1</v>
      </c>
      <c r="F1470" s="22">
        <f t="shared" si="74"/>
        <v>0</v>
      </c>
      <c r="G1470" s="88">
        <f>VLOOKUP(A1470,'Current week'!$A$3:$F$1765,6,0)</f>
        <v>1</v>
      </c>
      <c r="H1470" s="104">
        <f t="shared" si="72"/>
        <v>267583.69</v>
      </c>
      <c r="I1470" s="104">
        <f t="shared" si="73"/>
        <v>0</v>
      </c>
      <c r="L1470" s="112"/>
    </row>
    <row r="1471" spans="1:12" x14ac:dyDescent="0.25">
      <c r="A1471" s="23" t="s">
        <v>3792</v>
      </c>
      <c r="B1471" s="23" t="s">
        <v>2213</v>
      </c>
      <c r="C1471" s="24" t="s">
        <v>2210</v>
      </c>
      <c r="D1471" s="71">
        <v>17282.59</v>
      </c>
      <c r="E1471" s="88">
        <f>VLOOKUP(A1471,'Previous week'!$A$3:$F$1765,6,FALSE)</f>
        <v>1</v>
      </c>
      <c r="F1471" s="22">
        <f t="shared" si="74"/>
        <v>0</v>
      </c>
      <c r="G1471" s="88">
        <f>VLOOKUP(A1471,'Current week'!$A$3:$F$1765,6,0)</f>
        <v>1</v>
      </c>
      <c r="H1471" s="102">
        <f t="shared" si="72"/>
        <v>17282.59</v>
      </c>
      <c r="I1471" s="102">
        <f t="shared" si="73"/>
        <v>0</v>
      </c>
      <c r="L1471" s="112"/>
    </row>
    <row r="1472" spans="1:12" x14ac:dyDescent="0.25">
      <c r="A1472" s="54" t="s">
        <v>3793</v>
      </c>
      <c r="B1472" s="54" t="s">
        <v>2214</v>
      </c>
      <c r="C1472" s="55" t="s">
        <v>2215</v>
      </c>
      <c r="D1472" s="70">
        <v>17204.29</v>
      </c>
      <c r="E1472" s="94">
        <f>'Previous week'!F1543</f>
        <v>1</v>
      </c>
      <c r="F1472" s="81">
        <f t="shared" si="74"/>
        <v>0</v>
      </c>
      <c r="G1472" s="94">
        <f>'Current week'!F1543</f>
        <v>1</v>
      </c>
      <c r="H1472" s="107">
        <f t="shared" si="72"/>
        <v>17204.29</v>
      </c>
      <c r="I1472" s="107">
        <f t="shared" si="73"/>
        <v>0</v>
      </c>
      <c r="L1472" s="112"/>
    </row>
    <row r="1473" spans="1:12" x14ac:dyDescent="0.25">
      <c r="A1473" s="19" t="s">
        <v>3794</v>
      </c>
      <c r="B1473" s="19" t="s">
        <v>2216</v>
      </c>
      <c r="C1473" s="20" t="s">
        <v>2212</v>
      </c>
      <c r="D1473" s="77">
        <v>88141.2</v>
      </c>
      <c r="E1473" s="88">
        <f>VLOOKUP(A1473,'Previous week'!$A$3:$F$1765,6,FALSE)</f>
        <v>1</v>
      </c>
      <c r="F1473" s="22">
        <f t="shared" si="74"/>
        <v>0</v>
      </c>
      <c r="G1473" s="88">
        <f>VLOOKUP(A1473,'Current week'!$A$3:$F$1765,6,0)</f>
        <v>1</v>
      </c>
      <c r="H1473" s="101">
        <f t="shared" si="72"/>
        <v>88141.2</v>
      </c>
      <c r="I1473" s="101">
        <f t="shared" si="73"/>
        <v>0</v>
      </c>
      <c r="L1473" s="112"/>
    </row>
    <row r="1474" spans="1:12" x14ac:dyDescent="0.25">
      <c r="A1474" s="33" t="s">
        <v>3795</v>
      </c>
      <c r="B1474" s="33" t="s">
        <v>2217</v>
      </c>
      <c r="C1474" s="34" t="s">
        <v>2218</v>
      </c>
      <c r="D1474" s="78">
        <v>96197.32</v>
      </c>
      <c r="E1474" s="88">
        <f>VLOOKUP(A1474,'Previous week'!$A$3:$F$1765,6,FALSE)</f>
        <v>1</v>
      </c>
      <c r="F1474" s="22">
        <f t="shared" si="74"/>
        <v>0</v>
      </c>
      <c r="G1474" s="88">
        <f>VLOOKUP(A1474,'Current week'!$A$3:$F$1765,6,0)</f>
        <v>1</v>
      </c>
      <c r="H1474" s="104">
        <f t="shared" si="72"/>
        <v>96197.32</v>
      </c>
      <c r="I1474" s="104">
        <f t="shared" si="73"/>
        <v>0</v>
      </c>
      <c r="L1474" s="112"/>
    </row>
    <row r="1475" spans="1:12" x14ac:dyDescent="0.25">
      <c r="A1475" s="33" t="s">
        <v>3796</v>
      </c>
      <c r="B1475" s="33" t="s">
        <v>2219</v>
      </c>
      <c r="C1475" s="34" t="s">
        <v>2220</v>
      </c>
      <c r="D1475" s="78">
        <v>22897.48</v>
      </c>
      <c r="E1475" s="88">
        <f>VLOOKUP(A1475,'Previous week'!$A$3:$F$1765,6,FALSE)</f>
        <v>1</v>
      </c>
      <c r="F1475" s="22">
        <f t="shared" si="74"/>
        <v>0</v>
      </c>
      <c r="G1475" s="88">
        <f>VLOOKUP(A1475,'Current week'!$A$3:$F$1765,6,0)</f>
        <v>1</v>
      </c>
      <c r="H1475" s="104">
        <f t="shared" si="72"/>
        <v>22897.48</v>
      </c>
      <c r="I1475" s="104">
        <f t="shared" si="73"/>
        <v>0</v>
      </c>
      <c r="L1475" s="112"/>
    </row>
    <row r="1476" spans="1:12" x14ac:dyDescent="0.25">
      <c r="A1476" s="33" t="s">
        <v>3797</v>
      </c>
      <c r="B1476" s="33" t="s">
        <v>2221</v>
      </c>
      <c r="C1476" s="34" t="s">
        <v>2222</v>
      </c>
      <c r="D1476" s="78">
        <v>22076.3</v>
      </c>
      <c r="E1476" s="88">
        <f>VLOOKUP(A1476,'Previous week'!$A$3:$F$1765,6,FALSE)</f>
        <v>1</v>
      </c>
      <c r="F1476" s="22">
        <f t="shared" si="74"/>
        <v>0</v>
      </c>
      <c r="G1476" s="88">
        <f>VLOOKUP(A1476,'Current week'!$A$3:$F$1765,6,0)</f>
        <v>1</v>
      </c>
      <c r="H1476" s="104">
        <f t="shared" si="72"/>
        <v>22076.3</v>
      </c>
      <c r="I1476" s="104">
        <f t="shared" si="73"/>
        <v>0</v>
      </c>
      <c r="L1476" s="112"/>
    </row>
    <row r="1477" spans="1:12" x14ac:dyDescent="0.25">
      <c r="A1477" s="33" t="s">
        <v>3798</v>
      </c>
      <c r="B1477" s="33" t="s">
        <v>2223</v>
      </c>
      <c r="C1477" s="34" t="s">
        <v>2224</v>
      </c>
      <c r="D1477" s="78">
        <v>3784.51</v>
      </c>
      <c r="E1477" s="88">
        <f>VLOOKUP(A1477,'Previous week'!$A$3:$F$1765,6,FALSE)</f>
        <v>1</v>
      </c>
      <c r="F1477" s="22">
        <f t="shared" si="74"/>
        <v>0</v>
      </c>
      <c r="G1477" s="88">
        <f>VLOOKUP(A1477,'Current week'!$A$3:$F$1765,6,0)</f>
        <v>1</v>
      </c>
      <c r="H1477" s="104">
        <f t="shared" si="72"/>
        <v>3784.51</v>
      </c>
      <c r="I1477" s="104">
        <f t="shared" si="73"/>
        <v>0</v>
      </c>
      <c r="L1477" s="112"/>
    </row>
    <row r="1478" spans="1:12" x14ac:dyDescent="0.25">
      <c r="A1478" s="23" t="s">
        <v>3548</v>
      </c>
      <c r="B1478" s="23" t="s">
        <v>1799</v>
      </c>
      <c r="C1478" s="24"/>
      <c r="D1478" s="71">
        <v>251203.05</v>
      </c>
      <c r="E1478" s="88">
        <f>VLOOKUP(A1478,'Previous week'!$A$3:$F$1765,6,FALSE)</f>
        <v>1</v>
      </c>
      <c r="F1478" s="22">
        <f t="shared" si="74"/>
        <v>0</v>
      </c>
      <c r="G1478" s="88">
        <f>VLOOKUP(A1478,'Current week'!$A$3:$F$1765,6,0)</f>
        <v>1</v>
      </c>
      <c r="H1478" s="102">
        <f t="shared" si="72"/>
        <v>251203.05</v>
      </c>
      <c r="I1478" s="102">
        <f t="shared" si="73"/>
        <v>0</v>
      </c>
      <c r="L1478" s="112"/>
    </row>
    <row r="1479" spans="1:12" x14ac:dyDescent="0.25">
      <c r="A1479" s="54" t="s">
        <v>3799</v>
      </c>
      <c r="B1479" s="54" t="s">
        <v>2225</v>
      </c>
      <c r="C1479" s="55" t="s">
        <v>2226</v>
      </c>
      <c r="D1479" s="70">
        <v>145325.12</v>
      </c>
      <c r="E1479" s="94">
        <f>'Previous week'!F1550</f>
        <v>1</v>
      </c>
      <c r="F1479" s="81">
        <f t="shared" si="74"/>
        <v>0</v>
      </c>
      <c r="G1479" s="94">
        <f>'Current week'!F1550</f>
        <v>1</v>
      </c>
      <c r="H1479" s="107">
        <f t="shared" si="72"/>
        <v>145325.12</v>
      </c>
      <c r="I1479" s="107">
        <f t="shared" si="73"/>
        <v>0</v>
      </c>
      <c r="L1479" s="112"/>
    </row>
    <row r="1480" spans="1:12" x14ac:dyDescent="0.25">
      <c r="A1480" s="19" t="s">
        <v>3800</v>
      </c>
      <c r="B1480" s="19" t="s">
        <v>2227</v>
      </c>
      <c r="C1480" s="20" t="s">
        <v>2228</v>
      </c>
      <c r="D1480" s="77">
        <v>3973.73</v>
      </c>
      <c r="E1480" s="88">
        <f>VLOOKUP(A1480,'Previous week'!$A$3:$F$1765,6,FALSE)</f>
        <v>1</v>
      </c>
      <c r="F1480" s="22">
        <f t="shared" si="74"/>
        <v>0</v>
      </c>
      <c r="G1480" s="88">
        <f>VLOOKUP(A1480,'Current week'!$A$3:$F$1765,6,0)</f>
        <v>1</v>
      </c>
      <c r="H1480" s="101">
        <f t="shared" si="72"/>
        <v>3973.73</v>
      </c>
      <c r="I1480" s="101">
        <f t="shared" si="73"/>
        <v>0</v>
      </c>
      <c r="L1480" s="112"/>
    </row>
    <row r="1481" spans="1:12" x14ac:dyDescent="0.25">
      <c r="A1481" s="33" t="s">
        <v>3801</v>
      </c>
      <c r="B1481" s="33" t="s">
        <v>2229</v>
      </c>
      <c r="C1481" s="34" t="s">
        <v>2230</v>
      </c>
      <c r="D1481" s="78">
        <v>62166.86</v>
      </c>
      <c r="E1481" s="88">
        <f>VLOOKUP(A1481,'Previous week'!$A$3:$F$1765,6,FALSE)</f>
        <v>1</v>
      </c>
      <c r="F1481" s="22">
        <f t="shared" si="74"/>
        <v>0</v>
      </c>
      <c r="G1481" s="88">
        <f>VLOOKUP(A1481,'Current week'!$A$3:$F$1765,6,0)</f>
        <v>1</v>
      </c>
      <c r="H1481" s="104">
        <f t="shared" si="72"/>
        <v>62166.86</v>
      </c>
      <c r="I1481" s="104">
        <f t="shared" si="73"/>
        <v>0</v>
      </c>
      <c r="L1481" s="112"/>
    </row>
    <row r="1482" spans="1:12" x14ac:dyDescent="0.25">
      <c r="A1482" s="33" t="s">
        <v>3802</v>
      </c>
      <c r="B1482" s="33" t="s">
        <v>2231</v>
      </c>
      <c r="C1482" s="34" t="s">
        <v>2174</v>
      </c>
      <c r="D1482" s="78">
        <v>39737.339999999997</v>
      </c>
      <c r="E1482" s="88">
        <f>VLOOKUP(A1482,'Previous week'!$A$3:$F$1765,6,FALSE)</f>
        <v>1</v>
      </c>
      <c r="F1482" s="22">
        <f t="shared" si="74"/>
        <v>0</v>
      </c>
      <c r="G1482" s="88">
        <f>VLOOKUP(A1482,'Current week'!$A$3:$F$1765,6,0)</f>
        <v>1</v>
      </c>
      <c r="H1482" s="104">
        <f t="shared" si="72"/>
        <v>39737.339999999997</v>
      </c>
      <c r="I1482" s="104">
        <f t="shared" si="73"/>
        <v>0</v>
      </c>
      <c r="L1482" s="112"/>
    </row>
    <row r="1483" spans="1:12" x14ac:dyDescent="0.25">
      <c r="A1483" s="33" t="s">
        <v>3803</v>
      </c>
      <c r="B1483" s="33" t="s">
        <v>2232</v>
      </c>
      <c r="C1483" s="34"/>
      <c r="D1483" s="78">
        <v>4574877.17</v>
      </c>
      <c r="E1483" s="88" t="e">
        <f>VLOOKUP(A1483,'Previous week'!$A$3:$F$1765,6,FALSE)</f>
        <v>#N/A</v>
      </c>
      <c r="F1483" s="22" t="e">
        <f t="shared" si="74"/>
        <v>#N/A</v>
      </c>
      <c r="G1483" s="88" t="e">
        <f>VLOOKUP(A1483,'Current week'!$A$3:$F$1765,6,0)</f>
        <v>#N/A</v>
      </c>
      <c r="H1483" s="104" t="e">
        <f t="shared" si="72"/>
        <v>#N/A</v>
      </c>
      <c r="I1483" s="104" t="e">
        <f t="shared" si="73"/>
        <v>#N/A</v>
      </c>
      <c r="L1483" s="112"/>
    </row>
    <row r="1484" spans="1:12" x14ac:dyDescent="0.25">
      <c r="A1484" s="33" t="s">
        <v>3737</v>
      </c>
      <c r="B1484" s="33" t="s">
        <v>2118</v>
      </c>
      <c r="C1484" s="34"/>
      <c r="D1484" s="78">
        <v>2010437.54</v>
      </c>
      <c r="E1484" s="88">
        <f>VLOOKUP(A1484,'Previous week'!$A$3:$F$1765,6,FALSE)</f>
        <v>1</v>
      </c>
      <c r="F1484" s="22">
        <f t="shared" si="74"/>
        <v>0</v>
      </c>
      <c r="G1484" s="88">
        <f>VLOOKUP(A1484,'Current week'!$A$3:$F$1765,6,0)</f>
        <v>1</v>
      </c>
      <c r="H1484" s="104">
        <f t="shared" si="72"/>
        <v>2010437.54</v>
      </c>
      <c r="I1484" s="104">
        <f t="shared" si="73"/>
        <v>0</v>
      </c>
      <c r="L1484" s="112"/>
    </row>
    <row r="1485" spans="1:12" x14ac:dyDescent="0.25">
      <c r="A1485" s="23" t="s">
        <v>3475</v>
      </c>
      <c r="B1485" s="23" t="s">
        <v>1686</v>
      </c>
      <c r="C1485" s="24"/>
      <c r="D1485" s="71">
        <v>852975.19</v>
      </c>
      <c r="E1485" s="88">
        <f>VLOOKUP(A1485,'Previous week'!$A$3:$F$1765,6,FALSE)</f>
        <v>1</v>
      </c>
      <c r="F1485" s="22">
        <f t="shared" si="74"/>
        <v>0</v>
      </c>
      <c r="G1485" s="88">
        <f>VLOOKUP(A1485,'Current week'!$A$3:$F$1765,6,0)</f>
        <v>1</v>
      </c>
      <c r="H1485" s="102">
        <f t="shared" si="72"/>
        <v>852975.19</v>
      </c>
      <c r="I1485" s="102">
        <f t="shared" si="73"/>
        <v>0</v>
      </c>
      <c r="L1485" s="112"/>
    </row>
    <row r="1486" spans="1:12" x14ac:dyDescent="0.25">
      <c r="A1486" s="54" t="s">
        <v>3804</v>
      </c>
      <c r="B1486" s="54" t="s">
        <v>2233</v>
      </c>
      <c r="C1486" s="55" t="s">
        <v>2234</v>
      </c>
      <c r="D1486" s="70">
        <v>19197.580000000002</v>
      </c>
      <c r="E1486" s="94">
        <f>'Previous week'!F1557</f>
        <v>1</v>
      </c>
      <c r="F1486" s="81">
        <f t="shared" si="74"/>
        <v>0</v>
      </c>
      <c r="G1486" s="94">
        <f>'Current week'!F1557</f>
        <v>1</v>
      </c>
      <c r="H1486" s="107">
        <f t="shared" si="72"/>
        <v>19197.580000000002</v>
      </c>
      <c r="I1486" s="107">
        <f t="shared" si="73"/>
        <v>0</v>
      </c>
      <c r="L1486" s="112"/>
    </row>
    <row r="1487" spans="1:12" x14ac:dyDescent="0.25">
      <c r="A1487" s="19" t="s">
        <v>3805</v>
      </c>
      <c r="B1487" s="19" t="s">
        <v>2235</v>
      </c>
      <c r="C1487" s="20" t="s">
        <v>2236</v>
      </c>
      <c r="D1487" s="77">
        <v>757595.51</v>
      </c>
      <c r="E1487" s="88" t="e">
        <f>VLOOKUP(A1487,'Previous week'!$A$3:$F$1765,6,FALSE)</f>
        <v>#N/A</v>
      </c>
      <c r="F1487" s="22" t="e">
        <f t="shared" si="74"/>
        <v>#N/A</v>
      </c>
      <c r="G1487" s="88" t="e">
        <f>VLOOKUP(A1487,'Current week'!$A$3:$F$1765,6,0)</f>
        <v>#N/A</v>
      </c>
      <c r="H1487" s="101" t="e">
        <f t="shared" si="72"/>
        <v>#N/A</v>
      </c>
      <c r="I1487" s="101" t="e">
        <f t="shared" si="73"/>
        <v>#N/A</v>
      </c>
      <c r="L1487" s="112"/>
    </row>
    <row r="1488" spans="1:12" x14ac:dyDescent="0.25">
      <c r="A1488" s="33" t="s">
        <v>3806</v>
      </c>
      <c r="B1488" s="33" t="s">
        <v>2237</v>
      </c>
      <c r="C1488" s="34" t="s">
        <v>2238</v>
      </c>
      <c r="D1488" s="78">
        <v>76182.11</v>
      </c>
      <c r="E1488" s="88" t="e">
        <f>VLOOKUP(A1488,'Previous week'!$A$3:$F$1765,6,FALSE)</f>
        <v>#N/A</v>
      </c>
      <c r="F1488" s="22" t="e">
        <f t="shared" si="74"/>
        <v>#N/A</v>
      </c>
      <c r="G1488" s="88" t="e">
        <f>VLOOKUP(A1488,'Current week'!$A$3:$F$1765,6,0)</f>
        <v>#N/A</v>
      </c>
      <c r="H1488" s="104" t="e">
        <f t="shared" si="72"/>
        <v>#N/A</v>
      </c>
      <c r="I1488" s="104" t="e">
        <f t="shared" si="73"/>
        <v>#N/A</v>
      </c>
      <c r="L1488" s="112"/>
    </row>
    <row r="1489" spans="1:12" x14ac:dyDescent="0.25">
      <c r="A1489" s="33" t="s">
        <v>3479</v>
      </c>
      <c r="B1489" s="33" t="s">
        <v>1693</v>
      </c>
      <c r="C1489" s="34"/>
      <c r="D1489" s="78">
        <v>511296.55</v>
      </c>
      <c r="E1489" s="88">
        <f>VLOOKUP(A1489,'Previous week'!$A$3:$F$1765,6,FALSE)</f>
        <v>1</v>
      </c>
      <c r="F1489" s="22">
        <f t="shared" si="74"/>
        <v>0</v>
      </c>
      <c r="G1489" s="88">
        <f>VLOOKUP(A1489,'Current week'!$A$3:$F$1765,6,0)</f>
        <v>1</v>
      </c>
      <c r="H1489" s="104">
        <f t="shared" si="72"/>
        <v>511296.55</v>
      </c>
      <c r="I1489" s="104">
        <f t="shared" si="73"/>
        <v>0</v>
      </c>
      <c r="L1489" s="112"/>
    </row>
    <row r="1490" spans="1:12" x14ac:dyDescent="0.25">
      <c r="A1490" s="33" t="s">
        <v>3807</v>
      </c>
      <c r="B1490" s="33" t="s">
        <v>2239</v>
      </c>
      <c r="C1490" s="34" t="s">
        <v>2240</v>
      </c>
      <c r="D1490" s="78">
        <v>77604.5</v>
      </c>
      <c r="E1490" s="88" t="e">
        <f>VLOOKUP(A1490,'Previous week'!$A$3:$F$1765,6,FALSE)</f>
        <v>#N/A</v>
      </c>
      <c r="F1490" s="22" t="e">
        <f t="shared" si="74"/>
        <v>#N/A</v>
      </c>
      <c r="G1490" s="88" t="e">
        <f>VLOOKUP(A1490,'Current week'!$A$3:$F$1765,6,0)</f>
        <v>#N/A</v>
      </c>
      <c r="H1490" s="104" t="e">
        <f t="shared" si="72"/>
        <v>#N/A</v>
      </c>
      <c r="I1490" s="104" t="e">
        <f t="shared" si="73"/>
        <v>#N/A</v>
      </c>
      <c r="L1490" s="112"/>
    </row>
    <row r="1491" spans="1:12" x14ac:dyDescent="0.25">
      <c r="A1491" s="33" t="s">
        <v>3808</v>
      </c>
      <c r="B1491" s="33" t="s">
        <v>2241</v>
      </c>
      <c r="C1491" s="34" t="s">
        <v>2242</v>
      </c>
      <c r="D1491" s="78">
        <v>43408.31</v>
      </c>
      <c r="E1491" s="88" t="e">
        <f>VLOOKUP(A1491,'Previous week'!$A$3:$F$1765,6,FALSE)</f>
        <v>#N/A</v>
      </c>
      <c r="F1491" s="22" t="e">
        <f t="shared" si="74"/>
        <v>#N/A</v>
      </c>
      <c r="G1491" s="88" t="e">
        <f>VLOOKUP(A1491,'Current week'!$A$3:$F$1765,6,0)</f>
        <v>#N/A</v>
      </c>
      <c r="H1491" s="104" t="e">
        <f t="shared" si="72"/>
        <v>#N/A</v>
      </c>
      <c r="I1491" s="104" t="e">
        <f t="shared" si="73"/>
        <v>#N/A</v>
      </c>
      <c r="L1491" s="112"/>
    </row>
    <row r="1492" spans="1:12" x14ac:dyDescent="0.25">
      <c r="A1492" s="23" t="s">
        <v>3809</v>
      </c>
      <c r="B1492" s="23" t="s">
        <v>2243</v>
      </c>
      <c r="C1492" s="24" t="s">
        <v>2244</v>
      </c>
      <c r="D1492" s="71">
        <v>390283.74</v>
      </c>
      <c r="E1492" s="88" t="e">
        <f>VLOOKUP(A1492,'Previous week'!$A$3:$F$1765,6,FALSE)</f>
        <v>#N/A</v>
      </c>
      <c r="F1492" s="22" t="e">
        <f t="shared" si="74"/>
        <v>#N/A</v>
      </c>
      <c r="G1492" s="88" t="e">
        <f>VLOOKUP(A1492,'Current week'!$A$3:$F$1765,6,0)</f>
        <v>#N/A</v>
      </c>
      <c r="H1492" s="102" t="e">
        <f t="shared" si="72"/>
        <v>#N/A</v>
      </c>
      <c r="I1492" s="102" t="e">
        <f t="shared" si="73"/>
        <v>#N/A</v>
      </c>
      <c r="L1492" s="112"/>
    </row>
    <row r="1493" spans="1:12" x14ac:dyDescent="0.25">
      <c r="A1493" s="54" t="s">
        <v>3483</v>
      </c>
      <c r="B1493" s="54" t="s">
        <v>1700</v>
      </c>
      <c r="C1493" s="55"/>
      <c r="D1493" s="70">
        <v>646165.80000000005</v>
      </c>
      <c r="E1493" s="94">
        <f>'Previous week'!F1564</f>
        <v>1</v>
      </c>
      <c r="F1493" s="81">
        <f>G1493-E1493</f>
        <v>0</v>
      </c>
      <c r="G1493" s="94">
        <f>'Current week'!F1564</f>
        <v>1</v>
      </c>
      <c r="H1493" s="107">
        <f t="shared" si="72"/>
        <v>646165.80000000005</v>
      </c>
      <c r="I1493" s="107">
        <f t="shared" si="73"/>
        <v>0</v>
      </c>
      <c r="L1493" s="112"/>
    </row>
    <row r="1494" spans="1:12" x14ac:dyDescent="0.25">
      <c r="A1494" s="19" t="s">
        <v>3484</v>
      </c>
      <c r="B1494" s="19" t="s">
        <v>1701</v>
      </c>
      <c r="C1494" s="20"/>
      <c r="D1494" s="77">
        <v>229183.52</v>
      </c>
      <c r="E1494" s="88">
        <f>VLOOKUP(A1494,'Previous week'!$A$3:$F$1765,6,FALSE)</f>
        <v>1</v>
      </c>
      <c r="F1494" s="22">
        <f t="shared" si="74"/>
        <v>0</v>
      </c>
      <c r="G1494" s="88">
        <f>VLOOKUP(A1494,'Current week'!$A$3:$F$1765,6,0)</f>
        <v>1</v>
      </c>
      <c r="H1494" s="101">
        <f t="shared" si="72"/>
        <v>229183.52</v>
      </c>
      <c r="I1494" s="101">
        <f t="shared" si="73"/>
        <v>0</v>
      </c>
      <c r="L1494" s="112"/>
    </row>
    <row r="1495" spans="1:12" x14ac:dyDescent="0.25">
      <c r="A1495" s="33" t="s">
        <v>3810</v>
      </c>
      <c r="B1495" s="33" t="s">
        <v>2245</v>
      </c>
      <c r="C1495" s="34" t="s">
        <v>2246</v>
      </c>
      <c r="D1495" s="78">
        <v>22959.35</v>
      </c>
      <c r="E1495" s="88" t="e">
        <f>VLOOKUP(A1495,'Previous week'!$A$3:$F$1765,6,FALSE)</f>
        <v>#N/A</v>
      </c>
      <c r="F1495" s="22" t="e">
        <f t="shared" si="74"/>
        <v>#N/A</v>
      </c>
      <c r="G1495" s="88" t="e">
        <f>VLOOKUP(A1495,'Current week'!$A$3:$F$1765,6,0)</f>
        <v>#N/A</v>
      </c>
      <c r="H1495" s="104" t="e">
        <f t="shared" si="72"/>
        <v>#N/A</v>
      </c>
      <c r="I1495" s="104" t="e">
        <f t="shared" si="73"/>
        <v>#N/A</v>
      </c>
      <c r="L1495" s="112"/>
    </row>
    <row r="1496" spans="1:12" x14ac:dyDescent="0.25">
      <c r="A1496" s="33" t="s">
        <v>3811</v>
      </c>
      <c r="B1496" s="33" t="s">
        <v>2247</v>
      </c>
      <c r="C1496" s="34" t="s">
        <v>2248</v>
      </c>
      <c r="D1496" s="78">
        <v>206224.17</v>
      </c>
      <c r="E1496" s="88" t="e">
        <f>VLOOKUP(A1496,'Previous week'!$A$3:$F$1765,6,FALSE)</f>
        <v>#N/A</v>
      </c>
      <c r="F1496" s="22" t="e">
        <f t="shared" si="74"/>
        <v>#N/A</v>
      </c>
      <c r="G1496" s="88" t="e">
        <f>VLOOKUP(A1496,'Current week'!$A$3:$F$1765,6,0)</f>
        <v>#N/A</v>
      </c>
      <c r="H1496" s="104" t="e">
        <f t="shared" si="72"/>
        <v>#N/A</v>
      </c>
      <c r="I1496" s="104" t="e">
        <f t="shared" si="73"/>
        <v>#N/A</v>
      </c>
      <c r="L1496" s="112"/>
    </row>
    <row r="1497" spans="1:12" x14ac:dyDescent="0.25">
      <c r="A1497" s="33" t="s">
        <v>3487</v>
      </c>
      <c r="B1497" s="33" t="s">
        <v>1706</v>
      </c>
      <c r="C1497" s="34"/>
      <c r="D1497" s="78">
        <v>142928.15</v>
      </c>
      <c r="E1497" s="88">
        <f>VLOOKUP(A1497,'Previous week'!$A$3:$F$1765,6,FALSE)</f>
        <v>1</v>
      </c>
      <c r="F1497" s="22">
        <f t="shared" si="74"/>
        <v>0</v>
      </c>
      <c r="G1497" s="88">
        <f>VLOOKUP(A1497,'Current week'!$A$3:$F$1765,6,0)</f>
        <v>1</v>
      </c>
      <c r="H1497" s="104">
        <f t="shared" si="72"/>
        <v>142928.15</v>
      </c>
      <c r="I1497" s="104">
        <f t="shared" si="73"/>
        <v>0</v>
      </c>
      <c r="L1497" s="112"/>
    </row>
    <row r="1498" spans="1:12" x14ac:dyDescent="0.25">
      <c r="A1498" s="33" t="s">
        <v>3812</v>
      </c>
      <c r="B1498" s="33" t="s">
        <v>2249</v>
      </c>
      <c r="C1498" s="34" t="s">
        <v>2250</v>
      </c>
      <c r="D1498" s="78">
        <v>142928.15</v>
      </c>
      <c r="E1498" s="88" t="e">
        <f>VLOOKUP(A1498,'Previous week'!$A$3:$F$1765,6,FALSE)</f>
        <v>#N/A</v>
      </c>
      <c r="F1498" s="22" t="e">
        <f t="shared" si="74"/>
        <v>#N/A</v>
      </c>
      <c r="G1498" s="88" t="e">
        <f>VLOOKUP(A1498,'Current week'!$A$3:$F$1765,6,0)</f>
        <v>#N/A</v>
      </c>
      <c r="H1498" s="104" t="e">
        <f t="shared" si="72"/>
        <v>#N/A</v>
      </c>
      <c r="I1498" s="104" t="e">
        <f t="shared" si="73"/>
        <v>#N/A</v>
      </c>
      <c r="L1498" s="112"/>
    </row>
    <row r="1499" spans="1:12" x14ac:dyDescent="0.25">
      <c r="A1499" s="23" t="s">
        <v>3489</v>
      </c>
      <c r="B1499" s="23" t="s">
        <v>1709</v>
      </c>
      <c r="C1499" s="24"/>
      <c r="D1499" s="71">
        <v>135911.16</v>
      </c>
      <c r="E1499" s="88">
        <f>VLOOKUP(A1499,'Previous week'!$A$3:$F$1765,6,FALSE)</f>
        <v>1</v>
      </c>
      <c r="F1499" s="22">
        <f t="shared" si="74"/>
        <v>0</v>
      </c>
      <c r="G1499" s="88">
        <f>VLOOKUP(A1499,'Current week'!$A$3:$F$1765,6,0)</f>
        <v>1</v>
      </c>
      <c r="H1499" s="102">
        <f t="shared" si="72"/>
        <v>135911.16</v>
      </c>
      <c r="I1499" s="102">
        <f t="shared" si="73"/>
        <v>0</v>
      </c>
      <c r="L1499" s="112"/>
    </row>
    <row r="1500" spans="1:12" x14ac:dyDescent="0.25">
      <c r="A1500" s="54" t="s">
        <v>3813</v>
      </c>
      <c r="B1500" s="54" t="s">
        <v>2251</v>
      </c>
      <c r="C1500" s="55" t="s">
        <v>2252</v>
      </c>
      <c r="D1500" s="70">
        <v>135911.16</v>
      </c>
      <c r="E1500" s="94">
        <f>'Previous week'!F1571</f>
        <v>1</v>
      </c>
      <c r="F1500" s="81">
        <f t="shared" si="74"/>
        <v>0</v>
      </c>
      <c r="G1500" s="94">
        <f>'Current week'!F1571</f>
        <v>1</v>
      </c>
      <c r="H1500" s="107">
        <f t="shared" si="72"/>
        <v>135911.16</v>
      </c>
      <c r="I1500" s="107">
        <f t="shared" si="73"/>
        <v>0</v>
      </c>
      <c r="L1500" s="112"/>
    </row>
    <row r="1501" spans="1:12" x14ac:dyDescent="0.25">
      <c r="A1501" s="19" t="s">
        <v>2781</v>
      </c>
      <c r="B1501" s="19" t="s">
        <v>1712</v>
      </c>
      <c r="C1501" s="20"/>
      <c r="D1501" s="77">
        <v>73402.8</v>
      </c>
      <c r="E1501" s="88">
        <f>VLOOKUP(A1501,'Previous week'!$A$3:$F$1765,6,FALSE)</f>
        <v>0</v>
      </c>
      <c r="F1501" s="22">
        <f t="shared" si="74"/>
        <v>0</v>
      </c>
      <c r="G1501" s="88">
        <f>VLOOKUP(A1501,'Current week'!$A$3:$F$1765,6,0)</f>
        <v>0</v>
      </c>
      <c r="H1501" s="101">
        <f t="shared" si="72"/>
        <v>0</v>
      </c>
      <c r="I1501" s="101">
        <f t="shared" si="73"/>
        <v>0</v>
      </c>
      <c r="L1501" s="112"/>
    </row>
    <row r="1502" spans="1:12" x14ac:dyDescent="0.25">
      <c r="A1502" s="33" t="s">
        <v>3814</v>
      </c>
      <c r="B1502" s="33" t="s">
        <v>2253</v>
      </c>
      <c r="C1502" s="34" t="s">
        <v>2254</v>
      </c>
      <c r="D1502" s="78">
        <v>73402.8</v>
      </c>
      <c r="E1502" s="88" t="e">
        <f>VLOOKUP(A1502,'Previous week'!$A$3:$F$1765,6,FALSE)</f>
        <v>#N/A</v>
      </c>
      <c r="F1502" s="22" t="e">
        <f t="shared" si="74"/>
        <v>#N/A</v>
      </c>
      <c r="G1502" s="88" t="e">
        <f>VLOOKUP(A1502,'Current week'!$A$3:$F$1765,6,0)</f>
        <v>#N/A</v>
      </c>
      <c r="H1502" s="104" t="e">
        <f t="shared" si="72"/>
        <v>#N/A</v>
      </c>
      <c r="I1502" s="104" t="e">
        <f t="shared" si="73"/>
        <v>#N/A</v>
      </c>
      <c r="L1502" s="112"/>
    </row>
    <row r="1503" spans="1:12" x14ac:dyDescent="0.25">
      <c r="A1503" s="33" t="s">
        <v>3492</v>
      </c>
      <c r="B1503" s="33" t="s">
        <v>1715</v>
      </c>
      <c r="C1503" s="34"/>
      <c r="D1503" s="78">
        <v>64740.17</v>
      </c>
      <c r="E1503" s="88">
        <f>VLOOKUP(A1503,'Previous week'!$A$3:$F$1765,6,FALSE)</f>
        <v>1</v>
      </c>
      <c r="F1503" s="22">
        <f t="shared" si="74"/>
        <v>0</v>
      </c>
      <c r="G1503" s="88">
        <f>VLOOKUP(A1503,'Current week'!$A$3:$F$1765,6,0)</f>
        <v>1</v>
      </c>
      <c r="H1503" s="104">
        <f t="shared" si="72"/>
        <v>64740.17</v>
      </c>
      <c r="I1503" s="104">
        <f t="shared" si="73"/>
        <v>0</v>
      </c>
      <c r="L1503" s="112"/>
    </row>
    <row r="1504" spans="1:12" x14ac:dyDescent="0.25">
      <c r="A1504" s="33" t="s">
        <v>3815</v>
      </c>
      <c r="B1504" s="33" t="s">
        <v>2255</v>
      </c>
      <c r="C1504" s="34" t="s">
        <v>2256</v>
      </c>
      <c r="D1504" s="78">
        <v>64740.17</v>
      </c>
      <c r="E1504" s="88" t="e">
        <f>VLOOKUP(A1504,'Previous week'!$A$3:$F$1765,6,FALSE)</f>
        <v>#N/A</v>
      </c>
      <c r="F1504" s="22" t="e">
        <f t="shared" si="74"/>
        <v>#N/A</v>
      </c>
      <c r="G1504" s="88" t="e">
        <f>VLOOKUP(A1504,'Current week'!$A$3:$F$1765,6,0)</f>
        <v>#N/A</v>
      </c>
      <c r="H1504" s="104" t="e">
        <f t="shared" si="72"/>
        <v>#N/A</v>
      </c>
      <c r="I1504" s="104" t="e">
        <f t="shared" si="73"/>
        <v>#N/A</v>
      </c>
      <c r="L1504" s="112"/>
    </row>
    <row r="1505" spans="1:12" x14ac:dyDescent="0.25">
      <c r="A1505" s="33" t="s">
        <v>3496</v>
      </c>
      <c r="B1505" s="33" t="s">
        <v>1721</v>
      </c>
      <c r="C1505" s="34"/>
      <c r="D1505" s="78">
        <v>778965.12</v>
      </c>
      <c r="E1505" s="88">
        <f>VLOOKUP(A1505,'Previous week'!$A$3:$F$1765,6,FALSE)</f>
        <v>1</v>
      </c>
      <c r="F1505" s="22">
        <f t="shared" si="74"/>
        <v>0</v>
      </c>
      <c r="G1505" s="88">
        <f>VLOOKUP(A1505,'Current week'!$A$3:$F$1765,6,0)</f>
        <v>1</v>
      </c>
      <c r="H1505" s="104">
        <f t="shared" si="72"/>
        <v>778965.12</v>
      </c>
      <c r="I1505" s="104">
        <f t="shared" si="73"/>
        <v>0</v>
      </c>
      <c r="L1505" s="112"/>
    </row>
    <row r="1506" spans="1:12" x14ac:dyDescent="0.25">
      <c r="A1506" s="23" t="s">
        <v>3497</v>
      </c>
      <c r="B1506" s="23" t="s">
        <v>1722</v>
      </c>
      <c r="C1506" s="24"/>
      <c r="D1506" s="71">
        <v>559749.14</v>
      </c>
      <c r="E1506" s="88">
        <f>VLOOKUP(A1506,'Previous week'!$A$3:$F$1765,6,FALSE)</f>
        <v>1</v>
      </c>
      <c r="F1506" s="22">
        <f t="shared" si="74"/>
        <v>0</v>
      </c>
      <c r="G1506" s="88">
        <f>VLOOKUP(A1506,'Current week'!$A$3:$F$1765,6,0)</f>
        <v>1</v>
      </c>
      <c r="H1506" s="102">
        <f t="shared" si="72"/>
        <v>559749.14</v>
      </c>
      <c r="I1506" s="102">
        <f t="shared" si="73"/>
        <v>0</v>
      </c>
      <c r="L1506" s="112"/>
    </row>
    <row r="1507" spans="1:12" x14ac:dyDescent="0.25">
      <c r="A1507" s="54" t="s">
        <v>3816</v>
      </c>
      <c r="B1507" s="54" t="s">
        <v>2257</v>
      </c>
      <c r="C1507" s="55" t="s">
        <v>2258</v>
      </c>
      <c r="D1507" s="70">
        <v>55974.89</v>
      </c>
      <c r="E1507" s="94">
        <f>'Previous week'!F1578</f>
        <v>1</v>
      </c>
      <c r="F1507" s="57">
        <f t="shared" si="74"/>
        <v>0</v>
      </c>
      <c r="G1507" s="94">
        <f>'Current week'!F1578</f>
        <v>1</v>
      </c>
      <c r="H1507" s="107">
        <f t="shared" si="72"/>
        <v>55974.89</v>
      </c>
      <c r="I1507" s="107">
        <f t="shared" si="73"/>
        <v>0</v>
      </c>
      <c r="L1507" s="112"/>
    </row>
    <row r="1508" spans="1:12" x14ac:dyDescent="0.25">
      <c r="A1508" s="19" t="s">
        <v>3817</v>
      </c>
      <c r="B1508" s="19" t="s">
        <v>2259</v>
      </c>
      <c r="C1508" s="20" t="s">
        <v>2260</v>
      </c>
      <c r="D1508" s="21">
        <v>27987.48</v>
      </c>
      <c r="E1508" s="88" t="e">
        <f>VLOOKUP(A1508,'Previous week'!$A$3:$F$1765,6,FALSE)</f>
        <v>#N/A</v>
      </c>
      <c r="F1508" s="22" t="e">
        <f t="shared" si="74"/>
        <v>#N/A</v>
      </c>
      <c r="G1508" s="88" t="e">
        <f>VLOOKUP(A1508,'Current week'!$A$3:$F$1765,6,0)</f>
        <v>#N/A</v>
      </c>
      <c r="H1508" s="101" t="e">
        <f t="shared" si="72"/>
        <v>#N/A</v>
      </c>
      <c r="I1508" s="101" t="e">
        <f t="shared" si="73"/>
        <v>#N/A</v>
      </c>
      <c r="L1508" s="112"/>
    </row>
    <row r="1509" spans="1:12" x14ac:dyDescent="0.25">
      <c r="A1509" s="33" t="s">
        <v>3818</v>
      </c>
      <c r="B1509" s="33" t="s">
        <v>2261</v>
      </c>
      <c r="C1509" s="34" t="s">
        <v>2262</v>
      </c>
      <c r="D1509" s="78">
        <v>391824.41</v>
      </c>
      <c r="E1509" s="88" t="e">
        <f>VLOOKUP(A1509,'Previous week'!$A$3:$F$1765,6,FALSE)</f>
        <v>#N/A</v>
      </c>
      <c r="F1509" s="22" t="e">
        <f t="shared" si="74"/>
        <v>#N/A</v>
      </c>
      <c r="G1509" s="88" t="e">
        <f>VLOOKUP(A1509,'Current week'!$A$3:$F$1765,6,0)</f>
        <v>#N/A</v>
      </c>
      <c r="H1509" s="104" t="e">
        <f t="shared" si="72"/>
        <v>#N/A</v>
      </c>
      <c r="I1509" s="104" t="e">
        <f t="shared" si="73"/>
        <v>#N/A</v>
      </c>
      <c r="L1509" s="112"/>
    </row>
    <row r="1510" spans="1:12" x14ac:dyDescent="0.25">
      <c r="A1510" s="33" t="s">
        <v>3819</v>
      </c>
      <c r="B1510" s="33" t="s">
        <v>2263</v>
      </c>
      <c r="C1510" s="34" t="s">
        <v>2264</v>
      </c>
      <c r="D1510" s="35">
        <v>27987.48</v>
      </c>
      <c r="E1510" s="88" t="e">
        <f>VLOOKUP(A1510,'Previous week'!$A$3:$F$1765,6,FALSE)</f>
        <v>#N/A</v>
      </c>
      <c r="F1510" s="22" t="e">
        <f t="shared" si="74"/>
        <v>#N/A</v>
      </c>
      <c r="G1510" s="88" t="e">
        <f>VLOOKUP(A1510,'Current week'!$A$3:$F$1765,6,0)</f>
        <v>#N/A</v>
      </c>
      <c r="H1510" s="104" t="e">
        <f t="shared" si="72"/>
        <v>#N/A</v>
      </c>
      <c r="I1510" s="104" t="e">
        <f t="shared" si="73"/>
        <v>#N/A</v>
      </c>
      <c r="L1510" s="112"/>
    </row>
    <row r="1511" spans="1:12" x14ac:dyDescent="0.25">
      <c r="A1511" s="33" t="s">
        <v>3820</v>
      </c>
      <c r="B1511" s="33" t="s">
        <v>2265</v>
      </c>
      <c r="C1511" s="34" t="s">
        <v>2266</v>
      </c>
      <c r="D1511" s="78">
        <v>55974.89</v>
      </c>
      <c r="E1511" s="88" t="e">
        <f>VLOOKUP(A1511,'Previous week'!$A$3:$F$1765,6,FALSE)</f>
        <v>#N/A</v>
      </c>
      <c r="F1511" s="22" t="e">
        <f t="shared" si="74"/>
        <v>#N/A</v>
      </c>
      <c r="G1511" s="88" t="e">
        <f>VLOOKUP(A1511,'Current week'!$A$3:$F$1765,6,0)</f>
        <v>#N/A</v>
      </c>
      <c r="H1511" s="104" t="e">
        <f t="shared" si="72"/>
        <v>#N/A</v>
      </c>
      <c r="I1511" s="104" t="e">
        <f t="shared" si="73"/>
        <v>#N/A</v>
      </c>
      <c r="L1511" s="112"/>
    </row>
    <row r="1512" spans="1:12" x14ac:dyDescent="0.25">
      <c r="A1512" s="33" t="s">
        <v>3503</v>
      </c>
      <c r="B1512" s="33" t="s">
        <v>1733</v>
      </c>
      <c r="C1512" s="34"/>
      <c r="D1512" s="35">
        <v>21253.8</v>
      </c>
      <c r="E1512" s="88">
        <f>VLOOKUP(A1512,'Previous week'!$A$3:$F$1765,6,FALSE)</f>
        <v>1</v>
      </c>
      <c r="F1512" s="22">
        <f t="shared" si="74"/>
        <v>0</v>
      </c>
      <c r="G1512" s="88">
        <f>VLOOKUP(A1512,'Current week'!$A$3:$F$1765,6,0)</f>
        <v>1</v>
      </c>
      <c r="H1512" s="104">
        <f t="shared" si="72"/>
        <v>21253.8</v>
      </c>
      <c r="I1512" s="104">
        <f t="shared" si="73"/>
        <v>0</v>
      </c>
      <c r="L1512" s="112"/>
    </row>
    <row r="1513" spans="1:12" x14ac:dyDescent="0.25">
      <c r="A1513" s="23" t="s">
        <v>3821</v>
      </c>
      <c r="B1513" s="23" t="s">
        <v>2267</v>
      </c>
      <c r="C1513" s="24" t="s">
        <v>2268</v>
      </c>
      <c r="D1513" s="71">
        <v>21253.8</v>
      </c>
      <c r="E1513" s="88" t="e">
        <f>VLOOKUP(A1513,'Previous week'!$A$3:$F$1765,6,FALSE)</f>
        <v>#N/A</v>
      </c>
      <c r="F1513" s="22" t="e">
        <f t="shared" si="74"/>
        <v>#N/A</v>
      </c>
      <c r="G1513" s="88" t="e">
        <f>VLOOKUP(A1513,'Current week'!$A$3:$F$1765,6,0)</f>
        <v>#N/A</v>
      </c>
      <c r="H1513" s="102" t="e">
        <f t="shared" si="72"/>
        <v>#N/A</v>
      </c>
      <c r="I1513" s="102" t="e">
        <f t="shared" si="73"/>
        <v>#N/A</v>
      </c>
      <c r="L1513" s="112"/>
    </row>
    <row r="1514" spans="1:12" x14ac:dyDescent="0.25">
      <c r="A1514" s="54" t="s">
        <v>2800</v>
      </c>
      <c r="B1514" s="54" t="s">
        <v>486</v>
      </c>
      <c r="C1514" s="55"/>
      <c r="D1514" s="70">
        <v>130787.16</v>
      </c>
      <c r="E1514" s="94">
        <f>'Previous week'!F1585</f>
        <v>1</v>
      </c>
      <c r="F1514" s="57">
        <f t="shared" si="74"/>
        <v>0</v>
      </c>
      <c r="G1514" s="94">
        <f>'Current week'!F1585</f>
        <v>1</v>
      </c>
      <c r="H1514" s="107">
        <f t="shared" si="72"/>
        <v>130787.16</v>
      </c>
      <c r="I1514" s="107">
        <f t="shared" si="73"/>
        <v>0</v>
      </c>
      <c r="L1514" s="112"/>
    </row>
    <row r="1515" spans="1:12" x14ac:dyDescent="0.25">
      <c r="A1515" s="19" t="s">
        <v>3822</v>
      </c>
      <c r="B1515" s="19" t="s">
        <v>2269</v>
      </c>
      <c r="C1515" s="20" t="s">
        <v>2270</v>
      </c>
      <c r="D1515" s="77">
        <v>130787.16</v>
      </c>
      <c r="E1515" s="88" t="e">
        <f>VLOOKUP(A1515,'Previous week'!$A$3:$F$1765,6,FALSE)</f>
        <v>#N/A</v>
      </c>
      <c r="F1515" s="22" t="e">
        <f t="shared" si="74"/>
        <v>#N/A</v>
      </c>
      <c r="G1515" s="88" t="e">
        <f>VLOOKUP(A1515,'Current week'!$A$3:$F$1765,6,0)</f>
        <v>#N/A</v>
      </c>
      <c r="H1515" s="101" t="e">
        <f t="shared" si="72"/>
        <v>#N/A</v>
      </c>
      <c r="I1515" s="101" t="e">
        <f t="shared" si="73"/>
        <v>#N/A</v>
      </c>
      <c r="L1515" s="112"/>
    </row>
    <row r="1516" spans="1:12" x14ac:dyDescent="0.25">
      <c r="A1516" s="33" t="s">
        <v>3506</v>
      </c>
      <c r="B1516" s="33" t="s">
        <v>1738</v>
      </c>
      <c r="C1516" s="34"/>
      <c r="D1516" s="78">
        <v>5676.76</v>
      </c>
      <c r="E1516" s="88">
        <f>VLOOKUP(A1516,'Previous week'!$A$3:$F$1765,6,FALSE)</f>
        <v>1</v>
      </c>
      <c r="F1516" s="22">
        <f t="shared" si="74"/>
        <v>0</v>
      </c>
      <c r="G1516" s="88">
        <f>VLOOKUP(A1516,'Current week'!$A$3:$F$1765,6,0)</f>
        <v>1</v>
      </c>
      <c r="H1516" s="104">
        <f t="shared" si="72"/>
        <v>5676.76</v>
      </c>
      <c r="I1516" s="104">
        <f t="shared" si="73"/>
        <v>0</v>
      </c>
      <c r="L1516" s="112"/>
    </row>
    <row r="1517" spans="1:12" x14ac:dyDescent="0.25">
      <c r="A1517" s="33" t="s">
        <v>3823</v>
      </c>
      <c r="B1517" s="33" t="s">
        <v>2271</v>
      </c>
      <c r="C1517" s="34" t="s">
        <v>2272</v>
      </c>
      <c r="D1517" s="78">
        <v>5676.76</v>
      </c>
      <c r="E1517" s="88" t="e">
        <f>VLOOKUP(A1517,'Previous week'!$A$3:$F$1765,6,FALSE)</f>
        <v>#N/A</v>
      </c>
      <c r="F1517" s="22" t="e">
        <f t="shared" si="74"/>
        <v>#N/A</v>
      </c>
      <c r="G1517" s="88" t="e">
        <f>VLOOKUP(A1517,'Current week'!$A$3:$F$1765,6,0)</f>
        <v>#N/A</v>
      </c>
      <c r="H1517" s="104" t="e">
        <f t="shared" si="72"/>
        <v>#N/A</v>
      </c>
      <c r="I1517" s="104" t="e">
        <f t="shared" si="73"/>
        <v>#N/A</v>
      </c>
      <c r="L1517" s="112"/>
    </row>
    <row r="1518" spans="1:12" x14ac:dyDescent="0.25">
      <c r="A1518" s="33" t="s">
        <v>3098</v>
      </c>
      <c r="B1518" s="33" t="s">
        <v>1741</v>
      </c>
      <c r="C1518" s="34"/>
      <c r="D1518" s="78">
        <v>61498.26</v>
      </c>
      <c r="E1518" s="88">
        <f>VLOOKUP(A1518,'Previous week'!$A$3:$F$1765,6,FALSE)</f>
        <v>1</v>
      </c>
      <c r="F1518" s="22">
        <f t="shared" si="74"/>
        <v>0</v>
      </c>
      <c r="G1518" s="88">
        <f>VLOOKUP(A1518,'Current week'!$A$3:$F$1765,6,0)</f>
        <v>1</v>
      </c>
      <c r="H1518" s="104">
        <f t="shared" si="72"/>
        <v>61498.26</v>
      </c>
      <c r="I1518" s="104">
        <f t="shared" si="73"/>
        <v>0</v>
      </c>
      <c r="L1518" s="112"/>
    </row>
    <row r="1519" spans="1:12" x14ac:dyDescent="0.25">
      <c r="A1519" s="33" t="s">
        <v>3824</v>
      </c>
      <c r="B1519" s="33" t="s">
        <v>2273</v>
      </c>
      <c r="C1519" s="34" t="s">
        <v>2274</v>
      </c>
      <c r="D1519" s="78">
        <v>61498.26</v>
      </c>
      <c r="E1519" s="88" t="e">
        <f>VLOOKUP(A1519,'Previous week'!$A$3:$F$1765,6,FALSE)</f>
        <v>#N/A</v>
      </c>
      <c r="F1519" s="22" t="e">
        <f t="shared" si="74"/>
        <v>#N/A</v>
      </c>
      <c r="G1519" s="88" t="e">
        <f>VLOOKUP(A1519,'Current week'!$A$3:$F$1765,6,0)</f>
        <v>#N/A</v>
      </c>
      <c r="H1519" s="104" t="e">
        <f t="shared" si="72"/>
        <v>#N/A</v>
      </c>
      <c r="I1519" s="104" t="e">
        <f t="shared" si="73"/>
        <v>#N/A</v>
      </c>
      <c r="L1519" s="112"/>
    </row>
    <row r="1520" spans="1:12" x14ac:dyDescent="0.25">
      <c r="A1520" s="23" t="s">
        <v>3511</v>
      </c>
      <c r="B1520" s="23" t="s">
        <v>221</v>
      </c>
      <c r="C1520" s="24"/>
      <c r="D1520" s="71">
        <v>650267.31000000006</v>
      </c>
      <c r="E1520" s="88">
        <f>VLOOKUP(A1520,'Previous week'!$A$3:$F$1765,6,FALSE)</f>
        <v>1</v>
      </c>
      <c r="F1520" s="22">
        <f t="shared" si="74"/>
        <v>0</v>
      </c>
      <c r="G1520" s="88">
        <f>VLOOKUP(A1520,'Current week'!$A$3:$F$1765,6,0)</f>
        <v>1</v>
      </c>
      <c r="H1520" s="102">
        <f t="shared" si="72"/>
        <v>650267.31000000006</v>
      </c>
      <c r="I1520" s="102">
        <f t="shared" si="73"/>
        <v>0</v>
      </c>
      <c r="L1520" s="112"/>
    </row>
    <row r="1521" spans="1:12" x14ac:dyDescent="0.25">
      <c r="A1521" s="54" t="s">
        <v>3497</v>
      </c>
      <c r="B1521" s="54" t="s">
        <v>1722</v>
      </c>
      <c r="C1521" s="55"/>
      <c r="D1521" s="70">
        <v>389060.94</v>
      </c>
      <c r="E1521" s="94">
        <f>'Previous week'!F1592</f>
        <v>1</v>
      </c>
      <c r="F1521" s="81">
        <f t="shared" si="74"/>
        <v>0</v>
      </c>
      <c r="G1521" s="94">
        <f>'Current week'!F1592</f>
        <v>1</v>
      </c>
      <c r="H1521" s="107">
        <f t="shared" si="72"/>
        <v>389060.94</v>
      </c>
      <c r="I1521" s="107">
        <f t="shared" si="73"/>
        <v>0</v>
      </c>
      <c r="L1521" s="112"/>
    </row>
    <row r="1522" spans="1:12" x14ac:dyDescent="0.25">
      <c r="A1522" s="19" t="s">
        <v>3825</v>
      </c>
      <c r="B1522" s="19" t="s">
        <v>2275</v>
      </c>
      <c r="C1522" s="20" t="s">
        <v>2276</v>
      </c>
      <c r="D1522" s="77">
        <v>38906.1</v>
      </c>
      <c r="E1522" s="88" t="e">
        <f>VLOOKUP(A1522,'Previous week'!$A$3:$F$1765,6,FALSE)</f>
        <v>#N/A</v>
      </c>
      <c r="F1522" s="22" t="e">
        <f t="shared" si="74"/>
        <v>#N/A</v>
      </c>
      <c r="G1522" s="88" t="e">
        <f>VLOOKUP(A1522,'Current week'!$A$3:$F$1765,6,0)</f>
        <v>#N/A</v>
      </c>
      <c r="H1522" s="101" t="e">
        <f t="shared" si="72"/>
        <v>#N/A</v>
      </c>
      <c r="I1522" s="101" t="e">
        <f t="shared" si="73"/>
        <v>#N/A</v>
      </c>
      <c r="L1522" s="112"/>
    </row>
    <row r="1523" spans="1:12" x14ac:dyDescent="0.25">
      <c r="A1523" s="33" t="s">
        <v>3826</v>
      </c>
      <c r="B1523" s="33" t="s">
        <v>2277</v>
      </c>
      <c r="C1523" s="34" t="s">
        <v>2260</v>
      </c>
      <c r="D1523" s="78">
        <v>19453.03</v>
      </c>
      <c r="E1523" s="88" t="e">
        <f>VLOOKUP(A1523,'Previous week'!$A$3:$F$1765,6,FALSE)</f>
        <v>#N/A</v>
      </c>
      <c r="F1523" s="22" t="e">
        <f t="shared" si="74"/>
        <v>#N/A</v>
      </c>
      <c r="G1523" s="88" t="e">
        <f>VLOOKUP(A1523,'Current week'!$A$3:$F$1765,6,0)</f>
        <v>#N/A</v>
      </c>
      <c r="H1523" s="104" t="e">
        <f t="shared" si="72"/>
        <v>#N/A</v>
      </c>
      <c r="I1523" s="104" t="e">
        <f t="shared" si="73"/>
        <v>#N/A</v>
      </c>
      <c r="L1523" s="112"/>
    </row>
    <row r="1524" spans="1:12" x14ac:dyDescent="0.25">
      <c r="A1524" s="33" t="s">
        <v>3827</v>
      </c>
      <c r="B1524" s="33" t="s">
        <v>2278</v>
      </c>
      <c r="C1524" s="34" t="s">
        <v>2279</v>
      </c>
      <c r="D1524" s="78">
        <v>194530.47</v>
      </c>
      <c r="E1524" s="88" t="e">
        <f>VLOOKUP(A1524,'Previous week'!$A$3:$F$1765,6,FALSE)</f>
        <v>#N/A</v>
      </c>
      <c r="F1524" s="22" t="e">
        <f t="shared" si="74"/>
        <v>#N/A</v>
      </c>
      <c r="G1524" s="88" t="e">
        <f>VLOOKUP(A1524,'Current week'!$A$3:$F$1765,6,0)</f>
        <v>#N/A</v>
      </c>
      <c r="H1524" s="104" t="e">
        <f t="shared" si="72"/>
        <v>#N/A</v>
      </c>
      <c r="I1524" s="104" t="e">
        <f t="shared" si="73"/>
        <v>#N/A</v>
      </c>
      <c r="L1524" s="112"/>
    </row>
    <row r="1525" spans="1:12" x14ac:dyDescent="0.25">
      <c r="A1525" s="33" t="s">
        <v>3828</v>
      </c>
      <c r="B1525" s="33" t="s">
        <v>2280</v>
      </c>
      <c r="C1525" s="34" t="s">
        <v>2281</v>
      </c>
      <c r="D1525" s="78">
        <v>77812.210000000006</v>
      </c>
      <c r="E1525" s="88" t="e">
        <f>VLOOKUP(A1525,'Previous week'!$A$3:$F$1765,6,FALSE)</f>
        <v>#N/A</v>
      </c>
      <c r="F1525" s="22" t="e">
        <f t="shared" si="74"/>
        <v>#N/A</v>
      </c>
      <c r="G1525" s="88" t="e">
        <f>VLOOKUP(A1525,'Current week'!$A$3:$F$1765,6,0)</f>
        <v>#N/A</v>
      </c>
      <c r="H1525" s="104" t="e">
        <f t="shared" si="72"/>
        <v>#N/A</v>
      </c>
      <c r="I1525" s="104" t="e">
        <f t="shared" si="73"/>
        <v>#N/A</v>
      </c>
      <c r="L1525" s="112"/>
    </row>
    <row r="1526" spans="1:12" x14ac:dyDescent="0.25">
      <c r="A1526" s="33" t="s">
        <v>3829</v>
      </c>
      <c r="B1526" s="33" t="s">
        <v>2282</v>
      </c>
      <c r="C1526" s="34" t="s">
        <v>2264</v>
      </c>
      <c r="D1526" s="78">
        <v>19453.03</v>
      </c>
      <c r="E1526" s="88" t="e">
        <f>VLOOKUP(A1526,'Previous week'!$A$3:$F$1765,6,FALSE)</f>
        <v>#N/A</v>
      </c>
      <c r="F1526" s="22" t="e">
        <f t="shared" si="74"/>
        <v>#N/A</v>
      </c>
      <c r="G1526" s="88" t="e">
        <f>VLOOKUP(A1526,'Current week'!$A$3:$F$1765,6,0)</f>
        <v>#N/A</v>
      </c>
      <c r="H1526" s="104" t="e">
        <f t="shared" si="72"/>
        <v>#N/A</v>
      </c>
      <c r="I1526" s="104" t="e">
        <f t="shared" si="73"/>
        <v>#N/A</v>
      </c>
      <c r="L1526" s="112"/>
    </row>
    <row r="1527" spans="1:12" x14ac:dyDescent="0.25">
      <c r="A1527" s="23" t="s">
        <v>3830</v>
      </c>
      <c r="B1527" s="23" t="s">
        <v>2283</v>
      </c>
      <c r="C1527" s="24" t="s">
        <v>2266</v>
      </c>
      <c r="D1527" s="71">
        <v>38906.1</v>
      </c>
      <c r="E1527" s="88" t="e">
        <f>VLOOKUP(A1527,'Previous week'!$A$3:$F$1765,6,FALSE)</f>
        <v>#N/A</v>
      </c>
      <c r="F1527" s="22" t="e">
        <f t="shared" si="74"/>
        <v>#N/A</v>
      </c>
      <c r="G1527" s="88" t="e">
        <f>VLOOKUP(A1527,'Current week'!$A$3:$F$1765,6,0)</f>
        <v>#N/A</v>
      </c>
      <c r="H1527" s="102" t="e">
        <f t="shared" si="72"/>
        <v>#N/A</v>
      </c>
      <c r="I1527" s="102" t="e">
        <f t="shared" si="73"/>
        <v>#N/A</v>
      </c>
      <c r="L1527" s="112"/>
    </row>
    <row r="1528" spans="1:12" x14ac:dyDescent="0.25">
      <c r="A1528" s="54" t="s">
        <v>3503</v>
      </c>
      <c r="B1528" s="54" t="s">
        <v>1733</v>
      </c>
      <c r="C1528" s="55"/>
      <c r="D1528" s="70">
        <v>1673.19</v>
      </c>
      <c r="E1528" s="94">
        <f>'Previous week'!F1599</f>
        <v>1</v>
      </c>
      <c r="F1528" s="57">
        <f t="shared" si="74"/>
        <v>0</v>
      </c>
      <c r="G1528" s="94">
        <f>'Current week'!F1599</f>
        <v>1</v>
      </c>
      <c r="H1528" s="107">
        <f t="shared" si="72"/>
        <v>1673.19</v>
      </c>
      <c r="I1528" s="107">
        <f t="shared" si="73"/>
        <v>0</v>
      </c>
      <c r="L1528" s="112"/>
    </row>
    <row r="1529" spans="1:12" x14ac:dyDescent="0.25">
      <c r="A1529" s="19" t="s">
        <v>3831</v>
      </c>
      <c r="B1529" s="19" t="s">
        <v>2284</v>
      </c>
      <c r="C1529" s="20" t="s">
        <v>2268</v>
      </c>
      <c r="D1529" s="77">
        <v>1673.19</v>
      </c>
      <c r="E1529" s="88" t="e">
        <f>VLOOKUP(A1529,'Previous week'!$A$3:$F$1765,6,FALSE)</f>
        <v>#N/A</v>
      </c>
      <c r="F1529" s="22" t="e">
        <f t="shared" si="74"/>
        <v>#N/A</v>
      </c>
      <c r="G1529" s="88" t="e">
        <f>VLOOKUP(A1529,'Current week'!$A$3:$F$1765,6,0)</f>
        <v>#N/A</v>
      </c>
      <c r="H1529" s="101" t="e">
        <f t="shared" si="72"/>
        <v>#N/A</v>
      </c>
      <c r="I1529" s="101" t="e">
        <f t="shared" si="73"/>
        <v>#N/A</v>
      </c>
      <c r="L1529" s="112"/>
    </row>
    <row r="1530" spans="1:12" x14ac:dyDescent="0.25">
      <c r="A1530" s="33" t="s">
        <v>2800</v>
      </c>
      <c r="B1530" s="33" t="s">
        <v>486</v>
      </c>
      <c r="C1530" s="34"/>
      <c r="D1530" s="78">
        <v>259533.18</v>
      </c>
      <c r="E1530" s="88">
        <f>VLOOKUP(A1530,'Previous week'!$A$3:$F$1765,6,FALSE)</f>
        <v>0</v>
      </c>
      <c r="F1530" s="22">
        <f t="shared" si="74"/>
        <v>0</v>
      </c>
      <c r="G1530" s="88">
        <f>VLOOKUP(A1530,'Current week'!$A$3:$F$1765,6,0)</f>
        <v>0</v>
      </c>
      <c r="H1530" s="104">
        <f t="shared" si="72"/>
        <v>0</v>
      </c>
      <c r="I1530" s="104">
        <f t="shared" si="73"/>
        <v>0</v>
      </c>
      <c r="L1530" s="112"/>
    </row>
    <row r="1531" spans="1:12" x14ac:dyDescent="0.25">
      <c r="A1531" s="33" t="s">
        <v>3832</v>
      </c>
      <c r="B1531" s="33" t="s">
        <v>2285</v>
      </c>
      <c r="C1531" s="34" t="s">
        <v>2286</v>
      </c>
      <c r="D1531" s="78">
        <v>259533.18</v>
      </c>
      <c r="E1531" s="88" t="e">
        <f>VLOOKUP(A1531,'Previous week'!$A$3:$F$1765,6,FALSE)</f>
        <v>#N/A</v>
      </c>
      <c r="F1531" s="22" t="e">
        <f t="shared" si="74"/>
        <v>#N/A</v>
      </c>
      <c r="G1531" s="88" t="e">
        <f>VLOOKUP(A1531,'Current week'!$A$3:$F$1765,6,0)</f>
        <v>#N/A</v>
      </c>
      <c r="H1531" s="104" t="e">
        <f t="shared" ref="H1531:H1594" si="75">G1531*D1531</f>
        <v>#N/A</v>
      </c>
      <c r="I1531" s="104" t="e">
        <f t="shared" ref="I1531:I1594" si="76">F1531*D1531</f>
        <v>#N/A</v>
      </c>
      <c r="L1531" s="112"/>
    </row>
    <row r="1532" spans="1:12" x14ac:dyDescent="0.25">
      <c r="A1532" s="33" t="s">
        <v>2803</v>
      </c>
      <c r="B1532" s="33" t="s">
        <v>491</v>
      </c>
      <c r="C1532" s="34"/>
      <c r="D1532" s="78">
        <v>246262.42</v>
      </c>
      <c r="E1532" s="88">
        <f>VLOOKUP(A1532,'Previous week'!$A$3:$F$1765,6,FALSE)</f>
        <v>0</v>
      </c>
      <c r="F1532" s="22">
        <f t="shared" ref="F1532:F1595" si="77">G1532-E1532</f>
        <v>0</v>
      </c>
      <c r="G1532" s="88">
        <f>VLOOKUP(A1532,'Current week'!$A$3:$F$1765,6,0)</f>
        <v>0</v>
      </c>
      <c r="H1532" s="104">
        <f t="shared" si="75"/>
        <v>0</v>
      </c>
      <c r="I1532" s="104">
        <f t="shared" si="76"/>
        <v>0</v>
      </c>
      <c r="L1532" s="112"/>
    </row>
    <row r="1533" spans="1:12" x14ac:dyDescent="0.25">
      <c r="A1533" s="33" t="s">
        <v>3497</v>
      </c>
      <c r="B1533" s="33" t="s">
        <v>1722</v>
      </c>
      <c r="C1533" s="34"/>
      <c r="D1533" s="78">
        <v>215272.56</v>
      </c>
      <c r="E1533" s="88">
        <f>VLOOKUP(A1533,'Previous week'!$A$3:$F$1765,6,FALSE)</f>
        <v>1</v>
      </c>
      <c r="F1533" s="22">
        <f t="shared" si="77"/>
        <v>0</v>
      </c>
      <c r="G1533" s="88">
        <f>VLOOKUP(A1533,'Current week'!$A$3:$F$1765,6,0)</f>
        <v>1</v>
      </c>
      <c r="H1533" s="104">
        <f t="shared" si="75"/>
        <v>215272.56</v>
      </c>
      <c r="I1533" s="104">
        <f t="shared" si="76"/>
        <v>0</v>
      </c>
      <c r="L1533" s="112"/>
    </row>
    <row r="1534" spans="1:12" x14ac:dyDescent="0.25">
      <c r="A1534" s="23" t="s">
        <v>3833</v>
      </c>
      <c r="B1534" s="23" t="s">
        <v>2287</v>
      </c>
      <c r="C1534" s="24" t="s">
        <v>2258</v>
      </c>
      <c r="D1534" s="71">
        <v>20696.14</v>
      </c>
      <c r="E1534" s="88" t="e">
        <f>VLOOKUP(A1534,'Previous week'!$A$3:$F$1765,6,FALSE)</f>
        <v>#N/A</v>
      </c>
      <c r="F1534" s="22" t="e">
        <f t="shared" si="77"/>
        <v>#N/A</v>
      </c>
      <c r="G1534" s="88" t="e">
        <f>VLOOKUP(A1534,'Current week'!$A$3:$F$1765,6,0)</f>
        <v>#N/A</v>
      </c>
      <c r="H1534" s="102" t="e">
        <f t="shared" si="75"/>
        <v>#N/A</v>
      </c>
      <c r="I1534" s="102" t="e">
        <f t="shared" si="76"/>
        <v>#N/A</v>
      </c>
      <c r="L1534" s="112"/>
    </row>
    <row r="1535" spans="1:12" x14ac:dyDescent="0.25">
      <c r="A1535" s="54" t="s">
        <v>3834</v>
      </c>
      <c r="B1535" s="54" t="s">
        <v>2288</v>
      </c>
      <c r="C1535" s="55" t="s">
        <v>2260</v>
      </c>
      <c r="D1535" s="70">
        <v>10348.1</v>
      </c>
      <c r="E1535" s="94">
        <f>'Previous week'!F1606</f>
        <v>1</v>
      </c>
      <c r="F1535" s="81">
        <f t="shared" si="77"/>
        <v>0</v>
      </c>
      <c r="G1535" s="94">
        <f>'Current week'!F1606</f>
        <v>1</v>
      </c>
      <c r="H1535" s="107">
        <f t="shared" si="75"/>
        <v>10348.1</v>
      </c>
      <c r="I1535" s="107">
        <f t="shared" si="76"/>
        <v>0</v>
      </c>
      <c r="L1535" s="112"/>
    </row>
    <row r="1536" spans="1:12" x14ac:dyDescent="0.25">
      <c r="A1536" s="19" t="s">
        <v>3835</v>
      </c>
      <c r="B1536" s="19" t="s">
        <v>2289</v>
      </c>
      <c r="C1536" s="20" t="s">
        <v>2290</v>
      </c>
      <c r="D1536" s="77">
        <v>103480.74</v>
      </c>
      <c r="E1536" s="88" t="e">
        <f>VLOOKUP(A1536,'Previous week'!$A$3:$F$1765,6,FALSE)</f>
        <v>#N/A</v>
      </c>
      <c r="F1536" s="22" t="e">
        <f t="shared" si="77"/>
        <v>#N/A</v>
      </c>
      <c r="G1536" s="88" t="e">
        <f>VLOOKUP(A1536,'Current week'!$A$3:$F$1765,6,0)</f>
        <v>#N/A</v>
      </c>
      <c r="H1536" s="101" t="e">
        <f t="shared" si="75"/>
        <v>#N/A</v>
      </c>
      <c r="I1536" s="101" t="e">
        <f t="shared" si="76"/>
        <v>#N/A</v>
      </c>
      <c r="L1536" s="112"/>
    </row>
    <row r="1537" spans="1:12" x14ac:dyDescent="0.25">
      <c r="A1537" s="33" t="s">
        <v>3836</v>
      </c>
      <c r="B1537" s="33" t="s">
        <v>2291</v>
      </c>
      <c r="C1537" s="34" t="s">
        <v>2292</v>
      </c>
      <c r="D1537" s="78">
        <v>41392.269999999997</v>
      </c>
      <c r="E1537" s="88" t="e">
        <f>VLOOKUP(A1537,'Previous week'!$A$3:$F$1765,6,FALSE)</f>
        <v>#N/A</v>
      </c>
      <c r="F1537" s="22" t="e">
        <f t="shared" si="77"/>
        <v>#N/A</v>
      </c>
      <c r="G1537" s="88" t="e">
        <f>VLOOKUP(A1537,'Current week'!$A$3:$F$1765,6,0)</f>
        <v>#N/A</v>
      </c>
      <c r="H1537" s="104" t="e">
        <f t="shared" si="75"/>
        <v>#N/A</v>
      </c>
      <c r="I1537" s="104" t="e">
        <f t="shared" si="76"/>
        <v>#N/A</v>
      </c>
      <c r="L1537" s="112"/>
    </row>
    <row r="1538" spans="1:12" x14ac:dyDescent="0.25">
      <c r="A1538" s="33" t="s">
        <v>3837</v>
      </c>
      <c r="B1538" s="33" t="s">
        <v>2293</v>
      </c>
      <c r="C1538" s="34" t="s">
        <v>2294</v>
      </c>
      <c r="D1538" s="78">
        <v>8311.08</v>
      </c>
      <c r="E1538" s="88" t="e">
        <f>VLOOKUP(A1538,'Previous week'!$A$3:$F$1765,6,FALSE)</f>
        <v>#N/A</v>
      </c>
      <c r="F1538" s="22" t="e">
        <f t="shared" si="77"/>
        <v>#N/A</v>
      </c>
      <c r="G1538" s="88" t="e">
        <f>VLOOKUP(A1538,'Current week'!$A$3:$F$1765,6,0)</f>
        <v>#N/A</v>
      </c>
      <c r="H1538" s="104" t="e">
        <f t="shared" si="75"/>
        <v>#N/A</v>
      </c>
      <c r="I1538" s="104" t="e">
        <f t="shared" si="76"/>
        <v>#N/A</v>
      </c>
      <c r="L1538" s="112"/>
    </row>
    <row r="1539" spans="1:12" x14ac:dyDescent="0.25">
      <c r="A1539" s="33" t="s">
        <v>3838</v>
      </c>
      <c r="B1539" s="33" t="s">
        <v>2295</v>
      </c>
      <c r="C1539" s="34" t="s">
        <v>2296</v>
      </c>
      <c r="D1539" s="78">
        <v>10348.1</v>
      </c>
      <c r="E1539" s="88" t="e">
        <f>VLOOKUP(A1539,'Previous week'!$A$3:$F$1765,6,FALSE)</f>
        <v>#N/A</v>
      </c>
      <c r="F1539" s="22" t="e">
        <f t="shared" si="77"/>
        <v>#N/A</v>
      </c>
      <c r="G1539" s="88" t="e">
        <f>VLOOKUP(A1539,'Current week'!$A$3:$F$1765,6,0)</f>
        <v>#N/A</v>
      </c>
      <c r="H1539" s="104" t="e">
        <f t="shared" si="75"/>
        <v>#N/A</v>
      </c>
      <c r="I1539" s="104" t="e">
        <f t="shared" si="76"/>
        <v>#N/A</v>
      </c>
      <c r="L1539" s="112"/>
    </row>
    <row r="1540" spans="1:12" x14ac:dyDescent="0.25">
      <c r="A1540" s="33" t="s">
        <v>3839</v>
      </c>
      <c r="B1540" s="33" t="s">
        <v>2297</v>
      </c>
      <c r="C1540" s="34" t="s">
        <v>2266</v>
      </c>
      <c r="D1540" s="78">
        <v>20696.14</v>
      </c>
      <c r="E1540" s="88" t="e">
        <f>VLOOKUP(A1540,'Previous week'!$A$3:$F$1765,6,FALSE)</f>
        <v>#N/A</v>
      </c>
      <c r="F1540" s="22" t="e">
        <f t="shared" si="77"/>
        <v>#N/A</v>
      </c>
      <c r="G1540" s="88" t="e">
        <f>VLOOKUP(A1540,'Current week'!$A$3:$F$1765,6,0)</f>
        <v>#N/A</v>
      </c>
      <c r="H1540" s="104" t="e">
        <f t="shared" si="75"/>
        <v>#N/A</v>
      </c>
      <c r="I1540" s="104" t="e">
        <f t="shared" si="76"/>
        <v>#N/A</v>
      </c>
      <c r="L1540" s="112"/>
    </row>
    <row r="1541" spans="1:12" x14ac:dyDescent="0.25">
      <c r="A1541" s="23" t="s">
        <v>3503</v>
      </c>
      <c r="B1541" s="23" t="s">
        <v>1733</v>
      </c>
      <c r="C1541" s="24"/>
      <c r="D1541" s="71">
        <v>10274.66</v>
      </c>
      <c r="E1541" s="88">
        <f>VLOOKUP(A1541,'Previous week'!$A$3:$F$1765,6,FALSE)</f>
        <v>1</v>
      </c>
      <c r="F1541" s="22">
        <f t="shared" si="77"/>
        <v>0</v>
      </c>
      <c r="G1541" s="88">
        <f>VLOOKUP(A1541,'Current week'!$A$3:$F$1765,6,0)</f>
        <v>1</v>
      </c>
      <c r="H1541" s="102">
        <f t="shared" si="75"/>
        <v>10274.66</v>
      </c>
      <c r="I1541" s="102">
        <f t="shared" si="76"/>
        <v>0</v>
      </c>
      <c r="L1541" s="112"/>
    </row>
    <row r="1542" spans="1:12" x14ac:dyDescent="0.25">
      <c r="A1542" s="54" t="s">
        <v>3840</v>
      </c>
      <c r="B1542" s="54" t="s">
        <v>2298</v>
      </c>
      <c r="C1542" s="55" t="s">
        <v>2299</v>
      </c>
      <c r="D1542" s="70">
        <v>10274.66</v>
      </c>
      <c r="E1542" s="94">
        <f>'Previous week'!F1613</f>
        <v>0.15</v>
      </c>
      <c r="F1542" s="57">
        <f t="shared" si="77"/>
        <v>0.1</v>
      </c>
      <c r="G1542" s="94">
        <f>'Current week'!F1613</f>
        <v>0.25</v>
      </c>
      <c r="H1542" s="107">
        <f t="shared" si="75"/>
        <v>2568.665</v>
      </c>
      <c r="I1542" s="107">
        <f t="shared" si="76"/>
        <v>1027.4660000000001</v>
      </c>
      <c r="L1542" s="112"/>
    </row>
    <row r="1543" spans="1:12" x14ac:dyDescent="0.25">
      <c r="A1543" s="19" t="s">
        <v>3528</v>
      </c>
      <c r="B1543" s="19" t="s">
        <v>127</v>
      </c>
      <c r="C1543" s="20"/>
      <c r="D1543" s="77">
        <v>7469.42</v>
      </c>
      <c r="E1543" s="88">
        <f>VLOOKUP(A1543,'Previous week'!$A$3:$F$1765,6,FALSE)</f>
        <v>1</v>
      </c>
      <c r="F1543" s="22">
        <f t="shared" si="77"/>
        <v>0</v>
      </c>
      <c r="G1543" s="88">
        <f>VLOOKUP(A1543,'Current week'!$A$3:$F$1765,6,0)</f>
        <v>1</v>
      </c>
      <c r="H1543" s="101">
        <f t="shared" si="75"/>
        <v>7469.42</v>
      </c>
      <c r="I1543" s="101">
        <f t="shared" si="76"/>
        <v>0</v>
      </c>
      <c r="L1543" s="112"/>
    </row>
    <row r="1544" spans="1:12" x14ac:dyDescent="0.25">
      <c r="A1544" s="33" t="s">
        <v>3841</v>
      </c>
      <c r="B1544" s="33" t="s">
        <v>2300</v>
      </c>
      <c r="C1544" s="34" t="s">
        <v>2301</v>
      </c>
      <c r="D1544" s="78">
        <v>7469.42</v>
      </c>
      <c r="E1544" s="88" t="e">
        <f>VLOOKUP(A1544,'Previous week'!$A$3:$F$1765,6,FALSE)</f>
        <v>#N/A</v>
      </c>
      <c r="F1544" s="22" t="e">
        <f t="shared" si="77"/>
        <v>#N/A</v>
      </c>
      <c r="G1544" s="88" t="e">
        <f>VLOOKUP(A1544,'Current week'!$A$3:$F$1765,6,0)</f>
        <v>#N/A</v>
      </c>
      <c r="H1544" s="104" t="e">
        <f t="shared" si="75"/>
        <v>#N/A</v>
      </c>
      <c r="I1544" s="104" t="e">
        <f t="shared" si="76"/>
        <v>#N/A</v>
      </c>
      <c r="L1544" s="112"/>
    </row>
    <row r="1545" spans="1:12" x14ac:dyDescent="0.25">
      <c r="A1545" s="33" t="s">
        <v>2810</v>
      </c>
      <c r="B1545" s="33" t="s">
        <v>499</v>
      </c>
      <c r="C1545" s="34"/>
      <c r="D1545" s="78">
        <v>13245.78</v>
      </c>
      <c r="E1545" s="88">
        <f>VLOOKUP(A1545,'Previous week'!$A$3:$F$1765,6,FALSE)</f>
        <v>0</v>
      </c>
      <c r="F1545" s="22">
        <f t="shared" si="77"/>
        <v>0</v>
      </c>
      <c r="G1545" s="88">
        <f>VLOOKUP(A1545,'Current week'!$A$3:$F$1765,6,0)</f>
        <v>0</v>
      </c>
      <c r="H1545" s="104">
        <f t="shared" si="75"/>
        <v>0</v>
      </c>
      <c r="I1545" s="104">
        <f t="shared" si="76"/>
        <v>0</v>
      </c>
      <c r="L1545" s="112"/>
    </row>
    <row r="1546" spans="1:12" x14ac:dyDescent="0.25">
      <c r="A1546" s="33" t="s">
        <v>3842</v>
      </c>
      <c r="B1546" s="33" t="s">
        <v>2302</v>
      </c>
      <c r="C1546" s="34" t="s">
        <v>2303</v>
      </c>
      <c r="D1546" s="78">
        <v>13245.78</v>
      </c>
      <c r="E1546" s="88" t="e">
        <f>VLOOKUP(A1546,'Previous week'!$A$3:$F$1765,6,FALSE)</f>
        <v>#N/A</v>
      </c>
      <c r="F1546" s="22" t="e">
        <f t="shared" si="77"/>
        <v>#N/A</v>
      </c>
      <c r="G1546" s="88" t="e">
        <f>VLOOKUP(A1546,'Current week'!$A$3:$F$1765,6,0)</f>
        <v>#N/A</v>
      </c>
      <c r="H1546" s="104" t="e">
        <f t="shared" si="75"/>
        <v>#N/A</v>
      </c>
      <c r="I1546" s="104" t="e">
        <f t="shared" si="76"/>
        <v>#N/A</v>
      </c>
      <c r="L1546" s="112"/>
    </row>
    <row r="1547" spans="1:12" x14ac:dyDescent="0.25">
      <c r="A1547" s="33" t="s">
        <v>3530</v>
      </c>
      <c r="B1547" s="33" t="s">
        <v>120</v>
      </c>
      <c r="C1547" s="34"/>
      <c r="D1547" s="78">
        <v>195291.25</v>
      </c>
      <c r="E1547" s="88">
        <f>VLOOKUP(A1547,'Previous week'!$A$3:$F$1765,6,FALSE)</f>
        <v>1</v>
      </c>
      <c r="F1547" s="22">
        <f t="shared" si="77"/>
        <v>0</v>
      </c>
      <c r="G1547" s="88">
        <f>VLOOKUP(A1547,'Current week'!$A$3:$F$1765,6,0)</f>
        <v>1</v>
      </c>
      <c r="H1547" s="104">
        <f t="shared" si="75"/>
        <v>195291.25</v>
      </c>
      <c r="I1547" s="104">
        <f t="shared" si="76"/>
        <v>0</v>
      </c>
      <c r="L1547" s="112"/>
    </row>
    <row r="1548" spans="1:12" x14ac:dyDescent="0.25">
      <c r="A1548" s="23" t="s">
        <v>3497</v>
      </c>
      <c r="B1548" s="23" t="s">
        <v>1722</v>
      </c>
      <c r="C1548" s="24"/>
      <c r="D1548" s="71">
        <v>118634.78</v>
      </c>
      <c r="E1548" s="88">
        <f>VLOOKUP(A1548,'Previous week'!$A$3:$F$1765,6,FALSE)</f>
        <v>1</v>
      </c>
      <c r="F1548" s="22">
        <f t="shared" si="77"/>
        <v>0</v>
      </c>
      <c r="G1548" s="88">
        <f>VLOOKUP(A1548,'Current week'!$A$3:$F$1765,6,0)</f>
        <v>1</v>
      </c>
      <c r="H1548" s="102">
        <f t="shared" si="75"/>
        <v>118634.78</v>
      </c>
      <c r="I1548" s="102">
        <f t="shared" si="76"/>
        <v>0</v>
      </c>
      <c r="L1548" s="112"/>
    </row>
    <row r="1549" spans="1:12" x14ac:dyDescent="0.25">
      <c r="A1549" s="54" t="s">
        <v>3843</v>
      </c>
      <c r="B1549" s="54" t="s">
        <v>2304</v>
      </c>
      <c r="C1549" s="55" t="s">
        <v>2258</v>
      </c>
      <c r="D1549" s="70">
        <v>11863.49</v>
      </c>
      <c r="E1549" s="94">
        <f>'Previous week'!F1620</f>
        <v>0.5</v>
      </c>
      <c r="F1549" s="57">
        <f t="shared" si="77"/>
        <v>0</v>
      </c>
      <c r="G1549" s="94">
        <f>'Current week'!F1620</f>
        <v>0.5</v>
      </c>
      <c r="H1549" s="107">
        <f t="shared" si="75"/>
        <v>5931.7449999999999</v>
      </c>
      <c r="I1549" s="107">
        <f t="shared" si="76"/>
        <v>0</v>
      </c>
      <c r="L1549" s="112"/>
    </row>
    <row r="1550" spans="1:12" x14ac:dyDescent="0.25">
      <c r="A1550" s="19" t="s">
        <v>3844</v>
      </c>
      <c r="B1550" s="19" t="s">
        <v>2305</v>
      </c>
      <c r="C1550" s="20" t="s">
        <v>2260</v>
      </c>
      <c r="D1550" s="77">
        <v>5931.74</v>
      </c>
      <c r="E1550" s="88" t="e">
        <f>VLOOKUP(A1550,'Previous week'!$A$3:$F$1765,6,FALSE)</f>
        <v>#N/A</v>
      </c>
      <c r="F1550" s="22" t="e">
        <f t="shared" si="77"/>
        <v>#N/A</v>
      </c>
      <c r="G1550" s="88" t="e">
        <f>VLOOKUP(A1550,'Current week'!$A$3:$F$1765,6,0)</f>
        <v>#N/A</v>
      </c>
      <c r="H1550" s="101" t="e">
        <f t="shared" si="75"/>
        <v>#N/A</v>
      </c>
      <c r="I1550" s="101" t="e">
        <f t="shared" si="76"/>
        <v>#N/A</v>
      </c>
      <c r="L1550" s="112"/>
    </row>
    <row r="1551" spans="1:12" x14ac:dyDescent="0.25">
      <c r="A1551" s="33" t="s">
        <v>3845</v>
      </c>
      <c r="B1551" s="33" t="s">
        <v>2306</v>
      </c>
      <c r="C1551" s="34" t="s">
        <v>2290</v>
      </c>
      <c r="D1551" s="78">
        <v>59317.37</v>
      </c>
      <c r="E1551" s="88" t="e">
        <f>VLOOKUP(A1551,'Previous week'!$A$3:$F$1765,6,FALSE)</f>
        <v>#N/A</v>
      </c>
      <c r="F1551" s="22" t="e">
        <f t="shared" si="77"/>
        <v>#N/A</v>
      </c>
      <c r="G1551" s="88" t="e">
        <f>VLOOKUP(A1551,'Current week'!$A$3:$F$1765,6,0)</f>
        <v>#N/A</v>
      </c>
      <c r="H1551" s="104" t="e">
        <f t="shared" si="75"/>
        <v>#N/A</v>
      </c>
      <c r="I1551" s="104" t="e">
        <f t="shared" si="76"/>
        <v>#N/A</v>
      </c>
      <c r="L1551" s="112"/>
    </row>
    <row r="1552" spans="1:12" x14ac:dyDescent="0.25">
      <c r="A1552" s="33" t="s">
        <v>3846</v>
      </c>
      <c r="B1552" s="33" t="s">
        <v>2307</v>
      </c>
      <c r="C1552" s="34" t="s">
        <v>2292</v>
      </c>
      <c r="D1552" s="78">
        <v>23726.94</v>
      </c>
      <c r="E1552" s="88" t="e">
        <f>VLOOKUP(A1552,'Previous week'!$A$3:$F$1765,6,FALSE)</f>
        <v>#N/A</v>
      </c>
      <c r="F1552" s="22" t="e">
        <f t="shared" si="77"/>
        <v>#N/A</v>
      </c>
      <c r="G1552" s="88" t="e">
        <f>VLOOKUP(A1552,'Current week'!$A$3:$F$1765,6,0)</f>
        <v>#N/A</v>
      </c>
      <c r="H1552" s="104" t="e">
        <f t="shared" si="75"/>
        <v>#N/A</v>
      </c>
      <c r="I1552" s="104" t="e">
        <f t="shared" si="76"/>
        <v>#N/A</v>
      </c>
      <c r="L1552" s="112"/>
    </row>
    <row r="1553" spans="1:12" x14ac:dyDescent="0.25">
      <c r="A1553" s="33" t="s">
        <v>3847</v>
      </c>
      <c r="B1553" s="33" t="s">
        <v>2308</v>
      </c>
      <c r="C1553" s="34" t="s">
        <v>2264</v>
      </c>
      <c r="D1553" s="78">
        <v>5931.74</v>
      </c>
      <c r="E1553" s="88" t="e">
        <f>VLOOKUP(A1553,'Previous week'!$A$3:$F$1765,6,FALSE)</f>
        <v>#N/A</v>
      </c>
      <c r="F1553" s="22" t="e">
        <f t="shared" si="77"/>
        <v>#N/A</v>
      </c>
      <c r="G1553" s="88" t="e">
        <f>VLOOKUP(A1553,'Current week'!$A$3:$F$1765,6,0)</f>
        <v>#N/A</v>
      </c>
      <c r="H1553" s="104" t="e">
        <f t="shared" si="75"/>
        <v>#N/A</v>
      </c>
      <c r="I1553" s="104" t="e">
        <f t="shared" si="76"/>
        <v>#N/A</v>
      </c>
      <c r="L1553" s="112"/>
    </row>
    <row r="1554" spans="1:12" x14ac:dyDescent="0.25">
      <c r="A1554" s="33" t="s">
        <v>3848</v>
      </c>
      <c r="B1554" s="33" t="s">
        <v>2309</v>
      </c>
      <c r="C1554" s="34" t="s">
        <v>2310</v>
      </c>
      <c r="D1554" s="78">
        <v>11863.49</v>
      </c>
      <c r="E1554" s="88" t="e">
        <f>VLOOKUP(A1554,'Previous week'!$A$3:$F$1765,6,FALSE)</f>
        <v>#N/A</v>
      </c>
      <c r="F1554" s="22" t="e">
        <f t="shared" si="77"/>
        <v>#N/A</v>
      </c>
      <c r="G1554" s="88" t="e">
        <f>VLOOKUP(A1554,'Current week'!$A$3:$F$1765,6,0)</f>
        <v>#N/A</v>
      </c>
      <c r="H1554" s="104" t="e">
        <f t="shared" si="75"/>
        <v>#N/A</v>
      </c>
      <c r="I1554" s="104" t="e">
        <f t="shared" si="76"/>
        <v>#N/A</v>
      </c>
      <c r="L1554" s="112"/>
    </row>
    <row r="1555" spans="1:12" x14ac:dyDescent="0.25">
      <c r="A1555" s="23" t="s">
        <v>3503</v>
      </c>
      <c r="B1555" s="23" t="s">
        <v>1733</v>
      </c>
      <c r="C1555" s="24"/>
      <c r="D1555" s="71">
        <v>9376.32</v>
      </c>
      <c r="E1555" s="88">
        <f>VLOOKUP(A1555,'Previous week'!$A$3:$F$1765,6,FALSE)</f>
        <v>1</v>
      </c>
      <c r="F1555" s="22">
        <f t="shared" si="77"/>
        <v>0</v>
      </c>
      <c r="G1555" s="88">
        <f>VLOOKUP(A1555,'Current week'!$A$3:$F$1765,6,0)</f>
        <v>1</v>
      </c>
      <c r="H1555" s="102">
        <f t="shared" si="75"/>
        <v>9376.32</v>
      </c>
      <c r="I1555" s="102">
        <f t="shared" si="76"/>
        <v>0</v>
      </c>
      <c r="L1555" s="112"/>
    </row>
    <row r="1556" spans="1:12" x14ac:dyDescent="0.25">
      <c r="A1556" s="54" t="s">
        <v>3849</v>
      </c>
      <c r="B1556" s="54" t="s">
        <v>2311</v>
      </c>
      <c r="C1556" s="55" t="s">
        <v>2299</v>
      </c>
      <c r="D1556" s="70">
        <v>9376.32</v>
      </c>
      <c r="E1556" s="94">
        <f>'Previous week'!F1627</f>
        <v>0.5</v>
      </c>
      <c r="F1556" s="57">
        <f t="shared" si="77"/>
        <v>0</v>
      </c>
      <c r="G1556" s="94">
        <f>'Current week'!F1627</f>
        <v>0.5</v>
      </c>
      <c r="H1556" s="107">
        <f t="shared" si="75"/>
        <v>4688.16</v>
      </c>
      <c r="I1556" s="107">
        <f t="shared" si="76"/>
        <v>0</v>
      </c>
      <c r="L1556" s="112"/>
    </row>
    <row r="1557" spans="1:12" x14ac:dyDescent="0.25">
      <c r="A1557" s="19" t="s">
        <v>3528</v>
      </c>
      <c r="B1557" s="19" t="s">
        <v>127</v>
      </c>
      <c r="C1557" s="20"/>
      <c r="D1557" s="77">
        <v>10512.52</v>
      </c>
      <c r="E1557" s="88">
        <f>VLOOKUP(A1557,'Previous week'!$A$3:$F$1765,6,FALSE)</f>
        <v>1</v>
      </c>
      <c r="F1557" s="22">
        <f t="shared" si="77"/>
        <v>0</v>
      </c>
      <c r="G1557" s="88">
        <f>VLOOKUP(A1557,'Current week'!$A$3:$F$1765,6,0)</f>
        <v>1</v>
      </c>
      <c r="H1557" s="101">
        <f t="shared" si="75"/>
        <v>10512.52</v>
      </c>
      <c r="I1557" s="101">
        <f t="shared" si="76"/>
        <v>0</v>
      </c>
      <c r="L1557" s="112"/>
    </row>
    <row r="1558" spans="1:12" x14ac:dyDescent="0.25">
      <c r="A1558" s="33" t="s">
        <v>3850</v>
      </c>
      <c r="B1558" s="33" t="s">
        <v>2312</v>
      </c>
      <c r="C1558" s="34" t="s">
        <v>2301</v>
      </c>
      <c r="D1558" s="78">
        <v>10512.52</v>
      </c>
      <c r="E1558" s="88" t="e">
        <f>VLOOKUP(A1558,'Previous week'!$A$3:$F$1765,6,FALSE)</f>
        <v>#N/A</v>
      </c>
      <c r="F1558" s="22" t="e">
        <f t="shared" si="77"/>
        <v>#N/A</v>
      </c>
      <c r="G1558" s="88" t="e">
        <f>VLOOKUP(A1558,'Current week'!$A$3:$F$1765,6,0)</f>
        <v>#N/A</v>
      </c>
      <c r="H1558" s="104" t="e">
        <f t="shared" si="75"/>
        <v>#N/A</v>
      </c>
      <c r="I1558" s="104" t="e">
        <f t="shared" si="76"/>
        <v>#N/A</v>
      </c>
      <c r="L1558" s="112"/>
    </row>
    <row r="1559" spans="1:12" x14ac:dyDescent="0.25">
      <c r="A1559" s="33" t="s">
        <v>2818</v>
      </c>
      <c r="B1559" s="33" t="s">
        <v>124</v>
      </c>
      <c r="C1559" s="34"/>
      <c r="D1559" s="78">
        <v>56767.63</v>
      </c>
      <c r="E1559" s="88">
        <f>VLOOKUP(A1559,'Previous week'!$A$3:$F$1765,6,FALSE)</f>
        <v>0</v>
      </c>
      <c r="F1559" s="22">
        <f t="shared" si="77"/>
        <v>0</v>
      </c>
      <c r="G1559" s="88">
        <f>VLOOKUP(A1559,'Current week'!$A$3:$F$1765,6,0)</f>
        <v>0</v>
      </c>
      <c r="H1559" s="104">
        <f t="shared" si="75"/>
        <v>0</v>
      </c>
      <c r="I1559" s="104">
        <f t="shared" si="76"/>
        <v>0</v>
      </c>
      <c r="L1559" s="112"/>
    </row>
    <row r="1560" spans="1:12" x14ac:dyDescent="0.25">
      <c r="A1560" s="33" t="s">
        <v>3851</v>
      </c>
      <c r="B1560" s="33" t="s">
        <v>2313</v>
      </c>
      <c r="C1560" s="34" t="s">
        <v>2314</v>
      </c>
      <c r="D1560" s="78">
        <v>56767.63</v>
      </c>
      <c r="E1560" s="88" t="e">
        <f>VLOOKUP(A1560,'Previous week'!$A$3:$F$1765,6,FALSE)</f>
        <v>#N/A</v>
      </c>
      <c r="F1560" s="22" t="e">
        <f t="shared" si="77"/>
        <v>#N/A</v>
      </c>
      <c r="G1560" s="88" t="e">
        <f>VLOOKUP(A1560,'Current week'!$A$3:$F$1765,6,0)</f>
        <v>#N/A</v>
      </c>
      <c r="H1560" s="104" t="e">
        <f t="shared" si="75"/>
        <v>#N/A</v>
      </c>
      <c r="I1560" s="104" t="e">
        <f t="shared" si="76"/>
        <v>#N/A</v>
      </c>
      <c r="L1560" s="112"/>
    </row>
    <row r="1561" spans="1:12" x14ac:dyDescent="0.25">
      <c r="A1561" s="33" t="s">
        <v>3540</v>
      </c>
      <c r="B1561" s="33" t="s">
        <v>1785</v>
      </c>
      <c r="C1561" s="34"/>
      <c r="D1561" s="78">
        <v>693653.53</v>
      </c>
      <c r="E1561" s="88">
        <f>VLOOKUP(A1561,'Previous week'!$A$3:$F$1765,6,FALSE)</f>
        <v>1</v>
      </c>
      <c r="F1561" s="22">
        <f t="shared" si="77"/>
        <v>0</v>
      </c>
      <c r="G1561" s="88">
        <f>VLOOKUP(A1561,'Current week'!$A$3:$F$1765,6,0)</f>
        <v>1</v>
      </c>
      <c r="H1561" s="104">
        <f t="shared" si="75"/>
        <v>693653.53</v>
      </c>
      <c r="I1561" s="104">
        <f t="shared" si="76"/>
        <v>0</v>
      </c>
      <c r="L1561" s="112"/>
    </row>
    <row r="1562" spans="1:12" x14ac:dyDescent="0.25">
      <c r="A1562" s="23" t="s">
        <v>3601</v>
      </c>
      <c r="B1562" s="23" t="s">
        <v>1888</v>
      </c>
      <c r="C1562" s="24"/>
      <c r="D1562" s="71">
        <v>161966.84</v>
      </c>
      <c r="E1562" s="88">
        <f>VLOOKUP(A1562,'Previous week'!$A$3:$F$1765,6,FALSE)</f>
        <v>1</v>
      </c>
      <c r="F1562" s="22">
        <f t="shared" si="77"/>
        <v>0</v>
      </c>
      <c r="G1562" s="88">
        <f>VLOOKUP(A1562,'Current week'!$A$3:$F$1765,6,0)</f>
        <v>1</v>
      </c>
      <c r="H1562" s="102">
        <f t="shared" si="75"/>
        <v>161966.84</v>
      </c>
      <c r="I1562" s="102">
        <f t="shared" si="76"/>
        <v>0</v>
      </c>
      <c r="L1562" s="112"/>
    </row>
    <row r="1563" spans="1:12" x14ac:dyDescent="0.25">
      <c r="A1563" s="54" t="s">
        <v>2831</v>
      </c>
      <c r="B1563" s="54" t="s">
        <v>1889</v>
      </c>
      <c r="C1563" s="55"/>
      <c r="D1563" s="70">
        <v>126890.48</v>
      </c>
      <c r="E1563" s="94">
        <f>'Previous week'!F1634</f>
        <v>1</v>
      </c>
      <c r="F1563" s="81">
        <f t="shared" si="77"/>
        <v>0</v>
      </c>
      <c r="G1563" s="94">
        <f>'Current week'!F1634</f>
        <v>1</v>
      </c>
      <c r="H1563" s="107">
        <f t="shared" si="75"/>
        <v>126890.48</v>
      </c>
      <c r="I1563" s="107">
        <f t="shared" si="76"/>
        <v>0</v>
      </c>
      <c r="L1563" s="112"/>
    </row>
    <row r="1564" spans="1:12" x14ac:dyDescent="0.25">
      <c r="A1564" s="19" t="s">
        <v>3852</v>
      </c>
      <c r="B1564" s="19" t="s">
        <v>2315</v>
      </c>
      <c r="C1564" s="20" t="s">
        <v>2316</v>
      </c>
      <c r="D1564" s="77">
        <v>6530.33</v>
      </c>
      <c r="E1564" s="88" t="e">
        <f>VLOOKUP(A1564,'Previous week'!$A$3:$F$1765,6,FALSE)</f>
        <v>#N/A</v>
      </c>
      <c r="F1564" s="22" t="e">
        <f t="shared" si="77"/>
        <v>#N/A</v>
      </c>
      <c r="G1564" s="88" t="e">
        <f>VLOOKUP(A1564,'Current week'!$A$3:$F$1765,6,0)</f>
        <v>#N/A</v>
      </c>
      <c r="H1564" s="101" t="e">
        <f t="shared" si="75"/>
        <v>#N/A</v>
      </c>
      <c r="I1564" s="101" t="e">
        <f t="shared" si="76"/>
        <v>#N/A</v>
      </c>
      <c r="L1564" s="112"/>
    </row>
    <row r="1565" spans="1:12" x14ac:dyDescent="0.25">
      <c r="A1565" s="33" t="s">
        <v>3853</v>
      </c>
      <c r="B1565" s="33" t="s">
        <v>2317</v>
      </c>
      <c r="C1565" s="34" t="s">
        <v>2318</v>
      </c>
      <c r="D1565" s="78">
        <v>10638.67</v>
      </c>
      <c r="E1565" s="88" t="e">
        <f>VLOOKUP(A1565,'Previous week'!$A$3:$F$1765,6,FALSE)</f>
        <v>#N/A</v>
      </c>
      <c r="F1565" s="22" t="e">
        <f t="shared" si="77"/>
        <v>#N/A</v>
      </c>
      <c r="G1565" s="88" t="e">
        <f>VLOOKUP(A1565,'Current week'!$A$3:$F$1765,6,0)</f>
        <v>#N/A</v>
      </c>
      <c r="H1565" s="104" t="e">
        <f t="shared" si="75"/>
        <v>#N/A</v>
      </c>
      <c r="I1565" s="104" t="e">
        <f t="shared" si="76"/>
        <v>#N/A</v>
      </c>
      <c r="L1565" s="112"/>
    </row>
    <row r="1566" spans="1:12" x14ac:dyDescent="0.25">
      <c r="A1566" s="33" t="s">
        <v>3854</v>
      </c>
      <c r="B1566" s="33" t="s">
        <v>2319</v>
      </c>
      <c r="C1566" s="34" t="s">
        <v>2320</v>
      </c>
      <c r="D1566" s="78">
        <v>109721.48</v>
      </c>
      <c r="E1566" s="88" t="e">
        <f>VLOOKUP(A1566,'Previous week'!$A$3:$F$1765,6,FALSE)</f>
        <v>#N/A</v>
      </c>
      <c r="F1566" s="22" t="e">
        <f t="shared" si="77"/>
        <v>#N/A</v>
      </c>
      <c r="G1566" s="88" t="e">
        <f>VLOOKUP(A1566,'Current week'!$A$3:$F$1765,6,0)</f>
        <v>#N/A</v>
      </c>
      <c r="H1566" s="104" t="e">
        <f t="shared" si="75"/>
        <v>#N/A</v>
      </c>
      <c r="I1566" s="104" t="e">
        <f t="shared" si="76"/>
        <v>#N/A</v>
      </c>
      <c r="L1566" s="112"/>
    </row>
    <row r="1567" spans="1:12" x14ac:dyDescent="0.25">
      <c r="A1567" s="33" t="s">
        <v>3605</v>
      </c>
      <c r="B1567" s="33" t="s">
        <v>222</v>
      </c>
      <c r="C1567" s="34"/>
      <c r="D1567" s="78">
        <v>35076.36</v>
      </c>
      <c r="E1567" s="88">
        <f>VLOOKUP(A1567,'Previous week'!$A$3:$F$1765,6,FALSE)</f>
        <v>1</v>
      </c>
      <c r="F1567" s="22">
        <f t="shared" si="77"/>
        <v>0</v>
      </c>
      <c r="G1567" s="88">
        <f>VLOOKUP(A1567,'Current week'!$A$3:$F$1765,6,0)</f>
        <v>1</v>
      </c>
      <c r="H1567" s="104">
        <f t="shared" si="75"/>
        <v>35076.36</v>
      </c>
      <c r="I1567" s="104">
        <f t="shared" si="76"/>
        <v>0</v>
      </c>
      <c r="L1567" s="112"/>
    </row>
    <row r="1568" spans="1:12" x14ac:dyDescent="0.25">
      <c r="A1568" s="33" t="s">
        <v>3855</v>
      </c>
      <c r="B1568" s="33" t="s">
        <v>2321</v>
      </c>
      <c r="C1568" s="34" t="s">
        <v>2322</v>
      </c>
      <c r="D1568" s="78">
        <v>9385.58</v>
      </c>
      <c r="E1568" s="88" t="e">
        <f>VLOOKUP(A1568,'Previous week'!$A$3:$F$1765,6,FALSE)</f>
        <v>#N/A</v>
      </c>
      <c r="F1568" s="22" t="e">
        <f t="shared" si="77"/>
        <v>#N/A</v>
      </c>
      <c r="G1568" s="88" t="e">
        <f>VLOOKUP(A1568,'Current week'!$A$3:$F$1765,6,0)</f>
        <v>#N/A</v>
      </c>
      <c r="H1568" s="104" t="e">
        <f t="shared" si="75"/>
        <v>#N/A</v>
      </c>
      <c r="I1568" s="104" t="e">
        <f t="shared" si="76"/>
        <v>#N/A</v>
      </c>
      <c r="L1568" s="112"/>
    </row>
    <row r="1569" spans="1:12" x14ac:dyDescent="0.25">
      <c r="A1569" s="23" t="s">
        <v>3856</v>
      </c>
      <c r="B1569" s="23" t="s">
        <v>2323</v>
      </c>
      <c r="C1569" s="24" t="s">
        <v>2324</v>
      </c>
      <c r="D1569" s="71">
        <v>25690.78</v>
      </c>
      <c r="E1569" s="88" t="e">
        <f>VLOOKUP(A1569,'Previous week'!$A$3:$F$1765,6,FALSE)</f>
        <v>#N/A</v>
      </c>
      <c r="F1569" s="22" t="e">
        <f t="shared" si="77"/>
        <v>#N/A</v>
      </c>
      <c r="G1569" s="88" t="e">
        <f>VLOOKUP(A1569,'Current week'!$A$3:$F$1765,6,0)</f>
        <v>#N/A</v>
      </c>
      <c r="H1569" s="102" t="e">
        <f t="shared" si="75"/>
        <v>#N/A</v>
      </c>
      <c r="I1569" s="102" t="e">
        <f t="shared" si="76"/>
        <v>#N/A</v>
      </c>
      <c r="L1569" s="112"/>
    </row>
    <row r="1570" spans="1:12" x14ac:dyDescent="0.25">
      <c r="A1570" s="54" t="s">
        <v>3541</v>
      </c>
      <c r="B1570" s="54" t="s">
        <v>1786</v>
      </c>
      <c r="C1570" s="55"/>
      <c r="D1570" s="70">
        <v>170726.59</v>
      </c>
      <c r="E1570" s="94">
        <f>'Previous week'!F1641</f>
        <v>0.5</v>
      </c>
      <c r="F1570" s="81">
        <f t="shared" si="77"/>
        <v>0.5</v>
      </c>
      <c r="G1570" s="94">
        <f>'Current week'!F1641</f>
        <v>1</v>
      </c>
      <c r="H1570" s="107">
        <f t="shared" si="75"/>
        <v>170726.59</v>
      </c>
      <c r="I1570" s="107">
        <f t="shared" si="76"/>
        <v>85363.294999999998</v>
      </c>
      <c r="L1570" s="112"/>
    </row>
    <row r="1571" spans="1:12" x14ac:dyDescent="0.25">
      <c r="A1571" s="19" t="s">
        <v>3857</v>
      </c>
      <c r="B1571" s="19" t="s">
        <v>2325</v>
      </c>
      <c r="C1571" s="20" t="s">
        <v>2322</v>
      </c>
      <c r="D1571" s="77">
        <v>9057.59</v>
      </c>
      <c r="E1571" s="88" t="e">
        <f>VLOOKUP(A1571,'Previous week'!$A$3:$F$1765,6,FALSE)</f>
        <v>#N/A</v>
      </c>
      <c r="F1571" s="22" t="e">
        <f t="shared" si="77"/>
        <v>#N/A</v>
      </c>
      <c r="G1571" s="88" t="e">
        <f>VLOOKUP(A1571,'Current week'!$A$3:$F$1765,6,0)</f>
        <v>#N/A</v>
      </c>
      <c r="H1571" s="101" t="e">
        <f t="shared" si="75"/>
        <v>#N/A</v>
      </c>
      <c r="I1571" s="101" t="e">
        <f t="shared" si="76"/>
        <v>#N/A</v>
      </c>
      <c r="L1571" s="112"/>
    </row>
    <row r="1572" spans="1:12" x14ac:dyDescent="0.25">
      <c r="A1572" s="33" t="s">
        <v>3858</v>
      </c>
      <c r="B1572" s="33" t="s">
        <v>2326</v>
      </c>
      <c r="C1572" s="34" t="s">
        <v>2327</v>
      </c>
      <c r="D1572" s="78">
        <v>18433.169999999998</v>
      </c>
      <c r="E1572" s="88" t="e">
        <f>VLOOKUP(A1572,'Previous week'!$A$3:$F$1765,6,FALSE)</f>
        <v>#N/A</v>
      </c>
      <c r="F1572" s="22" t="e">
        <f t="shared" si="77"/>
        <v>#N/A</v>
      </c>
      <c r="G1572" s="88" t="e">
        <f>VLOOKUP(A1572,'Current week'!$A$3:$F$1765,6,0)</f>
        <v>#N/A</v>
      </c>
      <c r="H1572" s="104" t="e">
        <f t="shared" si="75"/>
        <v>#N/A</v>
      </c>
      <c r="I1572" s="104" t="e">
        <f t="shared" si="76"/>
        <v>#N/A</v>
      </c>
      <c r="L1572" s="112"/>
    </row>
    <row r="1573" spans="1:12" x14ac:dyDescent="0.25">
      <c r="A1573" s="33" t="s">
        <v>3859</v>
      </c>
      <c r="B1573" s="33" t="s">
        <v>2328</v>
      </c>
      <c r="C1573" s="34" t="s">
        <v>2324</v>
      </c>
      <c r="D1573" s="78">
        <v>46246.69</v>
      </c>
      <c r="E1573" s="88" t="e">
        <f>VLOOKUP(A1573,'Previous week'!$A$3:$F$1765,6,FALSE)</f>
        <v>#N/A</v>
      </c>
      <c r="F1573" s="22" t="e">
        <f t="shared" si="77"/>
        <v>#N/A</v>
      </c>
      <c r="G1573" s="88" t="e">
        <f>VLOOKUP(A1573,'Current week'!$A$3:$F$1765,6,0)</f>
        <v>#N/A</v>
      </c>
      <c r="H1573" s="104" t="e">
        <f t="shared" si="75"/>
        <v>#N/A</v>
      </c>
      <c r="I1573" s="104" t="e">
        <f t="shared" si="76"/>
        <v>#N/A</v>
      </c>
      <c r="L1573" s="112"/>
    </row>
    <row r="1574" spans="1:12" x14ac:dyDescent="0.25">
      <c r="A1574" s="33" t="s">
        <v>3860</v>
      </c>
      <c r="B1574" s="33" t="s">
        <v>2329</v>
      </c>
      <c r="C1574" s="34" t="s">
        <v>2330</v>
      </c>
      <c r="D1574" s="78">
        <v>75284.86</v>
      </c>
      <c r="E1574" s="88" t="e">
        <f>VLOOKUP(A1574,'Previous week'!$A$3:$F$1765,6,FALSE)</f>
        <v>#N/A</v>
      </c>
      <c r="F1574" s="22" t="e">
        <f t="shared" si="77"/>
        <v>#N/A</v>
      </c>
      <c r="G1574" s="88" t="e">
        <f>VLOOKUP(A1574,'Current week'!$A$3:$F$1765,6,0)</f>
        <v>#N/A</v>
      </c>
      <c r="H1574" s="104" t="e">
        <f t="shared" si="75"/>
        <v>#N/A</v>
      </c>
      <c r="I1574" s="104" t="e">
        <f t="shared" si="76"/>
        <v>#N/A</v>
      </c>
      <c r="L1574" s="112"/>
    </row>
    <row r="1575" spans="1:12" x14ac:dyDescent="0.25">
      <c r="A1575" s="33" t="s">
        <v>3861</v>
      </c>
      <c r="B1575" s="33" t="s">
        <v>2331</v>
      </c>
      <c r="C1575" s="34" t="s">
        <v>2332</v>
      </c>
      <c r="D1575" s="78">
        <v>17919.77</v>
      </c>
      <c r="E1575" s="88" t="e">
        <f>VLOOKUP(A1575,'Previous week'!$A$3:$F$1765,6,FALSE)</f>
        <v>#N/A</v>
      </c>
      <c r="F1575" s="22" t="e">
        <f t="shared" si="77"/>
        <v>#N/A</v>
      </c>
      <c r="G1575" s="88" t="e">
        <f>VLOOKUP(A1575,'Current week'!$A$3:$F$1765,6,0)</f>
        <v>#N/A</v>
      </c>
      <c r="H1575" s="104" t="e">
        <f t="shared" si="75"/>
        <v>#N/A</v>
      </c>
      <c r="I1575" s="104" t="e">
        <f t="shared" si="76"/>
        <v>#N/A</v>
      </c>
      <c r="L1575" s="112"/>
    </row>
    <row r="1576" spans="1:12" x14ac:dyDescent="0.25">
      <c r="A1576" s="23" t="s">
        <v>3862</v>
      </c>
      <c r="B1576" s="23" t="s">
        <v>2333</v>
      </c>
      <c r="C1576" s="24" t="s">
        <v>2334</v>
      </c>
      <c r="D1576" s="71">
        <v>3784.51</v>
      </c>
      <c r="E1576" s="88" t="e">
        <f>VLOOKUP(A1576,'Previous week'!$A$3:$F$1765,6,FALSE)</f>
        <v>#N/A</v>
      </c>
      <c r="F1576" s="22" t="e">
        <f t="shared" si="77"/>
        <v>#N/A</v>
      </c>
      <c r="G1576" s="88" t="e">
        <f>VLOOKUP(A1576,'Current week'!$A$3:$F$1765,6,0)</f>
        <v>#N/A</v>
      </c>
      <c r="H1576" s="102" t="e">
        <f t="shared" si="75"/>
        <v>#N/A</v>
      </c>
      <c r="I1576" s="102" t="e">
        <f t="shared" si="76"/>
        <v>#N/A</v>
      </c>
      <c r="L1576" s="112"/>
    </row>
    <row r="1577" spans="1:12" x14ac:dyDescent="0.25">
      <c r="A1577" s="54" t="s">
        <v>3548</v>
      </c>
      <c r="B1577" s="54" t="s">
        <v>1799</v>
      </c>
      <c r="C1577" s="55"/>
      <c r="D1577" s="70">
        <v>360960.1</v>
      </c>
      <c r="E1577" s="94">
        <f>'Previous week'!F1648</f>
        <v>1</v>
      </c>
      <c r="F1577" s="81">
        <f t="shared" si="77"/>
        <v>0</v>
      </c>
      <c r="G1577" s="94">
        <f>'Current week'!F1648</f>
        <v>1</v>
      </c>
      <c r="H1577" s="107">
        <f t="shared" si="75"/>
        <v>360960.1</v>
      </c>
      <c r="I1577" s="107">
        <f t="shared" si="76"/>
        <v>0</v>
      </c>
      <c r="L1577" s="112"/>
    </row>
    <row r="1578" spans="1:12" x14ac:dyDescent="0.25">
      <c r="A1578" s="19" t="s">
        <v>3863</v>
      </c>
      <c r="B1578" s="19" t="s">
        <v>2335</v>
      </c>
      <c r="C1578" s="20" t="s">
        <v>2336</v>
      </c>
      <c r="D1578" s="77">
        <v>242586.99</v>
      </c>
      <c r="E1578" s="88" t="e">
        <f>VLOOKUP(A1578,'Previous week'!$A$3:$F$1765,6,FALSE)</f>
        <v>#N/A</v>
      </c>
      <c r="F1578" s="22" t="e">
        <f t="shared" si="77"/>
        <v>#N/A</v>
      </c>
      <c r="G1578" s="88" t="e">
        <f>VLOOKUP(A1578,'Current week'!$A$3:$F$1765,6,0)</f>
        <v>#N/A</v>
      </c>
      <c r="H1578" s="101" t="e">
        <f t="shared" si="75"/>
        <v>#N/A</v>
      </c>
      <c r="I1578" s="101" t="e">
        <f t="shared" si="76"/>
        <v>#N/A</v>
      </c>
      <c r="L1578" s="112"/>
    </row>
    <row r="1579" spans="1:12" x14ac:dyDescent="0.25">
      <c r="A1579" s="33" t="s">
        <v>3864</v>
      </c>
      <c r="B1579" s="33" t="s">
        <v>2337</v>
      </c>
      <c r="C1579" s="34" t="s">
        <v>2338</v>
      </c>
      <c r="D1579" s="78">
        <v>4257.57</v>
      </c>
      <c r="E1579" s="88" t="e">
        <f>VLOOKUP(A1579,'Previous week'!$A$3:$F$1765,6,FALSE)</f>
        <v>#N/A</v>
      </c>
      <c r="F1579" s="22" t="e">
        <f t="shared" si="77"/>
        <v>#N/A</v>
      </c>
      <c r="G1579" s="88" t="e">
        <f>VLOOKUP(A1579,'Current week'!$A$3:$F$1765,6,0)</f>
        <v>#N/A</v>
      </c>
      <c r="H1579" s="104" t="e">
        <f t="shared" si="75"/>
        <v>#N/A</v>
      </c>
      <c r="I1579" s="104" t="e">
        <f t="shared" si="76"/>
        <v>#N/A</v>
      </c>
      <c r="L1579" s="112"/>
    </row>
    <row r="1580" spans="1:12" x14ac:dyDescent="0.25">
      <c r="A1580" s="33" t="s">
        <v>3865</v>
      </c>
      <c r="B1580" s="33" t="s">
        <v>2339</v>
      </c>
      <c r="C1580" s="34" t="s">
        <v>2340</v>
      </c>
      <c r="D1580" s="78">
        <v>68701.440000000002</v>
      </c>
      <c r="E1580" s="88" t="e">
        <f>VLOOKUP(A1580,'Previous week'!$A$3:$F$1765,6,FALSE)</f>
        <v>#N/A</v>
      </c>
      <c r="F1580" s="22" t="e">
        <f t="shared" si="77"/>
        <v>#N/A</v>
      </c>
      <c r="G1580" s="88" t="e">
        <f>VLOOKUP(A1580,'Current week'!$A$3:$F$1765,6,0)</f>
        <v>#N/A</v>
      </c>
      <c r="H1580" s="104" t="e">
        <f t="shared" si="75"/>
        <v>#N/A</v>
      </c>
      <c r="I1580" s="104" t="e">
        <f t="shared" si="76"/>
        <v>#N/A</v>
      </c>
      <c r="L1580" s="112"/>
    </row>
    <row r="1581" spans="1:12" x14ac:dyDescent="0.25">
      <c r="A1581" s="33" t="s">
        <v>3866</v>
      </c>
      <c r="B1581" s="33" t="s">
        <v>2341</v>
      </c>
      <c r="C1581" s="34" t="s">
        <v>2286</v>
      </c>
      <c r="D1581" s="78">
        <v>45414.1</v>
      </c>
      <c r="E1581" s="88" t="e">
        <f>VLOOKUP(A1581,'Previous week'!$A$3:$F$1765,6,FALSE)</f>
        <v>#N/A</v>
      </c>
      <c r="F1581" s="22" t="e">
        <f t="shared" si="77"/>
        <v>#N/A</v>
      </c>
      <c r="G1581" s="88" t="e">
        <f>VLOOKUP(A1581,'Current week'!$A$3:$F$1765,6,0)</f>
        <v>#N/A</v>
      </c>
      <c r="H1581" s="104" t="e">
        <f t="shared" si="75"/>
        <v>#N/A</v>
      </c>
      <c r="I1581" s="104" t="e">
        <f t="shared" si="76"/>
        <v>#N/A</v>
      </c>
      <c r="L1581" s="112"/>
    </row>
    <row r="1582" spans="1:12" x14ac:dyDescent="0.25">
      <c r="A1582" s="33" t="s">
        <v>3867</v>
      </c>
      <c r="B1582" s="33" t="s">
        <v>2342</v>
      </c>
      <c r="C1582" s="34"/>
      <c r="D1582" s="78">
        <v>1039115.97</v>
      </c>
      <c r="E1582" s="88">
        <f>VLOOKUP(A1582,'Previous week'!$A$3:$F$1765,6,FALSE)</f>
        <v>1</v>
      </c>
      <c r="F1582" s="22">
        <f t="shared" si="77"/>
        <v>0</v>
      </c>
      <c r="G1582" s="88">
        <f>VLOOKUP(A1582,'Current week'!$A$3:$F$1765,6,0)</f>
        <v>1</v>
      </c>
      <c r="H1582" s="104">
        <f t="shared" si="75"/>
        <v>1039115.97</v>
      </c>
      <c r="I1582" s="104">
        <f t="shared" si="76"/>
        <v>0</v>
      </c>
      <c r="L1582" s="112"/>
    </row>
    <row r="1583" spans="1:12" x14ac:dyDescent="0.25">
      <c r="A1583" s="23" t="s">
        <v>3511</v>
      </c>
      <c r="B1583" s="23" t="s">
        <v>221</v>
      </c>
      <c r="C1583" s="24"/>
      <c r="D1583" s="71">
        <v>419517.39</v>
      </c>
      <c r="E1583" s="88">
        <f>VLOOKUP(A1583,'Previous week'!$A$3:$F$1765,6,FALSE)</f>
        <v>1</v>
      </c>
      <c r="F1583" s="22">
        <f t="shared" si="77"/>
        <v>0</v>
      </c>
      <c r="G1583" s="88">
        <f>VLOOKUP(A1583,'Current week'!$A$3:$F$1765,6,0)</f>
        <v>1</v>
      </c>
      <c r="H1583" s="102">
        <f t="shared" si="75"/>
        <v>419517.39</v>
      </c>
      <c r="I1583" s="102">
        <f t="shared" si="76"/>
        <v>0</v>
      </c>
      <c r="L1583" s="112"/>
    </row>
    <row r="1584" spans="1:12" x14ac:dyDescent="0.25">
      <c r="A1584" s="54" t="s">
        <v>3497</v>
      </c>
      <c r="B1584" s="54" t="s">
        <v>1722</v>
      </c>
      <c r="C1584" s="55"/>
      <c r="D1584" s="70">
        <v>288229.71999999997</v>
      </c>
      <c r="E1584" s="94">
        <f>'Previous week'!F1655</f>
        <v>0.3</v>
      </c>
      <c r="F1584" s="81">
        <f t="shared" si="77"/>
        <v>0.2</v>
      </c>
      <c r="G1584" s="94">
        <f>'Current week'!F1655</f>
        <v>0.5</v>
      </c>
      <c r="H1584" s="107">
        <f t="shared" si="75"/>
        <v>144114.85999999999</v>
      </c>
      <c r="I1584" s="107">
        <f t="shared" si="76"/>
        <v>57645.943999999996</v>
      </c>
      <c r="L1584" s="112"/>
    </row>
    <row r="1585" spans="1:12" x14ac:dyDescent="0.25">
      <c r="A1585" s="19" t="s">
        <v>3868</v>
      </c>
      <c r="B1585" s="19" t="s">
        <v>2343</v>
      </c>
      <c r="C1585" s="20" t="s">
        <v>2344</v>
      </c>
      <c r="D1585" s="77">
        <v>28822.98</v>
      </c>
      <c r="E1585" s="88">
        <f>VLOOKUP(A1585,'Previous week'!$A$3:$F$1765,6,FALSE)</f>
        <v>1</v>
      </c>
      <c r="F1585" s="22">
        <f t="shared" si="77"/>
        <v>0</v>
      </c>
      <c r="G1585" s="88">
        <f>VLOOKUP(A1585,'Current week'!$A$3:$F$1765,6,0)</f>
        <v>1</v>
      </c>
      <c r="H1585" s="101">
        <f t="shared" si="75"/>
        <v>28822.98</v>
      </c>
      <c r="I1585" s="101">
        <f t="shared" si="76"/>
        <v>0</v>
      </c>
      <c r="L1585" s="112"/>
    </row>
    <row r="1586" spans="1:12" x14ac:dyDescent="0.25">
      <c r="A1586" s="33" t="s">
        <v>3869</v>
      </c>
      <c r="B1586" s="33" t="s">
        <v>2345</v>
      </c>
      <c r="C1586" s="34" t="s">
        <v>2346</v>
      </c>
      <c r="D1586" s="78">
        <v>14411.47</v>
      </c>
      <c r="E1586" s="88">
        <f>VLOOKUP(A1586,'Previous week'!$A$3:$F$1765,6,FALSE)</f>
        <v>1</v>
      </c>
      <c r="F1586" s="22">
        <f t="shared" si="77"/>
        <v>0</v>
      </c>
      <c r="G1586" s="88">
        <f>VLOOKUP(A1586,'Current week'!$A$3:$F$1765,6,0)</f>
        <v>1</v>
      </c>
      <c r="H1586" s="104">
        <f t="shared" si="75"/>
        <v>14411.47</v>
      </c>
      <c r="I1586" s="104">
        <f t="shared" si="76"/>
        <v>0</v>
      </c>
      <c r="L1586" s="112"/>
    </row>
    <row r="1587" spans="1:12" x14ac:dyDescent="0.25">
      <c r="A1587" s="33" t="s">
        <v>3870</v>
      </c>
      <c r="B1587" s="33" t="s">
        <v>2347</v>
      </c>
      <c r="C1587" s="34" t="s">
        <v>2348</v>
      </c>
      <c r="D1587" s="78">
        <v>144114.85999999999</v>
      </c>
      <c r="E1587" s="88">
        <f>VLOOKUP(A1587,'Previous week'!$A$3:$F$1765,6,FALSE)</f>
        <v>1</v>
      </c>
      <c r="F1587" s="22">
        <f t="shared" si="77"/>
        <v>0</v>
      </c>
      <c r="G1587" s="88">
        <f>VLOOKUP(A1587,'Current week'!$A$3:$F$1765,6,0)</f>
        <v>1</v>
      </c>
      <c r="H1587" s="104">
        <f t="shared" si="75"/>
        <v>144114.85999999999</v>
      </c>
      <c r="I1587" s="104">
        <f t="shared" si="76"/>
        <v>0</v>
      </c>
      <c r="L1587" s="112"/>
    </row>
    <row r="1588" spans="1:12" x14ac:dyDescent="0.25">
      <c r="A1588" s="33" t="s">
        <v>3871</v>
      </c>
      <c r="B1588" s="33" t="s">
        <v>2349</v>
      </c>
      <c r="C1588" s="34" t="s">
        <v>2350</v>
      </c>
      <c r="D1588" s="78">
        <v>57645.96</v>
      </c>
      <c r="E1588" s="88">
        <f>VLOOKUP(A1588,'Previous week'!$A$3:$F$1765,6,FALSE)</f>
        <v>1</v>
      </c>
      <c r="F1588" s="22">
        <f t="shared" si="77"/>
        <v>0</v>
      </c>
      <c r="G1588" s="88">
        <f>VLOOKUP(A1588,'Current week'!$A$3:$F$1765,6,0)</f>
        <v>1</v>
      </c>
      <c r="H1588" s="104">
        <f t="shared" si="75"/>
        <v>57645.96</v>
      </c>
      <c r="I1588" s="104">
        <f t="shared" si="76"/>
        <v>0</v>
      </c>
      <c r="L1588" s="112"/>
    </row>
    <row r="1589" spans="1:12" x14ac:dyDescent="0.25">
      <c r="A1589" s="33" t="s">
        <v>3872</v>
      </c>
      <c r="B1589" s="33" t="s">
        <v>2351</v>
      </c>
      <c r="C1589" s="34" t="s">
        <v>2352</v>
      </c>
      <c r="D1589" s="78">
        <v>14411.47</v>
      </c>
      <c r="E1589" s="88">
        <f>VLOOKUP(A1589,'Previous week'!$A$3:$F$1765,6,FALSE)</f>
        <v>1</v>
      </c>
      <c r="F1589" s="22">
        <f t="shared" si="77"/>
        <v>0</v>
      </c>
      <c r="G1589" s="88">
        <f>VLOOKUP(A1589,'Current week'!$A$3:$F$1765,6,0)</f>
        <v>1</v>
      </c>
      <c r="H1589" s="104">
        <f t="shared" si="75"/>
        <v>14411.47</v>
      </c>
      <c r="I1589" s="104">
        <f t="shared" si="76"/>
        <v>0</v>
      </c>
      <c r="L1589" s="112"/>
    </row>
    <row r="1590" spans="1:12" x14ac:dyDescent="0.25">
      <c r="A1590" s="23" t="s">
        <v>3873</v>
      </c>
      <c r="B1590" s="23" t="s">
        <v>2353</v>
      </c>
      <c r="C1590" s="24" t="s">
        <v>2354</v>
      </c>
      <c r="D1590" s="71">
        <v>28822.98</v>
      </c>
      <c r="E1590" s="88">
        <f>VLOOKUP(A1590,'Previous week'!$A$3:$F$1765,6,FALSE)</f>
        <v>1</v>
      </c>
      <c r="F1590" s="22">
        <f t="shared" si="77"/>
        <v>0</v>
      </c>
      <c r="G1590" s="88">
        <f>VLOOKUP(A1590,'Current week'!$A$3:$F$1765,6,0)</f>
        <v>1</v>
      </c>
      <c r="H1590" s="102">
        <f t="shared" si="75"/>
        <v>28822.98</v>
      </c>
      <c r="I1590" s="102">
        <f t="shared" si="76"/>
        <v>0</v>
      </c>
      <c r="L1590" s="112"/>
    </row>
    <row r="1591" spans="1:12" x14ac:dyDescent="0.25">
      <c r="A1591" s="54" t="s">
        <v>3503</v>
      </c>
      <c r="B1591" s="54" t="s">
        <v>1733</v>
      </c>
      <c r="C1591" s="55"/>
      <c r="D1591" s="70">
        <v>1521.08</v>
      </c>
      <c r="E1591" s="94">
        <f>'Previous week'!F1662</f>
        <v>1</v>
      </c>
      <c r="F1591" s="81">
        <f t="shared" si="77"/>
        <v>0</v>
      </c>
      <c r="G1591" s="94">
        <f>'Current week'!F1662</f>
        <v>1</v>
      </c>
      <c r="H1591" s="107">
        <f t="shared" si="75"/>
        <v>1521.08</v>
      </c>
      <c r="I1591" s="107">
        <f t="shared" si="76"/>
        <v>0</v>
      </c>
      <c r="L1591" s="112"/>
    </row>
    <row r="1592" spans="1:12" x14ac:dyDescent="0.25">
      <c r="A1592" s="19" t="s">
        <v>3874</v>
      </c>
      <c r="B1592" s="19" t="s">
        <v>2355</v>
      </c>
      <c r="C1592" s="20" t="s">
        <v>2356</v>
      </c>
      <c r="D1592" s="77">
        <v>1521.08</v>
      </c>
      <c r="E1592" s="88">
        <f>VLOOKUP(A1592,'Previous week'!$A$3:$F$1765,6,FALSE)</f>
        <v>1</v>
      </c>
      <c r="F1592" s="22">
        <f t="shared" si="77"/>
        <v>0</v>
      </c>
      <c r="G1592" s="88">
        <f>VLOOKUP(A1592,'Current week'!$A$3:$F$1765,6,0)</f>
        <v>1</v>
      </c>
      <c r="H1592" s="101">
        <f t="shared" si="75"/>
        <v>1521.08</v>
      </c>
      <c r="I1592" s="101">
        <f t="shared" si="76"/>
        <v>0</v>
      </c>
      <c r="L1592" s="112"/>
    </row>
    <row r="1593" spans="1:12" x14ac:dyDescent="0.25">
      <c r="A1593" s="33" t="s">
        <v>2800</v>
      </c>
      <c r="B1593" s="33" t="s">
        <v>486</v>
      </c>
      <c r="C1593" s="34"/>
      <c r="D1593" s="78">
        <v>129766.59</v>
      </c>
      <c r="E1593" s="88">
        <f>VLOOKUP(A1593,'Previous week'!$A$3:$F$1765,6,FALSE)</f>
        <v>0</v>
      </c>
      <c r="F1593" s="22">
        <f t="shared" si="77"/>
        <v>0</v>
      </c>
      <c r="G1593" s="88">
        <f>VLOOKUP(A1593,'Current week'!$A$3:$F$1765,6,0)</f>
        <v>0</v>
      </c>
      <c r="H1593" s="104">
        <f t="shared" si="75"/>
        <v>0</v>
      </c>
      <c r="I1593" s="104">
        <f t="shared" si="76"/>
        <v>0</v>
      </c>
      <c r="L1593" s="112"/>
    </row>
    <row r="1594" spans="1:12" x14ac:dyDescent="0.25">
      <c r="A1594" s="33" t="s">
        <v>3875</v>
      </c>
      <c r="B1594" s="33" t="s">
        <v>2357</v>
      </c>
      <c r="C1594" s="34" t="s">
        <v>2358</v>
      </c>
      <c r="D1594" s="78">
        <v>129766.59</v>
      </c>
      <c r="E1594" s="88">
        <f>VLOOKUP(A1594,'Previous week'!$A$3:$F$1765,6,FALSE)</f>
        <v>1</v>
      </c>
      <c r="F1594" s="22">
        <f t="shared" si="77"/>
        <v>0</v>
      </c>
      <c r="G1594" s="88">
        <f>VLOOKUP(A1594,'Current week'!$A$3:$F$1765,6,0)</f>
        <v>1</v>
      </c>
      <c r="H1594" s="104">
        <f t="shared" si="75"/>
        <v>129766.59</v>
      </c>
      <c r="I1594" s="104">
        <f t="shared" si="76"/>
        <v>0</v>
      </c>
      <c r="L1594" s="112"/>
    </row>
    <row r="1595" spans="1:12" x14ac:dyDescent="0.25">
      <c r="A1595" s="33" t="s">
        <v>2803</v>
      </c>
      <c r="B1595" s="33" t="s">
        <v>491</v>
      </c>
      <c r="C1595" s="34"/>
      <c r="D1595" s="78">
        <v>221839.88</v>
      </c>
      <c r="E1595" s="88">
        <f>VLOOKUP(A1595,'Previous week'!$A$3:$F$1765,6,FALSE)</f>
        <v>0</v>
      </c>
      <c r="F1595" s="22">
        <f t="shared" si="77"/>
        <v>0</v>
      </c>
      <c r="G1595" s="88">
        <f>VLOOKUP(A1595,'Current week'!$A$3:$F$1765,6,0)</f>
        <v>0</v>
      </c>
      <c r="H1595" s="104">
        <f t="shared" ref="H1595:H1653" si="78">G1595*D1595</f>
        <v>0</v>
      </c>
      <c r="I1595" s="104">
        <f t="shared" ref="I1595:I1653" si="79">F1595*D1595</f>
        <v>0</v>
      </c>
      <c r="L1595" s="112"/>
    </row>
    <row r="1596" spans="1:12" x14ac:dyDescent="0.25">
      <c r="A1596" s="33" t="s">
        <v>3497</v>
      </c>
      <c r="B1596" s="33" t="s">
        <v>1722</v>
      </c>
      <c r="C1596" s="34"/>
      <c r="D1596" s="78">
        <v>201483.46</v>
      </c>
      <c r="E1596" s="88">
        <f>VLOOKUP(A1596,'Previous week'!$A$3:$F$1765,6,FALSE)</f>
        <v>1</v>
      </c>
      <c r="F1596" s="22">
        <f t="shared" ref="F1596:F1654" si="80">G1596-E1596</f>
        <v>0</v>
      </c>
      <c r="G1596" s="88">
        <f>VLOOKUP(A1596,'Current week'!$A$3:$F$1765,6,0)</f>
        <v>1</v>
      </c>
      <c r="H1596" s="104">
        <f t="shared" si="78"/>
        <v>201483.46</v>
      </c>
      <c r="I1596" s="104">
        <f t="shared" si="79"/>
        <v>0</v>
      </c>
      <c r="L1596" s="112"/>
    </row>
    <row r="1597" spans="1:12" x14ac:dyDescent="0.25">
      <c r="A1597" s="23" t="s">
        <v>3876</v>
      </c>
      <c r="B1597" s="23" t="s">
        <v>2359</v>
      </c>
      <c r="C1597" s="24" t="s">
        <v>2360</v>
      </c>
      <c r="D1597" s="71">
        <v>18901.669999999998</v>
      </c>
      <c r="E1597" s="88">
        <f>VLOOKUP(A1597,'Previous week'!$A$3:$F$1765,6,FALSE)</f>
        <v>1</v>
      </c>
      <c r="F1597" s="22">
        <f t="shared" si="80"/>
        <v>0</v>
      </c>
      <c r="G1597" s="88">
        <f>VLOOKUP(A1597,'Current week'!$A$3:$F$1765,6,0)</f>
        <v>1</v>
      </c>
      <c r="H1597" s="102">
        <f t="shared" si="78"/>
        <v>18901.669999999998</v>
      </c>
      <c r="I1597" s="102">
        <f t="shared" si="79"/>
        <v>0</v>
      </c>
      <c r="L1597" s="112"/>
    </row>
    <row r="1598" spans="1:12" x14ac:dyDescent="0.25">
      <c r="A1598" s="54" t="s">
        <v>3877</v>
      </c>
      <c r="B1598" s="54" t="s">
        <v>2361</v>
      </c>
      <c r="C1598" s="55" t="s">
        <v>2346</v>
      </c>
      <c r="D1598" s="70">
        <v>9450.86</v>
      </c>
      <c r="E1598" s="94">
        <f>'Previous week'!F1669</f>
        <v>1</v>
      </c>
      <c r="F1598" s="57">
        <f t="shared" si="80"/>
        <v>0</v>
      </c>
      <c r="G1598" s="94">
        <f>'Current week'!F1669</f>
        <v>1</v>
      </c>
      <c r="H1598" s="107">
        <f t="shared" si="78"/>
        <v>9450.86</v>
      </c>
      <c r="I1598" s="107">
        <f t="shared" si="79"/>
        <v>0</v>
      </c>
      <c r="L1598" s="112"/>
    </row>
    <row r="1599" spans="1:12" x14ac:dyDescent="0.25">
      <c r="A1599" s="19" t="s">
        <v>3878</v>
      </c>
      <c r="B1599" s="19" t="s">
        <v>2362</v>
      </c>
      <c r="C1599" s="20" t="s">
        <v>2363</v>
      </c>
      <c r="D1599" s="77">
        <v>94508.42</v>
      </c>
      <c r="E1599" s="88">
        <f>VLOOKUP(A1599,'Previous week'!$A$3:$F$1765,6,FALSE)</f>
        <v>1</v>
      </c>
      <c r="F1599" s="22">
        <f t="shared" si="80"/>
        <v>0</v>
      </c>
      <c r="G1599" s="88">
        <f>VLOOKUP(A1599,'Current week'!$A$3:$F$1765,6,0)</f>
        <v>1</v>
      </c>
      <c r="H1599" s="101">
        <f t="shared" si="78"/>
        <v>94508.42</v>
      </c>
      <c r="I1599" s="101">
        <f t="shared" si="79"/>
        <v>0</v>
      </c>
      <c r="L1599" s="112"/>
    </row>
    <row r="1600" spans="1:12" x14ac:dyDescent="0.25">
      <c r="A1600" s="33" t="s">
        <v>3879</v>
      </c>
      <c r="B1600" s="33" t="s">
        <v>2364</v>
      </c>
      <c r="C1600" s="34" t="s">
        <v>2365</v>
      </c>
      <c r="D1600" s="78">
        <v>37803.35</v>
      </c>
      <c r="E1600" s="88">
        <f>VLOOKUP(A1600,'Previous week'!$A$3:$F$1765,6,FALSE)</f>
        <v>1</v>
      </c>
      <c r="F1600" s="22">
        <f t="shared" si="80"/>
        <v>0</v>
      </c>
      <c r="G1600" s="88">
        <f>VLOOKUP(A1600,'Current week'!$A$3:$F$1765,6,0)</f>
        <v>1</v>
      </c>
      <c r="H1600" s="104">
        <f t="shared" si="78"/>
        <v>37803.35</v>
      </c>
      <c r="I1600" s="104">
        <f t="shared" si="79"/>
        <v>0</v>
      </c>
      <c r="L1600" s="112"/>
    </row>
    <row r="1601" spans="1:12" x14ac:dyDescent="0.25">
      <c r="A1601" s="33" t="s">
        <v>3880</v>
      </c>
      <c r="B1601" s="33" t="s">
        <v>2366</v>
      </c>
      <c r="C1601" s="34" t="s">
        <v>2367</v>
      </c>
      <c r="D1601" s="78">
        <v>12466.62</v>
      </c>
      <c r="E1601" s="88">
        <f>VLOOKUP(A1601,'Previous week'!$A$3:$F$1765,6,FALSE)</f>
        <v>1</v>
      </c>
      <c r="F1601" s="22">
        <f t="shared" si="80"/>
        <v>0</v>
      </c>
      <c r="G1601" s="88">
        <f>VLOOKUP(A1601,'Current week'!$A$3:$F$1765,6,0)</f>
        <v>1</v>
      </c>
      <c r="H1601" s="104">
        <f t="shared" si="78"/>
        <v>12466.62</v>
      </c>
      <c r="I1601" s="104">
        <f t="shared" si="79"/>
        <v>0</v>
      </c>
      <c r="L1601" s="112"/>
    </row>
    <row r="1602" spans="1:12" x14ac:dyDescent="0.25">
      <c r="A1602" s="33" t="s">
        <v>3881</v>
      </c>
      <c r="B1602" s="33" t="s">
        <v>2368</v>
      </c>
      <c r="C1602" s="34" t="s">
        <v>2369</v>
      </c>
      <c r="D1602" s="78">
        <v>9450.86</v>
      </c>
      <c r="E1602" s="88">
        <f>VLOOKUP(A1602,'Previous week'!$A$3:$F$1765,6,FALSE)</f>
        <v>1</v>
      </c>
      <c r="F1602" s="22">
        <f t="shared" si="80"/>
        <v>0</v>
      </c>
      <c r="G1602" s="88">
        <f>VLOOKUP(A1602,'Current week'!$A$3:$F$1765,6,0)</f>
        <v>1</v>
      </c>
      <c r="H1602" s="104">
        <f t="shared" si="78"/>
        <v>9450.86</v>
      </c>
      <c r="I1602" s="104">
        <f t="shared" si="79"/>
        <v>0</v>
      </c>
      <c r="L1602" s="112"/>
    </row>
    <row r="1603" spans="1:12" x14ac:dyDescent="0.25">
      <c r="A1603" s="33" t="s">
        <v>3882</v>
      </c>
      <c r="B1603" s="33" t="s">
        <v>2370</v>
      </c>
      <c r="C1603" s="34" t="s">
        <v>2354</v>
      </c>
      <c r="D1603" s="78">
        <v>18901.669999999998</v>
      </c>
      <c r="E1603" s="88">
        <f>VLOOKUP(A1603,'Previous week'!$A$3:$F$1765,6,FALSE)</f>
        <v>1</v>
      </c>
      <c r="F1603" s="22">
        <f t="shared" si="80"/>
        <v>0</v>
      </c>
      <c r="G1603" s="88">
        <f>VLOOKUP(A1603,'Current week'!$A$3:$F$1765,6,0)</f>
        <v>1</v>
      </c>
      <c r="H1603" s="104">
        <f t="shared" si="78"/>
        <v>18901.669999999998</v>
      </c>
      <c r="I1603" s="104">
        <f t="shared" si="79"/>
        <v>0</v>
      </c>
      <c r="L1603" s="112"/>
    </row>
    <row r="1604" spans="1:12" x14ac:dyDescent="0.25">
      <c r="A1604" s="23" t="s">
        <v>3503</v>
      </c>
      <c r="B1604" s="23" t="s">
        <v>1733</v>
      </c>
      <c r="C1604" s="24"/>
      <c r="D1604" s="71">
        <v>9368.07</v>
      </c>
      <c r="E1604" s="88">
        <f>VLOOKUP(A1604,'Previous week'!$A$3:$F$1765,6,FALSE)</f>
        <v>1</v>
      </c>
      <c r="F1604" s="22">
        <f t="shared" si="80"/>
        <v>0</v>
      </c>
      <c r="G1604" s="88">
        <f>VLOOKUP(A1604,'Current week'!$A$3:$F$1765,6,0)</f>
        <v>1</v>
      </c>
      <c r="H1604" s="102">
        <f t="shared" si="78"/>
        <v>9368.07</v>
      </c>
      <c r="I1604" s="102">
        <f t="shared" si="79"/>
        <v>0</v>
      </c>
      <c r="L1604" s="112"/>
    </row>
    <row r="1605" spans="1:12" x14ac:dyDescent="0.25">
      <c r="A1605" s="50" t="s">
        <v>3883</v>
      </c>
      <c r="B1605" s="50" t="s">
        <v>2371</v>
      </c>
      <c r="C1605" s="51" t="s">
        <v>2372</v>
      </c>
      <c r="D1605" s="68">
        <v>9368.07</v>
      </c>
      <c r="E1605" s="93"/>
      <c r="F1605" s="53">
        <f t="shared" si="80"/>
        <v>0</v>
      </c>
      <c r="G1605" s="93"/>
      <c r="H1605" s="106"/>
      <c r="I1605" s="106"/>
      <c r="L1605" s="112"/>
    </row>
    <row r="1606" spans="1:12" x14ac:dyDescent="0.25">
      <c r="A1606" s="58" t="s">
        <v>3528</v>
      </c>
      <c r="B1606" s="58" t="s">
        <v>127</v>
      </c>
      <c r="C1606" s="59"/>
      <c r="D1606" s="72">
        <v>10988.35</v>
      </c>
      <c r="E1606" s="96">
        <f>'Previous week'!F1677</f>
        <v>1</v>
      </c>
      <c r="F1606" s="61">
        <f t="shared" si="80"/>
        <v>0</v>
      </c>
      <c r="G1606" s="96">
        <f>'Current week'!F1677</f>
        <v>1</v>
      </c>
      <c r="H1606" s="108">
        <f t="shared" si="78"/>
        <v>10988.35</v>
      </c>
      <c r="I1606" s="108">
        <f t="shared" si="79"/>
        <v>0</v>
      </c>
      <c r="L1606" s="112"/>
    </row>
    <row r="1607" spans="1:12" x14ac:dyDescent="0.25">
      <c r="A1607" s="62" t="s">
        <v>3884</v>
      </c>
      <c r="B1607" s="62" t="s">
        <v>2373</v>
      </c>
      <c r="C1607" s="63" t="s">
        <v>2374</v>
      </c>
      <c r="D1607" s="74">
        <v>3734.71</v>
      </c>
      <c r="E1607" s="97">
        <f>'Previous week'!F1683</f>
        <v>0.6</v>
      </c>
      <c r="F1607" s="65">
        <f t="shared" si="80"/>
        <v>0.15000000000000002</v>
      </c>
      <c r="G1607" s="97">
        <f>'Current week'!F1683</f>
        <v>0.75</v>
      </c>
      <c r="H1607" s="109">
        <f t="shared" si="78"/>
        <v>2801.0325000000003</v>
      </c>
      <c r="I1607" s="109">
        <f t="shared" si="79"/>
        <v>560.20650000000012</v>
      </c>
      <c r="L1607" s="112"/>
    </row>
    <row r="1608" spans="1:12" x14ac:dyDescent="0.25">
      <c r="A1608" s="19" t="s">
        <v>3885</v>
      </c>
      <c r="B1608" s="19" t="s">
        <v>2375</v>
      </c>
      <c r="C1608" s="20" t="s">
        <v>2376</v>
      </c>
      <c r="D1608" s="77">
        <v>7253.64</v>
      </c>
      <c r="E1608" s="88">
        <f>VLOOKUP(A1608,'Previous week'!$A$3:$F$1765,6,FALSE)</f>
        <v>1</v>
      </c>
      <c r="F1608" s="22">
        <f t="shared" si="80"/>
        <v>0</v>
      </c>
      <c r="G1608" s="88">
        <f>VLOOKUP(A1608,'Current week'!$A$3:$F$1765,6,0)</f>
        <v>1</v>
      </c>
      <c r="H1608" s="101">
        <f t="shared" si="78"/>
        <v>7253.64</v>
      </c>
      <c r="I1608" s="101">
        <f t="shared" si="79"/>
        <v>0</v>
      </c>
      <c r="L1608" s="112"/>
    </row>
    <row r="1609" spans="1:12" x14ac:dyDescent="0.25">
      <c r="A1609" s="33" t="s">
        <v>3530</v>
      </c>
      <c r="B1609" s="33" t="s">
        <v>120</v>
      </c>
      <c r="C1609" s="34"/>
      <c r="D1609" s="78">
        <v>62644.02</v>
      </c>
      <c r="E1609" s="88">
        <f>VLOOKUP(A1609,'Previous week'!$A$3:$F$1765,6,FALSE)</f>
        <v>1</v>
      </c>
      <c r="F1609" s="22">
        <f t="shared" si="80"/>
        <v>0</v>
      </c>
      <c r="G1609" s="88">
        <f>VLOOKUP(A1609,'Current week'!$A$3:$F$1765,6,0)</f>
        <v>1</v>
      </c>
      <c r="H1609" s="104">
        <f t="shared" si="78"/>
        <v>62644.02</v>
      </c>
      <c r="I1609" s="104">
        <f t="shared" si="79"/>
        <v>0</v>
      </c>
      <c r="L1609" s="112"/>
    </row>
    <row r="1610" spans="1:12" x14ac:dyDescent="0.25">
      <c r="A1610" s="33" t="s">
        <v>3497</v>
      </c>
      <c r="B1610" s="33" t="s">
        <v>1722</v>
      </c>
      <c r="C1610" s="34"/>
      <c r="D1610" s="78">
        <v>20491.46</v>
      </c>
      <c r="E1610" s="88">
        <f>VLOOKUP(A1610,'Previous week'!$A$3:$F$1765,6,FALSE)</f>
        <v>1</v>
      </c>
      <c r="F1610" s="22">
        <f t="shared" si="80"/>
        <v>0</v>
      </c>
      <c r="G1610" s="88">
        <f>VLOOKUP(A1610,'Current week'!$A$3:$F$1765,6,0)</f>
        <v>1</v>
      </c>
      <c r="H1610" s="104">
        <f t="shared" si="78"/>
        <v>20491.46</v>
      </c>
      <c r="I1610" s="104">
        <f t="shared" si="79"/>
        <v>0</v>
      </c>
      <c r="L1610" s="112"/>
    </row>
    <row r="1611" spans="1:12" x14ac:dyDescent="0.25">
      <c r="A1611" s="33" t="s">
        <v>3886</v>
      </c>
      <c r="B1611" s="33" t="s">
        <v>2377</v>
      </c>
      <c r="C1611" s="34" t="s">
        <v>2360</v>
      </c>
      <c r="D1611" s="78">
        <v>2049.15</v>
      </c>
      <c r="E1611" s="88">
        <f>VLOOKUP(A1611,'Previous week'!$A$3:$F$1765,6,FALSE)</f>
        <v>1</v>
      </c>
      <c r="F1611" s="22">
        <f t="shared" si="80"/>
        <v>0</v>
      </c>
      <c r="G1611" s="88">
        <f>VLOOKUP(A1611,'Current week'!$A$3:$F$1765,6,0)</f>
        <v>1</v>
      </c>
      <c r="H1611" s="104">
        <f t="shared" si="78"/>
        <v>2049.15</v>
      </c>
      <c r="I1611" s="104">
        <f t="shared" si="79"/>
        <v>0</v>
      </c>
      <c r="L1611" s="112"/>
    </row>
    <row r="1612" spans="1:12" x14ac:dyDescent="0.25">
      <c r="A1612" s="33" t="s">
        <v>3887</v>
      </c>
      <c r="B1612" s="33" t="s">
        <v>2378</v>
      </c>
      <c r="C1612" s="34" t="s">
        <v>2346</v>
      </c>
      <c r="D1612" s="78">
        <v>1024.57</v>
      </c>
      <c r="E1612" s="88">
        <f>VLOOKUP(A1612,'Previous week'!$A$3:$F$1765,6,FALSE)</f>
        <v>1</v>
      </c>
      <c r="F1612" s="22">
        <f t="shared" si="80"/>
        <v>0</v>
      </c>
      <c r="G1612" s="88">
        <f>VLOOKUP(A1612,'Current week'!$A$3:$F$1765,6,0)</f>
        <v>1</v>
      </c>
      <c r="H1612" s="104">
        <f t="shared" si="78"/>
        <v>1024.57</v>
      </c>
      <c r="I1612" s="104">
        <f t="shared" si="79"/>
        <v>0</v>
      </c>
      <c r="L1612" s="112"/>
    </row>
    <row r="1613" spans="1:12" x14ac:dyDescent="0.25">
      <c r="A1613" s="33" t="s">
        <v>3888</v>
      </c>
      <c r="B1613" s="33" t="s">
        <v>2379</v>
      </c>
      <c r="C1613" s="34" t="s">
        <v>2363</v>
      </c>
      <c r="D1613" s="78">
        <v>10245.73</v>
      </c>
      <c r="E1613" s="88">
        <f>VLOOKUP(A1613,'Previous week'!$A$3:$F$1765,6,FALSE)</f>
        <v>1</v>
      </c>
      <c r="F1613" s="22">
        <f t="shared" si="80"/>
        <v>0</v>
      </c>
      <c r="G1613" s="88">
        <f>VLOOKUP(A1613,'Current week'!$A$3:$F$1765,6,0)</f>
        <v>1</v>
      </c>
      <c r="H1613" s="104">
        <f t="shared" si="78"/>
        <v>10245.73</v>
      </c>
      <c r="I1613" s="104">
        <f t="shared" si="79"/>
        <v>0</v>
      </c>
      <c r="L1613" s="112"/>
    </row>
    <row r="1614" spans="1:12" x14ac:dyDescent="0.25">
      <c r="A1614" s="23" t="s">
        <v>3889</v>
      </c>
      <c r="B1614" s="23" t="s">
        <v>2380</v>
      </c>
      <c r="C1614" s="24" t="s">
        <v>2365</v>
      </c>
      <c r="D1614" s="71">
        <v>4098.29</v>
      </c>
      <c r="E1614" s="88">
        <f>VLOOKUP(A1614,'Previous week'!$A$3:$F$1765,6,FALSE)</f>
        <v>1</v>
      </c>
      <c r="F1614" s="22">
        <f t="shared" si="80"/>
        <v>0</v>
      </c>
      <c r="G1614" s="88">
        <f>VLOOKUP(A1614,'Current week'!$A$3:$F$1765,6,0)</f>
        <v>1</v>
      </c>
      <c r="H1614" s="102">
        <f t="shared" si="78"/>
        <v>4098.29</v>
      </c>
      <c r="I1614" s="102">
        <f t="shared" si="79"/>
        <v>0</v>
      </c>
      <c r="L1614" s="112"/>
    </row>
    <row r="1615" spans="1:12" x14ac:dyDescent="0.25">
      <c r="A1615" s="62" t="s">
        <v>3890</v>
      </c>
      <c r="B1615" s="62" t="s">
        <v>2381</v>
      </c>
      <c r="C1615" s="63" t="s">
        <v>2352</v>
      </c>
      <c r="D1615" s="74">
        <v>1024.57</v>
      </c>
      <c r="E1615" s="97">
        <f>'Previous week'!F1691</f>
        <v>1</v>
      </c>
      <c r="F1615" s="65">
        <f t="shared" si="80"/>
        <v>0</v>
      </c>
      <c r="G1615" s="97">
        <f>'Current week'!F1691</f>
        <v>1</v>
      </c>
      <c r="H1615" s="109">
        <f t="shared" si="78"/>
        <v>1024.57</v>
      </c>
      <c r="I1615" s="109">
        <f t="shared" si="79"/>
        <v>0</v>
      </c>
      <c r="L1615" s="112"/>
    </row>
    <row r="1616" spans="1:12" x14ac:dyDescent="0.25">
      <c r="A1616" s="19" t="s">
        <v>3891</v>
      </c>
      <c r="B1616" s="19" t="s">
        <v>2382</v>
      </c>
      <c r="C1616" s="20" t="s">
        <v>2383</v>
      </c>
      <c r="D1616" s="77">
        <v>2049.15</v>
      </c>
      <c r="E1616" s="88">
        <f>VLOOKUP(A1616,'Previous week'!$A$3:$F$1765,6,FALSE)</f>
        <v>1</v>
      </c>
      <c r="F1616" s="22">
        <f t="shared" si="80"/>
        <v>0</v>
      </c>
      <c r="G1616" s="88">
        <f>VLOOKUP(A1616,'Current week'!$A$3:$F$1765,6,0)</f>
        <v>1</v>
      </c>
      <c r="H1616" s="101">
        <f t="shared" si="78"/>
        <v>2049.15</v>
      </c>
      <c r="I1616" s="101">
        <f t="shared" si="79"/>
        <v>0</v>
      </c>
      <c r="L1616" s="112"/>
    </row>
    <row r="1617" spans="1:12" x14ac:dyDescent="0.25">
      <c r="A1617" s="33" t="s">
        <v>3503</v>
      </c>
      <c r="B1617" s="33" t="s">
        <v>1733</v>
      </c>
      <c r="C1617" s="34"/>
      <c r="D1617" s="78">
        <v>1679.34</v>
      </c>
      <c r="E1617" s="88">
        <f>VLOOKUP(A1617,'Previous week'!$A$3:$F$1765,6,FALSE)</f>
        <v>1</v>
      </c>
      <c r="F1617" s="22">
        <f t="shared" si="80"/>
        <v>0</v>
      </c>
      <c r="G1617" s="88">
        <f>VLOOKUP(A1617,'Current week'!$A$3:$F$1765,6,0)</f>
        <v>1</v>
      </c>
      <c r="H1617" s="104">
        <f t="shared" si="78"/>
        <v>1679.34</v>
      </c>
      <c r="I1617" s="104">
        <f t="shared" si="79"/>
        <v>0</v>
      </c>
      <c r="L1617" s="112"/>
    </row>
    <row r="1618" spans="1:12" x14ac:dyDescent="0.25">
      <c r="A1618" s="33" t="s">
        <v>3892</v>
      </c>
      <c r="B1618" s="33" t="s">
        <v>2384</v>
      </c>
      <c r="C1618" s="34" t="s">
        <v>2372</v>
      </c>
      <c r="D1618" s="78">
        <v>1679.34</v>
      </c>
      <c r="E1618" s="88">
        <f>VLOOKUP(A1618,'Previous week'!$A$3:$F$1765,6,FALSE)</f>
        <v>1</v>
      </c>
      <c r="F1618" s="22">
        <f t="shared" si="80"/>
        <v>0</v>
      </c>
      <c r="G1618" s="88">
        <f>VLOOKUP(A1618,'Current week'!$A$3:$F$1765,6,0)</f>
        <v>1</v>
      </c>
      <c r="H1618" s="104">
        <f t="shared" si="78"/>
        <v>1679.34</v>
      </c>
      <c r="I1618" s="104">
        <f t="shared" si="79"/>
        <v>0</v>
      </c>
      <c r="L1618" s="112"/>
    </row>
    <row r="1619" spans="1:12" x14ac:dyDescent="0.25">
      <c r="A1619" s="33" t="s">
        <v>3528</v>
      </c>
      <c r="B1619" s="33" t="s">
        <v>127</v>
      </c>
      <c r="C1619" s="34"/>
      <c r="D1619" s="78">
        <v>2628.13</v>
      </c>
      <c r="E1619" s="88">
        <f>VLOOKUP(A1619,'Previous week'!$A$3:$F$1765,6,FALSE)</f>
        <v>1</v>
      </c>
      <c r="F1619" s="22">
        <f t="shared" si="80"/>
        <v>0</v>
      </c>
      <c r="G1619" s="88">
        <f>VLOOKUP(A1619,'Current week'!$A$3:$F$1765,6,0)</f>
        <v>1</v>
      </c>
      <c r="H1619" s="104">
        <f t="shared" si="78"/>
        <v>2628.13</v>
      </c>
      <c r="I1619" s="104">
        <f t="shared" si="79"/>
        <v>0</v>
      </c>
      <c r="L1619" s="112"/>
    </row>
    <row r="1620" spans="1:12" x14ac:dyDescent="0.25">
      <c r="A1620" s="23" t="s">
        <v>3893</v>
      </c>
      <c r="B1620" s="23" t="s">
        <v>2385</v>
      </c>
      <c r="C1620" s="24" t="s">
        <v>2374</v>
      </c>
      <c r="D1620" s="71">
        <v>2628.13</v>
      </c>
      <c r="E1620" s="88">
        <f>VLOOKUP(A1620,'Previous week'!$A$3:$F$1765,6,FALSE)</f>
        <v>1</v>
      </c>
      <c r="F1620" s="22">
        <f t="shared" si="80"/>
        <v>0</v>
      </c>
      <c r="G1620" s="88">
        <f>VLOOKUP(A1620,'Current week'!$A$3:$F$1765,6,0)</f>
        <v>1</v>
      </c>
      <c r="H1620" s="102">
        <f t="shared" si="78"/>
        <v>2628.13</v>
      </c>
      <c r="I1620" s="102">
        <f t="shared" si="79"/>
        <v>0</v>
      </c>
      <c r="L1620" s="112"/>
    </row>
    <row r="1621" spans="1:12" x14ac:dyDescent="0.25">
      <c r="A1621" s="62" t="s">
        <v>3677</v>
      </c>
      <c r="B1621" s="62" t="s">
        <v>2019</v>
      </c>
      <c r="C1621" s="63"/>
      <c r="D1621" s="74">
        <v>37845.08</v>
      </c>
      <c r="E1621" s="97">
        <f>'Previous week'!F1697</f>
        <v>0</v>
      </c>
      <c r="F1621" s="65">
        <f t="shared" si="80"/>
        <v>0</v>
      </c>
      <c r="G1621" s="97">
        <f>'Current week'!F1697</f>
        <v>0</v>
      </c>
      <c r="H1621" s="109">
        <f t="shared" si="78"/>
        <v>0</v>
      </c>
      <c r="I1621" s="109">
        <f t="shared" si="79"/>
        <v>0</v>
      </c>
      <c r="L1621" s="112"/>
    </row>
    <row r="1622" spans="1:12" x14ac:dyDescent="0.25">
      <c r="A1622" s="19" t="s">
        <v>3894</v>
      </c>
      <c r="B1622" s="19" t="s">
        <v>2386</v>
      </c>
      <c r="C1622" s="20" t="s">
        <v>2387</v>
      </c>
      <c r="D1622" s="77">
        <v>37845.08</v>
      </c>
      <c r="E1622" s="88">
        <f>VLOOKUP(A1622,'Previous week'!$A$3:$F$1765,6,FALSE)</f>
        <v>1</v>
      </c>
      <c r="F1622" s="22">
        <f t="shared" si="80"/>
        <v>0</v>
      </c>
      <c r="G1622" s="88">
        <f>VLOOKUP(A1622,'Current week'!$A$3:$F$1765,6,0)</f>
        <v>1</v>
      </c>
      <c r="H1622" s="101">
        <f t="shared" si="78"/>
        <v>37845.08</v>
      </c>
      <c r="I1622" s="101">
        <f t="shared" si="79"/>
        <v>0</v>
      </c>
      <c r="L1622" s="112"/>
    </row>
    <row r="1623" spans="1:12" x14ac:dyDescent="0.25">
      <c r="A1623" s="33" t="s">
        <v>3540</v>
      </c>
      <c r="B1623" s="33" t="s">
        <v>1785</v>
      </c>
      <c r="C1623" s="34"/>
      <c r="D1623" s="78">
        <v>335114.68</v>
      </c>
      <c r="E1623" s="88">
        <f>VLOOKUP(A1623,'Previous week'!$A$3:$F$1765,6,FALSE)</f>
        <v>1</v>
      </c>
      <c r="F1623" s="22">
        <f t="shared" si="80"/>
        <v>0</v>
      </c>
      <c r="G1623" s="88">
        <f>VLOOKUP(A1623,'Current week'!$A$3:$F$1765,6,0)</f>
        <v>1</v>
      </c>
      <c r="H1623" s="104">
        <f t="shared" si="78"/>
        <v>335114.68</v>
      </c>
      <c r="I1623" s="104">
        <f t="shared" si="79"/>
        <v>0</v>
      </c>
      <c r="L1623" s="112"/>
    </row>
    <row r="1624" spans="1:12" x14ac:dyDescent="0.25">
      <c r="A1624" s="33" t="s">
        <v>3601</v>
      </c>
      <c r="B1624" s="33" t="s">
        <v>1888</v>
      </c>
      <c r="C1624" s="34"/>
      <c r="D1624" s="35">
        <v>167612.32999999999</v>
      </c>
      <c r="E1624" s="88">
        <f>VLOOKUP(A1624,'Previous week'!$A$3:$F$1765,6,FALSE)</f>
        <v>1</v>
      </c>
      <c r="F1624" s="22">
        <f t="shared" si="80"/>
        <v>0</v>
      </c>
      <c r="G1624" s="88">
        <f>VLOOKUP(A1624,'Current week'!$A$3:$F$1765,6,0)</f>
        <v>1</v>
      </c>
      <c r="H1624" s="104">
        <f t="shared" si="78"/>
        <v>167612.32999999999</v>
      </c>
      <c r="I1624" s="104">
        <f t="shared" si="79"/>
        <v>0</v>
      </c>
      <c r="L1624" s="112"/>
    </row>
    <row r="1625" spans="1:12" x14ac:dyDescent="0.25">
      <c r="A1625" s="33" t="s">
        <v>2831</v>
      </c>
      <c r="B1625" s="33" t="s">
        <v>1889</v>
      </c>
      <c r="C1625" s="34"/>
      <c r="D1625" s="78">
        <v>130978.55</v>
      </c>
      <c r="E1625" s="88">
        <f>VLOOKUP(A1625,'Previous week'!$A$3:$F$1765,6,FALSE)</f>
        <v>0</v>
      </c>
      <c r="F1625" s="22">
        <f t="shared" si="80"/>
        <v>0</v>
      </c>
      <c r="G1625" s="88">
        <f>VLOOKUP(A1625,'Current week'!$A$3:$F$1765,6,0)</f>
        <v>0</v>
      </c>
      <c r="H1625" s="104">
        <f t="shared" si="78"/>
        <v>0</v>
      </c>
      <c r="I1625" s="104">
        <f t="shared" si="79"/>
        <v>0</v>
      </c>
      <c r="L1625" s="112"/>
    </row>
    <row r="1626" spans="1:12" x14ac:dyDescent="0.25">
      <c r="A1626" s="33" t="s">
        <v>3895</v>
      </c>
      <c r="B1626" s="33" t="s">
        <v>2388</v>
      </c>
      <c r="C1626" s="34" t="s">
        <v>2389</v>
      </c>
      <c r="D1626" s="78">
        <v>6816.52</v>
      </c>
      <c r="E1626" s="88">
        <f>VLOOKUP(A1626,'Previous week'!$A$3:$F$1765,6,FALSE)</f>
        <v>1</v>
      </c>
      <c r="F1626" s="22">
        <f t="shared" si="80"/>
        <v>0</v>
      </c>
      <c r="G1626" s="88">
        <f>VLOOKUP(A1626,'Current week'!$A$3:$F$1765,6,0)</f>
        <v>1</v>
      </c>
      <c r="H1626" s="104">
        <f t="shared" si="78"/>
        <v>6816.52</v>
      </c>
      <c r="I1626" s="104">
        <f t="shared" si="79"/>
        <v>0</v>
      </c>
      <c r="L1626" s="112"/>
    </row>
    <row r="1627" spans="1:12" x14ac:dyDescent="0.25">
      <c r="A1627" s="33" t="s">
        <v>3896</v>
      </c>
      <c r="B1627" s="33" t="s">
        <v>2390</v>
      </c>
      <c r="C1627" s="34" t="s">
        <v>2391</v>
      </c>
      <c r="D1627" s="78">
        <v>9251.02</v>
      </c>
      <c r="E1627" s="88">
        <f>VLOOKUP(A1627,'Previous week'!$A$3:$F$1765,6,FALSE)</f>
        <v>1</v>
      </c>
      <c r="F1627" s="22">
        <f t="shared" si="80"/>
        <v>0</v>
      </c>
      <c r="G1627" s="88">
        <f>VLOOKUP(A1627,'Current week'!$A$3:$F$1765,6,0)</f>
        <v>1</v>
      </c>
      <c r="H1627" s="104">
        <f t="shared" si="78"/>
        <v>9251.02</v>
      </c>
      <c r="I1627" s="104">
        <f t="shared" si="79"/>
        <v>0</v>
      </c>
      <c r="L1627" s="112"/>
    </row>
    <row r="1628" spans="1:12" x14ac:dyDescent="0.25">
      <c r="A1628" s="33" t="s">
        <v>3897</v>
      </c>
      <c r="B1628" s="33" t="s">
        <v>2392</v>
      </c>
      <c r="C1628" s="34" t="s">
        <v>2393</v>
      </c>
      <c r="D1628" s="78">
        <v>114911.01</v>
      </c>
      <c r="E1628" s="88">
        <f>VLOOKUP(A1628,'Previous week'!$A$3:$F$1765,6,FALSE)</f>
        <v>1</v>
      </c>
      <c r="F1628" s="22">
        <f t="shared" si="80"/>
        <v>0</v>
      </c>
      <c r="G1628" s="88">
        <f>VLOOKUP(A1628,'Current week'!$A$3:$F$1765,6,0)</f>
        <v>1</v>
      </c>
      <c r="H1628" s="104">
        <f t="shared" si="78"/>
        <v>114911.01</v>
      </c>
      <c r="I1628" s="104">
        <f t="shared" si="79"/>
        <v>0</v>
      </c>
      <c r="L1628" s="112"/>
    </row>
    <row r="1629" spans="1:12" x14ac:dyDescent="0.25">
      <c r="A1629" s="33" t="s">
        <v>3605</v>
      </c>
      <c r="B1629" s="33" t="s">
        <v>222</v>
      </c>
      <c r="C1629" s="34"/>
      <c r="D1629" s="78">
        <v>36633.79</v>
      </c>
      <c r="E1629" s="88">
        <f>VLOOKUP(A1629,'Previous week'!$A$3:$F$1765,6,FALSE)</f>
        <v>1</v>
      </c>
      <c r="F1629" s="22">
        <f t="shared" si="80"/>
        <v>0</v>
      </c>
      <c r="G1629" s="88">
        <f>VLOOKUP(A1629,'Current week'!$A$3:$F$1765,6,0)</f>
        <v>1</v>
      </c>
      <c r="H1629" s="104">
        <f t="shared" si="78"/>
        <v>36633.79</v>
      </c>
      <c r="I1629" s="104">
        <f t="shared" si="79"/>
        <v>0</v>
      </c>
      <c r="L1629" s="112"/>
    </row>
    <row r="1630" spans="1:12" x14ac:dyDescent="0.25">
      <c r="A1630" s="23" t="s">
        <v>3898</v>
      </c>
      <c r="B1630" s="23" t="s">
        <v>2394</v>
      </c>
      <c r="C1630" s="24" t="s">
        <v>2395</v>
      </c>
      <c r="D1630" s="71">
        <v>9839.7199999999993</v>
      </c>
      <c r="E1630" s="88">
        <f>VLOOKUP(A1630,'Previous week'!$A$3:$F$1765,6,FALSE)</f>
        <v>1</v>
      </c>
      <c r="F1630" s="22">
        <f t="shared" si="80"/>
        <v>0</v>
      </c>
      <c r="G1630" s="88">
        <f>VLOOKUP(A1630,'Current week'!$A$3:$F$1765,6,0)</f>
        <v>1</v>
      </c>
      <c r="H1630" s="102">
        <f t="shared" si="78"/>
        <v>9839.7199999999993</v>
      </c>
      <c r="I1630" s="102">
        <f t="shared" si="79"/>
        <v>0</v>
      </c>
      <c r="L1630" s="112"/>
    </row>
    <row r="1631" spans="1:12" x14ac:dyDescent="0.25">
      <c r="A1631" s="62" t="s">
        <v>3899</v>
      </c>
      <c r="B1631" s="62" t="s">
        <v>2396</v>
      </c>
      <c r="C1631" s="63" t="s">
        <v>2397</v>
      </c>
      <c r="D1631" s="74">
        <v>26794.06</v>
      </c>
      <c r="E1631" s="97">
        <f>'Previous week'!F1707</f>
        <v>0</v>
      </c>
      <c r="F1631" s="65">
        <f t="shared" si="80"/>
        <v>0</v>
      </c>
      <c r="G1631" s="97">
        <f>'Current week'!F1707</f>
        <v>0</v>
      </c>
      <c r="H1631" s="109">
        <f t="shared" si="78"/>
        <v>0</v>
      </c>
      <c r="I1631" s="109">
        <f t="shared" si="79"/>
        <v>0</v>
      </c>
      <c r="L1631" s="112"/>
    </row>
    <row r="1632" spans="1:12" x14ac:dyDescent="0.25">
      <c r="A1632" s="19" t="s">
        <v>3548</v>
      </c>
      <c r="B1632" s="19" t="s">
        <v>1799</v>
      </c>
      <c r="C1632" s="20"/>
      <c r="D1632" s="77">
        <v>167502.34</v>
      </c>
      <c r="E1632" s="88">
        <f>VLOOKUP(A1632,'Previous week'!$A$3:$F$1765,6,FALSE)</f>
        <v>1</v>
      </c>
      <c r="F1632" s="22">
        <f t="shared" si="80"/>
        <v>0</v>
      </c>
      <c r="G1632" s="88">
        <f>VLOOKUP(A1632,'Current week'!$A$3:$F$1765,6,0)</f>
        <v>1</v>
      </c>
      <c r="H1632" s="101">
        <f t="shared" si="78"/>
        <v>167502.34</v>
      </c>
      <c r="I1632" s="101">
        <f t="shared" si="79"/>
        <v>0</v>
      </c>
      <c r="L1632" s="112"/>
    </row>
    <row r="1633" spans="1:12" x14ac:dyDescent="0.25">
      <c r="A1633" s="33" t="s">
        <v>3900</v>
      </c>
      <c r="B1633" s="33" t="s">
        <v>2398</v>
      </c>
      <c r="C1633" s="34" t="s">
        <v>2399</v>
      </c>
      <c r="D1633" s="78">
        <v>76068.62</v>
      </c>
      <c r="E1633" s="88">
        <f>VLOOKUP(A1633,'Previous week'!$A$3:$F$1765,6,FALSE)</f>
        <v>1</v>
      </c>
      <c r="F1633" s="22">
        <f t="shared" si="80"/>
        <v>0</v>
      </c>
      <c r="G1633" s="88">
        <f>VLOOKUP(A1633,'Current week'!$A$3:$F$1765,6,0)</f>
        <v>1</v>
      </c>
      <c r="H1633" s="104">
        <f t="shared" si="78"/>
        <v>76068.62</v>
      </c>
      <c r="I1633" s="104">
        <f t="shared" si="79"/>
        <v>0</v>
      </c>
      <c r="L1633" s="112"/>
    </row>
    <row r="1634" spans="1:12" x14ac:dyDescent="0.25">
      <c r="A1634" s="33" t="s">
        <v>3901</v>
      </c>
      <c r="B1634" s="33" t="s">
        <v>2400</v>
      </c>
      <c r="C1634" s="34" t="s">
        <v>2401</v>
      </c>
      <c r="D1634" s="78">
        <v>3406.06</v>
      </c>
      <c r="E1634" s="88">
        <f>VLOOKUP(A1634,'Previous week'!$A$3:$F$1765,6,FALSE)</f>
        <v>1</v>
      </c>
      <c r="F1634" s="22">
        <f t="shared" si="80"/>
        <v>0</v>
      </c>
      <c r="G1634" s="88">
        <f>VLOOKUP(A1634,'Current week'!$A$3:$F$1765,6,0)</f>
        <v>1</v>
      </c>
      <c r="H1634" s="104">
        <f t="shared" si="78"/>
        <v>3406.06</v>
      </c>
      <c r="I1634" s="104">
        <f t="shared" si="79"/>
        <v>0</v>
      </c>
      <c r="L1634" s="112"/>
    </row>
    <row r="1635" spans="1:12" x14ac:dyDescent="0.25">
      <c r="A1635" s="23" t="s">
        <v>3902</v>
      </c>
      <c r="B1635" s="23" t="s">
        <v>2402</v>
      </c>
      <c r="C1635" s="24" t="s">
        <v>2403</v>
      </c>
      <c r="D1635" s="71">
        <v>70997.38</v>
      </c>
      <c r="E1635" s="88">
        <f>VLOOKUP(A1635,'Previous week'!$A$3:$F$1765,6,FALSE)</f>
        <v>1</v>
      </c>
      <c r="F1635" s="22">
        <f t="shared" si="80"/>
        <v>0</v>
      </c>
      <c r="G1635" s="88">
        <f>VLOOKUP(A1635,'Current week'!$A$3:$F$1765,6,0)</f>
        <v>1</v>
      </c>
      <c r="H1635" s="102">
        <f t="shared" si="78"/>
        <v>70997.38</v>
      </c>
      <c r="I1635" s="102">
        <f t="shared" si="79"/>
        <v>0</v>
      </c>
      <c r="L1635" s="112"/>
    </row>
    <row r="1636" spans="1:12" x14ac:dyDescent="0.25">
      <c r="A1636" s="62" t="s">
        <v>3903</v>
      </c>
      <c r="B1636" s="62" t="s">
        <v>2404</v>
      </c>
      <c r="C1636" s="63" t="s">
        <v>2358</v>
      </c>
      <c r="D1636" s="74">
        <v>17030.29</v>
      </c>
      <c r="E1636" s="97">
        <f>'Previous week'!F1712</f>
        <v>0</v>
      </c>
      <c r="F1636" s="65">
        <f t="shared" si="80"/>
        <v>0</v>
      </c>
      <c r="G1636" s="97">
        <f>'Current week'!F1712</f>
        <v>0</v>
      </c>
      <c r="H1636" s="109">
        <f t="shared" si="78"/>
        <v>0</v>
      </c>
      <c r="I1636" s="109">
        <f t="shared" si="79"/>
        <v>0</v>
      </c>
      <c r="L1636" s="112"/>
    </row>
    <row r="1637" spans="1:12" x14ac:dyDescent="0.25">
      <c r="A1637" s="19" t="s">
        <v>3904</v>
      </c>
      <c r="B1637" s="19" t="s">
        <v>2405</v>
      </c>
      <c r="C1637" s="20"/>
      <c r="D1637" s="77">
        <v>245794.71</v>
      </c>
      <c r="E1637" s="88">
        <f>VLOOKUP(A1637,'Previous week'!$A$3:$F$1765,6,FALSE)</f>
        <v>1</v>
      </c>
      <c r="F1637" s="22">
        <f t="shared" si="80"/>
        <v>0</v>
      </c>
      <c r="G1637" s="88">
        <f>VLOOKUP(A1637,'Current week'!$A$3:$F$1765,6,0)</f>
        <v>1</v>
      </c>
      <c r="H1637" s="101">
        <f t="shared" si="78"/>
        <v>245794.71</v>
      </c>
      <c r="I1637" s="101">
        <f t="shared" si="79"/>
        <v>0</v>
      </c>
      <c r="L1637" s="112"/>
    </row>
    <row r="1638" spans="1:12" x14ac:dyDescent="0.25">
      <c r="A1638" s="33" t="s">
        <v>3540</v>
      </c>
      <c r="B1638" s="33" t="s">
        <v>1785</v>
      </c>
      <c r="C1638" s="34"/>
      <c r="D1638" s="78">
        <v>245794.71</v>
      </c>
      <c r="E1638" s="88">
        <f>VLOOKUP(A1638,'Previous week'!$A$3:$F$1765,6,FALSE)</f>
        <v>1</v>
      </c>
      <c r="F1638" s="22">
        <f t="shared" si="80"/>
        <v>0</v>
      </c>
      <c r="G1638" s="88">
        <f>VLOOKUP(A1638,'Current week'!$A$3:$F$1765,6,0)</f>
        <v>1</v>
      </c>
      <c r="H1638" s="104">
        <f t="shared" si="78"/>
        <v>245794.71</v>
      </c>
      <c r="I1638" s="104">
        <f t="shared" si="79"/>
        <v>0</v>
      </c>
      <c r="L1638" s="112"/>
    </row>
    <row r="1639" spans="1:12" x14ac:dyDescent="0.25">
      <c r="A1639" s="33" t="s">
        <v>3601</v>
      </c>
      <c r="B1639" s="33" t="s">
        <v>1888</v>
      </c>
      <c r="C1639" s="34"/>
      <c r="D1639" s="78">
        <v>245794.71</v>
      </c>
      <c r="E1639" s="88">
        <f>VLOOKUP(A1639,'Previous week'!$A$3:$F$1765,6,FALSE)</f>
        <v>1</v>
      </c>
      <c r="F1639" s="22">
        <f t="shared" si="80"/>
        <v>0</v>
      </c>
      <c r="G1639" s="88">
        <f>VLOOKUP(A1639,'Current week'!$A$3:$F$1765,6,0)</f>
        <v>1</v>
      </c>
      <c r="H1639" s="104">
        <f t="shared" si="78"/>
        <v>245794.71</v>
      </c>
      <c r="I1639" s="104">
        <f t="shared" si="79"/>
        <v>0</v>
      </c>
      <c r="L1639" s="112"/>
    </row>
    <row r="1640" spans="1:12" x14ac:dyDescent="0.25">
      <c r="A1640" s="33" t="s">
        <v>2831</v>
      </c>
      <c r="B1640" s="33" t="s">
        <v>1889</v>
      </c>
      <c r="C1640" s="34"/>
      <c r="D1640" s="78">
        <v>196298.14</v>
      </c>
      <c r="E1640" s="88">
        <f>VLOOKUP(A1640,'Previous week'!$A$3:$F$1765,6,FALSE)</f>
        <v>0</v>
      </c>
      <c r="F1640" s="22">
        <f t="shared" si="80"/>
        <v>0</v>
      </c>
      <c r="G1640" s="88">
        <f>VLOOKUP(A1640,'Current week'!$A$3:$F$1765,6,0)</f>
        <v>0</v>
      </c>
      <c r="H1640" s="104">
        <f t="shared" si="78"/>
        <v>0</v>
      </c>
      <c r="I1640" s="104">
        <f t="shared" si="79"/>
        <v>0</v>
      </c>
      <c r="L1640" s="112"/>
    </row>
    <row r="1641" spans="1:12" x14ac:dyDescent="0.25">
      <c r="A1641" s="33" t="s">
        <v>3905</v>
      </c>
      <c r="B1641" s="33" t="s">
        <v>2406</v>
      </c>
      <c r="C1641" s="34" t="s">
        <v>2407</v>
      </c>
      <c r="D1641" s="78">
        <v>9236.1200000000008</v>
      </c>
      <c r="E1641" s="88">
        <f>VLOOKUP(A1641,'Previous week'!$A$3:$F$1765,6,FALSE)</f>
        <v>1</v>
      </c>
      <c r="F1641" s="22">
        <f t="shared" si="80"/>
        <v>0</v>
      </c>
      <c r="G1641" s="88">
        <f>VLOOKUP(A1641,'Current week'!$A$3:$F$1765,6,0)</f>
        <v>1</v>
      </c>
      <c r="H1641" s="104">
        <f t="shared" si="78"/>
        <v>9236.1200000000008</v>
      </c>
      <c r="I1641" s="104">
        <f t="shared" si="79"/>
        <v>0</v>
      </c>
      <c r="L1641" s="112"/>
    </row>
    <row r="1642" spans="1:12" x14ac:dyDescent="0.25">
      <c r="A1642" s="23" t="s">
        <v>3906</v>
      </c>
      <c r="B1642" s="23" t="s">
        <v>2408</v>
      </c>
      <c r="C1642" s="24" t="s">
        <v>2409</v>
      </c>
      <c r="D1642" s="71">
        <v>33303.68</v>
      </c>
      <c r="E1642" s="88">
        <f>VLOOKUP(A1642,'Previous week'!$A$3:$F$1765,6,FALSE)</f>
        <v>1</v>
      </c>
      <c r="F1642" s="22">
        <f t="shared" si="80"/>
        <v>0</v>
      </c>
      <c r="G1642" s="88">
        <f>VLOOKUP(A1642,'Current week'!$A$3:$F$1765,6,0)</f>
        <v>1</v>
      </c>
      <c r="H1642" s="102">
        <f t="shared" si="78"/>
        <v>33303.68</v>
      </c>
      <c r="I1642" s="102">
        <f t="shared" si="79"/>
        <v>0</v>
      </c>
      <c r="L1642" s="112"/>
    </row>
    <row r="1643" spans="1:12" x14ac:dyDescent="0.25">
      <c r="A1643" s="62" t="s">
        <v>3907</v>
      </c>
      <c r="B1643" s="62" t="s">
        <v>2410</v>
      </c>
      <c r="C1643" s="63" t="s">
        <v>2411</v>
      </c>
      <c r="D1643" s="74">
        <v>153758.35</v>
      </c>
      <c r="E1643" s="97">
        <f>'Previous week'!F1719</f>
        <v>0</v>
      </c>
      <c r="F1643" s="65">
        <f t="shared" si="80"/>
        <v>0</v>
      </c>
      <c r="G1643" s="97">
        <f>'Current week'!F1719</f>
        <v>0</v>
      </c>
      <c r="H1643" s="109">
        <f t="shared" si="78"/>
        <v>0</v>
      </c>
      <c r="I1643" s="109">
        <f t="shared" si="79"/>
        <v>0</v>
      </c>
      <c r="L1643" s="112"/>
    </row>
    <row r="1644" spans="1:12" x14ac:dyDescent="0.25">
      <c r="A1644" s="19" t="s">
        <v>3605</v>
      </c>
      <c r="B1644" s="19" t="s">
        <v>222</v>
      </c>
      <c r="C1644" s="20"/>
      <c r="D1644" s="77">
        <v>49496.57</v>
      </c>
      <c r="E1644" s="88">
        <f>VLOOKUP(A1644,'Previous week'!$A$3:$F$1765,6,FALSE)</f>
        <v>1</v>
      </c>
      <c r="F1644" s="22">
        <f t="shared" si="80"/>
        <v>0</v>
      </c>
      <c r="G1644" s="88">
        <f>VLOOKUP(A1644,'Current week'!$A$3:$F$1765,6,0)</f>
        <v>1</v>
      </c>
      <c r="H1644" s="101">
        <f t="shared" si="78"/>
        <v>49496.57</v>
      </c>
      <c r="I1644" s="101">
        <f t="shared" si="79"/>
        <v>0</v>
      </c>
      <c r="L1644" s="112"/>
    </row>
    <row r="1645" spans="1:12" x14ac:dyDescent="0.25">
      <c r="A1645" s="33" t="s">
        <v>3908</v>
      </c>
      <c r="B1645" s="33" t="s">
        <v>2412</v>
      </c>
      <c r="C1645" s="34" t="s">
        <v>2413</v>
      </c>
      <c r="D1645" s="78">
        <v>13245.78</v>
      </c>
      <c r="E1645" s="88">
        <f>VLOOKUP(A1645,'Previous week'!$A$3:$F$1765,6,FALSE)</f>
        <v>1</v>
      </c>
      <c r="F1645" s="22">
        <f t="shared" si="80"/>
        <v>0</v>
      </c>
      <c r="G1645" s="88">
        <f>VLOOKUP(A1645,'Current week'!$A$3:$F$1765,6,0)</f>
        <v>1</v>
      </c>
      <c r="H1645" s="104">
        <f t="shared" si="78"/>
        <v>13245.78</v>
      </c>
      <c r="I1645" s="104">
        <f t="shared" si="79"/>
        <v>0</v>
      </c>
      <c r="L1645" s="112"/>
    </row>
    <row r="1646" spans="1:12" x14ac:dyDescent="0.25">
      <c r="A1646" s="33" t="s">
        <v>3909</v>
      </c>
      <c r="B1646" s="33" t="s">
        <v>2414</v>
      </c>
      <c r="C1646" s="34" t="s">
        <v>2415</v>
      </c>
      <c r="D1646" s="78">
        <v>36250.79</v>
      </c>
      <c r="E1646" s="88">
        <f>VLOOKUP(A1646,'Previous week'!$A$3:$F$1765,6,FALSE)</f>
        <v>1</v>
      </c>
      <c r="F1646" s="22">
        <f t="shared" si="80"/>
        <v>0</v>
      </c>
      <c r="G1646" s="88">
        <f>VLOOKUP(A1646,'Current week'!$A$3:$F$1765,6,0)</f>
        <v>1</v>
      </c>
      <c r="H1646" s="104">
        <f t="shared" si="78"/>
        <v>36250.79</v>
      </c>
      <c r="I1646" s="104">
        <f t="shared" si="79"/>
        <v>0</v>
      </c>
      <c r="L1646" s="112"/>
    </row>
    <row r="1647" spans="1:12" x14ac:dyDescent="0.25">
      <c r="A1647" s="33" t="s">
        <v>2855</v>
      </c>
      <c r="B1647" s="33" t="s">
        <v>2416</v>
      </c>
      <c r="C1647" s="34"/>
      <c r="D1647" s="78">
        <v>3049343.42</v>
      </c>
      <c r="E1647" s="88">
        <f>VLOOKUP(A1647,'Previous week'!$A$3:$F$1765,6,FALSE)</f>
        <v>0</v>
      </c>
      <c r="F1647" s="22">
        <f t="shared" si="80"/>
        <v>0</v>
      </c>
      <c r="G1647" s="88">
        <f>VLOOKUP(A1647,'Current week'!$A$3:$F$1765,6,0)</f>
        <v>0</v>
      </c>
      <c r="H1647" s="104">
        <f t="shared" si="78"/>
        <v>0</v>
      </c>
      <c r="I1647" s="104">
        <f t="shared" si="79"/>
        <v>0</v>
      </c>
      <c r="L1647" s="112"/>
    </row>
    <row r="1648" spans="1:12" x14ac:dyDescent="0.25">
      <c r="A1648" s="23" t="s">
        <v>3910</v>
      </c>
      <c r="B1648" s="23" t="s">
        <v>2417</v>
      </c>
      <c r="C1648" s="24"/>
      <c r="D1648" s="71">
        <v>10249.709999999999</v>
      </c>
      <c r="E1648" s="88">
        <f>VLOOKUP(A1648,'Previous week'!$A$3:$F$1765,6,FALSE)</f>
        <v>1</v>
      </c>
      <c r="F1648" s="22">
        <f t="shared" si="80"/>
        <v>0</v>
      </c>
      <c r="G1648" s="88">
        <f>VLOOKUP(A1648,'Current week'!$A$3:$F$1765,6,0)</f>
        <v>1</v>
      </c>
      <c r="H1648" s="102">
        <f t="shared" si="78"/>
        <v>10249.709999999999</v>
      </c>
      <c r="I1648" s="102">
        <f t="shared" si="79"/>
        <v>0</v>
      </c>
      <c r="L1648" s="112"/>
    </row>
    <row r="1649" spans="1:12" x14ac:dyDescent="0.25">
      <c r="A1649" s="62" t="s">
        <v>3911</v>
      </c>
      <c r="B1649" s="62" t="s">
        <v>2418</v>
      </c>
      <c r="C1649" s="63" t="s">
        <v>2419</v>
      </c>
      <c r="D1649" s="74">
        <v>3942.2</v>
      </c>
      <c r="E1649" s="97">
        <f>'Previous week'!F1725</f>
        <v>0</v>
      </c>
      <c r="F1649" s="65">
        <f t="shared" si="80"/>
        <v>0</v>
      </c>
      <c r="G1649" s="97">
        <f>'Current week'!F1725</f>
        <v>0</v>
      </c>
      <c r="H1649" s="109">
        <f t="shared" si="78"/>
        <v>0</v>
      </c>
      <c r="I1649" s="109">
        <f t="shared" si="79"/>
        <v>0</v>
      </c>
      <c r="L1649" s="112"/>
    </row>
    <row r="1650" spans="1:12" x14ac:dyDescent="0.25">
      <c r="A1650" s="19" t="s">
        <v>3912</v>
      </c>
      <c r="B1650" s="19" t="s">
        <v>2420</v>
      </c>
      <c r="C1650" s="20" t="s">
        <v>2421</v>
      </c>
      <c r="D1650" s="21">
        <v>1576.88</v>
      </c>
      <c r="E1650" s="88">
        <f>VLOOKUP(A1650,'Previous week'!$A$3:$F$1765,6,FALSE)</f>
        <v>1</v>
      </c>
      <c r="F1650" s="22">
        <f t="shared" si="80"/>
        <v>0</v>
      </c>
      <c r="G1650" s="88">
        <f>VLOOKUP(A1650,'Current week'!$A$3:$F$1765,6,0)</f>
        <v>1</v>
      </c>
      <c r="H1650" s="101">
        <f t="shared" si="78"/>
        <v>1576.88</v>
      </c>
      <c r="I1650" s="101">
        <f t="shared" si="79"/>
        <v>0</v>
      </c>
      <c r="L1650" s="112"/>
    </row>
    <row r="1651" spans="1:12" x14ac:dyDescent="0.25">
      <c r="A1651" s="33" t="s">
        <v>3913</v>
      </c>
      <c r="B1651" s="33" t="s">
        <v>2422</v>
      </c>
      <c r="C1651" s="34" t="s">
        <v>2423</v>
      </c>
      <c r="D1651" s="35">
        <v>4730.6400000000003</v>
      </c>
      <c r="E1651" s="88">
        <f>VLOOKUP(A1651,'Previous week'!$A$3:$F$1765,6,FALSE)</f>
        <v>1</v>
      </c>
      <c r="F1651" s="22">
        <f t="shared" si="80"/>
        <v>0</v>
      </c>
      <c r="G1651" s="88">
        <f>VLOOKUP(A1651,'Current week'!$A$3:$F$1765,6,0)</f>
        <v>1</v>
      </c>
      <c r="H1651" s="104">
        <f t="shared" si="78"/>
        <v>4730.6400000000003</v>
      </c>
      <c r="I1651" s="104">
        <f t="shared" si="79"/>
        <v>0</v>
      </c>
      <c r="L1651" s="112"/>
    </row>
    <row r="1652" spans="1:12" x14ac:dyDescent="0.25">
      <c r="A1652" s="33" t="s">
        <v>3914</v>
      </c>
      <c r="B1652" s="33" t="s">
        <v>2424</v>
      </c>
      <c r="C1652" s="34"/>
      <c r="D1652" s="78">
        <v>67679.63</v>
      </c>
      <c r="E1652" s="88">
        <f>VLOOKUP(A1652,'Previous week'!$A$3:$F$1765,6,FALSE)</f>
        <v>1</v>
      </c>
      <c r="F1652" s="22">
        <f t="shared" si="80"/>
        <v>0</v>
      </c>
      <c r="G1652" s="88">
        <f>VLOOKUP(A1652,'Current week'!$A$3:$F$1765,6,0)</f>
        <v>1</v>
      </c>
      <c r="H1652" s="104">
        <f t="shared" si="78"/>
        <v>67679.63</v>
      </c>
      <c r="I1652" s="104">
        <f t="shared" si="79"/>
        <v>0</v>
      </c>
      <c r="L1652" s="112"/>
    </row>
    <row r="1653" spans="1:12" x14ac:dyDescent="0.25">
      <c r="A1653" s="33" t="s">
        <v>3915</v>
      </c>
      <c r="B1653" s="33" t="s">
        <v>2425</v>
      </c>
      <c r="C1653" s="34" t="s">
        <v>2426</v>
      </c>
      <c r="D1653" s="78">
        <v>2081.48</v>
      </c>
      <c r="E1653" s="88">
        <f>VLOOKUP(A1653,'Previous week'!$A$3:$F$1765,6,FALSE)</f>
        <v>1</v>
      </c>
      <c r="F1653" s="22">
        <f t="shared" si="80"/>
        <v>0</v>
      </c>
      <c r="G1653" s="88">
        <f>VLOOKUP(A1653,'Current week'!$A$3:$F$1765,6,0)</f>
        <v>1</v>
      </c>
      <c r="H1653" s="104">
        <f t="shared" si="78"/>
        <v>2081.48</v>
      </c>
      <c r="I1653" s="104">
        <f t="shared" si="79"/>
        <v>0</v>
      </c>
      <c r="L1653" s="112"/>
    </row>
    <row r="1654" spans="1:12" x14ac:dyDescent="0.25">
      <c r="A1654" s="23" t="s">
        <v>3916</v>
      </c>
      <c r="B1654" s="23" t="s">
        <v>2427</v>
      </c>
      <c r="C1654" s="24" t="s">
        <v>2428</v>
      </c>
      <c r="D1654" s="71">
        <v>25230.06</v>
      </c>
      <c r="E1654" s="88">
        <f>VLOOKUP(A1654,'Previous week'!$A$3:$F$1765,6,FALSE)</f>
        <v>1</v>
      </c>
      <c r="F1654" s="22">
        <f t="shared" si="80"/>
        <v>0</v>
      </c>
      <c r="G1654" s="88">
        <f>VLOOKUP(A1654,'Current week'!$A$3:$F$1765,6,0)</f>
        <v>1</v>
      </c>
      <c r="H1654" s="102">
        <f t="shared" ref="H1654:H1716" si="81">G1654*D1654</f>
        <v>25230.06</v>
      </c>
      <c r="I1654" s="102">
        <f t="shared" ref="I1654:I1716" si="82">F1654*D1654</f>
        <v>0</v>
      </c>
      <c r="L1654" s="112"/>
    </row>
    <row r="1655" spans="1:12" x14ac:dyDescent="0.25">
      <c r="A1655" s="62" t="s">
        <v>3917</v>
      </c>
      <c r="B1655" s="62" t="s">
        <v>2429</v>
      </c>
      <c r="C1655" s="63" t="s">
        <v>2430</v>
      </c>
      <c r="D1655" s="74">
        <v>40368.089999999997</v>
      </c>
      <c r="E1655" s="97">
        <f>'Previous week'!F1731</f>
        <v>0</v>
      </c>
      <c r="F1655" s="65">
        <f t="shared" ref="F1655:F1717" si="83">G1655-E1655</f>
        <v>0</v>
      </c>
      <c r="G1655" s="97">
        <f>'Current week'!F1731</f>
        <v>0</v>
      </c>
      <c r="H1655" s="109">
        <f t="shared" si="81"/>
        <v>0</v>
      </c>
      <c r="I1655" s="109">
        <f t="shared" si="82"/>
        <v>0</v>
      </c>
      <c r="L1655" s="112"/>
    </row>
    <row r="1656" spans="1:12" x14ac:dyDescent="0.25">
      <c r="A1656" s="36" t="s">
        <v>2856</v>
      </c>
      <c r="B1656" s="36" t="s">
        <v>2431</v>
      </c>
      <c r="C1656" s="37"/>
      <c r="D1656" s="79">
        <v>7001.34</v>
      </c>
      <c r="E1656" s="88">
        <f>VLOOKUP(A1656,'Previous week'!$A$3:$F$1765,6,FALSE)</f>
        <v>0</v>
      </c>
      <c r="F1656" s="22">
        <f t="shared" si="83"/>
        <v>0</v>
      </c>
      <c r="G1656" s="88">
        <f>VLOOKUP(A1656,'Current week'!$A$3:$F$1765,6,0)</f>
        <v>0</v>
      </c>
      <c r="H1656" s="105">
        <f t="shared" si="81"/>
        <v>0</v>
      </c>
      <c r="I1656" s="105">
        <f t="shared" si="82"/>
        <v>0</v>
      </c>
      <c r="L1656" s="112"/>
    </row>
    <row r="1657" spans="1:12" x14ac:dyDescent="0.25">
      <c r="A1657" s="58" t="s">
        <v>3918</v>
      </c>
      <c r="B1657" s="58" t="s">
        <v>2432</v>
      </c>
      <c r="C1657" s="59" t="s">
        <v>2433</v>
      </c>
      <c r="D1657" s="72">
        <v>2270.71</v>
      </c>
      <c r="E1657" s="96">
        <f>'Previous week'!F1733</f>
        <v>0</v>
      </c>
      <c r="F1657" s="61">
        <f t="shared" si="83"/>
        <v>0</v>
      </c>
      <c r="G1657" s="96">
        <f>'Current week'!F1733</f>
        <v>0</v>
      </c>
      <c r="H1657" s="108">
        <f t="shared" si="81"/>
        <v>0</v>
      </c>
      <c r="I1657" s="108">
        <f t="shared" si="82"/>
        <v>0</v>
      </c>
      <c r="L1657" s="112"/>
    </row>
    <row r="1658" spans="1:12" x14ac:dyDescent="0.25">
      <c r="A1658" s="62" t="s">
        <v>3919</v>
      </c>
      <c r="B1658" s="62" t="s">
        <v>2434</v>
      </c>
      <c r="C1658" s="63" t="s">
        <v>2435</v>
      </c>
      <c r="D1658" s="74">
        <v>4730.6400000000003</v>
      </c>
      <c r="E1658" s="97">
        <f>'Previous week'!F1734</f>
        <v>0</v>
      </c>
      <c r="F1658" s="65">
        <f t="shared" si="83"/>
        <v>0</v>
      </c>
      <c r="G1658" s="97">
        <f>'Current week'!F1734</f>
        <v>0</v>
      </c>
      <c r="H1658" s="109">
        <f t="shared" si="81"/>
        <v>0</v>
      </c>
      <c r="I1658" s="109">
        <f t="shared" si="82"/>
        <v>0</v>
      </c>
      <c r="L1658" s="112"/>
    </row>
    <row r="1659" spans="1:12" x14ac:dyDescent="0.25">
      <c r="A1659" s="19" t="s">
        <v>2859</v>
      </c>
      <c r="B1659" s="19" t="s">
        <v>2436</v>
      </c>
      <c r="C1659" s="20"/>
      <c r="D1659" s="77">
        <v>10092.02</v>
      </c>
      <c r="E1659" s="88">
        <f>VLOOKUP(A1659,'Previous week'!$A$3:$F$1765,6,FALSE)</f>
        <v>0</v>
      </c>
      <c r="F1659" s="22">
        <f t="shared" si="83"/>
        <v>0</v>
      </c>
      <c r="G1659" s="88">
        <f>VLOOKUP(A1659,'Current week'!$A$3:$F$1765,6,0)</f>
        <v>0</v>
      </c>
      <c r="H1659" s="101">
        <f t="shared" si="81"/>
        <v>0</v>
      </c>
      <c r="I1659" s="101">
        <f t="shared" si="82"/>
        <v>0</v>
      </c>
      <c r="L1659" s="112"/>
    </row>
    <row r="1660" spans="1:12" x14ac:dyDescent="0.25">
      <c r="A1660" s="33" t="s">
        <v>3920</v>
      </c>
      <c r="B1660" s="33" t="s">
        <v>2437</v>
      </c>
      <c r="C1660" s="34" t="s">
        <v>2438</v>
      </c>
      <c r="D1660" s="78">
        <v>10092.02</v>
      </c>
      <c r="E1660" s="88">
        <f>VLOOKUP(A1660,'Previous week'!$A$3:$F$1765,6,FALSE)</f>
        <v>1</v>
      </c>
      <c r="F1660" s="22">
        <f t="shared" si="83"/>
        <v>0</v>
      </c>
      <c r="G1660" s="88">
        <f>VLOOKUP(A1660,'Current week'!$A$3:$F$1765,6,0)</f>
        <v>1</v>
      </c>
      <c r="H1660" s="104">
        <f t="shared" si="81"/>
        <v>10092.02</v>
      </c>
      <c r="I1660" s="104">
        <f t="shared" si="82"/>
        <v>0</v>
      </c>
      <c r="L1660" s="112"/>
    </row>
    <row r="1661" spans="1:12" x14ac:dyDescent="0.25">
      <c r="A1661" s="33" t="s">
        <v>3921</v>
      </c>
      <c r="B1661" s="33" t="s">
        <v>2439</v>
      </c>
      <c r="C1661" s="34"/>
      <c r="D1661" s="78">
        <v>1705863.66</v>
      </c>
      <c r="E1661" s="88">
        <f>VLOOKUP(A1661,'Previous week'!$A$3:$F$1765,6,FALSE)</f>
        <v>0.67659999999999998</v>
      </c>
      <c r="F1661" s="22">
        <f t="shared" si="83"/>
        <v>0.11730000000000007</v>
      </c>
      <c r="G1661" s="88">
        <f>VLOOKUP(A1661,'Current week'!$A$3:$F$1765,6,0)</f>
        <v>0.79390000000000005</v>
      </c>
      <c r="H1661" s="104">
        <f t="shared" si="81"/>
        <v>1354285.159674</v>
      </c>
      <c r="I1661" s="104">
        <f t="shared" si="82"/>
        <v>200097.80731800012</v>
      </c>
      <c r="L1661" s="112"/>
    </row>
    <row r="1662" spans="1:12" x14ac:dyDescent="0.25">
      <c r="A1662" s="33" t="s">
        <v>3922</v>
      </c>
      <c r="B1662" s="33" t="s">
        <v>2440</v>
      </c>
      <c r="C1662" s="34"/>
      <c r="D1662" s="78">
        <v>256712.31</v>
      </c>
      <c r="E1662" s="88">
        <f>VLOOKUP(A1662,'Previous week'!$A$3:$F$1765,6,FALSE)</f>
        <v>1</v>
      </c>
      <c r="F1662" s="22">
        <f t="shared" si="83"/>
        <v>0</v>
      </c>
      <c r="G1662" s="88">
        <f>VLOOKUP(A1662,'Current week'!$A$3:$F$1765,6,0)</f>
        <v>1</v>
      </c>
      <c r="H1662" s="104">
        <f t="shared" si="81"/>
        <v>256712.31</v>
      </c>
      <c r="I1662" s="104">
        <f t="shared" si="82"/>
        <v>0</v>
      </c>
      <c r="L1662" s="112"/>
    </row>
    <row r="1663" spans="1:12" x14ac:dyDescent="0.25">
      <c r="A1663" s="23" t="s">
        <v>3923</v>
      </c>
      <c r="B1663" s="23" t="s">
        <v>2441</v>
      </c>
      <c r="C1663" s="24" t="s">
        <v>2442</v>
      </c>
      <c r="D1663" s="71">
        <v>30587.93</v>
      </c>
      <c r="E1663" s="88">
        <f>VLOOKUP(A1663,'Previous week'!$A$3:$F$1765,6,FALSE)</f>
        <v>1</v>
      </c>
      <c r="F1663" s="22">
        <f t="shared" si="83"/>
        <v>0</v>
      </c>
      <c r="G1663" s="88">
        <f>VLOOKUP(A1663,'Current week'!$A$3:$F$1765,6,0)</f>
        <v>1</v>
      </c>
      <c r="H1663" s="102">
        <f t="shared" si="81"/>
        <v>30587.93</v>
      </c>
      <c r="I1663" s="102">
        <f t="shared" si="82"/>
        <v>0</v>
      </c>
      <c r="L1663" s="112"/>
    </row>
    <row r="1664" spans="1:12" x14ac:dyDescent="0.25">
      <c r="A1664" s="62" t="s">
        <v>3924</v>
      </c>
      <c r="B1664" s="62" t="s">
        <v>2443</v>
      </c>
      <c r="C1664" s="63" t="s">
        <v>2444</v>
      </c>
      <c r="D1664" s="74">
        <v>29014.560000000001</v>
      </c>
      <c r="E1664" s="97">
        <f>'Previous week'!F1741</f>
        <v>0</v>
      </c>
      <c r="F1664" s="65">
        <f t="shared" si="83"/>
        <v>0</v>
      </c>
      <c r="G1664" s="97">
        <f>'Current week'!F1741</f>
        <v>0</v>
      </c>
      <c r="H1664" s="109">
        <f t="shared" si="81"/>
        <v>0</v>
      </c>
      <c r="I1664" s="109">
        <f t="shared" si="82"/>
        <v>0</v>
      </c>
      <c r="L1664" s="112"/>
    </row>
    <row r="1665" spans="1:12" x14ac:dyDescent="0.25">
      <c r="A1665" s="19" t="s">
        <v>3925</v>
      </c>
      <c r="B1665" s="19" t="s">
        <v>2445</v>
      </c>
      <c r="C1665" s="20" t="s">
        <v>2446</v>
      </c>
      <c r="D1665" s="77">
        <v>13876.53</v>
      </c>
      <c r="E1665" s="88">
        <f>VLOOKUP(A1665,'Previous week'!$A$3:$F$1765,6,FALSE)</f>
        <v>1</v>
      </c>
      <c r="F1665" s="22">
        <f t="shared" si="83"/>
        <v>0</v>
      </c>
      <c r="G1665" s="88">
        <f>VLOOKUP(A1665,'Current week'!$A$3:$F$1765,6,0)</f>
        <v>1</v>
      </c>
      <c r="H1665" s="101">
        <f t="shared" si="81"/>
        <v>13876.53</v>
      </c>
      <c r="I1665" s="101">
        <f t="shared" si="82"/>
        <v>0</v>
      </c>
      <c r="L1665" s="112"/>
    </row>
    <row r="1666" spans="1:12" x14ac:dyDescent="0.25">
      <c r="A1666" s="33" t="s">
        <v>3926</v>
      </c>
      <c r="B1666" s="33" t="s">
        <v>2447</v>
      </c>
      <c r="C1666" s="34" t="s">
        <v>2448</v>
      </c>
      <c r="D1666" s="78">
        <v>9461.27</v>
      </c>
      <c r="E1666" s="88">
        <f>VLOOKUP(A1666,'Previous week'!$A$3:$F$1765,6,FALSE)</f>
        <v>1</v>
      </c>
      <c r="F1666" s="22">
        <f t="shared" si="83"/>
        <v>0</v>
      </c>
      <c r="G1666" s="88">
        <f>VLOOKUP(A1666,'Current week'!$A$3:$F$1765,6,0)</f>
        <v>1</v>
      </c>
      <c r="H1666" s="104">
        <f t="shared" si="81"/>
        <v>9461.27</v>
      </c>
      <c r="I1666" s="104">
        <f t="shared" si="82"/>
        <v>0</v>
      </c>
      <c r="L1666" s="112"/>
    </row>
    <row r="1667" spans="1:12" x14ac:dyDescent="0.25">
      <c r="A1667" s="23" t="s">
        <v>3927</v>
      </c>
      <c r="B1667" s="23" t="s">
        <v>2449</v>
      </c>
      <c r="C1667" s="24" t="s">
        <v>2450</v>
      </c>
      <c r="D1667" s="71">
        <v>11353.53</v>
      </c>
      <c r="E1667" s="88">
        <f>VLOOKUP(A1667,'Previous week'!$A$3:$F$1765,6,FALSE)</f>
        <v>1</v>
      </c>
      <c r="F1667" s="22">
        <f t="shared" si="83"/>
        <v>0</v>
      </c>
      <c r="G1667" s="88">
        <f>VLOOKUP(A1667,'Current week'!$A$3:$F$1765,6,0)</f>
        <v>1</v>
      </c>
      <c r="H1667" s="102">
        <f t="shared" si="81"/>
        <v>11353.53</v>
      </c>
      <c r="I1667" s="102">
        <f t="shared" si="82"/>
        <v>0</v>
      </c>
      <c r="L1667" s="112"/>
    </row>
    <row r="1668" spans="1:12" x14ac:dyDescent="0.25">
      <c r="A1668" s="62" t="s">
        <v>3928</v>
      </c>
      <c r="B1668" s="62" t="s">
        <v>2451</v>
      </c>
      <c r="C1668" s="63" t="s">
        <v>2452</v>
      </c>
      <c r="D1668" s="74">
        <v>4730.6400000000003</v>
      </c>
      <c r="E1668" s="97">
        <f>'Previous week'!F1745</f>
        <v>0</v>
      </c>
      <c r="F1668" s="65">
        <f t="shared" si="83"/>
        <v>0</v>
      </c>
      <c r="G1668" s="97">
        <f>'Current week'!F1745</f>
        <v>0</v>
      </c>
      <c r="H1668" s="109">
        <f t="shared" si="81"/>
        <v>0</v>
      </c>
      <c r="I1668" s="109">
        <f t="shared" si="82"/>
        <v>0</v>
      </c>
      <c r="L1668" s="112"/>
    </row>
    <row r="1669" spans="1:12" x14ac:dyDescent="0.25">
      <c r="A1669" s="36" t="s">
        <v>3929</v>
      </c>
      <c r="B1669" s="36" t="s">
        <v>2453</v>
      </c>
      <c r="C1669" s="37" t="s">
        <v>2454</v>
      </c>
      <c r="D1669" s="79">
        <v>157687.85</v>
      </c>
      <c r="E1669" s="88">
        <f>VLOOKUP(A1669,'Previous week'!$A$3:$F$1765,6,FALSE)</f>
        <v>1</v>
      </c>
      <c r="F1669" s="22">
        <f t="shared" si="83"/>
        <v>0</v>
      </c>
      <c r="G1669" s="88">
        <f>VLOOKUP(A1669,'Current week'!$A$3:$F$1765,6,0)</f>
        <v>1</v>
      </c>
      <c r="H1669" s="105">
        <f t="shared" si="81"/>
        <v>157687.85</v>
      </c>
      <c r="I1669" s="105">
        <f t="shared" si="82"/>
        <v>0</v>
      </c>
      <c r="L1669" s="112"/>
    </row>
    <row r="1670" spans="1:12" x14ac:dyDescent="0.25">
      <c r="A1670" s="62" t="s">
        <v>3930</v>
      </c>
      <c r="B1670" s="62" t="s">
        <v>2455</v>
      </c>
      <c r="C1670" s="63"/>
      <c r="D1670" s="74">
        <v>118265.89</v>
      </c>
      <c r="E1670" s="97">
        <f>'Previous week'!F1747</f>
        <v>0</v>
      </c>
      <c r="F1670" s="65">
        <f t="shared" si="83"/>
        <v>0</v>
      </c>
      <c r="G1670" s="97">
        <f>'Current week'!F1747</f>
        <v>0</v>
      </c>
      <c r="H1670" s="109">
        <f t="shared" si="81"/>
        <v>0</v>
      </c>
      <c r="I1670" s="109">
        <f t="shared" si="82"/>
        <v>0</v>
      </c>
      <c r="L1670" s="112"/>
    </row>
    <row r="1671" spans="1:12" x14ac:dyDescent="0.25">
      <c r="A1671" s="19" t="s">
        <v>3931</v>
      </c>
      <c r="B1671" s="19" t="s">
        <v>2456</v>
      </c>
      <c r="C1671" s="20" t="s">
        <v>2457</v>
      </c>
      <c r="D1671" s="77">
        <v>94612.71</v>
      </c>
      <c r="E1671" s="88">
        <f>VLOOKUP(A1671,'Previous week'!$A$3:$F$1765,6,FALSE)</f>
        <v>1</v>
      </c>
      <c r="F1671" s="22">
        <f t="shared" si="83"/>
        <v>0</v>
      </c>
      <c r="G1671" s="88">
        <f>VLOOKUP(A1671,'Current week'!$A$3:$F$1765,6,0)</f>
        <v>1</v>
      </c>
      <c r="H1671" s="101">
        <f t="shared" si="81"/>
        <v>94612.71</v>
      </c>
      <c r="I1671" s="101">
        <f t="shared" si="82"/>
        <v>0</v>
      </c>
      <c r="L1671" s="112"/>
    </row>
    <row r="1672" spans="1:12" x14ac:dyDescent="0.25">
      <c r="A1672" s="33" t="s">
        <v>3932</v>
      </c>
      <c r="B1672" s="33" t="s">
        <v>2458</v>
      </c>
      <c r="C1672" s="34" t="s">
        <v>2459</v>
      </c>
      <c r="D1672" s="78">
        <v>4730.6400000000003</v>
      </c>
      <c r="E1672" s="88">
        <f>VLOOKUP(A1672,'Previous week'!$A$3:$F$1765,6,FALSE)</f>
        <v>1</v>
      </c>
      <c r="F1672" s="22">
        <f t="shared" si="83"/>
        <v>0</v>
      </c>
      <c r="G1672" s="88">
        <f>VLOOKUP(A1672,'Current week'!$A$3:$F$1765,6,0)</f>
        <v>1</v>
      </c>
      <c r="H1672" s="104">
        <f t="shared" si="81"/>
        <v>4730.6400000000003</v>
      </c>
      <c r="I1672" s="104">
        <f t="shared" si="82"/>
        <v>0</v>
      </c>
      <c r="L1672" s="112"/>
    </row>
    <row r="1673" spans="1:12" x14ac:dyDescent="0.25">
      <c r="A1673" s="23" t="s">
        <v>3933</v>
      </c>
      <c r="B1673" s="23" t="s">
        <v>2460</v>
      </c>
      <c r="C1673" s="24" t="s">
        <v>2461</v>
      </c>
      <c r="D1673" s="71">
        <v>9461.27</v>
      </c>
      <c r="E1673" s="88">
        <f>VLOOKUP(A1673,'Previous week'!$A$3:$F$1765,6,FALSE)</f>
        <v>1</v>
      </c>
      <c r="F1673" s="22">
        <f t="shared" si="83"/>
        <v>0</v>
      </c>
      <c r="G1673" s="88">
        <f>VLOOKUP(A1673,'Current week'!$A$3:$F$1765,6,0)</f>
        <v>1</v>
      </c>
      <c r="H1673" s="102">
        <f t="shared" si="81"/>
        <v>9461.27</v>
      </c>
      <c r="I1673" s="102">
        <f t="shared" si="82"/>
        <v>0</v>
      </c>
      <c r="L1673" s="112"/>
    </row>
    <row r="1674" spans="1:12" x14ac:dyDescent="0.25">
      <c r="A1674" s="58" t="s">
        <v>3934</v>
      </c>
      <c r="B1674" s="58" t="s">
        <v>2462</v>
      </c>
      <c r="C1674" s="59" t="s">
        <v>2463</v>
      </c>
      <c r="D1674" s="72">
        <v>9461.27</v>
      </c>
      <c r="E1674" s="96">
        <f>'Previous week'!F1751</f>
        <v>0</v>
      </c>
      <c r="F1674" s="61">
        <f t="shared" si="83"/>
        <v>0</v>
      </c>
      <c r="G1674" s="96">
        <f>'Current week'!F1751</f>
        <v>0</v>
      </c>
      <c r="H1674" s="108">
        <f t="shared" si="81"/>
        <v>0</v>
      </c>
      <c r="I1674" s="108">
        <f t="shared" si="82"/>
        <v>0</v>
      </c>
      <c r="L1674" s="112"/>
    </row>
    <row r="1675" spans="1:12" x14ac:dyDescent="0.25">
      <c r="A1675" s="62" t="s">
        <v>3935</v>
      </c>
      <c r="B1675" s="62" t="s">
        <v>2464</v>
      </c>
      <c r="C1675" s="63"/>
      <c r="D1675" s="74">
        <v>63075.14</v>
      </c>
      <c r="E1675" s="97">
        <f>'Previous week'!F1752</f>
        <v>0</v>
      </c>
      <c r="F1675" s="65">
        <f t="shared" si="83"/>
        <v>0</v>
      </c>
      <c r="G1675" s="97">
        <f>'Current week'!F1752</f>
        <v>0</v>
      </c>
      <c r="H1675" s="109">
        <f t="shared" si="81"/>
        <v>0</v>
      </c>
      <c r="I1675" s="109">
        <f t="shared" si="82"/>
        <v>0</v>
      </c>
      <c r="L1675" s="112"/>
    </row>
    <row r="1676" spans="1:12" x14ac:dyDescent="0.25">
      <c r="A1676" s="19" t="s">
        <v>3936</v>
      </c>
      <c r="B1676" s="19" t="s">
        <v>2465</v>
      </c>
      <c r="C1676" s="20" t="s">
        <v>2466</v>
      </c>
      <c r="D1676" s="77">
        <v>63075.14</v>
      </c>
      <c r="E1676" s="88">
        <f>VLOOKUP(A1676,'Previous week'!$A$3:$F$1765,6,FALSE)</f>
        <v>1</v>
      </c>
      <c r="F1676" s="22">
        <f t="shared" si="83"/>
        <v>0</v>
      </c>
      <c r="G1676" s="88">
        <f>VLOOKUP(A1676,'Current week'!$A$3:$F$1765,6,0)</f>
        <v>1</v>
      </c>
      <c r="H1676" s="101">
        <f t="shared" si="81"/>
        <v>63075.14</v>
      </c>
      <c r="I1676" s="101">
        <f t="shared" si="82"/>
        <v>0</v>
      </c>
      <c r="L1676" s="112"/>
    </row>
    <row r="1677" spans="1:12" x14ac:dyDescent="0.25">
      <c r="A1677" s="33" t="s">
        <v>3937</v>
      </c>
      <c r="B1677" s="33" t="s">
        <v>2467</v>
      </c>
      <c r="C1677" s="34"/>
      <c r="D1677" s="78">
        <v>883051.97</v>
      </c>
      <c r="E1677" s="88">
        <f>VLOOKUP(A1677,'Previous week'!$A$3:$F$1765,6,FALSE)</f>
        <v>0.6</v>
      </c>
      <c r="F1677" s="22">
        <f t="shared" si="83"/>
        <v>0.20000000000000007</v>
      </c>
      <c r="G1677" s="88">
        <f>VLOOKUP(A1677,'Current week'!$A$3:$F$1765,6,0)</f>
        <v>0.8</v>
      </c>
      <c r="H1677" s="104">
        <f t="shared" si="81"/>
        <v>706441.576</v>
      </c>
      <c r="I1677" s="104">
        <f t="shared" si="82"/>
        <v>176610.39400000006</v>
      </c>
      <c r="L1677" s="112"/>
    </row>
    <row r="1678" spans="1:12" x14ac:dyDescent="0.25">
      <c r="A1678" s="33" t="s">
        <v>3938</v>
      </c>
      <c r="B1678" s="33" t="s">
        <v>2468</v>
      </c>
      <c r="C1678" s="34" t="s">
        <v>2469</v>
      </c>
      <c r="D1678" s="78">
        <v>883051.97</v>
      </c>
      <c r="E1678" s="88">
        <f>VLOOKUP(A1678,'Previous week'!$A$3:$F$1765,6,FALSE)</f>
        <v>0.6</v>
      </c>
      <c r="F1678" s="22">
        <f t="shared" si="83"/>
        <v>0.20000000000000007</v>
      </c>
      <c r="G1678" s="88">
        <f>VLOOKUP(A1678,'Current week'!$A$3:$F$1765,6,0)</f>
        <v>0.8</v>
      </c>
      <c r="H1678" s="104">
        <f t="shared" si="81"/>
        <v>706441.576</v>
      </c>
      <c r="I1678" s="104">
        <f t="shared" si="82"/>
        <v>176610.39400000006</v>
      </c>
      <c r="L1678" s="112"/>
    </row>
    <row r="1679" spans="1:12" x14ac:dyDescent="0.25">
      <c r="A1679" s="33" t="s">
        <v>3939</v>
      </c>
      <c r="B1679" s="33" t="s">
        <v>2470</v>
      </c>
      <c r="C1679" s="34"/>
      <c r="D1679" s="78">
        <v>18922.54</v>
      </c>
      <c r="E1679" s="88">
        <f>VLOOKUP(A1679,'Previous week'!$A$3:$F$1765,6,FALSE)</f>
        <v>1</v>
      </c>
      <c r="F1679" s="22">
        <f t="shared" si="83"/>
        <v>0</v>
      </c>
      <c r="G1679" s="88">
        <f>VLOOKUP(A1679,'Current week'!$A$3:$F$1765,6,0)</f>
        <v>1</v>
      </c>
      <c r="H1679" s="104">
        <f t="shared" si="81"/>
        <v>18922.54</v>
      </c>
      <c r="I1679" s="104">
        <f t="shared" si="82"/>
        <v>0</v>
      </c>
      <c r="L1679" s="112"/>
    </row>
    <row r="1680" spans="1:12" x14ac:dyDescent="0.25">
      <c r="A1680" s="33" t="s">
        <v>3940</v>
      </c>
      <c r="B1680" s="33" t="s">
        <v>2471</v>
      </c>
      <c r="C1680" s="34" t="s">
        <v>2472</v>
      </c>
      <c r="D1680" s="78">
        <v>18922.54</v>
      </c>
      <c r="E1680" s="88">
        <f>VLOOKUP(A1680,'Previous week'!$A$3:$F$1765,6,FALSE)</f>
        <v>1</v>
      </c>
      <c r="F1680" s="22">
        <f t="shared" si="83"/>
        <v>0</v>
      </c>
      <c r="G1680" s="88">
        <f>VLOOKUP(A1680,'Current week'!$A$3:$F$1765,6,0)</f>
        <v>1</v>
      </c>
      <c r="H1680" s="104">
        <f t="shared" si="81"/>
        <v>18922.54</v>
      </c>
      <c r="I1680" s="104">
        <f t="shared" si="82"/>
        <v>0</v>
      </c>
      <c r="L1680" s="112"/>
    </row>
    <row r="1681" spans="1:12" x14ac:dyDescent="0.25">
      <c r="A1681" s="33" t="s">
        <v>2889</v>
      </c>
      <c r="B1681" s="33" t="s">
        <v>1045</v>
      </c>
      <c r="C1681" s="34"/>
      <c r="D1681" s="78">
        <v>75690.17</v>
      </c>
      <c r="E1681" s="88">
        <f>VLOOKUP(A1681,'Previous week'!$A$3:$F$1765,6,FALSE)</f>
        <v>0</v>
      </c>
      <c r="F1681" s="22">
        <f t="shared" si="83"/>
        <v>0</v>
      </c>
      <c r="G1681" s="88">
        <f>VLOOKUP(A1681,'Current week'!$A$3:$F$1765,6,0)</f>
        <v>0</v>
      </c>
      <c r="H1681" s="104">
        <f t="shared" si="81"/>
        <v>0</v>
      </c>
      <c r="I1681" s="104">
        <f t="shared" si="82"/>
        <v>0</v>
      </c>
      <c r="L1681" s="112"/>
    </row>
    <row r="1682" spans="1:12" x14ac:dyDescent="0.25">
      <c r="A1682" s="33" t="s">
        <v>3941</v>
      </c>
      <c r="B1682" s="33" t="s">
        <v>2473</v>
      </c>
      <c r="C1682" s="34" t="s">
        <v>2474</v>
      </c>
      <c r="D1682" s="78">
        <v>18922.54</v>
      </c>
      <c r="E1682" s="88">
        <f>VLOOKUP(A1682,'Previous week'!$A$3:$F$1765,6,FALSE)</f>
        <v>1</v>
      </c>
      <c r="F1682" s="22">
        <f t="shared" si="83"/>
        <v>0</v>
      </c>
      <c r="G1682" s="88">
        <f>VLOOKUP(A1682,'Current week'!$A$3:$F$1765,6,0)</f>
        <v>1</v>
      </c>
      <c r="H1682" s="104">
        <f t="shared" si="81"/>
        <v>18922.54</v>
      </c>
      <c r="I1682" s="104">
        <f t="shared" si="82"/>
        <v>0</v>
      </c>
      <c r="L1682" s="112"/>
    </row>
    <row r="1683" spans="1:12" x14ac:dyDescent="0.25">
      <c r="A1683" s="33" t="s">
        <v>3942</v>
      </c>
      <c r="B1683" s="33" t="s">
        <v>2475</v>
      </c>
      <c r="C1683" s="34" t="s">
        <v>2476</v>
      </c>
      <c r="D1683" s="78">
        <v>47306.36</v>
      </c>
      <c r="E1683" s="88">
        <f>VLOOKUP(A1683,'Previous week'!$A$3:$F$1765,6,FALSE)</f>
        <v>1</v>
      </c>
      <c r="F1683" s="22">
        <f t="shared" si="83"/>
        <v>0</v>
      </c>
      <c r="G1683" s="88">
        <f>VLOOKUP(A1683,'Current week'!$A$3:$F$1765,6,0)</f>
        <v>1</v>
      </c>
      <c r="H1683" s="104">
        <f t="shared" si="81"/>
        <v>47306.36</v>
      </c>
      <c r="I1683" s="104">
        <f t="shared" si="82"/>
        <v>0</v>
      </c>
      <c r="L1683" s="112"/>
    </row>
    <row r="1684" spans="1:12" x14ac:dyDescent="0.25">
      <c r="A1684" s="33" t="s">
        <v>3943</v>
      </c>
      <c r="B1684" s="33" t="s">
        <v>2477</v>
      </c>
      <c r="C1684" s="34" t="s">
        <v>2478</v>
      </c>
      <c r="D1684" s="78">
        <v>9461.27</v>
      </c>
      <c r="E1684" s="88">
        <f>VLOOKUP(A1684,'Previous week'!$A$3:$F$1765,6,FALSE)</f>
        <v>1</v>
      </c>
      <c r="F1684" s="22">
        <f t="shared" si="83"/>
        <v>0</v>
      </c>
      <c r="G1684" s="88">
        <f>VLOOKUP(A1684,'Current week'!$A$3:$F$1765,6,0)</f>
        <v>1</v>
      </c>
      <c r="H1684" s="104">
        <f t="shared" si="81"/>
        <v>9461.27</v>
      </c>
      <c r="I1684" s="104">
        <f t="shared" si="82"/>
        <v>0</v>
      </c>
      <c r="L1684" s="112"/>
    </row>
    <row r="1685" spans="1:12" x14ac:dyDescent="0.25">
      <c r="A1685" s="23" t="s">
        <v>3944</v>
      </c>
      <c r="B1685" s="23" t="s">
        <v>2479</v>
      </c>
      <c r="C1685" s="24"/>
      <c r="D1685" s="71">
        <v>56767.63</v>
      </c>
      <c r="E1685" s="88">
        <f>VLOOKUP(A1685,'Previous week'!$A$3:$F$1765,6,FALSE)</f>
        <v>1</v>
      </c>
      <c r="F1685" s="22">
        <f t="shared" si="83"/>
        <v>0</v>
      </c>
      <c r="G1685" s="88">
        <f>VLOOKUP(A1685,'Current week'!$A$3:$F$1765,6,0)</f>
        <v>1</v>
      </c>
      <c r="H1685" s="102">
        <f t="shared" si="81"/>
        <v>56767.63</v>
      </c>
      <c r="I1685" s="102">
        <f t="shared" si="82"/>
        <v>0</v>
      </c>
      <c r="L1685" s="112"/>
    </row>
    <row r="1686" spans="1:12" x14ac:dyDescent="0.25">
      <c r="A1686" s="62" t="s">
        <v>3945</v>
      </c>
      <c r="B1686" s="62" t="s">
        <v>2480</v>
      </c>
      <c r="C1686" s="63" t="s">
        <v>2481</v>
      </c>
      <c r="D1686" s="74">
        <v>47306.36</v>
      </c>
      <c r="E1686" s="97">
        <f>'Previous week'!F1763</f>
        <v>0</v>
      </c>
      <c r="F1686" s="65">
        <f t="shared" si="83"/>
        <v>0</v>
      </c>
      <c r="G1686" s="97">
        <f>'Current week'!F1763</f>
        <v>0</v>
      </c>
      <c r="H1686" s="109">
        <f t="shared" si="81"/>
        <v>0</v>
      </c>
      <c r="I1686" s="109">
        <f t="shared" si="82"/>
        <v>0</v>
      </c>
      <c r="L1686" s="112"/>
    </row>
    <row r="1687" spans="1:12" x14ac:dyDescent="0.25">
      <c r="A1687" s="36" t="s">
        <v>3946</v>
      </c>
      <c r="B1687" s="36" t="s">
        <v>2482</v>
      </c>
      <c r="C1687" s="37" t="s">
        <v>2483</v>
      </c>
      <c r="D1687" s="79">
        <v>9461.27</v>
      </c>
      <c r="E1687" s="88">
        <f>VLOOKUP(A1687,'Previous week'!$A$3:$F$1765,6,FALSE)</f>
        <v>1</v>
      </c>
      <c r="F1687" s="22">
        <f t="shared" si="83"/>
        <v>0</v>
      </c>
      <c r="G1687" s="88">
        <f>VLOOKUP(A1687,'Current week'!$A$3:$F$1765,6,0)</f>
        <v>1</v>
      </c>
      <c r="H1687" s="105">
        <f t="shared" si="81"/>
        <v>9461.27</v>
      </c>
      <c r="I1687" s="105">
        <f t="shared" si="82"/>
        <v>0</v>
      </c>
      <c r="L1687" s="112"/>
    </row>
    <row r="1688" spans="1:12" x14ac:dyDescent="0.25">
      <c r="A1688" s="62" t="s">
        <v>2862</v>
      </c>
      <c r="B1688" s="62" t="s">
        <v>1306</v>
      </c>
      <c r="C1688" s="63"/>
      <c r="D1688" s="74">
        <v>233378.02</v>
      </c>
      <c r="E1688" s="97">
        <f>'Previous week'!F1765</f>
        <v>0</v>
      </c>
      <c r="F1688" s="65">
        <f t="shared" si="83"/>
        <v>0</v>
      </c>
      <c r="G1688" s="97">
        <f>'Current week'!F1765</f>
        <v>0</v>
      </c>
      <c r="H1688" s="109">
        <f t="shared" si="81"/>
        <v>0</v>
      </c>
      <c r="I1688" s="109">
        <f t="shared" si="82"/>
        <v>0</v>
      </c>
      <c r="L1688" s="112"/>
    </row>
    <row r="1689" spans="1:12" x14ac:dyDescent="0.25">
      <c r="A1689" s="19" t="s">
        <v>3947</v>
      </c>
      <c r="B1689" s="19" t="s">
        <v>2484</v>
      </c>
      <c r="C1689" s="20" t="s">
        <v>2485</v>
      </c>
      <c r="D1689" s="77">
        <v>233378.02</v>
      </c>
      <c r="E1689" s="88">
        <f>VLOOKUP(A1689,'Previous week'!$A$3:$F$1765,6,FALSE)</f>
        <v>0.15</v>
      </c>
      <c r="F1689" s="22">
        <f t="shared" si="83"/>
        <v>0.1</v>
      </c>
      <c r="G1689" s="88">
        <f>VLOOKUP(A1689,'Current week'!$A$3:$F$1765,6,0)</f>
        <v>0.25</v>
      </c>
      <c r="H1689" s="101">
        <f t="shared" si="81"/>
        <v>58344.504999999997</v>
      </c>
      <c r="I1689" s="101">
        <f t="shared" si="82"/>
        <v>23337.802</v>
      </c>
      <c r="L1689" s="112"/>
    </row>
    <row r="1690" spans="1:12" x14ac:dyDescent="0.25">
      <c r="A1690" s="33" t="s">
        <v>3540</v>
      </c>
      <c r="B1690" s="33" t="s">
        <v>2486</v>
      </c>
      <c r="C1690" s="34"/>
      <c r="D1690" s="78">
        <v>1230213.96</v>
      </c>
      <c r="E1690" s="88">
        <f>VLOOKUP(A1690,'Previous week'!$A$3:$F$1765,6,FALSE)</f>
        <v>1</v>
      </c>
      <c r="F1690" s="22">
        <f t="shared" si="83"/>
        <v>0</v>
      </c>
      <c r="G1690" s="88">
        <f>VLOOKUP(A1690,'Current week'!$A$3:$F$1765,6,0)</f>
        <v>1</v>
      </c>
      <c r="H1690" s="104">
        <f t="shared" si="81"/>
        <v>1230213.96</v>
      </c>
      <c r="I1690" s="104">
        <f t="shared" si="82"/>
        <v>0</v>
      </c>
      <c r="L1690" s="112"/>
    </row>
    <row r="1691" spans="1:12" x14ac:dyDescent="0.25">
      <c r="A1691" s="23" t="s">
        <v>3948</v>
      </c>
      <c r="B1691" s="23" t="s">
        <v>2487</v>
      </c>
      <c r="C1691" s="24"/>
      <c r="D1691" s="71">
        <v>104073.98</v>
      </c>
      <c r="E1691" s="88">
        <f>VLOOKUP(A1691,'Previous week'!$A$3:$F$1765,6,FALSE)</f>
        <v>0.5</v>
      </c>
      <c r="F1691" s="22">
        <f t="shared" si="83"/>
        <v>0</v>
      </c>
      <c r="G1691" s="88">
        <f>VLOOKUP(A1691,'Current week'!$A$3:$F$1765,6,0)</f>
        <v>0.5</v>
      </c>
      <c r="H1691" s="102">
        <f t="shared" si="81"/>
        <v>52036.99</v>
      </c>
      <c r="I1691" s="102">
        <f t="shared" si="82"/>
        <v>0</v>
      </c>
      <c r="L1691" s="112"/>
    </row>
    <row r="1692" spans="1:12" x14ac:dyDescent="0.25">
      <c r="A1692" s="62" t="s">
        <v>3949</v>
      </c>
      <c r="B1692" s="62" t="s">
        <v>2488</v>
      </c>
      <c r="C1692" s="63" t="s">
        <v>2489</v>
      </c>
      <c r="D1692" s="74">
        <v>75690.17</v>
      </c>
      <c r="E1692" s="97" t="e">
        <f>'Previous week'!#REF!</f>
        <v>#REF!</v>
      </c>
      <c r="F1692" s="65" t="e">
        <f t="shared" si="83"/>
        <v>#REF!</v>
      </c>
      <c r="G1692" s="97" t="e">
        <f>'Current week'!#REF!</f>
        <v>#REF!</v>
      </c>
      <c r="H1692" s="109" t="e">
        <f t="shared" si="81"/>
        <v>#REF!</v>
      </c>
      <c r="I1692" s="109" t="e">
        <f t="shared" si="82"/>
        <v>#REF!</v>
      </c>
      <c r="L1692" s="112"/>
    </row>
    <row r="1693" spans="1:12" x14ac:dyDescent="0.25">
      <c r="A1693" s="19" t="s">
        <v>3950</v>
      </c>
      <c r="B1693" s="19" t="s">
        <v>2490</v>
      </c>
      <c r="C1693" s="20" t="s">
        <v>2491</v>
      </c>
      <c r="D1693" s="77">
        <v>28383.81</v>
      </c>
      <c r="E1693" s="88">
        <f>VLOOKUP(A1693,'Previous week'!$A$3:$F$1765,6,FALSE)</f>
        <v>0.5</v>
      </c>
      <c r="F1693" s="22">
        <f t="shared" si="83"/>
        <v>0</v>
      </c>
      <c r="G1693" s="88">
        <f>VLOOKUP(A1693,'Current week'!$A$3:$F$1765,6,0)</f>
        <v>0.5</v>
      </c>
      <c r="H1693" s="101">
        <f t="shared" si="81"/>
        <v>14191.905000000001</v>
      </c>
      <c r="I1693" s="101">
        <f t="shared" si="82"/>
        <v>0</v>
      </c>
      <c r="L1693" s="112"/>
    </row>
    <row r="1694" spans="1:12" x14ac:dyDescent="0.25">
      <c r="A1694" s="23" t="s">
        <v>3951</v>
      </c>
      <c r="B1694" s="23" t="s">
        <v>2492</v>
      </c>
      <c r="C1694" s="24"/>
      <c r="D1694" s="71">
        <v>107227.74</v>
      </c>
      <c r="E1694" s="88">
        <f>VLOOKUP(A1694,'Previous week'!$A$3:$F$1765,6,FALSE)</f>
        <v>0.5</v>
      </c>
      <c r="F1694" s="22">
        <f t="shared" si="83"/>
        <v>0</v>
      </c>
      <c r="G1694" s="88">
        <f>VLOOKUP(A1694,'Current week'!$A$3:$F$1765,6,0)</f>
        <v>0.5</v>
      </c>
      <c r="H1694" s="102">
        <f t="shared" si="81"/>
        <v>53613.87</v>
      </c>
      <c r="I1694" s="102">
        <f t="shared" si="82"/>
        <v>0</v>
      </c>
      <c r="L1694" s="112"/>
    </row>
    <row r="1695" spans="1:12" x14ac:dyDescent="0.25">
      <c r="A1695" s="62" t="s">
        <v>3952</v>
      </c>
      <c r="B1695" s="62" t="s">
        <v>2493</v>
      </c>
      <c r="C1695" s="63" t="s">
        <v>2494</v>
      </c>
      <c r="D1695" s="74">
        <v>25230.06</v>
      </c>
      <c r="E1695" s="97" t="e">
        <f>'Previous week'!#REF!</f>
        <v>#REF!</v>
      </c>
      <c r="F1695" s="65" t="e">
        <f t="shared" si="83"/>
        <v>#REF!</v>
      </c>
      <c r="G1695" s="97" t="e">
        <f>'Current week'!#REF!</f>
        <v>#REF!</v>
      </c>
      <c r="H1695" s="109" t="e">
        <f t="shared" si="81"/>
        <v>#REF!</v>
      </c>
      <c r="I1695" s="109" t="e">
        <f t="shared" si="82"/>
        <v>#REF!</v>
      </c>
      <c r="L1695" s="112"/>
    </row>
    <row r="1696" spans="1:12" x14ac:dyDescent="0.25">
      <c r="A1696" s="19" t="s">
        <v>3953</v>
      </c>
      <c r="B1696" s="19" t="s">
        <v>2495</v>
      </c>
      <c r="C1696" s="20" t="s">
        <v>2496</v>
      </c>
      <c r="D1696" s="77">
        <v>25230.06</v>
      </c>
      <c r="E1696" s="88">
        <f>VLOOKUP(A1696,'Previous week'!$A$3:$F$1765,6,FALSE)</f>
        <v>0.5</v>
      </c>
      <c r="F1696" s="22">
        <f t="shared" si="83"/>
        <v>0</v>
      </c>
      <c r="G1696" s="88">
        <f>VLOOKUP(A1696,'Current week'!$A$3:$F$1765,6,0)</f>
        <v>0.5</v>
      </c>
      <c r="H1696" s="101">
        <f t="shared" si="81"/>
        <v>12615.03</v>
      </c>
      <c r="I1696" s="101">
        <f t="shared" si="82"/>
        <v>0</v>
      </c>
      <c r="L1696" s="112"/>
    </row>
    <row r="1697" spans="1:12" x14ac:dyDescent="0.25">
      <c r="A1697" s="33" t="s">
        <v>3954</v>
      </c>
      <c r="B1697" s="33" t="s">
        <v>2497</v>
      </c>
      <c r="C1697" s="34" t="s">
        <v>2498</v>
      </c>
      <c r="D1697" s="78">
        <v>28383.81</v>
      </c>
      <c r="E1697" s="88">
        <f>VLOOKUP(A1697,'Previous week'!$A$3:$F$1765,6,FALSE)</f>
        <v>0.5</v>
      </c>
      <c r="F1697" s="22">
        <f t="shared" si="83"/>
        <v>0</v>
      </c>
      <c r="G1697" s="88">
        <f>VLOOKUP(A1697,'Current week'!$A$3:$F$1765,6,0)</f>
        <v>0.5</v>
      </c>
      <c r="H1697" s="104">
        <f t="shared" si="81"/>
        <v>14191.905000000001</v>
      </c>
      <c r="I1697" s="104">
        <f t="shared" si="82"/>
        <v>0</v>
      </c>
      <c r="L1697" s="112"/>
    </row>
    <row r="1698" spans="1:12" x14ac:dyDescent="0.25">
      <c r="A1698" s="23" t="s">
        <v>3955</v>
      </c>
      <c r="B1698" s="23" t="s">
        <v>2499</v>
      </c>
      <c r="C1698" s="24" t="s">
        <v>2500</v>
      </c>
      <c r="D1698" s="71">
        <v>28383.81</v>
      </c>
      <c r="E1698" s="88">
        <f>VLOOKUP(A1698,'Previous week'!$A$3:$F$1765,6,FALSE)</f>
        <v>0.5</v>
      </c>
      <c r="F1698" s="22">
        <f t="shared" si="83"/>
        <v>0</v>
      </c>
      <c r="G1698" s="88">
        <f>VLOOKUP(A1698,'Current week'!$A$3:$F$1765,6,0)</f>
        <v>0.5</v>
      </c>
      <c r="H1698" s="102">
        <f t="shared" si="81"/>
        <v>14191.905000000001</v>
      </c>
      <c r="I1698" s="102">
        <f t="shared" si="82"/>
        <v>0</v>
      </c>
      <c r="L1698" s="112"/>
    </row>
    <row r="1699" spans="1:12" x14ac:dyDescent="0.25">
      <c r="A1699" s="62" t="s">
        <v>3956</v>
      </c>
      <c r="B1699" s="62" t="s">
        <v>2501</v>
      </c>
      <c r="C1699" s="63"/>
      <c r="D1699" s="74">
        <v>75690.17</v>
      </c>
      <c r="E1699" s="97" t="e">
        <f>'Previous week'!#REF!</f>
        <v>#REF!</v>
      </c>
      <c r="F1699" s="65" t="e">
        <f t="shared" si="83"/>
        <v>#REF!</v>
      </c>
      <c r="G1699" s="97" t="e">
        <f>'Current week'!#REF!</f>
        <v>#REF!</v>
      </c>
      <c r="H1699" s="109" t="e">
        <f t="shared" si="81"/>
        <v>#REF!</v>
      </c>
      <c r="I1699" s="109" t="e">
        <f t="shared" si="82"/>
        <v>#REF!</v>
      </c>
      <c r="L1699" s="112"/>
    </row>
    <row r="1700" spans="1:12" x14ac:dyDescent="0.25">
      <c r="A1700" s="19" t="s">
        <v>3957</v>
      </c>
      <c r="B1700" s="19" t="s">
        <v>2502</v>
      </c>
      <c r="C1700" s="20" t="s">
        <v>2503</v>
      </c>
      <c r="D1700" s="77">
        <v>75690.17</v>
      </c>
      <c r="E1700" s="88">
        <f>VLOOKUP(A1700,'Previous week'!$A$3:$F$1765,6,FALSE)</f>
        <v>1</v>
      </c>
      <c r="F1700" s="22">
        <f t="shared" si="83"/>
        <v>0</v>
      </c>
      <c r="G1700" s="88">
        <f>VLOOKUP(A1700,'Current week'!$A$3:$F$1765,6,0)</f>
        <v>1</v>
      </c>
      <c r="H1700" s="101">
        <f t="shared" si="81"/>
        <v>75690.17</v>
      </c>
      <c r="I1700" s="101">
        <f t="shared" si="82"/>
        <v>0</v>
      </c>
      <c r="L1700" s="112"/>
    </row>
    <row r="1701" spans="1:12" x14ac:dyDescent="0.25">
      <c r="A1701" s="33" t="s">
        <v>2910</v>
      </c>
      <c r="B1701" s="33" t="s">
        <v>1402</v>
      </c>
      <c r="C1701" s="34"/>
      <c r="D1701" s="78">
        <v>22076.3</v>
      </c>
      <c r="E1701" s="88">
        <f>VLOOKUP(A1701,'Previous week'!$A$3:$F$1765,6,FALSE)</f>
        <v>0</v>
      </c>
      <c r="F1701" s="22">
        <f t="shared" si="83"/>
        <v>0</v>
      </c>
      <c r="G1701" s="88">
        <f>VLOOKUP(A1701,'Current week'!$A$3:$F$1765,6,0)</f>
        <v>0</v>
      </c>
      <c r="H1701" s="104">
        <f t="shared" si="81"/>
        <v>0</v>
      </c>
      <c r="I1701" s="104">
        <f t="shared" si="82"/>
        <v>0</v>
      </c>
      <c r="L1701" s="112"/>
    </row>
    <row r="1702" spans="1:12" x14ac:dyDescent="0.25">
      <c r="A1702" s="33" t="s">
        <v>3958</v>
      </c>
      <c r="B1702" s="33" t="s">
        <v>2504</v>
      </c>
      <c r="C1702" s="34" t="s">
        <v>2505</v>
      </c>
      <c r="D1702" s="78">
        <v>22076.3</v>
      </c>
      <c r="E1702" s="88">
        <f>VLOOKUP(A1702,'Previous week'!$A$3:$F$1765,6,FALSE)</f>
        <v>0.5</v>
      </c>
      <c r="F1702" s="22">
        <f t="shared" si="83"/>
        <v>0</v>
      </c>
      <c r="G1702" s="88">
        <f>VLOOKUP(A1702,'Current week'!$A$3:$F$1765,6,0)</f>
        <v>0.5</v>
      </c>
      <c r="H1702" s="104">
        <f t="shared" si="81"/>
        <v>11038.15</v>
      </c>
      <c r="I1702" s="104">
        <f t="shared" si="82"/>
        <v>0</v>
      </c>
      <c r="L1702" s="112"/>
    </row>
    <row r="1703" spans="1:12" x14ac:dyDescent="0.25">
      <c r="A1703" s="33" t="s">
        <v>2913</v>
      </c>
      <c r="B1703" s="33" t="s">
        <v>1421</v>
      </c>
      <c r="C1703" s="34"/>
      <c r="D1703" s="78">
        <v>17535.21</v>
      </c>
      <c r="E1703" s="88">
        <f>VLOOKUP(A1703,'Previous week'!$A$3:$F$1765,6,FALSE)</f>
        <v>0</v>
      </c>
      <c r="F1703" s="22">
        <f t="shared" si="83"/>
        <v>0</v>
      </c>
      <c r="G1703" s="88">
        <f>VLOOKUP(A1703,'Current week'!$A$3:$F$1765,6,0)</f>
        <v>0</v>
      </c>
      <c r="H1703" s="104">
        <f t="shared" si="81"/>
        <v>0</v>
      </c>
      <c r="I1703" s="104">
        <f t="shared" si="82"/>
        <v>0</v>
      </c>
      <c r="L1703" s="112"/>
    </row>
    <row r="1704" spans="1:12" x14ac:dyDescent="0.25">
      <c r="A1704" s="23" t="s">
        <v>3959</v>
      </c>
      <c r="B1704" s="23" t="s">
        <v>2506</v>
      </c>
      <c r="C1704" s="24" t="s">
        <v>2507</v>
      </c>
      <c r="D1704" s="71">
        <v>17535.21</v>
      </c>
      <c r="E1704" s="88">
        <f>VLOOKUP(A1704,'Previous week'!$A$3:$F$1765,6,FALSE)</f>
        <v>0.3</v>
      </c>
      <c r="F1704" s="22">
        <f t="shared" si="83"/>
        <v>0.2</v>
      </c>
      <c r="G1704" s="88">
        <f>VLOOKUP(A1704,'Current week'!$A$3:$F$1765,6,0)</f>
        <v>0.5</v>
      </c>
      <c r="H1704" s="102">
        <f t="shared" si="81"/>
        <v>8767.6049999999996</v>
      </c>
      <c r="I1704" s="102">
        <f t="shared" si="82"/>
        <v>3507.0419999999999</v>
      </c>
      <c r="L1704" s="112"/>
    </row>
    <row r="1705" spans="1:12" x14ac:dyDescent="0.25">
      <c r="A1705" s="62" t="s">
        <v>2919</v>
      </c>
      <c r="B1705" s="62" t="s">
        <v>1451</v>
      </c>
      <c r="C1705" s="63"/>
      <c r="D1705" s="74">
        <v>5044.13</v>
      </c>
      <c r="E1705" s="97" t="e">
        <f>'Previous week'!#REF!</f>
        <v>#REF!</v>
      </c>
      <c r="F1705" s="65" t="e">
        <f t="shared" si="83"/>
        <v>#REF!</v>
      </c>
      <c r="G1705" s="97" t="e">
        <f>'Current week'!#REF!</f>
        <v>#REF!</v>
      </c>
      <c r="H1705" s="109" t="e">
        <f t="shared" si="81"/>
        <v>#REF!</v>
      </c>
      <c r="I1705" s="109" t="e">
        <f t="shared" si="82"/>
        <v>#REF!</v>
      </c>
      <c r="L1705" s="112"/>
    </row>
    <row r="1706" spans="1:12" x14ac:dyDescent="0.25">
      <c r="A1706" s="19" t="s">
        <v>3960</v>
      </c>
      <c r="B1706" s="19" t="s">
        <v>2508</v>
      </c>
      <c r="C1706" s="20" t="s">
        <v>2509</v>
      </c>
      <c r="D1706" s="77">
        <v>5044.13</v>
      </c>
      <c r="E1706" s="88">
        <f>VLOOKUP(A1706,'Previous week'!$A$3:$F$1765,6,FALSE)</f>
        <v>1</v>
      </c>
      <c r="F1706" s="22">
        <f t="shared" si="83"/>
        <v>0</v>
      </c>
      <c r="G1706" s="88">
        <f>VLOOKUP(A1706,'Current week'!$A$3:$F$1765,6,0)</f>
        <v>1</v>
      </c>
      <c r="H1706" s="101">
        <f t="shared" si="81"/>
        <v>5044.13</v>
      </c>
      <c r="I1706" s="101">
        <f t="shared" si="82"/>
        <v>0</v>
      </c>
      <c r="L1706" s="112"/>
    </row>
    <row r="1707" spans="1:12" x14ac:dyDescent="0.25">
      <c r="A1707" s="33" t="s">
        <v>2922</v>
      </c>
      <c r="B1707" s="33" t="s">
        <v>1470</v>
      </c>
      <c r="C1707" s="34"/>
      <c r="D1707" s="78">
        <v>8830.52</v>
      </c>
      <c r="E1707" s="88">
        <f>VLOOKUP(A1707,'Previous week'!$A$3:$F$1765,6,FALSE)</f>
        <v>0</v>
      </c>
      <c r="F1707" s="22">
        <f t="shared" si="83"/>
        <v>0</v>
      </c>
      <c r="G1707" s="88">
        <f>VLOOKUP(A1707,'Current week'!$A$3:$F$1765,6,0)</f>
        <v>0</v>
      </c>
      <c r="H1707" s="104">
        <f t="shared" si="81"/>
        <v>0</v>
      </c>
      <c r="I1707" s="104">
        <f t="shared" si="82"/>
        <v>0</v>
      </c>
      <c r="L1707" s="112"/>
    </row>
    <row r="1708" spans="1:12" x14ac:dyDescent="0.25">
      <c r="A1708" s="23" t="s">
        <v>3961</v>
      </c>
      <c r="B1708" s="23" t="s">
        <v>2510</v>
      </c>
      <c r="C1708" s="24" t="s">
        <v>2511</v>
      </c>
      <c r="D1708" s="71">
        <v>8830.52</v>
      </c>
      <c r="E1708" s="88">
        <f>VLOOKUP(A1708,'Previous week'!$A$3:$F$1765,6,FALSE)</f>
        <v>0</v>
      </c>
      <c r="F1708" s="22">
        <f t="shared" si="83"/>
        <v>0.56999999999999995</v>
      </c>
      <c r="G1708" s="88">
        <f>VLOOKUP(A1708,'Current week'!$A$3:$F$1765,6,0)</f>
        <v>0.56999999999999995</v>
      </c>
      <c r="H1708" s="102">
        <f t="shared" si="81"/>
        <v>5033.3963999999996</v>
      </c>
      <c r="I1708" s="102">
        <f t="shared" si="82"/>
        <v>5033.3963999999996</v>
      </c>
      <c r="L1708" s="112"/>
    </row>
    <row r="1709" spans="1:12" x14ac:dyDescent="0.25">
      <c r="A1709" s="62" t="s">
        <v>3962</v>
      </c>
      <c r="B1709" s="62" t="s">
        <v>2512</v>
      </c>
      <c r="C1709" s="63"/>
      <c r="D1709" s="74">
        <v>16399.54</v>
      </c>
      <c r="E1709" s="97" t="e">
        <f>'Previous week'!#REF!</f>
        <v>#REF!</v>
      </c>
      <c r="F1709" s="65" t="e">
        <f t="shared" si="83"/>
        <v>#REF!</v>
      </c>
      <c r="G1709" s="97" t="e">
        <f>'Current week'!#REF!</f>
        <v>#REF!</v>
      </c>
      <c r="H1709" s="109" t="e">
        <f t="shared" si="81"/>
        <v>#REF!</v>
      </c>
      <c r="I1709" s="109" t="e">
        <f t="shared" si="82"/>
        <v>#REF!</v>
      </c>
      <c r="L1709" s="112"/>
    </row>
    <row r="1710" spans="1:12" x14ac:dyDescent="0.25">
      <c r="A1710" s="36" t="s">
        <v>3963</v>
      </c>
      <c r="B1710" s="36" t="s">
        <v>2513</v>
      </c>
      <c r="C1710" s="37" t="s">
        <v>2514</v>
      </c>
      <c r="D1710" s="79">
        <v>16399.54</v>
      </c>
      <c r="E1710" s="88">
        <f>VLOOKUP(A1710,'Previous week'!$A$3:$F$1765,6,FALSE)</f>
        <v>1</v>
      </c>
      <c r="F1710" s="22">
        <f t="shared" si="83"/>
        <v>0</v>
      </c>
      <c r="G1710" s="88">
        <f>VLOOKUP(A1710,'Current week'!$A$3:$F$1765,6,0)</f>
        <v>1</v>
      </c>
      <c r="H1710" s="105">
        <f t="shared" si="81"/>
        <v>16399.54</v>
      </c>
      <c r="I1710" s="105">
        <f t="shared" si="82"/>
        <v>0</v>
      </c>
      <c r="L1710" s="112"/>
    </row>
    <row r="1711" spans="1:12" x14ac:dyDescent="0.25">
      <c r="A1711" s="62" t="s">
        <v>3964</v>
      </c>
      <c r="B1711" s="62" t="s">
        <v>2515</v>
      </c>
      <c r="C1711" s="63"/>
      <c r="D1711" s="74">
        <v>18607.169999999998</v>
      </c>
      <c r="E1711" s="97" t="e">
        <f>'Previous week'!#REF!</f>
        <v>#REF!</v>
      </c>
      <c r="F1711" s="65" t="e">
        <f t="shared" si="83"/>
        <v>#REF!</v>
      </c>
      <c r="G1711" s="97" t="e">
        <f>'Current week'!#REF!</f>
        <v>#REF!</v>
      </c>
      <c r="H1711" s="109" t="e">
        <f t="shared" si="81"/>
        <v>#REF!</v>
      </c>
      <c r="I1711" s="109" t="e">
        <f t="shared" si="82"/>
        <v>#REF!</v>
      </c>
      <c r="L1711" s="112"/>
    </row>
    <row r="1712" spans="1:12" x14ac:dyDescent="0.25">
      <c r="A1712" s="19" t="s">
        <v>3965</v>
      </c>
      <c r="B1712" s="19" t="s">
        <v>2516</v>
      </c>
      <c r="C1712" s="20" t="s">
        <v>2517</v>
      </c>
      <c r="D1712" s="77">
        <v>18607.169999999998</v>
      </c>
      <c r="E1712" s="88">
        <f>VLOOKUP(A1712,'Previous week'!$A$3:$F$1765,6,FALSE)</f>
        <v>0</v>
      </c>
      <c r="F1712" s="22">
        <f t="shared" si="83"/>
        <v>0</v>
      </c>
      <c r="G1712" s="88">
        <f>VLOOKUP(A1712,'Current week'!$A$3:$F$1765,6,0)</f>
        <v>0</v>
      </c>
      <c r="H1712" s="101">
        <f t="shared" si="81"/>
        <v>0</v>
      </c>
      <c r="I1712" s="101">
        <f t="shared" si="82"/>
        <v>0</v>
      </c>
      <c r="L1712" s="112"/>
    </row>
    <row r="1713" spans="1:12" x14ac:dyDescent="0.25">
      <c r="A1713" s="33" t="s">
        <v>2928</v>
      </c>
      <c r="B1713" s="33" t="s">
        <v>1504</v>
      </c>
      <c r="C1713" s="34"/>
      <c r="D1713" s="78">
        <v>10723.16</v>
      </c>
      <c r="E1713" s="88">
        <f>VLOOKUP(A1713,'Previous week'!$A$3:$F$1765,6,FALSE)</f>
        <v>0</v>
      </c>
      <c r="F1713" s="22">
        <f t="shared" si="83"/>
        <v>0</v>
      </c>
      <c r="G1713" s="88">
        <f>VLOOKUP(A1713,'Current week'!$A$3:$F$1765,6,0)</f>
        <v>0</v>
      </c>
      <c r="H1713" s="104">
        <f t="shared" si="81"/>
        <v>0</v>
      </c>
      <c r="I1713" s="104">
        <f t="shared" si="82"/>
        <v>0</v>
      </c>
      <c r="L1713" s="112"/>
    </row>
    <row r="1714" spans="1:12" x14ac:dyDescent="0.25">
      <c r="A1714" s="33" t="s">
        <v>3966</v>
      </c>
      <c r="B1714" s="33" t="s">
        <v>2518</v>
      </c>
      <c r="C1714" s="34" t="s">
        <v>2519</v>
      </c>
      <c r="D1714" s="78">
        <v>10723.16</v>
      </c>
      <c r="E1714" s="88">
        <f>VLOOKUP(A1714,'Previous week'!$A$3:$F$1765,6,FALSE)</f>
        <v>1</v>
      </c>
      <c r="F1714" s="22">
        <f t="shared" si="83"/>
        <v>0</v>
      </c>
      <c r="G1714" s="88">
        <f>VLOOKUP(A1714,'Current week'!$A$3:$F$1765,6,0)</f>
        <v>1</v>
      </c>
      <c r="H1714" s="104">
        <f t="shared" si="81"/>
        <v>10723.16</v>
      </c>
      <c r="I1714" s="104">
        <f t="shared" si="82"/>
        <v>0</v>
      </c>
      <c r="L1714" s="112"/>
    </row>
    <row r="1715" spans="1:12" x14ac:dyDescent="0.25">
      <c r="A1715" s="33" t="s">
        <v>2934</v>
      </c>
      <c r="B1715" s="33" t="s">
        <v>1523</v>
      </c>
      <c r="C1715" s="34"/>
      <c r="D1715" s="78">
        <v>44152.6</v>
      </c>
      <c r="E1715" s="88">
        <f>VLOOKUP(A1715,'Previous week'!$A$3:$F$1765,6,FALSE)</f>
        <v>0</v>
      </c>
      <c r="F1715" s="22">
        <f t="shared" si="83"/>
        <v>0</v>
      </c>
      <c r="G1715" s="88">
        <f>VLOOKUP(A1715,'Current week'!$A$3:$F$1765,6,0)</f>
        <v>0</v>
      </c>
      <c r="H1715" s="104">
        <f t="shared" si="81"/>
        <v>0</v>
      </c>
      <c r="I1715" s="104">
        <f t="shared" si="82"/>
        <v>0</v>
      </c>
      <c r="L1715" s="112"/>
    </row>
    <row r="1716" spans="1:12" x14ac:dyDescent="0.25">
      <c r="A1716" s="23" t="s">
        <v>3967</v>
      </c>
      <c r="B1716" s="23" t="s">
        <v>2520</v>
      </c>
      <c r="C1716" s="24" t="s">
        <v>2521</v>
      </c>
      <c r="D1716" s="71">
        <v>22076.3</v>
      </c>
      <c r="E1716" s="88">
        <f>VLOOKUP(A1716,'Previous week'!$A$3:$F$1765,6,FALSE)</f>
        <v>0.5</v>
      </c>
      <c r="F1716" s="22">
        <f t="shared" si="83"/>
        <v>0.5</v>
      </c>
      <c r="G1716" s="88">
        <f>VLOOKUP(A1716,'Current week'!$A$3:$F$1765,6,0)</f>
        <v>1</v>
      </c>
      <c r="H1716" s="102">
        <f t="shared" si="81"/>
        <v>22076.3</v>
      </c>
      <c r="I1716" s="102">
        <f t="shared" si="82"/>
        <v>11038.15</v>
      </c>
      <c r="L1716" s="112"/>
    </row>
    <row r="1717" spans="1:12" x14ac:dyDescent="0.25">
      <c r="A1717" s="41" t="s">
        <v>3968</v>
      </c>
      <c r="B1717" s="41" t="s">
        <v>2522</v>
      </c>
      <c r="C1717" s="42" t="s">
        <v>2523</v>
      </c>
      <c r="D1717" s="66">
        <v>1261.5</v>
      </c>
      <c r="E1717" s="91"/>
      <c r="F1717" s="67">
        <f t="shared" si="83"/>
        <v>0</v>
      </c>
      <c r="G1717" s="91"/>
      <c r="H1717" s="103"/>
      <c r="I1717" s="103"/>
      <c r="L1717" s="112"/>
    </row>
    <row r="1718" spans="1:12" x14ac:dyDescent="0.25">
      <c r="A1718" s="45" t="s">
        <v>3969</v>
      </c>
      <c r="B1718" s="45" t="s">
        <v>2524</v>
      </c>
      <c r="C1718" s="46" t="s">
        <v>2525</v>
      </c>
      <c r="D1718" s="75">
        <v>18922.54</v>
      </c>
      <c r="E1718" s="92"/>
      <c r="F1718" s="48">
        <f t="shared" ref="F1718:F1765" si="84">G1718-E1718</f>
        <v>0</v>
      </c>
      <c r="G1718" s="92"/>
      <c r="H1718" s="106"/>
      <c r="I1718" s="106"/>
      <c r="L1718" s="112"/>
    </row>
    <row r="1719" spans="1:12" x14ac:dyDescent="0.25">
      <c r="A1719" s="19" t="s">
        <v>3970</v>
      </c>
      <c r="B1719" s="19" t="s">
        <v>2526</v>
      </c>
      <c r="C1719" s="20" t="s">
        <v>2527</v>
      </c>
      <c r="D1719" s="21">
        <v>1892.25</v>
      </c>
      <c r="E1719" s="88">
        <f>VLOOKUP(A1719,'Previous week'!$A$3:$F$1765,6,FALSE)</f>
        <v>0</v>
      </c>
      <c r="F1719" s="22">
        <f t="shared" si="84"/>
        <v>0</v>
      </c>
      <c r="G1719" s="88">
        <f>VLOOKUP(A1719,'Current week'!$A$3:$F$1765,6,0)</f>
        <v>0</v>
      </c>
      <c r="H1719" s="101">
        <f t="shared" ref="H1719:H1724" si="85">G1719*D1719</f>
        <v>0</v>
      </c>
      <c r="I1719" s="101">
        <f t="shared" ref="I1719:I1724" si="86">F1719*D1719</f>
        <v>0</v>
      </c>
      <c r="L1719" s="112"/>
    </row>
    <row r="1720" spans="1:12" x14ac:dyDescent="0.25">
      <c r="A1720" s="33" t="s">
        <v>2931</v>
      </c>
      <c r="B1720" s="33" t="s">
        <v>1059</v>
      </c>
      <c r="C1720" s="34"/>
      <c r="D1720" s="78">
        <v>198686.69</v>
      </c>
      <c r="E1720" s="88">
        <f>VLOOKUP(A1720,'Previous week'!$A$3:$F$1765,6,FALSE)</f>
        <v>0</v>
      </c>
      <c r="F1720" s="22">
        <f t="shared" si="84"/>
        <v>0</v>
      </c>
      <c r="G1720" s="88">
        <f>VLOOKUP(A1720,'Current week'!$A$3:$F$1765,6,0)</f>
        <v>0</v>
      </c>
      <c r="H1720" s="104">
        <f t="shared" si="85"/>
        <v>0</v>
      </c>
      <c r="I1720" s="104">
        <f t="shared" si="86"/>
        <v>0</v>
      </c>
      <c r="L1720" s="112"/>
    </row>
    <row r="1721" spans="1:12" x14ac:dyDescent="0.25">
      <c r="A1721" s="33" t="s">
        <v>3971</v>
      </c>
      <c r="B1721" s="33" t="s">
        <v>2528</v>
      </c>
      <c r="C1721" s="34" t="s">
        <v>2529</v>
      </c>
      <c r="D1721" s="35">
        <v>198686.69</v>
      </c>
      <c r="E1721" s="88">
        <f>VLOOKUP(A1721,'Previous week'!$A$3:$F$1765,6,FALSE)</f>
        <v>1</v>
      </c>
      <c r="F1721" s="22">
        <f t="shared" si="84"/>
        <v>0</v>
      </c>
      <c r="G1721" s="88">
        <f>VLOOKUP(A1721,'Current week'!$A$3:$F$1765,6,0)</f>
        <v>1</v>
      </c>
      <c r="H1721" s="104">
        <f t="shared" si="85"/>
        <v>198686.69</v>
      </c>
      <c r="I1721" s="104">
        <f t="shared" si="86"/>
        <v>0</v>
      </c>
      <c r="L1721" s="112"/>
    </row>
    <row r="1722" spans="1:12" x14ac:dyDescent="0.25">
      <c r="A1722" s="33" t="s">
        <v>3972</v>
      </c>
      <c r="B1722" s="33" t="s">
        <v>2530</v>
      </c>
      <c r="C1722" s="34"/>
      <c r="D1722" s="78">
        <v>8199.77</v>
      </c>
      <c r="E1722" s="88">
        <f>VLOOKUP(A1722,'Previous week'!$A$3:$F$1765,6,FALSE)</f>
        <v>1</v>
      </c>
      <c r="F1722" s="22">
        <f t="shared" si="84"/>
        <v>0</v>
      </c>
      <c r="G1722" s="88">
        <f>VLOOKUP(A1722,'Current week'!$A$3:$F$1765,6,0)</f>
        <v>1</v>
      </c>
      <c r="H1722" s="104">
        <f t="shared" si="85"/>
        <v>8199.77</v>
      </c>
      <c r="I1722" s="104">
        <f t="shared" si="86"/>
        <v>0</v>
      </c>
      <c r="L1722" s="112"/>
    </row>
    <row r="1723" spans="1:12" x14ac:dyDescent="0.25">
      <c r="A1723" s="33" t="s">
        <v>3973</v>
      </c>
      <c r="B1723" s="33" t="s">
        <v>2531</v>
      </c>
      <c r="C1723" s="34" t="s">
        <v>2532</v>
      </c>
      <c r="D1723" s="35">
        <v>5046.01</v>
      </c>
      <c r="E1723" s="88">
        <f>VLOOKUP(A1723,'Previous week'!$A$3:$F$1765,6,FALSE)</f>
        <v>1</v>
      </c>
      <c r="F1723" s="22">
        <f t="shared" si="84"/>
        <v>0</v>
      </c>
      <c r="G1723" s="88">
        <f>VLOOKUP(A1723,'Current week'!$A$3:$F$1765,6,0)</f>
        <v>1</v>
      </c>
      <c r="H1723" s="104">
        <f t="shared" si="85"/>
        <v>5046.01</v>
      </c>
      <c r="I1723" s="104">
        <f t="shared" si="86"/>
        <v>0</v>
      </c>
      <c r="L1723" s="112"/>
    </row>
    <row r="1724" spans="1:12" x14ac:dyDescent="0.25">
      <c r="A1724" s="23" t="s">
        <v>3974</v>
      </c>
      <c r="B1724" s="23" t="s">
        <v>2533</v>
      </c>
      <c r="C1724" s="24" t="s">
        <v>2534</v>
      </c>
      <c r="D1724" s="25">
        <v>3153.76</v>
      </c>
      <c r="E1724" s="88">
        <f>VLOOKUP(A1724,'Previous week'!$A$3:$F$1765,6,FALSE)</f>
        <v>1</v>
      </c>
      <c r="F1724" s="22">
        <f t="shared" si="84"/>
        <v>0</v>
      </c>
      <c r="G1724" s="88">
        <f>VLOOKUP(A1724,'Current week'!$A$3:$F$1765,6,0)</f>
        <v>1</v>
      </c>
      <c r="H1724" s="102">
        <f t="shared" si="85"/>
        <v>3153.76</v>
      </c>
      <c r="I1724" s="102">
        <f t="shared" si="86"/>
        <v>0</v>
      </c>
      <c r="L1724" s="112"/>
    </row>
    <row r="1725" spans="1:12" x14ac:dyDescent="0.25">
      <c r="A1725" s="45" t="s">
        <v>2937</v>
      </c>
      <c r="B1725" s="45" t="s">
        <v>1542</v>
      </c>
      <c r="C1725" s="46"/>
      <c r="D1725" s="75">
        <v>252300.56</v>
      </c>
      <c r="E1725" s="92"/>
      <c r="F1725" s="80">
        <f t="shared" si="84"/>
        <v>0</v>
      </c>
      <c r="G1725" s="92"/>
      <c r="H1725" s="106"/>
      <c r="I1725" s="106"/>
      <c r="L1725" s="112"/>
    </row>
    <row r="1726" spans="1:12" x14ac:dyDescent="0.25">
      <c r="A1726" s="19" t="s">
        <v>3975</v>
      </c>
      <c r="B1726" s="19" t="s">
        <v>2535</v>
      </c>
      <c r="C1726" s="20" t="s">
        <v>2536</v>
      </c>
      <c r="D1726" s="21">
        <v>252300.56</v>
      </c>
      <c r="E1726" s="88">
        <f>VLOOKUP(A1726,'Previous week'!$A$3:$F$1765,6,FALSE)</f>
        <v>0.3</v>
      </c>
      <c r="F1726" s="22">
        <f t="shared" si="84"/>
        <v>0.2</v>
      </c>
      <c r="G1726" s="88">
        <f>VLOOKUP(A1726,'Current week'!$A$3:$F$1765,6,0)</f>
        <v>0.5</v>
      </c>
      <c r="H1726" s="101">
        <f t="shared" ref="H1726:H1731" si="87">G1726*D1726</f>
        <v>126150.28</v>
      </c>
      <c r="I1726" s="101">
        <f t="shared" ref="I1726:I1731" si="88">F1726*D1726</f>
        <v>50460.112000000001</v>
      </c>
      <c r="L1726" s="112"/>
    </row>
    <row r="1727" spans="1:12" x14ac:dyDescent="0.25">
      <c r="A1727" s="33" t="s">
        <v>2940</v>
      </c>
      <c r="B1727" s="33" t="s">
        <v>1561</v>
      </c>
      <c r="C1727" s="34"/>
      <c r="D1727" s="78">
        <v>157687.85</v>
      </c>
      <c r="E1727" s="88">
        <f>VLOOKUP(A1727,'Previous week'!$A$3:$F$1765,6,FALSE)</f>
        <v>0</v>
      </c>
      <c r="F1727" s="22">
        <f t="shared" si="84"/>
        <v>0</v>
      </c>
      <c r="G1727" s="88">
        <f>VLOOKUP(A1727,'Current week'!$A$3:$F$1765,6,0)</f>
        <v>0</v>
      </c>
      <c r="H1727" s="104">
        <f t="shared" si="87"/>
        <v>0</v>
      </c>
      <c r="I1727" s="104">
        <f t="shared" si="88"/>
        <v>0</v>
      </c>
      <c r="L1727" s="112"/>
    </row>
    <row r="1728" spans="1:12" x14ac:dyDescent="0.25">
      <c r="A1728" s="33" t="s">
        <v>3976</v>
      </c>
      <c r="B1728" s="33" t="s">
        <v>2537</v>
      </c>
      <c r="C1728" s="34" t="s">
        <v>2538</v>
      </c>
      <c r="D1728" s="35">
        <v>157687.85</v>
      </c>
      <c r="E1728" s="88">
        <f>VLOOKUP(A1728,'Previous week'!$A$3:$F$1765,6,FALSE)</f>
        <v>0</v>
      </c>
      <c r="F1728" s="22">
        <f t="shared" si="84"/>
        <v>0.4</v>
      </c>
      <c r="G1728" s="88">
        <f>VLOOKUP(A1728,'Current week'!$A$3:$F$1765,6,0)</f>
        <v>0.4</v>
      </c>
      <c r="H1728" s="104">
        <f t="shared" si="87"/>
        <v>63075.140000000007</v>
      </c>
      <c r="I1728" s="104">
        <f t="shared" si="88"/>
        <v>63075.140000000007</v>
      </c>
      <c r="L1728" s="112"/>
    </row>
    <row r="1729" spans="1:12" x14ac:dyDescent="0.25">
      <c r="A1729" s="33" t="s">
        <v>2943</v>
      </c>
      <c r="B1729" s="33" t="s">
        <v>1576</v>
      </c>
      <c r="C1729" s="34"/>
      <c r="D1729" s="78">
        <v>182978.58</v>
      </c>
      <c r="E1729" s="88">
        <f>VLOOKUP(A1729,'Previous week'!$A$3:$F$1765,6,FALSE)</f>
        <v>0</v>
      </c>
      <c r="F1729" s="22">
        <f t="shared" si="84"/>
        <v>0</v>
      </c>
      <c r="G1729" s="88">
        <f>VLOOKUP(A1729,'Current week'!$A$3:$F$1765,6,0)</f>
        <v>0</v>
      </c>
      <c r="H1729" s="104">
        <f t="shared" si="87"/>
        <v>0</v>
      </c>
      <c r="I1729" s="104">
        <f t="shared" si="88"/>
        <v>0</v>
      </c>
      <c r="L1729" s="112"/>
    </row>
    <row r="1730" spans="1:12" x14ac:dyDescent="0.25">
      <c r="A1730" s="33" t="s">
        <v>3977</v>
      </c>
      <c r="B1730" s="33" t="s">
        <v>2539</v>
      </c>
      <c r="C1730" s="34" t="s">
        <v>2540</v>
      </c>
      <c r="D1730" s="35">
        <v>182978.58</v>
      </c>
      <c r="E1730" s="88">
        <f>VLOOKUP(A1730,'Previous week'!$A$3:$F$1765,6,FALSE)</f>
        <v>0.3</v>
      </c>
      <c r="F1730" s="22">
        <f t="shared" si="84"/>
        <v>0.2</v>
      </c>
      <c r="G1730" s="88">
        <f>VLOOKUP(A1730,'Current week'!$A$3:$F$1765,6,0)</f>
        <v>0.5</v>
      </c>
      <c r="H1730" s="104">
        <f t="shared" si="87"/>
        <v>91489.29</v>
      </c>
      <c r="I1730" s="104">
        <f t="shared" si="88"/>
        <v>36595.716</v>
      </c>
      <c r="L1730" s="112"/>
    </row>
    <row r="1731" spans="1:12" x14ac:dyDescent="0.25">
      <c r="A1731" s="23" t="s">
        <v>3978</v>
      </c>
      <c r="B1731" s="23" t="s">
        <v>2541</v>
      </c>
      <c r="C1731" s="24"/>
      <c r="D1731" s="71">
        <v>18243.11</v>
      </c>
      <c r="E1731" s="88">
        <f>VLOOKUP(A1731,'Previous week'!$A$3:$F$1765,6,FALSE)</f>
        <v>1</v>
      </c>
      <c r="F1731" s="22">
        <f t="shared" si="84"/>
        <v>0</v>
      </c>
      <c r="G1731" s="88">
        <f>VLOOKUP(A1731,'Current week'!$A$3:$F$1765,6,0)</f>
        <v>1</v>
      </c>
      <c r="H1731" s="102">
        <f t="shared" si="87"/>
        <v>18243.11</v>
      </c>
      <c r="I1731" s="102">
        <f t="shared" si="88"/>
        <v>0</v>
      </c>
      <c r="L1731" s="112"/>
    </row>
    <row r="1732" spans="1:12" x14ac:dyDescent="0.25">
      <c r="A1732" s="45" t="s">
        <v>3979</v>
      </c>
      <c r="B1732" s="45" t="s">
        <v>2542</v>
      </c>
      <c r="C1732" s="46" t="s">
        <v>2543</v>
      </c>
      <c r="D1732" s="75">
        <v>11984.28</v>
      </c>
      <c r="E1732" s="92"/>
      <c r="F1732" s="48">
        <f t="shared" si="84"/>
        <v>0</v>
      </c>
      <c r="G1732" s="92"/>
      <c r="H1732" s="106"/>
      <c r="I1732" s="106"/>
      <c r="L1732" s="112"/>
    </row>
    <row r="1733" spans="1:12" x14ac:dyDescent="0.25">
      <c r="A1733" s="19" t="s">
        <v>3980</v>
      </c>
      <c r="B1733" s="19" t="s">
        <v>2544</v>
      </c>
      <c r="C1733" s="20" t="s">
        <v>2545</v>
      </c>
      <c r="D1733" s="21">
        <v>6258.83</v>
      </c>
      <c r="E1733" s="88">
        <f>VLOOKUP(A1733,'Previous week'!$A$3:$F$1765,6,FALSE)</f>
        <v>1</v>
      </c>
      <c r="F1733" s="22">
        <f t="shared" si="84"/>
        <v>0</v>
      </c>
      <c r="G1733" s="88">
        <f>VLOOKUP(A1733,'Current week'!$A$3:$F$1765,6,0)</f>
        <v>1</v>
      </c>
      <c r="H1733" s="101">
        <f t="shared" ref="H1733:H1738" si="89">G1733*D1733</f>
        <v>6258.83</v>
      </c>
      <c r="I1733" s="101">
        <f t="shared" ref="I1733:I1738" si="90">F1733*D1733</f>
        <v>0</v>
      </c>
      <c r="L1733" s="112"/>
    </row>
    <row r="1734" spans="1:12" x14ac:dyDescent="0.25">
      <c r="A1734" s="33" t="s">
        <v>3981</v>
      </c>
      <c r="B1734" s="33" t="s">
        <v>223</v>
      </c>
      <c r="C1734" s="34"/>
      <c r="D1734" s="78">
        <v>5730434.7800000003</v>
      </c>
      <c r="E1734" s="88">
        <f>VLOOKUP(A1734,'Previous week'!$A$3:$F$1765,6,FALSE)</f>
        <v>0.70709999999999995</v>
      </c>
      <c r="F1734" s="22">
        <f t="shared" si="84"/>
        <v>5.0000000000000044E-2</v>
      </c>
      <c r="G1734" s="88">
        <f>VLOOKUP(A1734,'Current week'!$A$3:$F$1765,6,0)</f>
        <v>0.7571</v>
      </c>
      <c r="H1734" s="104">
        <f t="shared" si="89"/>
        <v>4338512.1719380002</v>
      </c>
      <c r="I1734" s="104">
        <f t="shared" si="90"/>
        <v>286521.73900000029</v>
      </c>
      <c r="L1734" s="112"/>
    </row>
    <row r="1735" spans="1:12" x14ac:dyDescent="0.25">
      <c r="A1735" s="33" t="s">
        <v>3982</v>
      </c>
      <c r="B1735" s="33" t="s">
        <v>2546</v>
      </c>
      <c r="C1735" s="34" t="s">
        <v>2547</v>
      </c>
      <c r="D1735" s="35">
        <v>818633.54</v>
      </c>
      <c r="E1735" s="88">
        <f>VLOOKUP(A1735,'Previous week'!$A$3:$F$1765,6,FALSE)</f>
        <v>1</v>
      </c>
      <c r="F1735" s="22">
        <f t="shared" si="84"/>
        <v>0</v>
      </c>
      <c r="G1735" s="88">
        <f>VLOOKUP(A1735,'Current week'!$A$3:$F$1765,6,0)</f>
        <v>1</v>
      </c>
      <c r="H1735" s="104">
        <f t="shared" si="89"/>
        <v>818633.54</v>
      </c>
      <c r="I1735" s="104">
        <f t="shared" si="90"/>
        <v>0</v>
      </c>
      <c r="L1735" s="112"/>
    </row>
    <row r="1736" spans="1:12" x14ac:dyDescent="0.25">
      <c r="A1736" s="33" t="s">
        <v>3983</v>
      </c>
      <c r="B1736" s="33" t="s">
        <v>2548</v>
      </c>
      <c r="C1736" s="34" t="s">
        <v>2549</v>
      </c>
      <c r="D1736" s="78">
        <v>818633.54</v>
      </c>
      <c r="E1736" s="88">
        <f>VLOOKUP(A1736,'Previous week'!$A$3:$F$1765,6,FALSE)</f>
        <v>1</v>
      </c>
      <c r="F1736" s="22">
        <f t="shared" si="84"/>
        <v>0</v>
      </c>
      <c r="G1736" s="88">
        <f>VLOOKUP(A1736,'Current week'!$A$3:$F$1765,6,0)</f>
        <v>1</v>
      </c>
      <c r="H1736" s="104">
        <f t="shared" si="89"/>
        <v>818633.54</v>
      </c>
      <c r="I1736" s="104">
        <f t="shared" si="90"/>
        <v>0</v>
      </c>
      <c r="L1736" s="112"/>
    </row>
    <row r="1737" spans="1:12" x14ac:dyDescent="0.25">
      <c r="A1737" s="33" t="s">
        <v>3984</v>
      </c>
      <c r="B1737" s="33" t="s">
        <v>2550</v>
      </c>
      <c r="C1737" s="34" t="s">
        <v>238</v>
      </c>
      <c r="D1737" s="35">
        <v>818633.54</v>
      </c>
      <c r="E1737" s="88">
        <f>VLOOKUP(A1737,'Previous week'!$A$3:$F$1765,6,FALSE)</f>
        <v>1</v>
      </c>
      <c r="F1737" s="22">
        <f t="shared" si="84"/>
        <v>0</v>
      </c>
      <c r="G1737" s="88">
        <f>VLOOKUP(A1737,'Current week'!$A$3:$F$1765,6,0)</f>
        <v>1</v>
      </c>
      <c r="H1737" s="104">
        <f t="shared" si="89"/>
        <v>818633.54</v>
      </c>
      <c r="I1737" s="104">
        <f t="shared" si="90"/>
        <v>0</v>
      </c>
      <c r="L1737" s="112"/>
    </row>
    <row r="1738" spans="1:12" x14ac:dyDescent="0.25">
      <c r="A1738" s="23" t="s">
        <v>3985</v>
      </c>
      <c r="B1738" s="23" t="s">
        <v>2551</v>
      </c>
      <c r="C1738" s="24" t="s">
        <v>2552</v>
      </c>
      <c r="D1738" s="71">
        <v>818633.54</v>
      </c>
      <c r="E1738" s="88">
        <f>VLOOKUP(A1738,'Previous week'!$A$3:$F$1765,6,FALSE)</f>
        <v>1</v>
      </c>
      <c r="F1738" s="22">
        <f t="shared" si="84"/>
        <v>0</v>
      </c>
      <c r="G1738" s="88">
        <f>VLOOKUP(A1738,'Current week'!$A$3:$F$1765,6,0)</f>
        <v>1</v>
      </c>
      <c r="H1738" s="102">
        <f t="shared" si="89"/>
        <v>818633.54</v>
      </c>
      <c r="I1738" s="102">
        <f t="shared" si="90"/>
        <v>0</v>
      </c>
      <c r="L1738" s="112"/>
    </row>
    <row r="1739" spans="1:12" x14ac:dyDescent="0.25">
      <c r="A1739" s="45" t="s">
        <v>3986</v>
      </c>
      <c r="B1739" s="45" t="s">
        <v>2553</v>
      </c>
      <c r="C1739" s="46" t="s">
        <v>2554</v>
      </c>
      <c r="D1739" s="75">
        <v>818633.54</v>
      </c>
      <c r="E1739" s="92"/>
      <c r="F1739" s="48">
        <f t="shared" si="84"/>
        <v>0</v>
      </c>
      <c r="G1739" s="92"/>
      <c r="H1739" s="106"/>
      <c r="I1739" s="106"/>
      <c r="L1739" s="112"/>
    </row>
    <row r="1740" spans="1:12" x14ac:dyDescent="0.25">
      <c r="A1740" s="19" t="s">
        <v>3987</v>
      </c>
      <c r="B1740" s="19" t="s">
        <v>2555</v>
      </c>
      <c r="C1740" s="20" t="s">
        <v>2556</v>
      </c>
      <c r="D1740" s="21">
        <v>818633.54</v>
      </c>
      <c r="E1740" s="88">
        <f>VLOOKUP(A1740,'Previous week'!$A$3:$F$1765,6,FALSE)</f>
        <v>0.2</v>
      </c>
      <c r="F1740" s="22">
        <f t="shared" si="84"/>
        <v>0</v>
      </c>
      <c r="G1740" s="88">
        <f>VLOOKUP(A1740,'Current week'!$A$3:$F$1765,6,0)</f>
        <v>0.2</v>
      </c>
      <c r="H1740" s="101">
        <f t="shared" ref="H1740:H1745" si="91">G1740*D1740</f>
        <v>163726.70800000001</v>
      </c>
      <c r="I1740" s="101">
        <f t="shared" ref="I1740:I1745" si="92">F1740*D1740</f>
        <v>0</v>
      </c>
      <c r="L1740" s="112"/>
    </row>
    <row r="1741" spans="1:12" x14ac:dyDescent="0.25">
      <c r="A1741" s="33" t="s">
        <v>3988</v>
      </c>
      <c r="B1741" s="33" t="s">
        <v>2557</v>
      </c>
      <c r="C1741" s="34" t="s">
        <v>2558</v>
      </c>
      <c r="D1741" s="78">
        <v>818633.54</v>
      </c>
      <c r="E1741" s="88">
        <f>VLOOKUP(A1741,'Previous week'!$A$3:$F$1765,6,FALSE)</f>
        <v>0.55000000000000004</v>
      </c>
      <c r="F1741" s="22">
        <f t="shared" si="84"/>
        <v>0.25</v>
      </c>
      <c r="G1741" s="88">
        <f>VLOOKUP(A1741,'Current week'!$A$3:$F$1765,6,0)</f>
        <v>0.8</v>
      </c>
      <c r="H1741" s="104">
        <f t="shared" si="91"/>
        <v>654906.83200000005</v>
      </c>
      <c r="I1741" s="104">
        <f t="shared" si="92"/>
        <v>204658.38500000001</v>
      </c>
      <c r="L1741" s="112"/>
    </row>
    <row r="1742" spans="1:12" x14ac:dyDescent="0.25">
      <c r="A1742" s="33" t="s">
        <v>3989</v>
      </c>
      <c r="B1742" s="33" t="s">
        <v>2559</v>
      </c>
      <c r="C1742" s="34"/>
      <c r="D1742" s="35">
        <v>0</v>
      </c>
      <c r="E1742" s="88">
        <f>VLOOKUP(A1742,'Previous week'!$A$3:$F$1765,6,FALSE)</f>
        <v>0</v>
      </c>
      <c r="F1742" s="22">
        <f t="shared" si="84"/>
        <v>0</v>
      </c>
      <c r="G1742" s="88">
        <f>VLOOKUP(A1742,'Current week'!$A$3:$F$1765,6,0)</f>
        <v>0</v>
      </c>
      <c r="H1742" s="104">
        <f t="shared" si="91"/>
        <v>0</v>
      </c>
      <c r="I1742" s="104">
        <f t="shared" si="92"/>
        <v>0</v>
      </c>
      <c r="L1742" s="112"/>
    </row>
    <row r="1743" spans="1:12" x14ac:dyDescent="0.25">
      <c r="A1743" s="33" t="s">
        <v>3990</v>
      </c>
      <c r="B1743" s="33" t="s">
        <v>224</v>
      </c>
      <c r="C1743" s="34"/>
      <c r="D1743" s="78">
        <v>0</v>
      </c>
      <c r="E1743" s="88">
        <f>VLOOKUP(A1743,'Previous week'!$A$3:$F$1765,6,FALSE)</f>
        <v>0</v>
      </c>
      <c r="F1743" s="22">
        <f t="shared" si="84"/>
        <v>0</v>
      </c>
      <c r="G1743" s="88">
        <f>VLOOKUP(A1743,'Current week'!$A$3:$F$1765,6,0)</f>
        <v>0</v>
      </c>
      <c r="H1743" s="104">
        <f t="shared" si="91"/>
        <v>0</v>
      </c>
      <c r="I1743" s="104">
        <f t="shared" si="92"/>
        <v>0</v>
      </c>
      <c r="L1743" s="112"/>
    </row>
    <row r="1744" spans="1:12" x14ac:dyDescent="0.25">
      <c r="A1744" s="33" t="s">
        <v>3991</v>
      </c>
      <c r="B1744" s="33" t="s">
        <v>225</v>
      </c>
      <c r="C1744" s="34"/>
      <c r="D1744" s="35">
        <v>0</v>
      </c>
      <c r="E1744" s="88">
        <f>VLOOKUP(A1744,'Previous week'!$A$3:$F$1765,6,FALSE)</f>
        <v>0</v>
      </c>
      <c r="F1744" s="22">
        <f t="shared" si="84"/>
        <v>0</v>
      </c>
      <c r="G1744" s="88">
        <f>VLOOKUP(A1744,'Current week'!$A$3:$F$1765,6,0)</f>
        <v>0</v>
      </c>
      <c r="H1744" s="104">
        <f t="shared" si="91"/>
        <v>0</v>
      </c>
      <c r="I1744" s="104">
        <f t="shared" si="92"/>
        <v>0</v>
      </c>
      <c r="L1744" s="112"/>
    </row>
    <row r="1745" spans="1:12" x14ac:dyDescent="0.25">
      <c r="A1745" s="23" t="s">
        <v>3992</v>
      </c>
      <c r="B1745" s="23" t="s">
        <v>2560</v>
      </c>
      <c r="C1745" s="24" t="s">
        <v>2561</v>
      </c>
      <c r="D1745" s="71">
        <v>0</v>
      </c>
      <c r="E1745" s="88">
        <f>VLOOKUP(A1745,'Previous week'!$A$3:$F$1765,6,FALSE)</f>
        <v>1</v>
      </c>
      <c r="F1745" s="22">
        <f t="shared" si="84"/>
        <v>0</v>
      </c>
      <c r="G1745" s="88">
        <f>VLOOKUP(A1745,'Current week'!$A$3:$F$1765,6,0)</f>
        <v>1</v>
      </c>
      <c r="H1745" s="102">
        <f t="shared" si="91"/>
        <v>0</v>
      </c>
      <c r="I1745" s="102">
        <f t="shared" si="92"/>
        <v>0</v>
      </c>
      <c r="L1745" s="112"/>
    </row>
    <row r="1746" spans="1:12" x14ac:dyDescent="0.25">
      <c r="A1746" s="45" t="s">
        <v>3993</v>
      </c>
      <c r="B1746" s="45" t="s">
        <v>2562</v>
      </c>
      <c r="C1746" s="46" t="s">
        <v>2563</v>
      </c>
      <c r="D1746" s="75">
        <v>0</v>
      </c>
      <c r="E1746" s="92"/>
      <c r="F1746" s="80">
        <f t="shared" si="84"/>
        <v>0</v>
      </c>
      <c r="G1746" s="92"/>
      <c r="H1746" s="106"/>
      <c r="I1746" s="106"/>
      <c r="L1746" s="112"/>
    </row>
    <row r="1747" spans="1:12" x14ac:dyDescent="0.25">
      <c r="A1747" s="19" t="s">
        <v>3994</v>
      </c>
      <c r="B1747" s="19" t="s">
        <v>2564</v>
      </c>
      <c r="C1747" s="20" t="s">
        <v>226</v>
      </c>
      <c r="D1747" s="77">
        <v>0</v>
      </c>
      <c r="E1747" s="88">
        <f>VLOOKUP(A1747,'Previous week'!$A$3:$F$1765,6,FALSE)</f>
        <v>1</v>
      </c>
      <c r="F1747" s="22">
        <f t="shared" si="84"/>
        <v>0</v>
      </c>
      <c r="G1747" s="88">
        <f>VLOOKUP(A1747,'Current week'!$A$3:$F$1765,6,0)</f>
        <v>1</v>
      </c>
      <c r="H1747" s="101">
        <f t="shared" ref="H1747:H1752" si="93">G1747*D1747</f>
        <v>0</v>
      </c>
      <c r="I1747" s="101">
        <f t="shared" ref="I1747:I1752" si="94">F1747*D1747</f>
        <v>0</v>
      </c>
      <c r="L1747" s="112"/>
    </row>
    <row r="1748" spans="1:12" x14ac:dyDescent="0.25">
      <c r="A1748" s="33" t="s">
        <v>3995</v>
      </c>
      <c r="B1748" s="33" t="s">
        <v>2565</v>
      </c>
      <c r="C1748" s="34" t="s">
        <v>2566</v>
      </c>
      <c r="D1748" s="78">
        <v>0</v>
      </c>
      <c r="E1748" s="88">
        <f>VLOOKUP(A1748,'Previous week'!$A$3:$F$1765,6,FALSE)</f>
        <v>1</v>
      </c>
      <c r="F1748" s="22">
        <f t="shared" si="84"/>
        <v>0</v>
      </c>
      <c r="G1748" s="88">
        <f>VLOOKUP(A1748,'Current week'!$A$3:$F$1765,6,0)</f>
        <v>1</v>
      </c>
      <c r="H1748" s="104">
        <f t="shared" si="93"/>
        <v>0</v>
      </c>
      <c r="I1748" s="104">
        <f t="shared" si="94"/>
        <v>0</v>
      </c>
      <c r="L1748" s="112"/>
    </row>
    <row r="1749" spans="1:12" x14ac:dyDescent="0.25">
      <c r="A1749" s="33" t="s">
        <v>3996</v>
      </c>
      <c r="B1749" s="33" t="s">
        <v>2567</v>
      </c>
      <c r="C1749" s="34" t="s">
        <v>2568</v>
      </c>
      <c r="D1749" s="78">
        <v>0</v>
      </c>
      <c r="E1749" s="88">
        <f>VLOOKUP(A1749,'Previous week'!$A$3:$F$1765,6,FALSE)</f>
        <v>0</v>
      </c>
      <c r="F1749" s="22">
        <f t="shared" si="84"/>
        <v>0.35</v>
      </c>
      <c r="G1749" s="88">
        <f>VLOOKUP(A1749,'Current week'!$A$3:$F$1765,6,0)</f>
        <v>0.35</v>
      </c>
      <c r="H1749" s="104">
        <f t="shared" si="93"/>
        <v>0</v>
      </c>
      <c r="I1749" s="104">
        <f t="shared" si="94"/>
        <v>0</v>
      </c>
      <c r="L1749" s="112"/>
    </row>
    <row r="1750" spans="1:12" x14ac:dyDescent="0.25">
      <c r="A1750" s="33" t="s">
        <v>3997</v>
      </c>
      <c r="B1750" s="33" t="s">
        <v>2569</v>
      </c>
      <c r="C1750" s="34" t="s">
        <v>2570</v>
      </c>
      <c r="D1750" s="78">
        <v>0</v>
      </c>
      <c r="E1750" s="88">
        <f>VLOOKUP(A1750,'Previous week'!$A$3:$F$1765,6,FALSE)</f>
        <v>0</v>
      </c>
      <c r="F1750" s="22">
        <f t="shared" si="84"/>
        <v>0</v>
      </c>
      <c r="G1750" s="88">
        <f>VLOOKUP(A1750,'Current week'!$A$3:$F$1765,6,0)</f>
        <v>0</v>
      </c>
      <c r="H1750" s="104">
        <f t="shared" si="93"/>
        <v>0</v>
      </c>
      <c r="I1750" s="104">
        <f t="shared" si="94"/>
        <v>0</v>
      </c>
      <c r="L1750" s="112"/>
    </row>
    <row r="1751" spans="1:12" x14ac:dyDescent="0.25">
      <c r="A1751" s="33" t="s">
        <v>3998</v>
      </c>
      <c r="B1751" s="33" t="s">
        <v>2571</v>
      </c>
      <c r="C1751" s="34" t="s">
        <v>2572</v>
      </c>
      <c r="D1751" s="78">
        <v>0</v>
      </c>
      <c r="E1751" s="88">
        <f>VLOOKUP(A1751,'Previous week'!$A$3:$F$1765,6,FALSE)</f>
        <v>0</v>
      </c>
      <c r="F1751" s="22">
        <f t="shared" si="84"/>
        <v>0.35</v>
      </c>
      <c r="G1751" s="88">
        <f>VLOOKUP(A1751,'Current week'!$A$3:$F$1765,6,0)</f>
        <v>0.35</v>
      </c>
      <c r="H1751" s="104">
        <f t="shared" si="93"/>
        <v>0</v>
      </c>
      <c r="I1751" s="104">
        <f t="shared" si="94"/>
        <v>0</v>
      </c>
      <c r="L1751" s="112"/>
    </row>
    <row r="1752" spans="1:12" x14ac:dyDescent="0.25">
      <c r="A1752" s="23" t="s">
        <v>3999</v>
      </c>
      <c r="B1752" s="23" t="s">
        <v>227</v>
      </c>
      <c r="C1752" s="24"/>
      <c r="D1752" s="71">
        <v>0</v>
      </c>
      <c r="E1752" s="88">
        <f>VLOOKUP(A1752,'Previous week'!$A$3:$F$1765,6,FALSE)</f>
        <v>0</v>
      </c>
      <c r="F1752" s="22">
        <f t="shared" si="84"/>
        <v>0</v>
      </c>
      <c r="G1752" s="88">
        <f>VLOOKUP(A1752,'Current week'!$A$3:$F$1765,6,0)</f>
        <v>0</v>
      </c>
      <c r="H1752" s="102">
        <f t="shared" si="93"/>
        <v>0</v>
      </c>
      <c r="I1752" s="102">
        <f t="shared" si="94"/>
        <v>0</v>
      </c>
      <c r="L1752" s="112"/>
    </row>
    <row r="1753" spans="1:12" x14ac:dyDescent="0.25">
      <c r="A1753" s="45" t="s">
        <v>4000</v>
      </c>
      <c r="B1753" s="45" t="s">
        <v>2573</v>
      </c>
      <c r="C1753" s="46" t="s">
        <v>2574</v>
      </c>
      <c r="D1753" s="75">
        <v>0</v>
      </c>
      <c r="E1753" s="92"/>
      <c r="F1753" s="48">
        <f t="shared" si="84"/>
        <v>0</v>
      </c>
      <c r="G1753" s="92"/>
      <c r="H1753" s="106"/>
      <c r="I1753" s="106"/>
      <c r="L1753" s="112"/>
    </row>
    <row r="1754" spans="1:12" x14ac:dyDescent="0.25">
      <c r="A1754" s="19" t="s">
        <v>4001</v>
      </c>
      <c r="B1754" s="19" t="s">
        <v>2575</v>
      </c>
      <c r="C1754" s="20" t="s">
        <v>2576</v>
      </c>
      <c r="D1754" s="21">
        <v>0</v>
      </c>
      <c r="E1754" s="88">
        <f>VLOOKUP(A1754,'Previous week'!$A$3:$F$1765,6,FALSE)</f>
        <v>1</v>
      </c>
      <c r="F1754" s="22">
        <f t="shared" si="84"/>
        <v>0</v>
      </c>
      <c r="G1754" s="88">
        <f>VLOOKUP(A1754,'Current week'!$A$3:$F$1765,6,0)</f>
        <v>1</v>
      </c>
      <c r="H1754" s="101">
        <f t="shared" ref="H1754:H1759" si="95">G1754*D1754</f>
        <v>0</v>
      </c>
      <c r="I1754" s="101">
        <f t="shared" ref="I1754:I1759" si="96">F1754*D1754</f>
        <v>0</v>
      </c>
      <c r="L1754" s="112"/>
    </row>
    <row r="1755" spans="1:12" x14ac:dyDescent="0.25">
      <c r="A1755" s="33" t="s">
        <v>4002</v>
      </c>
      <c r="B1755" s="33" t="s">
        <v>2577</v>
      </c>
      <c r="C1755" s="34" t="s">
        <v>2578</v>
      </c>
      <c r="D1755" s="78">
        <v>0</v>
      </c>
      <c r="E1755" s="88">
        <f>VLOOKUP(A1755,'Previous week'!$A$3:$F$1765,6,FALSE)</f>
        <v>1</v>
      </c>
      <c r="F1755" s="22">
        <f t="shared" si="84"/>
        <v>0</v>
      </c>
      <c r="G1755" s="88">
        <f>VLOOKUP(A1755,'Current week'!$A$3:$F$1765,6,0)</f>
        <v>1</v>
      </c>
      <c r="H1755" s="104">
        <f t="shared" si="95"/>
        <v>0</v>
      </c>
      <c r="I1755" s="104">
        <f t="shared" si="96"/>
        <v>0</v>
      </c>
      <c r="L1755" s="112"/>
    </row>
    <row r="1756" spans="1:12" x14ac:dyDescent="0.25">
      <c r="A1756" s="33" t="s">
        <v>4003</v>
      </c>
      <c r="B1756" s="33" t="s">
        <v>2579</v>
      </c>
      <c r="C1756" s="34" t="s">
        <v>2580</v>
      </c>
      <c r="D1756" s="35">
        <v>0</v>
      </c>
      <c r="E1756" s="88">
        <f>VLOOKUP(A1756,'Previous week'!$A$3:$F$1765,6,FALSE)</f>
        <v>1</v>
      </c>
      <c r="F1756" s="22">
        <f t="shared" si="84"/>
        <v>0</v>
      </c>
      <c r="G1756" s="88">
        <f>VLOOKUP(A1756,'Current week'!$A$3:$F$1765,6,0)</f>
        <v>1</v>
      </c>
      <c r="H1756" s="104">
        <f t="shared" si="95"/>
        <v>0</v>
      </c>
      <c r="I1756" s="104">
        <f t="shared" si="96"/>
        <v>0</v>
      </c>
      <c r="L1756" s="112"/>
    </row>
    <row r="1757" spans="1:12" x14ac:dyDescent="0.25">
      <c r="A1757" s="33" t="s">
        <v>4004</v>
      </c>
      <c r="B1757" s="33" t="s">
        <v>2581</v>
      </c>
      <c r="C1757" s="34" t="s">
        <v>2582</v>
      </c>
      <c r="D1757" s="78">
        <v>0</v>
      </c>
      <c r="E1757" s="88">
        <f>VLOOKUP(A1757,'Previous week'!$A$3:$F$1765,6,FALSE)</f>
        <v>0</v>
      </c>
      <c r="F1757" s="22">
        <f t="shared" si="84"/>
        <v>0</v>
      </c>
      <c r="G1757" s="88">
        <f>VLOOKUP(A1757,'Current week'!$A$3:$F$1765,6,0)</f>
        <v>0</v>
      </c>
      <c r="H1757" s="104">
        <f t="shared" si="95"/>
        <v>0</v>
      </c>
      <c r="I1757" s="104">
        <f t="shared" si="96"/>
        <v>0</v>
      </c>
      <c r="L1757" s="112"/>
    </row>
    <row r="1758" spans="1:12" x14ac:dyDescent="0.25">
      <c r="A1758" s="33" t="s">
        <v>4005</v>
      </c>
      <c r="B1758" s="33" t="s">
        <v>2583</v>
      </c>
      <c r="C1758" s="34" t="s">
        <v>2584</v>
      </c>
      <c r="D1758" s="35">
        <v>0</v>
      </c>
      <c r="E1758" s="88">
        <f>VLOOKUP(A1758,'Previous week'!$A$3:$F$1765,6,FALSE)</f>
        <v>0</v>
      </c>
      <c r="F1758" s="22">
        <f t="shared" si="84"/>
        <v>0</v>
      </c>
      <c r="G1758" s="88">
        <f>VLOOKUP(A1758,'Current week'!$A$3:$F$1765,6,0)</f>
        <v>0</v>
      </c>
      <c r="H1758" s="104">
        <f t="shared" si="95"/>
        <v>0</v>
      </c>
      <c r="I1758" s="104">
        <f t="shared" si="96"/>
        <v>0</v>
      </c>
      <c r="L1758" s="112"/>
    </row>
    <row r="1759" spans="1:12" x14ac:dyDescent="0.25">
      <c r="A1759" s="23" t="s">
        <v>4006</v>
      </c>
      <c r="B1759" s="23" t="s">
        <v>2585</v>
      </c>
      <c r="C1759" s="24" t="s">
        <v>2586</v>
      </c>
      <c r="D1759" s="71">
        <v>0</v>
      </c>
      <c r="E1759" s="88">
        <f>VLOOKUP(A1759,'Previous week'!$A$3:$F$1765,6,FALSE)</f>
        <v>0</v>
      </c>
      <c r="F1759" s="22">
        <f t="shared" si="84"/>
        <v>0</v>
      </c>
      <c r="G1759" s="88">
        <f>VLOOKUP(A1759,'Current week'!$A$3:$F$1765,6,0)</f>
        <v>0</v>
      </c>
      <c r="H1759" s="102">
        <f t="shared" si="95"/>
        <v>0</v>
      </c>
      <c r="I1759" s="102">
        <f t="shared" si="96"/>
        <v>0</v>
      </c>
      <c r="L1759" s="112"/>
    </row>
    <row r="1760" spans="1:12" x14ac:dyDescent="0.25">
      <c r="A1760" s="45" t="s">
        <v>4007</v>
      </c>
      <c r="B1760" s="45" t="s">
        <v>2587</v>
      </c>
      <c r="C1760" s="46"/>
      <c r="D1760" s="75">
        <v>0</v>
      </c>
      <c r="E1760" s="92"/>
      <c r="F1760" s="48">
        <f t="shared" si="84"/>
        <v>0</v>
      </c>
      <c r="G1760" s="92"/>
      <c r="H1760" s="106"/>
      <c r="I1760" s="106"/>
      <c r="L1760" s="112"/>
    </row>
    <row r="1761" spans="1:12" x14ac:dyDescent="0.25">
      <c r="A1761" s="19" t="s">
        <v>4008</v>
      </c>
      <c r="B1761" s="19" t="s">
        <v>2588</v>
      </c>
      <c r="C1761" s="20" t="s">
        <v>228</v>
      </c>
      <c r="D1761" s="21">
        <v>0</v>
      </c>
      <c r="E1761" s="88">
        <f>VLOOKUP(A1761,'Previous week'!$A$3:$F$1765,6,FALSE)</f>
        <v>0</v>
      </c>
      <c r="F1761" s="22">
        <f t="shared" si="84"/>
        <v>0</v>
      </c>
      <c r="G1761" s="88">
        <f>VLOOKUP(A1761,'Current week'!$A$3:$F$1765,6,0)</f>
        <v>0</v>
      </c>
      <c r="H1761" s="101">
        <f>G1761*D1761</f>
        <v>0</v>
      </c>
      <c r="I1761" s="101">
        <f>F1761*D1761</f>
        <v>0</v>
      </c>
      <c r="L1761" s="112"/>
    </row>
    <row r="1762" spans="1:12" x14ac:dyDescent="0.25">
      <c r="A1762" s="33" t="s">
        <v>4009</v>
      </c>
      <c r="B1762" s="33" t="s">
        <v>2589</v>
      </c>
      <c r="C1762" s="34" t="s">
        <v>2590</v>
      </c>
      <c r="D1762" s="78">
        <v>0</v>
      </c>
      <c r="E1762" s="88">
        <f>VLOOKUP(A1762,'Previous week'!$A$3:$F$1765,6,FALSE)</f>
        <v>0</v>
      </c>
      <c r="F1762" s="22">
        <f t="shared" si="84"/>
        <v>0</v>
      </c>
      <c r="G1762" s="88">
        <f>VLOOKUP(A1762,'Current week'!$A$3:$F$1765,6,0)</f>
        <v>0</v>
      </c>
      <c r="H1762" s="104">
        <f>G1762*D1762</f>
        <v>0</v>
      </c>
      <c r="I1762" s="104">
        <f>F1762*D1762</f>
        <v>0</v>
      </c>
      <c r="L1762" s="112"/>
    </row>
    <row r="1763" spans="1:12" x14ac:dyDescent="0.25">
      <c r="A1763" s="33" t="s">
        <v>4010</v>
      </c>
      <c r="B1763" s="33" t="s">
        <v>2591</v>
      </c>
      <c r="C1763" s="34" t="s">
        <v>2592</v>
      </c>
      <c r="D1763" s="35">
        <v>0</v>
      </c>
      <c r="E1763" s="88">
        <f>VLOOKUP(A1763,'Previous week'!$A$3:$F$1765,6,FALSE)</f>
        <v>0</v>
      </c>
      <c r="F1763" s="22">
        <f t="shared" si="84"/>
        <v>0</v>
      </c>
      <c r="G1763" s="88">
        <f>VLOOKUP(A1763,'Current week'!$A$3:$F$1765,6,0)</f>
        <v>0</v>
      </c>
      <c r="H1763" s="104">
        <f>G1763*D1763</f>
        <v>0</v>
      </c>
      <c r="I1763" s="104">
        <f>F1763*D1763</f>
        <v>0</v>
      </c>
      <c r="L1763" s="112"/>
    </row>
    <row r="1764" spans="1:12" x14ac:dyDescent="0.25">
      <c r="A1764" s="33" t="s">
        <v>4011</v>
      </c>
      <c r="B1764" s="33" t="s">
        <v>2593</v>
      </c>
      <c r="C1764" s="34" t="s">
        <v>229</v>
      </c>
      <c r="D1764" s="78">
        <v>0</v>
      </c>
      <c r="E1764" s="88">
        <f>VLOOKUP(A1764,'Previous week'!$A$3:$F$1765,6,FALSE)</f>
        <v>0</v>
      </c>
      <c r="F1764" s="22">
        <f t="shared" si="84"/>
        <v>0</v>
      </c>
      <c r="G1764" s="88">
        <f>VLOOKUP(A1764,'Current week'!$A$3:$F$1765,6,0)</f>
        <v>0</v>
      </c>
      <c r="H1764" s="104">
        <f>G1764*D1764</f>
        <v>0</v>
      </c>
      <c r="I1764" s="104">
        <f>F1764*D1764</f>
        <v>0</v>
      </c>
      <c r="L1764" s="112"/>
    </row>
    <row r="1765" spans="1:12" x14ac:dyDescent="0.25">
      <c r="A1765" s="33" t="s">
        <v>4012</v>
      </c>
      <c r="B1765" s="33" t="s">
        <v>2594</v>
      </c>
      <c r="C1765" s="34" t="s">
        <v>2595</v>
      </c>
      <c r="D1765" s="35">
        <v>0</v>
      </c>
      <c r="E1765" s="88">
        <f>VLOOKUP(A1765,'Previous week'!$A$3:$F$1765,6,FALSE)</f>
        <v>0</v>
      </c>
      <c r="F1765" s="22">
        <f t="shared" si="84"/>
        <v>0</v>
      </c>
      <c r="G1765" s="88">
        <f>VLOOKUP(A1765,'Current week'!$A$3:$F$1765,6,0)</f>
        <v>0</v>
      </c>
      <c r="H1765" s="104">
        <f>G1765*D1765</f>
        <v>0</v>
      </c>
      <c r="I1765" s="104">
        <f>F1765*D1765</f>
        <v>0</v>
      </c>
      <c r="L1765" s="112"/>
    </row>
  </sheetData>
  <autoFilter ref="A1:L1765" xr:uid="{A6E51BC0-CA3E-47F1-8A51-7DA9252670D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D2C2-A3BB-46DB-A925-E650542741FA}">
  <dimension ref="A1:G1765"/>
  <sheetViews>
    <sheetView topLeftCell="B16" zoomScaleNormal="100" workbookViewId="0">
      <selection activeCell="B1" sqref="B1:G1720"/>
    </sheetView>
  </sheetViews>
  <sheetFormatPr defaultColWidth="19.85546875" defaultRowHeight="15" x14ac:dyDescent="0.25"/>
  <cols>
    <col min="1" max="1" width="0" style="111" hidden="1" customWidth="1"/>
  </cols>
  <sheetData>
    <row r="1" spans="1:7" x14ac:dyDescent="0.25">
      <c r="A1" s="111" t="s">
        <v>0</v>
      </c>
      <c r="B1" t="s">
        <v>0</v>
      </c>
      <c r="C1" t="s">
        <v>1</v>
      </c>
      <c r="D1" t="s">
        <v>236</v>
      </c>
      <c r="E1" t="s">
        <v>4</v>
      </c>
      <c r="F1" t="s">
        <v>3</v>
      </c>
      <c r="G1" t="s">
        <v>237</v>
      </c>
    </row>
    <row r="2" spans="1:7" x14ac:dyDescent="0.25">
      <c r="A2" s="111" t="s">
        <v>5</v>
      </c>
      <c r="B2" t="s">
        <v>4135</v>
      </c>
      <c r="D2" s="1">
        <v>57304347.859999999</v>
      </c>
      <c r="F2" s="2">
        <v>0.95169999999999999</v>
      </c>
      <c r="G2" s="1">
        <v>54534354.68</v>
      </c>
    </row>
    <row r="3" spans="1:7" x14ac:dyDescent="0.25">
      <c r="A3" s="111" t="str">
        <f>TRIM(B3)</f>
        <v>Key Milestones</v>
      </c>
      <c r="B3" t="s">
        <v>240</v>
      </c>
      <c r="D3">
        <v>0</v>
      </c>
      <c r="F3" s="3">
        <v>0</v>
      </c>
      <c r="G3">
        <v>0</v>
      </c>
    </row>
    <row r="4" spans="1:7" x14ac:dyDescent="0.25">
      <c r="A4" s="111" t="str">
        <f t="shared" ref="A4:A67" si="0">TRIM(B4)</f>
        <v>General Milestone</v>
      </c>
      <c r="B4" t="s">
        <v>241</v>
      </c>
      <c r="D4">
        <v>0</v>
      </c>
      <c r="F4" s="3">
        <v>0</v>
      </c>
      <c r="G4">
        <v>0</v>
      </c>
    </row>
    <row r="5" spans="1:7" x14ac:dyDescent="0.25">
      <c r="A5" s="111" t="str">
        <f t="shared" si="0"/>
        <v>JDH4-02-007-MS-1000</v>
      </c>
      <c r="B5" t="s">
        <v>242</v>
      </c>
      <c r="C5" t="s">
        <v>243</v>
      </c>
      <c r="D5">
        <v>0</v>
      </c>
      <c r="E5" s="3">
        <v>1</v>
      </c>
      <c r="F5" s="3">
        <v>1</v>
      </c>
      <c r="G5">
        <v>0</v>
      </c>
    </row>
    <row r="6" spans="1:7" x14ac:dyDescent="0.25">
      <c r="A6" s="111" t="str">
        <f t="shared" si="0"/>
        <v>JDH4-02-007-MS-1010</v>
      </c>
      <c r="B6" t="s">
        <v>244</v>
      </c>
      <c r="C6" t="s">
        <v>245</v>
      </c>
      <c r="D6">
        <v>0</v>
      </c>
      <c r="E6" s="3">
        <v>0</v>
      </c>
      <c r="F6" s="3">
        <v>0</v>
      </c>
      <c r="G6">
        <v>0</v>
      </c>
    </row>
    <row r="7" spans="1:7" x14ac:dyDescent="0.25">
      <c r="A7" s="111" t="str">
        <f t="shared" si="0"/>
        <v>Contractual Milestone</v>
      </c>
      <c r="B7" t="s">
        <v>6</v>
      </c>
      <c r="D7">
        <v>0</v>
      </c>
      <c r="F7" s="3">
        <v>0</v>
      </c>
      <c r="G7">
        <v>0</v>
      </c>
    </row>
    <row r="8" spans="1:7" x14ac:dyDescent="0.25">
      <c r="A8" s="111" t="str">
        <f t="shared" si="0"/>
        <v>Engineering &amp; Mobilization</v>
      </c>
      <c r="B8" t="s">
        <v>246</v>
      </c>
      <c r="D8">
        <v>0</v>
      </c>
      <c r="F8" s="3">
        <v>0</v>
      </c>
      <c r="G8">
        <v>0</v>
      </c>
    </row>
    <row r="9" spans="1:7" x14ac:dyDescent="0.25">
      <c r="A9" s="111" t="str">
        <f t="shared" si="0"/>
        <v>JDH4-02-007-MS-1020</v>
      </c>
      <c r="B9" t="s">
        <v>247</v>
      </c>
      <c r="C9" t="s">
        <v>248</v>
      </c>
      <c r="D9">
        <v>0</v>
      </c>
      <c r="E9" s="3">
        <v>1</v>
      </c>
      <c r="F9" s="3">
        <v>1</v>
      </c>
      <c r="G9">
        <v>0</v>
      </c>
    </row>
    <row r="10" spans="1:7" x14ac:dyDescent="0.25">
      <c r="A10" s="111" t="str">
        <f t="shared" si="0"/>
        <v>JDH4-02-007-MS-1030</v>
      </c>
      <c r="B10" t="s">
        <v>249</v>
      </c>
      <c r="C10" t="s">
        <v>250</v>
      </c>
      <c r="D10">
        <v>0</v>
      </c>
      <c r="E10" s="3">
        <v>1</v>
      </c>
      <c r="F10" s="3">
        <v>1</v>
      </c>
      <c r="G10">
        <v>0</v>
      </c>
    </row>
    <row r="11" spans="1:7" x14ac:dyDescent="0.25">
      <c r="A11" s="111" t="str">
        <f t="shared" si="0"/>
        <v>JDH4-02-007-MS-1040</v>
      </c>
      <c r="B11" t="s">
        <v>251</v>
      </c>
      <c r="C11" t="s">
        <v>252</v>
      </c>
      <c r="D11">
        <v>0</v>
      </c>
      <c r="E11" s="3">
        <v>1</v>
      </c>
      <c r="F11" s="3">
        <v>1</v>
      </c>
      <c r="G11">
        <v>0</v>
      </c>
    </row>
    <row r="12" spans="1:7" x14ac:dyDescent="0.25">
      <c r="A12" s="111" t="str">
        <f t="shared" si="0"/>
        <v>Construction</v>
      </c>
      <c r="B12" t="s">
        <v>7</v>
      </c>
      <c r="D12">
        <v>0</v>
      </c>
      <c r="E12" s="3"/>
      <c r="F12" s="3">
        <v>0</v>
      </c>
      <c r="G12">
        <v>0</v>
      </c>
    </row>
    <row r="13" spans="1:7" x14ac:dyDescent="0.25">
      <c r="A13" s="111" t="str">
        <f t="shared" si="0"/>
        <v>JDH4-02-007-MS-1060</v>
      </c>
      <c r="B13" t="s">
        <v>255</v>
      </c>
      <c r="C13" t="s">
        <v>256</v>
      </c>
      <c r="D13">
        <v>0</v>
      </c>
      <c r="E13" s="3">
        <v>1</v>
      </c>
      <c r="F13" s="3">
        <v>1</v>
      </c>
      <c r="G13">
        <v>0</v>
      </c>
    </row>
    <row r="14" spans="1:7" x14ac:dyDescent="0.25">
      <c r="A14" s="111" t="str">
        <f t="shared" si="0"/>
        <v>JDH4-02-007-MS-1090</v>
      </c>
      <c r="B14" t="s">
        <v>261</v>
      </c>
      <c r="C14" t="s">
        <v>262</v>
      </c>
      <c r="D14">
        <v>0</v>
      </c>
      <c r="E14" s="3">
        <v>1</v>
      </c>
      <c r="F14" s="3">
        <v>1</v>
      </c>
      <c r="G14">
        <v>0</v>
      </c>
    </row>
    <row r="15" spans="1:7" x14ac:dyDescent="0.25">
      <c r="A15" s="111" t="str">
        <f t="shared" si="0"/>
        <v>JDH4-02-007-MS-1080</v>
      </c>
      <c r="B15" t="s">
        <v>259</v>
      </c>
      <c r="C15" t="s">
        <v>260</v>
      </c>
      <c r="D15">
        <v>0</v>
      </c>
      <c r="E15" s="3">
        <v>1</v>
      </c>
      <c r="F15" s="3">
        <v>1</v>
      </c>
      <c r="G15">
        <v>0</v>
      </c>
    </row>
    <row r="16" spans="1:7" x14ac:dyDescent="0.25">
      <c r="A16" s="111" t="str">
        <f t="shared" si="0"/>
        <v>JDH4-02-007-MS-1050</v>
      </c>
      <c r="B16" t="s">
        <v>253</v>
      </c>
      <c r="C16" t="s">
        <v>254</v>
      </c>
      <c r="D16">
        <v>0</v>
      </c>
      <c r="E16" s="3">
        <v>0</v>
      </c>
      <c r="F16" s="3">
        <v>0</v>
      </c>
      <c r="G16">
        <v>0</v>
      </c>
    </row>
    <row r="17" spans="1:7" x14ac:dyDescent="0.25">
      <c r="A17" s="111" t="str">
        <f t="shared" si="0"/>
        <v>JDH4-02-007-MS-1070</v>
      </c>
      <c r="B17" t="s">
        <v>257</v>
      </c>
      <c r="C17" t="s">
        <v>258</v>
      </c>
      <c r="D17">
        <v>0</v>
      </c>
      <c r="E17" s="3">
        <v>0</v>
      </c>
      <c r="F17" s="3">
        <v>0</v>
      </c>
      <c r="G17">
        <v>0</v>
      </c>
    </row>
    <row r="18" spans="1:7" x14ac:dyDescent="0.25">
      <c r="A18" s="111" t="str">
        <f t="shared" si="0"/>
        <v>JDH4-02-007-MS-1100</v>
      </c>
      <c r="B18" t="s">
        <v>263</v>
      </c>
      <c r="C18" t="s">
        <v>264</v>
      </c>
      <c r="D18">
        <v>0</v>
      </c>
      <c r="E18" s="3">
        <v>0</v>
      </c>
      <c r="F18" s="3">
        <v>0</v>
      </c>
      <c r="G18">
        <v>0</v>
      </c>
    </row>
    <row r="19" spans="1:7" x14ac:dyDescent="0.25">
      <c r="A19" s="111" t="str">
        <f t="shared" si="0"/>
        <v>JDH4-02-007-MS-1110</v>
      </c>
      <c r="B19" t="s">
        <v>265</v>
      </c>
      <c r="C19" t="s">
        <v>266</v>
      </c>
      <c r="D19">
        <v>0</v>
      </c>
      <c r="E19" s="3">
        <v>0</v>
      </c>
      <c r="F19" s="3">
        <v>0</v>
      </c>
      <c r="G19">
        <v>0</v>
      </c>
    </row>
    <row r="20" spans="1:7" x14ac:dyDescent="0.25">
      <c r="A20" s="111" t="str">
        <f t="shared" si="0"/>
        <v>Monitoring &amp; Controlling Milestone</v>
      </c>
      <c r="B20" t="s">
        <v>267</v>
      </c>
      <c r="D20">
        <v>0</v>
      </c>
      <c r="E20" s="3"/>
      <c r="F20" s="3">
        <v>0</v>
      </c>
      <c r="G20">
        <v>0</v>
      </c>
    </row>
    <row r="21" spans="1:7" x14ac:dyDescent="0.25">
      <c r="A21" s="111" t="str">
        <f t="shared" si="0"/>
        <v>JDH4-02-007-MS-1120</v>
      </c>
      <c r="B21" t="s">
        <v>270</v>
      </c>
      <c r="C21" t="s">
        <v>271</v>
      </c>
      <c r="D21">
        <v>0</v>
      </c>
      <c r="E21" s="3">
        <v>1</v>
      </c>
      <c r="F21" s="3">
        <v>1</v>
      </c>
      <c r="G21">
        <v>0</v>
      </c>
    </row>
    <row r="22" spans="1:7" x14ac:dyDescent="0.25">
      <c r="A22" s="111" t="str">
        <f t="shared" si="0"/>
        <v>JDH4-02-007-MS-1130</v>
      </c>
      <c r="B22" t="s">
        <v>268</v>
      </c>
      <c r="C22" t="s">
        <v>269</v>
      </c>
      <c r="D22">
        <v>0</v>
      </c>
      <c r="E22" s="3">
        <v>1</v>
      </c>
      <c r="F22" s="3">
        <v>1</v>
      </c>
      <c r="G22">
        <v>0</v>
      </c>
    </row>
    <row r="23" spans="1:7" x14ac:dyDescent="0.25">
      <c r="A23" s="111" t="str">
        <f t="shared" si="0"/>
        <v>Mobilization</v>
      </c>
      <c r="B23" t="s">
        <v>272</v>
      </c>
      <c r="D23">
        <v>0</v>
      </c>
      <c r="E23" s="3"/>
      <c r="F23" s="3">
        <v>0</v>
      </c>
      <c r="G23">
        <v>0</v>
      </c>
    </row>
    <row r="24" spans="1:7" x14ac:dyDescent="0.25">
      <c r="A24" s="111" t="str">
        <f t="shared" si="0"/>
        <v>Site Facilities &amp; Offices</v>
      </c>
      <c r="B24" t="s">
        <v>8</v>
      </c>
      <c r="D24">
        <v>0</v>
      </c>
      <c r="F24" s="3">
        <v>0</v>
      </c>
      <c r="G24">
        <v>0</v>
      </c>
    </row>
    <row r="25" spans="1:7" x14ac:dyDescent="0.25">
      <c r="A25" s="111" t="str">
        <f t="shared" si="0"/>
        <v>JDH4-02-007-MB-1000</v>
      </c>
      <c r="B25" t="s">
        <v>273</v>
      </c>
      <c r="C25" t="s">
        <v>9</v>
      </c>
      <c r="D25">
        <v>0</v>
      </c>
      <c r="E25" s="3">
        <v>1</v>
      </c>
      <c r="F25" s="3">
        <v>1</v>
      </c>
      <c r="G25">
        <v>0</v>
      </c>
    </row>
    <row r="26" spans="1:7" x14ac:dyDescent="0.25">
      <c r="A26" s="111" t="str">
        <f t="shared" si="0"/>
        <v>JDH4-02-007-MB-1010</v>
      </c>
      <c r="B26" t="s">
        <v>274</v>
      </c>
      <c r="C26" t="s">
        <v>10</v>
      </c>
      <c r="D26">
        <v>0</v>
      </c>
      <c r="E26" s="3">
        <v>1</v>
      </c>
      <c r="F26" s="3">
        <v>1</v>
      </c>
      <c r="G26">
        <v>0</v>
      </c>
    </row>
    <row r="27" spans="1:7" x14ac:dyDescent="0.25">
      <c r="A27" s="111" t="str">
        <f t="shared" si="0"/>
        <v>JDH4-02-007-MB-1020</v>
      </c>
      <c r="B27" t="s">
        <v>275</v>
      </c>
      <c r="C27" t="s">
        <v>11</v>
      </c>
      <c r="D27">
        <v>0</v>
      </c>
      <c r="E27" s="3">
        <v>1</v>
      </c>
      <c r="F27" s="3">
        <v>1</v>
      </c>
      <c r="G27">
        <v>0</v>
      </c>
    </row>
    <row r="28" spans="1:7" x14ac:dyDescent="0.25">
      <c r="A28" s="111" t="str">
        <f t="shared" si="0"/>
        <v>JDH4-02-007-MB-1040</v>
      </c>
      <c r="B28" t="s">
        <v>276</v>
      </c>
      <c r="C28" t="s">
        <v>13</v>
      </c>
      <c r="D28">
        <v>0</v>
      </c>
      <c r="E28" s="3">
        <v>1</v>
      </c>
      <c r="F28" s="3">
        <v>1</v>
      </c>
      <c r="G28">
        <v>0</v>
      </c>
    </row>
    <row r="29" spans="1:7" x14ac:dyDescent="0.25">
      <c r="A29" s="111" t="str">
        <f t="shared" si="0"/>
        <v>JDH4-02-007-MB-1030</v>
      </c>
      <c r="B29" t="s">
        <v>277</v>
      </c>
      <c r="C29" t="s">
        <v>12</v>
      </c>
      <c r="D29">
        <v>0</v>
      </c>
      <c r="E29" s="3">
        <v>1</v>
      </c>
      <c r="F29" s="3">
        <v>1</v>
      </c>
      <c r="G29">
        <v>0</v>
      </c>
    </row>
    <row r="30" spans="1:7" x14ac:dyDescent="0.25">
      <c r="A30" s="111" t="str">
        <f t="shared" si="0"/>
        <v>JDH4-02-007-MB-1060</v>
      </c>
      <c r="B30" t="s">
        <v>278</v>
      </c>
      <c r="C30" t="s">
        <v>14</v>
      </c>
      <c r="D30">
        <v>0</v>
      </c>
      <c r="E30" s="3">
        <v>1</v>
      </c>
      <c r="F30" s="3">
        <v>1</v>
      </c>
      <c r="G30">
        <v>0</v>
      </c>
    </row>
    <row r="31" spans="1:7" x14ac:dyDescent="0.25">
      <c r="A31" s="111" t="str">
        <f t="shared" si="0"/>
        <v>JDH4-02-007-MB-1070</v>
      </c>
      <c r="B31" t="s">
        <v>279</v>
      </c>
      <c r="C31" t="s">
        <v>18</v>
      </c>
      <c r="D31">
        <v>0</v>
      </c>
      <c r="E31" s="3">
        <v>1</v>
      </c>
      <c r="F31" s="3">
        <v>1</v>
      </c>
      <c r="G31">
        <v>0</v>
      </c>
    </row>
    <row r="32" spans="1:7" x14ac:dyDescent="0.25">
      <c r="A32" s="111" t="str">
        <f t="shared" si="0"/>
        <v>JDH4-02-007-MB-1090</v>
      </c>
      <c r="B32" t="s">
        <v>280</v>
      </c>
      <c r="C32" t="s">
        <v>19</v>
      </c>
      <c r="D32">
        <v>0</v>
      </c>
      <c r="E32" s="3">
        <v>1</v>
      </c>
      <c r="F32" s="3">
        <v>1</v>
      </c>
      <c r="G32">
        <v>0</v>
      </c>
    </row>
    <row r="33" spans="1:7" x14ac:dyDescent="0.25">
      <c r="A33" s="111" t="str">
        <f t="shared" si="0"/>
        <v>JDH4-02-007-MB-1100</v>
      </c>
      <c r="B33" t="s">
        <v>281</v>
      </c>
      <c r="C33" t="s">
        <v>17</v>
      </c>
      <c r="D33">
        <v>0</v>
      </c>
      <c r="E33" s="3">
        <v>1</v>
      </c>
      <c r="F33" s="3">
        <v>1</v>
      </c>
      <c r="G33">
        <v>0</v>
      </c>
    </row>
    <row r="34" spans="1:7" x14ac:dyDescent="0.25">
      <c r="A34" s="111" t="str">
        <f t="shared" si="0"/>
        <v>JDH4-02-007-MB-1050</v>
      </c>
      <c r="B34" t="s">
        <v>283</v>
      </c>
      <c r="C34" t="s">
        <v>16</v>
      </c>
      <c r="D34">
        <v>0</v>
      </c>
      <c r="E34" s="3">
        <v>1</v>
      </c>
      <c r="F34" s="3">
        <v>1</v>
      </c>
      <c r="G34">
        <v>0</v>
      </c>
    </row>
    <row r="35" spans="1:7" x14ac:dyDescent="0.25">
      <c r="A35" s="111" t="str">
        <f t="shared" si="0"/>
        <v>JDH4-02-007-MB-1080</v>
      </c>
      <c r="B35" t="s">
        <v>282</v>
      </c>
      <c r="C35" t="s">
        <v>15</v>
      </c>
      <c r="D35">
        <v>0</v>
      </c>
      <c r="E35" s="3">
        <v>1</v>
      </c>
      <c r="F35" s="3">
        <v>1</v>
      </c>
      <c r="G35">
        <v>0</v>
      </c>
    </row>
    <row r="36" spans="1:7" x14ac:dyDescent="0.25">
      <c r="A36" s="111" t="str">
        <f t="shared" si="0"/>
        <v>Topographic Survey</v>
      </c>
      <c r="B36" t="s">
        <v>20</v>
      </c>
      <c r="D36">
        <v>0</v>
      </c>
      <c r="E36" s="3"/>
      <c r="F36" s="3">
        <v>0</v>
      </c>
      <c r="G36">
        <v>0</v>
      </c>
    </row>
    <row r="37" spans="1:7" x14ac:dyDescent="0.25">
      <c r="A37" s="111" t="str">
        <f t="shared" si="0"/>
        <v>JDH4-02-007-TP-1000</v>
      </c>
      <c r="B37" t="s">
        <v>284</v>
      </c>
      <c r="C37" t="s">
        <v>285</v>
      </c>
      <c r="D37">
        <v>0</v>
      </c>
      <c r="E37" s="3">
        <v>1</v>
      </c>
      <c r="F37" s="3">
        <v>1</v>
      </c>
      <c r="G37">
        <v>0</v>
      </c>
    </row>
    <row r="38" spans="1:7" x14ac:dyDescent="0.25">
      <c r="A38" s="111" t="str">
        <f t="shared" si="0"/>
        <v>Permit's and Authority Approvals</v>
      </c>
      <c r="B38" t="s">
        <v>21</v>
      </c>
      <c r="D38">
        <v>0</v>
      </c>
      <c r="E38" s="3"/>
      <c r="F38" s="3">
        <v>0</v>
      </c>
      <c r="G38">
        <v>0</v>
      </c>
    </row>
    <row r="39" spans="1:7" x14ac:dyDescent="0.25">
      <c r="A39" s="111" t="str">
        <f t="shared" si="0"/>
        <v>JDH4-02-007-PA-1000</v>
      </c>
      <c r="B39" t="s">
        <v>286</v>
      </c>
      <c r="C39" t="s">
        <v>287</v>
      </c>
      <c r="D39">
        <v>0</v>
      </c>
      <c r="E39" s="3">
        <v>1</v>
      </c>
      <c r="F39" s="3">
        <v>1</v>
      </c>
      <c r="G39">
        <v>0</v>
      </c>
    </row>
    <row r="40" spans="1:7" x14ac:dyDescent="0.25">
      <c r="A40" s="111" t="str">
        <f t="shared" si="0"/>
        <v>JDH4-02-007-PA-1010</v>
      </c>
      <c r="B40" t="s">
        <v>288</v>
      </c>
      <c r="C40" t="s">
        <v>289</v>
      </c>
      <c r="D40">
        <v>0</v>
      </c>
      <c r="E40" s="3">
        <v>1</v>
      </c>
      <c r="F40" s="3">
        <v>1</v>
      </c>
      <c r="G40">
        <v>0</v>
      </c>
    </row>
    <row r="41" spans="1:7" x14ac:dyDescent="0.25">
      <c r="A41" s="111" t="str">
        <f t="shared" si="0"/>
        <v>Preliminary Submittals</v>
      </c>
      <c r="B41" t="s">
        <v>22</v>
      </c>
      <c r="D41">
        <v>0</v>
      </c>
      <c r="F41" s="3">
        <v>0</v>
      </c>
      <c r="G41">
        <v>0</v>
      </c>
    </row>
    <row r="42" spans="1:7" x14ac:dyDescent="0.25">
      <c r="A42" s="111" t="str">
        <f t="shared" si="0"/>
        <v>Preparation and Submittal by Contractor's</v>
      </c>
      <c r="B42" t="s">
        <v>290</v>
      </c>
      <c r="D42">
        <v>0</v>
      </c>
      <c r="F42" s="3">
        <v>0</v>
      </c>
      <c r="G42">
        <v>0</v>
      </c>
    </row>
    <row r="43" spans="1:7" x14ac:dyDescent="0.25">
      <c r="A43" s="111" t="str">
        <f t="shared" si="0"/>
        <v>JDH4-02-007-PS-1000</v>
      </c>
      <c r="B43" t="s">
        <v>295</v>
      </c>
      <c r="C43" t="s">
        <v>28</v>
      </c>
      <c r="D43">
        <v>0</v>
      </c>
      <c r="E43" s="3">
        <v>1</v>
      </c>
      <c r="F43" s="3">
        <v>1</v>
      </c>
      <c r="G43">
        <v>0</v>
      </c>
    </row>
    <row r="44" spans="1:7" x14ac:dyDescent="0.25">
      <c r="A44" s="111" t="str">
        <f t="shared" si="0"/>
        <v>JDH4-02-007-PS-1020</v>
      </c>
      <c r="B44" t="s">
        <v>291</v>
      </c>
      <c r="C44" t="s">
        <v>24</v>
      </c>
      <c r="D44">
        <v>0</v>
      </c>
      <c r="E44" s="3">
        <v>1</v>
      </c>
      <c r="F44" s="3">
        <v>1</v>
      </c>
      <c r="G44">
        <v>0</v>
      </c>
    </row>
    <row r="45" spans="1:7" x14ac:dyDescent="0.25">
      <c r="A45" s="111" t="str">
        <f t="shared" si="0"/>
        <v>JDH4-02-007-PS-1030</v>
      </c>
      <c r="B45" t="s">
        <v>292</v>
      </c>
      <c r="C45" t="s">
        <v>25</v>
      </c>
      <c r="D45">
        <v>0</v>
      </c>
      <c r="E45" s="3">
        <v>1</v>
      </c>
      <c r="F45" s="3">
        <v>1</v>
      </c>
      <c r="G45">
        <v>0</v>
      </c>
    </row>
    <row r="46" spans="1:7" x14ac:dyDescent="0.25">
      <c r="A46" s="111" t="str">
        <f t="shared" si="0"/>
        <v>JDH4-02-007-PS-1040</v>
      </c>
      <c r="B46" t="s">
        <v>293</v>
      </c>
      <c r="C46" t="s">
        <v>26</v>
      </c>
      <c r="D46">
        <v>0</v>
      </c>
      <c r="E46" s="3">
        <v>1</v>
      </c>
      <c r="F46" s="3">
        <v>1</v>
      </c>
      <c r="G46">
        <v>0</v>
      </c>
    </row>
    <row r="47" spans="1:7" x14ac:dyDescent="0.25">
      <c r="A47" s="111" t="str">
        <f t="shared" si="0"/>
        <v>JDH4-02-007-PS-1050</v>
      </c>
      <c r="B47" t="s">
        <v>294</v>
      </c>
      <c r="C47" t="s">
        <v>27</v>
      </c>
      <c r="D47">
        <v>0</v>
      </c>
      <c r="E47" s="3">
        <v>1</v>
      </c>
      <c r="F47" s="3">
        <v>1</v>
      </c>
      <c r="G47">
        <v>0</v>
      </c>
    </row>
    <row r="48" spans="1:7" x14ac:dyDescent="0.25">
      <c r="A48" s="111" t="str">
        <f t="shared" si="0"/>
        <v>JDH4-02-007-PS-1010</v>
      </c>
      <c r="B48" t="s">
        <v>296</v>
      </c>
      <c r="C48" t="s">
        <v>23</v>
      </c>
      <c r="D48">
        <v>0</v>
      </c>
      <c r="E48" s="3">
        <v>1</v>
      </c>
      <c r="F48" s="3">
        <v>1</v>
      </c>
      <c r="G48">
        <v>0</v>
      </c>
    </row>
    <row r="49" spans="1:7" x14ac:dyDescent="0.25">
      <c r="A49" s="111" t="str">
        <f t="shared" si="0"/>
        <v>Approval by the Employer's</v>
      </c>
      <c r="B49" t="s">
        <v>297</v>
      </c>
      <c r="D49">
        <v>0</v>
      </c>
      <c r="E49" s="3"/>
      <c r="F49" s="3">
        <v>0</v>
      </c>
      <c r="G49">
        <v>0</v>
      </c>
    </row>
    <row r="50" spans="1:7" x14ac:dyDescent="0.25">
      <c r="A50" s="111" t="str">
        <f t="shared" si="0"/>
        <v>JDH4-02-007-PS-1100</v>
      </c>
      <c r="B50" t="s">
        <v>298</v>
      </c>
      <c r="C50" t="s">
        <v>32</v>
      </c>
      <c r="D50">
        <v>0</v>
      </c>
      <c r="E50" s="3">
        <v>1</v>
      </c>
      <c r="F50" s="3">
        <v>1</v>
      </c>
      <c r="G50">
        <v>0</v>
      </c>
    </row>
    <row r="51" spans="1:7" x14ac:dyDescent="0.25">
      <c r="A51" s="111" t="str">
        <f t="shared" si="0"/>
        <v>JDH4-02-007-PS-1110</v>
      </c>
      <c r="B51" t="s">
        <v>299</v>
      </c>
      <c r="C51" t="s">
        <v>33</v>
      </c>
      <c r="D51">
        <v>0</v>
      </c>
      <c r="E51" s="3">
        <v>1</v>
      </c>
      <c r="F51" s="3">
        <v>1</v>
      </c>
      <c r="G51">
        <v>0</v>
      </c>
    </row>
    <row r="52" spans="1:7" x14ac:dyDescent="0.25">
      <c r="A52" s="111" t="str">
        <f t="shared" si="0"/>
        <v>JDH4-02-007-PS-1060</v>
      </c>
      <c r="B52" t="s">
        <v>300</v>
      </c>
      <c r="C52" t="s">
        <v>34</v>
      </c>
      <c r="D52">
        <v>0</v>
      </c>
      <c r="E52" s="3">
        <v>1</v>
      </c>
      <c r="F52" s="3">
        <v>1</v>
      </c>
      <c r="G52">
        <v>0</v>
      </c>
    </row>
    <row r="53" spans="1:7" x14ac:dyDescent="0.25">
      <c r="A53" s="111" t="str">
        <f t="shared" si="0"/>
        <v>JDH4-02-007-PS-1090</v>
      </c>
      <c r="B53" t="s">
        <v>302</v>
      </c>
      <c r="C53" t="s">
        <v>31</v>
      </c>
      <c r="D53">
        <v>0</v>
      </c>
      <c r="E53" s="3">
        <v>1</v>
      </c>
      <c r="F53" s="3">
        <v>1</v>
      </c>
      <c r="G53">
        <v>0</v>
      </c>
    </row>
    <row r="54" spans="1:7" x14ac:dyDescent="0.25">
      <c r="A54" s="111" t="str">
        <f t="shared" si="0"/>
        <v>JDH4-02-007-PS-1080</v>
      </c>
      <c r="B54" t="s">
        <v>301</v>
      </c>
      <c r="C54" t="s">
        <v>30</v>
      </c>
      <c r="D54">
        <v>0</v>
      </c>
      <c r="E54" s="3">
        <v>1</v>
      </c>
      <c r="F54" s="3">
        <v>1</v>
      </c>
      <c r="G54">
        <v>0</v>
      </c>
    </row>
    <row r="55" spans="1:7" x14ac:dyDescent="0.25">
      <c r="A55" s="111" t="str">
        <f t="shared" si="0"/>
        <v>JDH4-02-007-PS-1070</v>
      </c>
      <c r="B55" t="s">
        <v>303</v>
      </c>
      <c r="C55" t="s">
        <v>29</v>
      </c>
      <c r="D55">
        <v>0</v>
      </c>
      <c r="E55" s="3">
        <v>1</v>
      </c>
      <c r="F55" s="3">
        <v>1</v>
      </c>
      <c r="G55">
        <v>0</v>
      </c>
    </row>
    <row r="56" spans="1:7" x14ac:dyDescent="0.25">
      <c r="A56" s="111" t="str">
        <f t="shared" si="0"/>
        <v>Engineering</v>
      </c>
      <c r="B56" t="s">
        <v>35</v>
      </c>
      <c r="D56" s="1">
        <v>1719130.43</v>
      </c>
      <c r="E56" s="3"/>
      <c r="F56" s="3">
        <v>1</v>
      </c>
      <c r="G56" s="1">
        <v>1719130.43</v>
      </c>
    </row>
    <row r="57" spans="1:7" x14ac:dyDescent="0.25">
      <c r="A57" s="111" t="str">
        <f t="shared" si="0"/>
        <v>Shop Drawings</v>
      </c>
      <c r="B57" t="s">
        <v>36</v>
      </c>
      <c r="D57">
        <v>0</v>
      </c>
      <c r="E57" s="3"/>
      <c r="F57" s="3">
        <v>0</v>
      </c>
      <c r="G57">
        <v>0</v>
      </c>
    </row>
    <row r="58" spans="1:7" x14ac:dyDescent="0.25">
      <c r="A58" s="111" t="str">
        <f t="shared" si="0"/>
        <v>Shop Drawings Submittal</v>
      </c>
      <c r="B58" t="s">
        <v>37</v>
      </c>
      <c r="D58">
        <v>0</v>
      </c>
      <c r="E58" s="3"/>
      <c r="F58" s="3">
        <v>0</v>
      </c>
      <c r="G58">
        <v>0</v>
      </c>
    </row>
    <row r="59" spans="1:7" x14ac:dyDescent="0.25">
      <c r="A59" s="111" t="str">
        <f t="shared" si="0"/>
        <v>Shop Drawings Submittal for Road Works</v>
      </c>
      <c r="B59" t="s">
        <v>38</v>
      </c>
      <c r="D59">
        <v>0</v>
      </c>
      <c r="E59" s="3"/>
      <c r="F59" s="3">
        <v>0</v>
      </c>
      <c r="G59">
        <v>0</v>
      </c>
    </row>
    <row r="60" spans="1:7" x14ac:dyDescent="0.25">
      <c r="A60" s="111" t="str">
        <f t="shared" si="0"/>
        <v>JDH4-02-007-EN-1040</v>
      </c>
      <c r="B60" t="s">
        <v>304</v>
      </c>
      <c r="C60" t="s">
        <v>39</v>
      </c>
      <c r="D60">
        <v>0</v>
      </c>
      <c r="E60" s="3">
        <v>1</v>
      </c>
      <c r="F60" s="3">
        <v>1</v>
      </c>
      <c r="G60">
        <v>0</v>
      </c>
    </row>
    <row r="61" spans="1:7" x14ac:dyDescent="0.25">
      <c r="A61" s="111" t="str">
        <f t="shared" si="0"/>
        <v>JDH4-02-007-EN-1050</v>
      </c>
      <c r="B61" t="s">
        <v>305</v>
      </c>
      <c r="C61" t="s">
        <v>40</v>
      </c>
      <c r="D61">
        <v>0</v>
      </c>
      <c r="E61" s="3">
        <v>1</v>
      </c>
      <c r="F61" s="3">
        <v>1</v>
      </c>
      <c r="G61">
        <v>0</v>
      </c>
    </row>
    <row r="62" spans="1:7" x14ac:dyDescent="0.25">
      <c r="A62" s="111" t="str">
        <f t="shared" si="0"/>
        <v>JDH4-02-007-EN-1070</v>
      </c>
      <c r="B62" t="s">
        <v>306</v>
      </c>
      <c r="C62" t="s">
        <v>42</v>
      </c>
      <c r="D62">
        <v>0</v>
      </c>
      <c r="E62" s="3">
        <v>1</v>
      </c>
      <c r="F62" s="3">
        <v>1</v>
      </c>
      <c r="G62">
        <v>0</v>
      </c>
    </row>
    <row r="63" spans="1:7" x14ac:dyDescent="0.25">
      <c r="A63" s="111" t="str">
        <f t="shared" si="0"/>
        <v>JDH4-02-007-EN-1080</v>
      </c>
      <c r="B63" t="s">
        <v>307</v>
      </c>
      <c r="C63" t="s">
        <v>43</v>
      </c>
      <c r="D63">
        <v>0</v>
      </c>
      <c r="E63" s="3">
        <v>1</v>
      </c>
      <c r="F63" s="3">
        <v>1</v>
      </c>
      <c r="G63">
        <v>0</v>
      </c>
    </row>
    <row r="64" spans="1:7" x14ac:dyDescent="0.25">
      <c r="A64" s="111" t="str">
        <f t="shared" si="0"/>
        <v>JDH4-02-007-EN-1090</v>
      </c>
      <c r="B64" t="s">
        <v>308</v>
      </c>
      <c r="C64" t="s">
        <v>44</v>
      </c>
      <c r="D64">
        <v>0</v>
      </c>
      <c r="E64" s="3">
        <v>1</v>
      </c>
      <c r="F64" s="3">
        <v>1</v>
      </c>
      <c r="G64">
        <v>0</v>
      </c>
    </row>
    <row r="65" spans="1:7" x14ac:dyDescent="0.25">
      <c r="A65" s="111" t="str">
        <f t="shared" si="0"/>
        <v>JDH4-02-007-EN-1100</v>
      </c>
      <c r="B65" t="s">
        <v>309</v>
      </c>
      <c r="C65" t="s">
        <v>45</v>
      </c>
      <c r="D65">
        <v>0</v>
      </c>
      <c r="E65" s="3">
        <v>1</v>
      </c>
      <c r="F65" s="3">
        <v>1</v>
      </c>
      <c r="G65">
        <v>0</v>
      </c>
    </row>
    <row r="66" spans="1:7" x14ac:dyDescent="0.25">
      <c r="A66" s="111" t="str">
        <f t="shared" si="0"/>
        <v>JDH4-02-007-EN-1120</v>
      </c>
      <c r="B66" t="s">
        <v>310</v>
      </c>
      <c r="C66" t="s">
        <v>46</v>
      </c>
      <c r="D66">
        <v>0</v>
      </c>
      <c r="E66" s="3">
        <v>1</v>
      </c>
      <c r="F66" s="3">
        <v>1</v>
      </c>
      <c r="G66">
        <v>0</v>
      </c>
    </row>
    <row r="67" spans="1:7" x14ac:dyDescent="0.25">
      <c r="A67" s="111" t="str">
        <f t="shared" si="0"/>
        <v>JDH4-02-007-EN-1060</v>
      </c>
      <c r="B67" t="s">
        <v>311</v>
      </c>
      <c r="C67" t="s">
        <v>41</v>
      </c>
      <c r="D67">
        <v>0</v>
      </c>
      <c r="E67" s="3">
        <v>1</v>
      </c>
      <c r="F67" s="3">
        <v>1</v>
      </c>
      <c r="G67">
        <v>0</v>
      </c>
    </row>
    <row r="68" spans="1:7" x14ac:dyDescent="0.25">
      <c r="A68" s="111" t="str">
        <f t="shared" ref="A68:A131" si="1">TRIM(B68)</f>
        <v>JDH4-02-007-EN-1110</v>
      </c>
      <c r="B68" t="s">
        <v>312</v>
      </c>
      <c r="C68" t="s">
        <v>47</v>
      </c>
      <c r="D68">
        <v>0</v>
      </c>
      <c r="E68" s="3">
        <v>1</v>
      </c>
      <c r="F68" s="3">
        <v>1</v>
      </c>
      <c r="G68">
        <v>0</v>
      </c>
    </row>
    <row r="69" spans="1:7" x14ac:dyDescent="0.25">
      <c r="A69" s="111" t="str">
        <f t="shared" si="1"/>
        <v>Shop Drawings Submittal for Stormwater Network</v>
      </c>
      <c r="B69" t="s">
        <v>313</v>
      </c>
      <c r="D69">
        <v>0</v>
      </c>
      <c r="E69" s="3"/>
      <c r="F69" s="3">
        <v>0</v>
      </c>
      <c r="G69">
        <v>0</v>
      </c>
    </row>
    <row r="70" spans="1:7" x14ac:dyDescent="0.25">
      <c r="A70" s="111" t="str">
        <f t="shared" si="1"/>
        <v>JDH4-02-007-EN-1250</v>
      </c>
      <c r="B70" t="s">
        <v>314</v>
      </c>
      <c r="C70" t="s">
        <v>315</v>
      </c>
      <c r="D70">
        <v>0</v>
      </c>
      <c r="E70" s="3">
        <v>1</v>
      </c>
      <c r="F70" s="3">
        <v>1</v>
      </c>
      <c r="G70">
        <v>0</v>
      </c>
    </row>
    <row r="71" spans="1:7" x14ac:dyDescent="0.25">
      <c r="A71" s="111" t="str">
        <f t="shared" si="1"/>
        <v>JDH4-02-007-EN-1260</v>
      </c>
      <c r="B71" t="s">
        <v>316</v>
      </c>
      <c r="C71" t="s">
        <v>317</v>
      </c>
      <c r="D71">
        <v>0</v>
      </c>
      <c r="E71" s="3">
        <v>1</v>
      </c>
      <c r="F71" s="3">
        <v>1</v>
      </c>
      <c r="G71">
        <v>0</v>
      </c>
    </row>
    <row r="72" spans="1:7" x14ac:dyDescent="0.25">
      <c r="A72" s="111" t="str">
        <f t="shared" si="1"/>
        <v>JDH4-02-007-EN-1270</v>
      </c>
      <c r="B72" t="s">
        <v>318</v>
      </c>
      <c r="C72" t="s">
        <v>319</v>
      </c>
      <c r="D72">
        <v>0</v>
      </c>
      <c r="E72" s="3">
        <v>1</v>
      </c>
      <c r="F72" s="3">
        <v>1</v>
      </c>
      <c r="G72">
        <v>0</v>
      </c>
    </row>
    <row r="73" spans="1:7" x14ac:dyDescent="0.25">
      <c r="A73" s="111" t="str">
        <f t="shared" si="1"/>
        <v>Shop Drawings Submittal for Sanitary Sewerage</v>
      </c>
      <c r="B73" t="s">
        <v>320</v>
      </c>
      <c r="D73">
        <v>0</v>
      </c>
      <c r="E73" s="3"/>
      <c r="F73" s="3">
        <v>0</v>
      </c>
      <c r="G73">
        <v>0</v>
      </c>
    </row>
    <row r="74" spans="1:7" x14ac:dyDescent="0.25">
      <c r="A74" s="111" t="str">
        <f t="shared" si="1"/>
        <v>JDH4-02-007-EN-1220</v>
      </c>
      <c r="B74" t="s">
        <v>321</v>
      </c>
      <c r="C74" t="s">
        <v>322</v>
      </c>
      <c r="D74">
        <v>0</v>
      </c>
      <c r="E74" s="3">
        <v>1</v>
      </c>
      <c r="F74" s="3">
        <v>1</v>
      </c>
      <c r="G74">
        <v>0</v>
      </c>
    </row>
    <row r="75" spans="1:7" x14ac:dyDescent="0.25">
      <c r="A75" s="111" t="str">
        <f t="shared" si="1"/>
        <v>JDH4-02-007-EN-1230</v>
      </c>
      <c r="B75" t="s">
        <v>323</v>
      </c>
      <c r="C75" t="s">
        <v>324</v>
      </c>
      <c r="D75">
        <v>0</v>
      </c>
      <c r="E75" s="3">
        <v>1</v>
      </c>
      <c r="F75" s="3">
        <v>1</v>
      </c>
      <c r="G75">
        <v>0</v>
      </c>
    </row>
    <row r="76" spans="1:7" x14ac:dyDescent="0.25">
      <c r="A76" s="111" t="str">
        <f t="shared" si="1"/>
        <v>JDH4-02-007-EN-1240</v>
      </c>
      <c r="B76" t="s">
        <v>325</v>
      </c>
      <c r="C76" t="s">
        <v>326</v>
      </c>
      <c r="D76">
        <v>0</v>
      </c>
      <c r="E76" s="3">
        <v>1</v>
      </c>
      <c r="F76" s="3">
        <v>1</v>
      </c>
      <c r="G76">
        <v>0</v>
      </c>
    </row>
    <row r="77" spans="1:7" x14ac:dyDescent="0.25">
      <c r="A77" s="111" t="str">
        <f t="shared" si="1"/>
        <v>Shop Drawings Submittal for TSE Network</v>
      </c>
      <c r="B77" t="s">
        <v>327</v>
      </c>
      <c r="D77">
        <v>0</v>
      </c>
      <c r="E77" s="3"/>
      <c r="F77" s="3">
        <v>0</v>
      </c>
      <c r="G77">
        <v>0</v>
      </c>
    </row>
    <row r="78" spans="1:7" x14ac:dyDescent="0.25">
      <c r="A78" s="111" t="str">
        <f t="shared" si="1"/>
        <v>JDH4-02-007-EN-1190</v>
      </c>
      <c r="B78" t="s">
        <v>328</v>
      </c>
      <c r="C78" t="s">
        <v>329</v>
      </c>
      <c r="D78">
        <v>0</v>
      </c>
      <c r="E78" s="3">
        <v>1</v>
      </c>
      <c r="F78" s="3">
        <v>1</v>
      </c>
      <c r="G78">
        <v>0</v>
      </c>
    </row>
    <row r="79" spans="1:7" x14ac:dyDescent="0.25">
      <c r="A79" s="111" t="str">
        <f t="shared" si="1"/>
        <v>JDH4-02-007-EN-1200</v>
      </c>
      <c r="B79" t="s">
        <v>330</v>
      </c>
      <c r="C79" t="s">
        <v>331</v>
      </c>
      <c r="D79">
        <v>0</v>
      </c>
      <c r="E79" s="3">
        <v>1</v>
      </c>
      <c r="F79" s="3">
        <v>1</v>
      </c>
      <c r="G79">
        <v>0</v>
      </c>
    </row>
    <row r="80" spans="1:7" x14ac:dyDescent="0.25">
      <c r="A80" s="111" t="str">
        <f t="shared" si="1"/>
        <v>JDH4-02-007-EN-1210</v>
      </c>
      <c r="B80" t="s">
        <v>332</v>
      </c>
      <c r="C80" t="s">
        <v>333</v>
      </c>
      <c r="D80">
        <v>0</v>
      </c>
      <c r="E80" s="3">
        <v>1</v>
      </c>
      <c r="F80" s="3">
        <v>1</v>
      </c>
      <c r="G80">
        <v>0</v>
      </c>
    </row>
    <row r="81" spans="1:7" x14ac:dyDescent="0.25">
      <c r="A81" s="111" t="str">
        <f t="shared" si="1"/>
        <v>Shop Drawings Submittal for Potable Water Network</v>
      </c>
      <c r="B81" t="s">
        <v>334</v>
      </c>
      <c r="D81">
        <v>0</v>
      </c>
      <c r="E81" s="3"/>
      <c r="F81" s="3">
        <v>0</v>
      </c>
      <c r="G81">
        <v>0</v>
      </c>
    </row>
    <row r="82" spans="1:7" x14ac:dyDescent="0.25">
      <c r="A82" s="111" t="str">
        <f t="shared" si="1"/>
        <v>JDH4-02-007-EN-1160</v>
      </c>
      <c r="B82" t="s">
        <v>335</v>
      </c>
      <c r="C82" t="s">
        <v>336</v>
      </c>
      <c r="D82" s="1">
        <v>0</v>
      </c>
      <c r="E82" s="3">
        <v>1</v>
      </c>
      <c r="F82" s="2">
        <v>1</v>
      </c>
      <c r="G82">
        <v>0</v>
      </c>
    </row>
    <row r="83" spans="1:7" x14ac:dyDescent="0.25">
      <c r="A83" s="111" t="str">
        <f t="shared" si="1"/>
        <v>JDH4-02-007-EN-1170</v>
      </c>
      <c r="B83" t="s">
        <v>337</v>
      </c>
      <c r="C83" t="s">
        <v>51</v>
      </c>
      <c r="D83">
        <v>0</v>
      </c>
      <c r="E83" s="3">
        <v>1</v>
      </c>
      <c r="F83" s="3">
        <v>1</v>
      </c>
      <c r="G83">
        <v>0</v>
      </c>
    </row>
    <row r="84" spans="1:7" x14ac:dyDescent="0.25">
      <c r="A84" s="111" t="str">
        <f t="shared" si="1"/>
        <v>JDH4-02-007-EN-1180</v>
      </c>
      <c r="B84" t="s">
        <v>338</v>
      </c>
      <c r="C84" t="s">
        <v>52</v>
      </c>
      <c r="D84">
        <v>0</v>
      </c>
      <c r="E84" s="3">
        <v>1</v>
      </c>
      <c r="F84" s="3">
        <v>1</v>
      </c>
      <c r="G84">
        <v>0</v>
      </c>
    </row>
    <row r="85" spans="1:7" x14ac:dyDescent="0.25">
      <c r="A85" s="111" t="str">
        <f t="shared" si="1"/>
        <v>Shop Drawings Submittal for Electrical Network</v>
      </c>
      <c r="B85" t="s">
        <v>48</v>
      </c>
      <c r="D85">
        <v>0</v>
      </c>
      <c r="F85" s="3">
        <v>0</v>
      </c>
      <c r="G85">
        <v>0</v>
      </c>
    </row>
    <row r="86" spans="1:7" x14ac:dyDescent="0.25">
      <c r="A86" s="111" t="str">
        <f t="shared" si="1"/>
        <v>JDH4-02-007-EN-1140</v>
      </c>
      <c r="B86" t="s">
        <v>340</v>
      </c>
      <c r="C86" t="s">
        <v>50</v>
      </c>
      <c r="D86">
        <v>0</v>
      </c>
      <c r="E86" s="3">
        <v>1</v>
      </c>
      <c r="F86" s="3">
        <v>1</v>
      </c>
      <c r="G86">
        <v>0</v>
      </c>
    </row>
    <row r="87" spans="1:7" x14ac:dyDescent="0.25">
      <c r="A87" s="111" t="str">
        <f t="shared" si="1"/>
        <v>JDH4-02-007-EN-1150</v>
      </c>
      <c r="B87" t="s">
        <v>341</v>
      </c>
      <c r="C87" t="s">
        <v>342</v>
      </c>
      <c r="D87">
        <v>0</v>
      </c>
      <c r="E87" s="3">
        <v>1</v>
      </c>
      <c r="F87" s="3">
        <v>1</v>
      </c>
      <c r="G87">
        <v>0</v>
      </c>
    </row>
    <row r="88" spans="1:7" x14ac:dyDescent="0.25">
      <c r="A88" s="111" t="str">
        <f t="shared" si="1"/>
        <v>JDH4-02-007-EN-1130</v>
      </c>
      <c r="B88" t="s">
        <v>339</v>
      </c>
      <c r="C88" t="s">
        <v>49</v>
      </c>
      <c r="D88">
        <v>0</v>
      </c>
      <c r="E88" s="3">
        <v>1</v>
      </c>
      <c r="F88" s="3">
        <v>1</v>
      </c>
      <c r="G88">
        <v>0</v>
      </c>
    </row>
    <row r="89" spans="1:7" x14ac:dyDescent="0.25">
      <c r="A89" s="111" t="str">
        <f t="shared" si="1"/>
        <v>Shop Drawings Submittal for Telecommunications</v>
      </c>
      <c r="B89" t="s">
        <v>343</v>
      </c>
      <c r="D89">
        <v>0</v>
      </c>
      <c r="E89" s="3"/>
      <c r="F89" s="3">
        <v>0</v>
      </c>
      <c r="G89">
        <v>0</v>
      </c>
    </row>
    <row r="90" spans="1:7" x14ac:dyDescent="0.25">
      <c r="A90" s="111" t="str">
        <f t="shared" si="1"/>
        <v>JDH4-02-007-EN-1600</v>
      </c>
      <c r="B90" t="s">
        <v>344</v>
      </c>
      <c r="C90" t="s">
        <v>345</v>
      </c>
      <c r="D90">
        <v>0</v>
      </c>
      <c r="E90" s="3">
        <v>1</v>
      </c>
      <c r="F90" s="3">
        <v>1</v>
      </c>
      <c r="G90">
        <v>0</v>
      </c>
    </row>
    <row r="91" spans="1:7" x14ac:dyDescent="0.25">
      <c r="A91" s="111" t="str">
        <f t="shared" si="1"/>
        <v>Shop Drawings Submittal for Earthing System</v>
      </c>
      <c r="B91" t="s">
        <v>346</v>
      </c>
      <c r="D91">
        <v>0</v>
      </c>
      <c r="E91" s="3"/>
      <c r="F91" s="3">
        <v>0</v>
      </c>
      <c r="G91">
        <v>0</v>
      </c>
    </row>
    <row r="92" spans="1:7" x14ac:dyDescent="0.25">
      <c r="A92" s="111" t="str">
        <f t="shared" si="1"/>
        <v>JDH4-02-007-EN-1610</v>
      </c>
      <c r="B92" t="s">
        <v>347</v>
      </c>
      <c r="C92" t="s">
        <v>348</v>
      </c>
      <c r="D92">
        <v>0</v>
      </c>
      <c r="E92" s="3">
        <v>1</v>
      </c>
      <c r="F92" s="3">
        <v>1</v>
      </c>
      <c r="G92">
        <v>0</v>
      </c>
    </row>
    <row r="93" spans="1:7" x14ac:dyDescent="0.25">
      <c r="A93" s="111" t="str">
        <f t="shared" si="1"/>
        <v>Shop Drawings Submittal for Road Lighting</v>
      </c>
      <c r="B93" t="s">
        <v>349</v>
      </c>
      <c r="D93">
        <v>0</v>
      </c>
      <c r="E93" s="3"/>
      <c r="F93" s="3">
        <v>0</v>
      </c>
      <c r="G93">
        <v>0</v>
      </c>
    </row>
    <row r="94" spans="1:7" x14ac:dyDescent="0.25">
      <c r="A94" s="111" t="str">
        <f t="shared" si="1"/>
        <v>JDH4-02-007-EN-1000</v>
      </c>
      <c r="B94" t="s">
        <v>350</v>
      </c>
      <c r="C94" t="s">
        <v>351</v>
      </c>
      <c r="D94">
        <v>0</v>
      </c>
      <c r="E94" s="3">
        <v>1</v>
      </c>
      <c r="F94" s="3">
        <v>1</v>
      </c>
      <c r="G94">
        <v>0</v>
      </c>
    </row>
    <row r="95" spans="1:7" x14ac:dyDescent="0.25">
      <c r="A95" s="111" t="str">
        <f t="shared" si="1"/>
        <v>JDH4-02-007-EN-1010</v>
      </c>
      <c r="B95" t="s">
        <v>352</v>
      </c>
      <c r="C95" t="s">
        <v>353</v>
      </c>
      <c r="D95">
        <v>0</v>
      </c>
      <c r="E95" s="3">
        <v>1</v>
      </c>
      <c r="F95" s="3">
        <v>1</v>
      </c>
      <c r="G95">
        <v>0</v>
      </c>
    </row>
    <row r="96" spans="1:7" x14ac:dyDescent="0.25">
      <c r="A96" s="111" t="str">
        <f t="shared" si="1"/>
        <v>JDH4-02-007-EN-1020</v>
      </c>
      <c r="B96" t="s">
        <v>354</v>
      </c>
      <c r="C96" t="s">
        <v>355</v>
      </c>
      <c r="D96">
        <v>0</v>
      </c>
      <c r="E96" s="3">
        <v>1</v>
      </c>
      <c r="F96" s="3">
        <v>1</v>
      </c>
      <c r="G96">
        <v>0</v>
      </c>
    </row>
    <row r="97" spans="1:7" x14ac:dyDescent="0.25">
      <c r="A97" s="111" t="str">
        <f t="shared" si="1"/>
        <v>JDH4-02-007-EN-1030</v>
      </c>
      <c r="B97" t="s">
        <v>356</v>
      </c>
      <c r="C97" t="s">
        <v>357</v>
      </c>
      <c r="D97">
        <v>0</v>
      </c>
      <c r="E97" s="3">
        <v>1</v>
      </c>
      <c r="F97" s="3">
        <v>1</v>
      </c>
      <c r="G97">
        <v>0</v>
      </c>
    </row>
    <row r="98" spans="1:7" x14ac:dyDescent="0.25">
      <c r="A98" s="111" t="str">
        <f t="shared" si="1"/>
        <v>Shop Drawings Submittal for Sewage Lift Station</v>
      </c>
      <c r="B98" t="s">
        <v>358</v>
      </c>
      <c r="D98">
        <v>0</v>
      </c>
      <c r="E98" s="3"/>
      <c r="F98" s="3">
        <v>0</v>
      </c>
      <c r="G98">
        <v>0</v>
      </c>
    </row>
    <row r="99" spans="1:7" x14ac:dyDescent="0.25">
      <c r="A99" s="111" t="str">
        <f t="shared" si="1"/>
        <v>JDH4-02-007-EN-1280</v>
      </c>
      <c r="B99" t="s">
        <v>359</v>
      </c>
      <c r="C99" t="s">
        <v>360</v>
      </c>
      <c r="D99">
        <v>0</v>
      </c>
      <c r="E99" s="3">
        <v>1</v>
      </c>
      <c r="F99" s="3">
        <v>1</v>
      </c>
      <c r="G99">
        <v>0</v>
      </c>
    </row>
    <row r="100" spans="1:7" x14ac:dyDescent="0.25">
      <c r="A100" s="111" t="str">
        <f t="shared" si="1"/>
        <v>JDH4-02-007-EN-1290</v>
      </c>
      <c r="B100" t="s">
        <v>361</v>
      </c>
      <c r="C100" t="s">
        <v>362</v>
      </c>
      <c r="D100">
        <v>0</v>
      </c>
      <c r="E100" s="3">
        <v>1</v>
      </c>
      <c r="F100" s="3">
        <v>1</v>
      </c>
      <c r="G100">
        <v>0</v>
      </c>
    </row>
    <row r="101" spans="1:7" x14ac:dyDescent="0.25">
      <c r="A101" s="111" t="str">
        <f t="shared" si="1"/>
        <v>JDH4-02-007-EN-1310</v>
      </c>
      <c r="B101" t="s">
        <v>363</v>
      </c>
      <c r="C101" t="s">
        <v>364</v>
      </c>
      <c r="D101">
        <v>0</v>
      </c>
      <c r="E101" s="3">
        <v>1</v>
      </c>
      <c r="F101" s="3">
        <v>1</v>
      </c>
      <c r="G101">
        <v>0</v>
      </c>
    </row>
    <row r="102" spans="1:7" x14ac:dyDescent="0.25">
      <c r="A102" s="111" t="str">
        <f t="shared" si="1"/>
        <v>JDH4-02-007-EN-1300</v>
      </c>
      <c r="B102" t="s">
        <v>365</v>
      </c>
      <c r="C102" t="s">
        <v>366</v>
      </c>
      <c r="D102">
        <v>0</v>
      </c>
      <c r="E102" s="3">
        <v>1</v>
      </c>
      <c r="F102" s="3">
        <v>1</v>
      </c>
      <c r="G102">
        <v>0</v>
      </c>
    </row>
    <row r="103" spans="1:7" x14ac:dyDescent="0.25">
      <c r="A103" s="111" t="str">
        <f t="shared" si="1"/>
        <v>Shop Drawings Approval</v>
      </c>
      <c r="B103" t="s">
        <v>53</v>
      </c>
      <c r="D103">
        <v>0</v>
      </c>
      <c r="F103" s="3">
        <v>0</v>
      </c>
      <c r="G103">
        <v>0</v>
      </c>
    </row>
    <row r="104" spans="1:7" x14ac:dyDescent="0.25">
      <c r="A104" s="111" t="str">
        <f t="shared" si="1"/>
        <v>Shop Drawings Approval for Road Works</v>
      </c>
      <c r="B104" t="s">
        <v>54</v>
      </c>
      <c r="D104">
        <v>0</v>
      </c>
      <c r="E104" s="3"/>
      <c r="F104" s="3">
        <v>0</v>
      </c>
      <c r="G104">
        <v>0</v>
      </c>
    </row>
    <row r="105" spans="1:7" x14ac:dyDescent="0.25">
      <c r="A105" s="111" t="str">
        <f t="shared" si="1"/>
        <v>JDH4-02-007-EN-1320</v>
      </c>
      <c r="B105" t="s">
        <v>367</v>
      </c>
      <c r="C105" t="s">
        <v>55</v>
      </c>
      <c r="D105">
        <v>0</v>
      </c>
      <c r="E105" s="3">
        <v>1</v>
      </c>
      <c r="F105" s="3">
        <v>1</v>
      </c>
      <c r="G105">
        <v>0</v>
      </c>
    </row>
    <row r="106" spans="1:7" x14ac:dyDescent="0.25">
      <c r="A106" s="111" t="str">
        <f t="shared" si="1"/>
        <v>JDH4-02-007-EN-1330</v>
      </c>
      <c r="B106" t="s">
        <v>368</v>
      </c>
      <c r="C106" t="s">
        <v>58</v>
      </c>
      <c r="D106">
        <v>0</v>
      </c>
      <c r="E106" s="3">
        <v>1</v>
      </c>
      <c r="F106" s="3">
        <v>1</v>
      </c>
      <c r="G106">
        <v>0</v>
      </c>
    </row>
    <row r="107" spans="1:7" x14ac:dyDescent="0.25">
      <c r="A107" s="111" t="str">
        <f t="shared" si="1"/>
        <v>JDH4-02-007-EN-1340</v>
      </c>
      <c r="B107" t="s">
        <v>373</v>
      </c>
      <c r="C107" t="s">
        <v>60</v>
      </c>
      <c r="D107">
        <v>0</v>
      </c>
      <c r="E107" s="3">
        <v>1</v>
      </c>
      <c r="F107" s="3">
        <v>1</v>
      </c>
      <c r="G107">
        <v>0</v>
      </c>
    </row>
    <row r="108" spans="1:7" x14ac:dyDescent="0.25">
      <c r="A108" s="111" t="str">
        <f t="shared" si="1"/>
        <v>JDH4-02-007-EN-1350</v>
      </c>
      <c r="B108" t="s">
        <v>369</v>
      </c>
      <c r="C108" t="s">
        <v>61</v>
      </c>
      <c r="D108">
        <v>0</v>
      </c>
      <c r="E108" s="3">
        <v>1</v>
      </c>
      <c r="F108" s="3">
        <v>1</v>
      </c>
      <c r="G108">
        <v>0</v>
      </c>
    </row>
    <row r="109" spans="1:7" x14ac:dyDescent="0.25">
      <c r="A109" s="111" t="str">
        <f t="shared" si="1"/>
        <v>JDH4-02-007-EN-1360</v>
      </c>
      <c r="B109" t="s">
        <v>370</v>
      </c>
      <c r="C109" t="s">
        <v>56</v>
      </c>
      <c r="D109">
        <v>0</v>
      </c>
      <c r="E109" s="3">
        <v>1</v>
      </c>
      <c r="F109" s="3">
        <v>1</v>
      </c>
      <c r="G109">
        <v>0</v>
      </c>
    </row>
    <row r="110" spans="1:7" x14ac:dyDescent="0.25">
      <c r="A110" s="111" t="str">
        <f t="shared" si="1"/>
        <v>JDH4-02-007-EN-1370</v>
      </c>
      <c r="B110" t="s">
        <v>371</v>
      </c>
      <c r="C110" t="s">
        <v>57</v>
      </c>
      <c r="D110">
        <v>0</v>
      </c>
      <c r="E110" s="3">
        <v>1</v>
      </c>
      <c r="F110" s="3">
        <v>1</v>
      </c>
      <c r="G110">
        <v>0</v>
      </c>
    </row>
    <row r="111" spans="1:7" x14ac:dyDescent="0.25">
      <c r="A111" s="111" t="str">
        <f t="shared" si="1"/>
        <v>JDH4-02-007-EN-1380</v>
      </c>
      <c r="B111" t="s">
        <v>372</v>
      </c>
      <c r="C111" t="s">
        <v>59</v>
      </c>
      <c r="D111">
        <v>0</v>
      </c>
      <c r="E111" s="3">
        <v>1</v>
      </c>
      <c r="F111" s="3">
        <v>1</v>
      </c>
      <c r="G111">
        <v>0</v>
      </c>
    </row>
    <row r="112" spans="1:7" x14ac:dyDescent="0.25">
      <c r="A112" s="111" t="str">
        <f t="shared" si="1"/>
        <v>JDH4-02-007-EN-1400</v>
      </c>
      <c r="B112" t="s">
        <v>375</v>
      </c>
      <c r="C112" t="s">
        <v>62</v>
      </c>
      <c r="D112">
        <v>0</v>
      </c>
      <c r="E112" s="3">
        <v>1</v>
      </c>
      <c r="F112" s="3">
        <v>1</v>
      </c>
      <c r="G112">
        <v>0</v>
      </c>
    </row>
    <row r="113" spans="1:7" x14ac:dyDescent="0.25">
      <c r="A113" s="111" t="str">
        <f t="shared" si="1"/>
        <v>JDH4-02-007-EN-1390</v>
      </c>
      <c r="B113" t="s">
        <v>374</v>
      </c>
      <c r="C113" t="s">
        <v>63</v>
      </c>
      <c r="D113">
        <v>0</v>
      </c>
      <c r="E113" s="3">
        <v>1</v>
      </c>
      <c r="F113" s="3">
        <v>1</v>
      </c>
      <c r="G113">
        <v>0</v>
      </c>
    </row>
    <row r="114" spans="1:7" x14ac:dyDescent="0.25">
      <c r="A114" s="111" t="str">
        <f t="shared" si="1"/>
        <v>Shop Drawings Approval for Storm Network</v>
      </c>
      <c r="B114" t="s">
        <v>67</v>
      </c>
      <c r="D114">
        <v>0</v>
      </c>
      <c r="E114" s="3"/>
      <c r="F114" s="3">
        <v>0</v>
      </c>
      <c r="G114">
        <v>0</v>
      </c>
    </row>
    <row r="115" spans="1:7" x14ac:dyDescent="0.25">
      <c r="A115" s="111" t="str">
        <f t="shared" si="1"/>
        <v>JDH4-02-007-EN-1530</v>
      </c>
      <c r="B115" t="s">
        <v>376</v>
      </c>
      <c r="C115" t="s">
        <v>377</v>
      </c>
      <c r="D115">
        <v>0</v>
      </c>
      <c r="E115" s="3">
        <v>1</v>
      </c>
      <c r="F115" s="3">
        <v>1</v>
      </c>
      <c r="G115">
        <v>0</v>
      </c>
    </row>
    <row r="116" spans="1:7" x14ac:dyDescent="0.25">
      <c r="A116" s="111" t="str">
        <f t="shared" si="1"/>
        <v>JDH4-02-007-EN-1540</v>
      </c>
      <c r="B116" t="s">
        <v>378</v>
      </c>
      <c r="C116" t="s">
        <v>379</v>
      </c>
      <c r="D116">
        <v>0</v>
      </c>
      <c r="E116" s="3">
        <v>1</v>
      </c>
      <c r="F116" s="3">
        <v>1</v>
      </c>
      <c r="G116">
        <v>0</v>
      </c>
    </row>
    <row r="117" spans="1:7" x14ac:dyDescent="0.25">
      <c r="A117" s="111" t="str">
        <f t="shared" si="1"/>
        <v>JDH4-02-007-EN-1550</v>
      </c>
      <c r="B117" t="s">
        <v>380</v>
      </c>
      <c r="C117" t="s">
        <v>381</v>
      </c>
      <c r="D117">
        <v>0</v>
      </c>
      <c r="E117" s="3">
        <v>1</v>
      </c>
      <c r="F117" s="3">
        <v>1</v>
      </c>
      <c r="G117">
        <v>0</v>
      </c>
    </row>
    <row r="118" spans="1:7" x14ac:dyDescent="0.25">
      <c r="A118" s="111" t="str">
        <f t="shared" si="1"/>
        <v>Shop Drawings Approval for Sanitary Sewerage</v>
      </c>
      <c r="B118" t="s">
        <v>382</v>
      </c>
      <c r="D118">
        <v>0</v>
      </c>
      <c r="E118" s="3"/>
      <c r="F118" s="3">
        <v>0</v>
      </c>
      <c r="G118">
        <v>0</v>
      </c>
    </row>
    <row r="119" spans="1:7" x14ac:dyDescent="0.25">
      <c r="A119" s="111" t="str">
        <f t="shared" si="1"/>
        <v>JDH4-02-007-EN-1500</v>
      </c>
      <c r="B119" t="s">
        <v>387</v>
      </c>
      <c r="C119" t="s">
        <v>388</v>
      </c>
      <c r="D119">
        <v>0</v>
      </c>
      <c r="E119" s="3">
        <v>1</v>
      </c>
      <c r="F119" s="3">
        <v>1</v>
      </c>
      <c r="G119">
        <v>0</v>
      </c>
    </row>
    <row r="120" spans="1:7" x14ac:dyDescent="0.25">
      <c r="A120" s="111" t="str">
        <f t="shared" si="1"/>
        <v>JDH4-02-007-EN-1510</v>
      </c>
      <c r="B120" t="s">
        <v>383</v>
      </c>
      <c r="C120" t="s">
        <v>384</v>
      </c>
      <c r="D120">
        <v>0</v>
      </c>
      <c r="E120" s="3">
        <v>1</v>
      </c>
      <c r="F120" s="3">
        <v>1</v>
      </c>
      <c r="G120">
        <v>0</v>
      </c>
    </row>
    <row r="121" spans="1:7" x14ac:dyDescent="0.25">
      <c r="A121" s="111" t="str">
        <f t="shared" si="1"/>
        <v>JDH4-02-007-EN-1520</v>
      </c>
      <c r="B121" t="s">
        <v>385</v>
      </c>
      <c r="C121" t="s">
        <v>386</v>
      </c>
      <c r="D121">
        <v>0</v>
      </c>
      <c r="E121" s="3">
        <v>1</v>
      </c>
      <c r="F121" s="3">
        <v>1</v>
      </c>
      <c r="G121">
        <v>0</v>
      </c>
    </row>
    <row r="122" spans="1:7" x14ac:dyDescent="0.25">
      <c r="A122" s="111" t="str">
        <f t="shared" si="1"/>
        <v>Shop Drawings Approval for TSE Network</v>
      </c>
      <c r="B122" t="s">
        <v>389</v>
      </c>
      <c r="D122">
        <v>0</v>
      </c>
      <c r="E122" s="3"/>
      <c r="F122" s="3">
        <v>0</v>
      </c>
      <c r="G122">
        <v>0</v>
      </c>
    </row>
    <row r="123" spans="1:7" x14ac:dyDescent="0.25">
      <c r="A123" s="111" t="str">
        <f t="shared" si="1"/>
        <v>JDH4-02-007-EN-1470</v>
      </c>
      <c r="B123" t="s">
        <v>390</v>
      </c>
      <c r="C123" t="s">
        <v>391</v>
      </c>
      <c r="D123">
        <v>0</v>
      </c>
      <c r="E123" s="3">
        <v>1</v>
      </c>
      <c r="F123" s="3">
        <v>1</v>
      </c>
      <c r="G123">
        <v>0</v>
      </c>
    </row>
    <row r="124" spans="1:7" x14ac:dyDescent="0.25">
      <c r="A124" s="111" t="str">
        <f t="shared" si="1"/>
        <v>JDH4-02-007-EN-1480</v>
      </c>
      <c r="B124" t="s">
        <v>392</v>
      </c>
      <c r="C124" t="s">
        <v>393</v>
      </c>
      <c r="D124">
        <v>0</v>
      </c>
      <c r="E124" s="3">
        <v>1</v>
      </c>
      <c r="F124" s="3">
        <v>1</v>
      </c>
      <c r="G124">
        <v>0</v>
      </c>
    </row>
    <row r="125" spans="1:7" x14ac:dyDescent="0.25">
      <c r="A125" s="111" t="str">
        <f t="shared" si="1"/>
        <v>JDH4-02-007-EN-1490</v>
      </c>
      <c r="B125" t="s">
        <v>394</v>
      </c>
      <c r="C125" t="s">
        <v>395</v>
      </c>
      <c r="D125">
        <v>0</v>
      </c>
      <c r="E125" s="3">
        <v>1</v>
      </c>
      <c r="F125" s="3">
        <v>1</v>
      </c>
      <c r="G125">
        <v>0</v>
      </c>
    </row>
    <row r="126" spans="1:7" x14ac:dyDescent="0.25">
      <c r="A126" s="111" t="str">
        <f t="shared" si="1"/>
        <v>Shop Drawings Approval for Potable Water Network</v>
      </c>
      <c r="B126" t="s">
        <v>396</v>
      </c>
      <c r="D126">
        <v>0</v>
      </c>
      <c r="E126" s="3"/>
      <c r="F126" s="3">
        <v>0</v>
      </c>
      <c r="G126">
        <v>0</v>
      </c>
    </row>
    <row r="127" spans="1:7" x14ac:dyDescent="0.25">
      <c r="A127" s="111" t="str">
        <f t="shared" si="1"/>
        <v>JDH4-02-007-EN-1440</v>
      </c>
      <c r="B127" t="s">
        <v>397</v>
      </c>
      <c r="C127" t="s">
        <v>398</v>
      </c>
      <c r="D127">
        <v>0</v>
      </c>
      <c r="E127" s="3">
        <v>1</v>
      </c>
      <c r="F127" s="3">
        <v>1</v>
      </c>
      <c r="G127">
        <v>0</v>
      </c>
    </row>
    <row r="128" spans="1:7" x14ac:dyDescent="0.25">
      <c r="A128" s="111" t="str">
        <f t="shared" si="1"/>
        <v>JDH4-02-007-EN-1450</v>
      </c>
      <c r="B128" t="s">
        <v>399</v>
      </c>
      <c r="C128" t="s">
        <v>65</v>
      </c>
      <c r="D128">
        <v>0</v>
      </c>
      <c r="E128" s="3">
        <v>1</v>
      </c>
      <c r="F128" s="3">
        <v>1</v>
      </c>
      <c r="G128">
        <v>0</v>
      </c>
    </row>
    <row r="129" spans="1:7" x14ac:dyDescent="0.25">
      <c r="A129" s="111" t="str">
        <f t="shared" si="1"/>
        <v>JDH4-02-007-EN-1460</v>
      </c>
      <c r="B129" t="s">
        <v>400</v>
      </c>
      <c r="C129" t="s">
        <v>66</v>
      </c>
      <c r="D129">
        <v>0</v>
      </c>
      <c r="E129" s="3">
        <v>1</v>
      </c>
      <c r="F129" s="3">
        <v>1</v>
      </c>
      <c r="G129">
        <v>0</v>
      </c>
    </row>
    <row r="130" spans="1:7" x14ac:dyDescent="0.25">
      <c r="A130" s="111" t="str">
        <f t="shared" si="1"/>
        <v>Shop Drawings Approval for Electrical Network</v>
      </c>
      <c r="B130" t="s">
        <v>64</v>
      </c>
      <c r="D130">
        <v>0</v>
      </c>
      <c r="E130" s="3"/>
      <c r="F130" s="3">
        <v>0</v>
      </c>
      <c r="G130">
        <v>0</v>
      </c>
    </row>
    <row r="131" spans="1:7" x14ac:dyDescent="0.25">
      <c r="A131" s="111" t="str">
        <f t="shared" si="1"/>
        <v>JDH4-02-007-EN-1420</v>
      </c>
      <c r="B131" t="s">
        <v>403</v>
      </c>
      <c r="C131" t="s">
        <v>404</v>
      </c>
      <c r="D131">
        <v>0</v>
      </c>
      <c r="E131" s="3">
        <v>1</v>
      </c>
      <c r="F131" s="3">
        <v>1</v>
      </c>
      <c r="G131">
        <v>0</v>
      </c>
    </row>
    <row r="132" spans="1:7" x14ac:dyDescent="0.25">
      <c r="A132" s="111" t="str">
        <f t="shared" ref="A132:A195" si="2">TRIM(B132)</f>
        <v>JDH4-02-007-EN-1430</v>
      </c>
      <c r="B132" t="s">
        <v>405</v>
      </c>
      <c r="C132" t="s">
        <v>406</v>
      </c>
      <c r="D132">
        <v>0</v>
      </c>
      <c r="E132" s="3">
        <v>1</v>
      </c>
      <c r="F132" s="3">
        <v>1</v>
      </c>
      <c r="G132">
        <v>0</v>
      </c>
    </row>
    <row r="133" spans="1:7" x14ac:dyDescent="0.25">
      <c r="A133" s="111" t="str">
        <f t="shared" si="2"/>
        <v>JDH4-02-007-EN-1410</v>
      </c>
      <c r="B133" t="s">
        <v>401</v>
      </c>
      <c r="C133" t="s">
        <v>402</v>
      </c>
      <c r="D133">
        <v>0</v>
      </c>
      <c r="E133" s="3">
        <v>1</v>
      </c>
      <c r="F133" s="3">
        <v>1</v>
      </c>
      <c r="G133">
        <v>0</v>
      </c>
    </row>
    <row r="134" spans="1:7" x14ac:dyDescent="0.25">
      <c r="A134" s="111" t="str">
        <f t="shared" si="2"/>
        <v>Shop Drawings Approval for Telecommunications</v>
      </c>
      <c r="B134" t="s">
        <v>407</v>
      </c>
      <c r="D134">
        <v>0</v>
      </c>
      <c r="F134" s="3">
        <v>0</v>
      </c>
      <c r="G134">
        <v>0</v>
      </c>
    </row>
    <row r="135" spans="1:7" x14ac:dyDescent="0.25">
      <c r="A135" s="111" t="str">
        <f t="shared" si="2"/>
        <v>JDH4-02-007-EN-1620</v>
      </c>
      <c r="B135" t="s">
        <v>408</v>
      </c>
      <c r="C135" t="s">
        <v>409</v>
      </c>
      <c r="D135">
        <v>0</v>
      </c>
      <c r="E135" s="3">
        <v>1</v>
      </c>
      <c r="F135" s="3">
        <v>1</v>
      </c>
      <c r="G135">
        <v>0</v>
      </c>
    </row>
    <row r="136" spans="1:7" x14ac:dyDescent="0.25">
      <c r="A136" s="111" t="str">
        <f t="shared" si="2"/>
        <v>Shop Drawings Approval for Earthing System</v>
      </c>
      <c r="B136" t="s">
        <v>410</v>
      </c>
      <c r="D136">
        <v>0</v>
      </c>
      <c r="E136" s="3"/>
      <c r="F136" s="3">
        <v>0</v>
      </c>
      <c r="G136">
        <v>0</v>
      </c>
    </row>
    <row r="137" spans="1:7" x14ac:dyDescent="0.25">
      <c r="A137" s="111" t="str">
        <f t="shared" si="2"/>
        <v>JDH4-02-007-EN-1630</v>
      </c>
      <c r="B137" t="s">
        <v>411</v>
      </c>
      <c r="C137" t="s">
        <v>412</v>
      </c>
      <c r="D137">
        <v>0</v>
      </c>
      <c r="E137" s="3">
        <v>1</v>
      </c>
      <c r="F137" s="3">
        <v>1</v>
      </c>
      <c r="G137">
        <v>0</v>
      </c>
    </row>
    <row r="138" spans="1:7" x14ac:dyDescent="0.25">
      <c r="A138" s="111" t="str">
        <f t="shared" si="2"/>
        <v>Shop Drawings Approval for Road Lighting</v>
      </c>
      <c r="B138" t="s">
        <v>413</v>
      </c>
      <c r="D138">
        <v>0</v>
      </c>
      <c r="F138" s="3">
        <v>0</v>
      </c>
      <c r="G138">
        <v>0</v>
      </c>
    </row>
    <row r="139" spans="1:7" x14ac:dyDescent="0.25">
      <c r="A139" s="111" t="str">
        <f t="shared" si="2"/>
        <v>JDH4-02-007-EN-1640</v>
      </c>
      <c r="B139" t="s">
        <v>414</v>
      </c>
      <c r="C139" t="s">
        <v>415</v>
      </c>
      <c r="D139">
        <v>0</v>
      </c>
      <c r="E139" s="3">
        <v>1</v>
      </c>
      <c r="F139" s="3">
        <v>1</v>
      </c>
      <c r="G139">
        <v>0</v>
      </c>
    </row>
    <row r="140" spans="1:7" x14ac:dyDescent="0.25">
      <c r="A140" s="111" t="str">
        <f t="shared" si="2"/>
        <v>JDH4-02-007-EN-1650</v>
      </c>
      <c r="B140" t="s">
        <v>416</v>
      </c>
      <c r="C140" t="s">
        <v>417</v>
      </c>
      <c r="D140">
        <v>0</v>
      </c>
      <c r="E140" s="3">
        <v>1</v>
      </c>
      <c r="F140" s="3">
        <v>1</v>
      </c>
      <c r="G140">
        <v>0</v>
      </c>
    </row>
    <row r="141" spans="1:7" x14ac:dyDescent="0.25">
      <c r="A141" s="111" t="str">
        <f t="shared" si="2"/>
        <v>JDH4-02-007-EN-1660</v>
      </c>
      <c r="B141" t="s">
        <v>418</v>
      </c>
      <c r="C141" t="s">
        <v>419</v>
      </c>
      <c r="D141">
        <v>0</v>
      </c>
      <c r="E141" s="3">
        <v>1</v>
      </c>
      <c r="F141" s="3">
        <v>1</v>
      </c>
      <c r="G141">
        <v>0</v>
      </c>
    </row>
    <row r="142" spans="1:7" x14ac:dyDescent="0.25">
      <c r="A142" s="111" t="str">
        <f t="shared" si="2"/>
        <v>JDH4-02-007-EN-1670</v>
      </c>
      <c r="B142" t="s">
        <v>420</v>
      </c>
      <c r="C142" t="s">
        <v>421</v>
      </c>
      <c r="D142">
        <v>0</v>
      </c>
      <c r="E142" s="3">
        <v>1</v>
      </c>
      <c r="F142" s="3">
        <v>1</v>
      </c>
      <c r="G142">
        <v>0</v>
      </c>
    </row>
    <row r="143" spans="1:7" x14ac:dyDescent="0.25">
      <c r="A143" s="111" t="str">
        <f t="shared" si="2"/>
        <v>Shop Drawings Approval for Sewage Lift Station</v>
      </c>
      <c r="B143" t="s">
        <v>422</v>
      </c>
      <c r="D143">
        <v>0</v>
      </c>
      <c r="E143" s="3"/>
      <c r="F143" s="3">
        <v>0</v>
      </c>
      <c r="G143">
        <v>0</v>
      </c>
    </row>
    <row r="144" spans="1:7" x14ac:dyDescent="0.25">
      <c r="A144" s="111" t="str">
        <f t="shared" si="2"/>
        <v>JDH4-02-007-EN-1680</v>
      </c>
      <c r="B144" t="s">
        <v>425</v>
      </c>
      <c r="C144" t="s">
        <v>426</v>
      </c>
      <c r="D144">
        <v>0</v>
      </c>
      <c r="E144" s="3">
        <v>1</v>
      </c>
      <c r="F144" s="3">
        <v>1</v>
      </c>
      <c r="G144">
        <v>0</v>
      </c>
    </row>
    <row r="145" spans="1:7" x14ac:dyDescent="0.25">
      <c r="A145" s="111" t="str">
        <f t="shared" si="2"/>
        <v>JDH4-02-007-EN-1690</v>
      </c>
      <c r="B145" t="s">
        <v>427</v>
      </c>
      <c r="C145" t="s">
        <v>428</v>
      </c>
      <c r="D145">
        <v>0</v>
      </c>
      <c r="E145" s="3">
        <v>1</v>
      </c>
      <c r="F145" s="3">
        <v>1</v>
      </c>
      <c r="G145">
        <v>0</v>
      </c>
    </row>
    <row r="146" spans="1:7" x14ac:dyDescent="0.25">
      <c r="A146" s="111" t="str">
        <f t="shared" si="2"/>
        <v>JDH4-02-007-EN-1710</v>
      </c>
      <c r="B146" t="s">
        <v>429</v>
      </c>
      <c r="C146" t="s">
        <v>430</v>
      </c>
      <c r="D146">
        <v>0</v>
      </c>
      <c r="E146" s="3">
        <v>1</v>
      </c>
      <c r="F146" s="3">
        <v>1</v>
      </c>
      <c r="G146">
        <v>0</v>
      </c>
    </row>
    <row r="147" spans="1:7" x14ac:dyDescent="0.25">
      <c r="A147" s="111" t="str">
        <f t="shared" si="2"/>
        <v>JDH4-02-007-EN-1700</v>
      </c>
      <c r="B147" t="s">
        <v>423</v>
      </c>
      <c r="C147" t="s">
        <v>424</v>
      </c>
      <c r="D147">
        <v>0</v>
      </c>
      <c r="E147" s="3">
        <v>1</v>
      </c>
      <c r="F147" s="3">
        <v>1</v>
      </c>
      <c r="G147">
        <v>0</v>
      </c>
    </row>
    <row r="148" spans="1:7" x14ac:dyDescent="0.25">
      <c r="A148" s="111" t="str">
        <f t="shared" si="2"/>
        <v>Method Statements</v>
      </c>
      <c r="B148" t="s">
        <v>68</v>
      </c>
      <c r="D148">
        <v>0</v>
      </c>
      <c r="E148" s="3"/>
      <c r="F148" s="3">
        <v>0</v>
      </c>
      <c r="G148">
        <v>0</v>
      </c>
    </row>
    <row r="149" spans="1:7" x14ac:dyDescent="0.25">
      <c r="A149" s="111" t="str">
        <f t="shared" si="2"/>
        <v>Method Statements Submittal</v>
      </c>
      <c r="B149" t="s">
        <v>69</v>
      </c>
      <c r="D149">
        <v>0</v>
      </c>
      <c r="E149" s="3"/>
      <c r="F149" s="3">
        <v>0</v>
      </c>
      <c r="G149">
        <v>0</v>
      </c>
    </row>
    <row r="150" spans="1:7" x14ac:dyDescent="0.25">
      <c r="A150" s="111" t="str">
        <f t="shared" si="2"/>
        <v>JDH4-02-007-EN-1560</v>
      </c>
      <c r="B150" t="s">
        <v>431</v>
      </c>
      <c r="C150" t="s">
        <v>432</v>
      </c>
      <c r="D150">
        <v>0</v>
      </c>
      <c r="E150" s="3">
        <v>1</v>
      </c>
      <c r="F150" s="3">
        <v>1</v>
      </c>
      <c r="G150">
        <v>0</v>
      </c>
    </row>
    <row r="151" spans="1:7" x14ac:dyDescent="0.25">
      <c r="A151" s="111" t="str">
        <f t="shared" si="2"/>
        <v>JDH4-02-007-EN-1570</v>
      </c>
      <c r="B151" t="s">
        <v>433</v>
      </c>
      <c r="C151" t="s">
        <v>70</v>
      </c>
      <c r="D151">
        <v>0</v>
      </c>
      <c r="E151" s="3">
        <v>1</v>
      </c>
      <c r="F151" s="3">
        <v>1</v>
      </c>
      <c r="G151">
        <v>0</v>
      </c>
    </row>
    <row r="152" spans="1:7" x14ac:dyDescent="0.25">
      <c r="A152" s="111" t="str">
        <f t="shared" si="2"/>
        <v>JDH4-02-007-EN-1580</v>
      </c>
      <c r="B152" t="s">
        <v>434</v>
      </c>
      <c r="C152" t="s">
        <v>71</v>
      </c>
      <c r="D152">
        <v>0</v>
      </c>
      <c r="E152" s="3">
        <v>1</v>
      </c>
      <c r="F152" s="3">
        <v>1</v>
      </c>
      <c r="G152">
        <v>0</v>
      </c>
    </row>
    <row r="153" spans="1:7" x14ac:dyDescent="0.25">
      <c r="A153" s="111" t="str">
        <f t="shared" si="2"/>
        <v>JDH4-02-007-EN-1590</v>
      </c>
      <c r="B153" t="s">
        <v>435</v>
      </c>
      <c r="C153" t="s">
        <v>436</v>
      </c>
      <c r="D153">
        <v>0</v>
      </c>
      <c r="E153" s="3">
        <v>1</v>
      </c>
      <c r="F153" s="3">
        <v>1</v>
      </c>
      <c r="G153">
        <v>0</v>
      </c>
    </row>
    <row r="154" spans="1:7" x14ac:dyDescent="0.25">
      <c r="A154" s="111" t="str">
        <f t="shared" si="2"/>
        <v>Method Statements Approval</v>
      </c>
      <c r="B154" t="s">
        <v>72</v>
      </c>
      <c r="D154">
        <v>0</v>
      </c>
      <c r="F154" s="3">
        <v>0</v>
      </c>
      <c r="G154">
        <v>0</v>
      </c>
    </row>
    <row r="155" spans="1:7" x14ac:dyDescent="0.25">
      <c r="A155" s="111" t="str">
        <f t="shared" si="2"/>
        <v>JDH4-02-007-EN-1720</v>
      </c>
      <c r="B155" t="s">
        <v>437</v>
      </c>
      <c r="C155" t="s">
        <v>438</v>
      </c>
      <c r="D155">
        <v>0</v>
      </c>
      <c r="E155" s="3">
        <v>1</v>
      </c>
      <c r="F155" s="3">
        <v>1</v>
      </c>
      <c r="G155">
        <v>0</v>
      </c>
    </row>
    <row r="156" spans="1:7" x14ac:dyDescent="0.25">
      <c r="A156" s="111" t="str">
        <f t="shared" si="2"/>
        <v>JDH4-02-007-EN-1730</v>
      </c>
      <c r="B156" t="s">
        <v>439</v>
      </c>
      <c r="C156" t="s">
        <v>73</v>
      </c>
      <c r="D156">
        <v>0</v>
      </c>
      <c r="E156" s="3">
        <v>1</v>
      </c>
      <c r="F156" s="3">
        <v>1</v>
      </c>
      <c r="G156">
        <v>0</v>
      </c>
    </row>
    <row r="157" spans="1:7" x14ac:dyDescent="0.25">
      <c r="A157" s="111" t="str">
        <f t="shared" si="2"/>
        <v>JDH4-02-007-EN-1740</v>
      </c>
      <c r="B157" t="s">
        <v>440</v>
      </c>
      <c r="C157" t="s">
        <v>74</v>
      </c>
      <c r="D157">
        <v>0</v>
      </c>
      <c r="E157" s="3">
        <v>1</v>
      </c>
      <c r="F157" s="3">
        <v>1</v>
      </c>
      <c r="G157">
        <v>0</v>
      </c>
    </row>
    <row r="158" spans="1:7" x14ac:dyDescent="0.25">
      <c r="A158" s="111" t="str">
        <f t="shared" si="2"/>
        <v>JDH4-02-007-EN-1750</v>
      </c>
      <c r="B158" t="s">
        <v>441</v>
      </c>
      <c r="C158" t="s">
        <v>442</v>
      </c>
      <c r="D158">
        <v>0</v>
      </c>
      <c r="E158" s="3">
        <v>1</v>
      </c>
      <c r="F158" s="3">
        <v>1</v>
      </c>
      <c r="G158">
        <v>0</v>
      </c>
    </row>
    <row r="159" spans="1:7" x14ac:dyDescent="0.25">
      <c r="A159" s="111" t="str">
        <f t="shared" si="2"/>
        <v>Method Statements Staging Time</v>
      </c>
      <c r="B159" t="s">
        <v>443</v>
      </c>
      <c r="D159">
        <v>0</v>
      </c>
      <c r="E159" s="3"/>
      <c r="F159" s="3">
        <v>0</v>
      </c>
      <c r="G159">
        <v>0</v>
      </c>
    </row>
    <row r="160" spans="1:7" x14ac:dyDescent="0.25">
      <c r="A160" s="111" t="str">
        <f t="shared" si="2"/>
        <v>JDH4-02-007-EN-1760</v>
      </c>
      <c r="B160" t="s">
        <v>444</v>
      </c>
      <c r="C160" t="s">
        <v>445</v>
      </c>
      <c r="D160">
        <v>0</v>
      </c>
      <c r="E160" s="3">
        <v>1</v>
      </c>
      <c r="F160" s="3">
        <v>1</v>
      </c>
      <c r="G160">
        <v>0</v>
      </c>
    </row>
    <row r="161" spans="1:7" x14ac:dyDescent="0.25">
      <c r="A161" s="111" t="str">
        <f t="shared" si="2"/>
        <v>JDH4-02-007-EN-1770</v>
      </c>
      <c r="B161" t="s">
        <v>446</v>
      </c>
      <c r="C161" t="s">
        <v>447</v>
      </c>
      <c r="D161">
        <v>0</v>
      </c>
      <c r="E161" s="3">
        <v>1</v>
      </c>
      <c r="F161" s="3">
        <v>1</v>
      </c>
      <c r="G161">
        <v>0</v>
      </c>
    </row>
    <row r="162" spans="1:7" x14ac:dyDescent="0.25">
      <c r="A162" s="111" t="str">
        <f t="shared" si="2"/>
        <v>JDH4-02-007-EN-1780</v>
      </c>
      <c r="B162" t="s">
        <v>448</v>
      </c>
      <c r="C162" t="s">
        <v>449</v>
      </c>
      <c r="D162">
        <v>0</v>
      </c>
      <c r="E162" s="3">
        <v>1</v>
      </c>
      <c r="F162" s="3">
        <v>1</v>
      </c>
      <c r="G162">
        <v>0</v>
      </c>
    </row>
    <row r="163" spans="1:7" x14ac:dyDescent="0.25">
      <c r="A163" s="111" t="str">
        <f t="shared" si="2"/>
        <v>JDH4-02-007-EN-1790</v>
      </c>
      <c r="B163" t="s">
        <v>450</v>
      </c>
      <c r="C163" t="s">
        <v>451</v>
      </c>
      <c r="D163">
        <v>0</v>
      </c>
      <c r="E163" s="3">
        <v>1</v>
      </c>
      <c r="F163" s="3">
        <v>1</v>
      </c>
      <c r="G163">
        <v>0</v>
      </c>
    </row>
    <row r="164" spans="1:7" x14ac:dyDescent="0.25">
      <c r="A164" s="111" t="str">
        <f t="shared" si="2"/>
        <v>Pre-qualification and Material</v>
      </c>
      <c r="B164" t="s">
        <v>75</v>
      </c>
      <c r="D164" s="1">
        <v>1719130.43</v>
      </c>
      <c r="E164" s="3"/>
      <c r="F164" s="3">
        <v>1</v>
      </c>
      <c r="G164" s="1">
        <v>1719130.43</v>
      </c>
    </row>
    <row r="165" spans="1:7" x14ac:dyDescent="0.25">
      <c r="A165" s="111" t="str">
        <f t="shared" si="2"/>
        <v>Pre-qualification</v>
      </c>
      <c r="B165" t="s">
        <v>452</v>
      </c>
      <c r="D165">
        <v>0</v>
      </c>
      <c r="E165" s="3"/>
      <c r="F165" s="3">
        <v>0</v>
      </c>
      <c r="G165">
        <v>0</v>
      </c>
    </row>
    <row r="166" spans="1:7" x14ac:dyDescent="0.25">
      <c r="A166" s="111" t="str">
        <f t="shared" si="2"/>
        <v>Road Works - Civil</v>
      </c>
      <c r="B166" t="s">
        <v>76</v>
      </c>
      <c r="D166">
        <v>0</v>
      </c>
      <c r="E166" s="3"/>
      <c r="F166" s="3">
        <v>0</v>
      </c>
      <c r="G166">
        <v>0</v>
      </c>
    </row>
    <row r="167" spans="1:7" x14ac:dyDescent="0.25">
      <c r="A167" s="111" t="str">
        <f t="shared" si="2"/>
        <v>Steel Reinforcement</v>
      </c>
      <c r="B167" t="s">
        <v>77</v>
      </c>
      <c r="D167">
        <v>0</v>
      </c>
      <c r="E167" s="3"/>
      <c r="F167" s="3">
        <v>0</v>
      </c>
      <c r="G167">
        <v>0</v>
      </c>
    </row>
    <row r="168" spans="1:7" x14ac:dyDescent="0.25">
      <c r="A168" s="111" t="str">
        <f t="shared" si="2"/>
        <v>JDH4-02-007-SB-1580</v>
      </c>
      <c r="B168" t="s">
        <v>453</v>
      </c>
      <c r="C168" t="s">
        <v>78</v>
      </c>
      <c r="D168">
        <v>0</v>
      </c>
      <c r="E168" s="3">
        <v>1</v>
      </c>
      <c r="F168" s="3">
        <v>1</v>
      </c>
      <c r="G168">
        <v>0</v>
      </c>
    </row>
    <row r="169" spans="1:7" x14ac:dyDescent="0.25">
      <c r="A169" s="111" t="str">
        <f t="shared" si="2"/>
        <v>JDH4-02-007-SB-1590</v>
      </c>
      <c r="B169" t="s">
        <v>454</v>
      </c>
      <c r="C169" t="s">
        <v>132</v>
      </c>
      <c r="D169">
        <v>0</v>
      </c>
      <c r="E169" s="3">
        <v>1</v>
      </c>
      <c r="F169" s="3">
        <v>1</v>
      </c>
      <c r="G169">
        <v>0</v>
      </c>
    </row>
    <row r="170" spans="1:7" x14ac:dyDescent="0.25">
      <c r="A170" s="111" t="str">
        <f t="shared" si="2"/>
        <v>Ready Mixed Concrete</v>
      </c>
      <c r="B170" t="s">
        <v>80</v>
      </c>
      <c r="D170">
        <v>0</v>
      </c>
      <c r="E170" s="3"/>
      <c r="F170" s="3">
        <v>0</v>
      </c>
      <c r="G170">
        <v>0</v>
      </c>
    </row>
    <row r="171" spans="1:7" x14ac:dyDescent="0.25">
      <c r="A171" s="111" t="str">
        <f t="shared" si="2"/>
        <v>JDH4-02-007-SB-1600</v>
      </c>
      <c r="B171" t="s">
        <v>455</v>
      </c>
      <c r="C171" t="s">
        <v>81</v>
      </c>
      <c r="D171">
        <v>0</v>
      </c>
      <c r="E171" s="3">
        <v>1</v>
      </c>
      <c r="F171" s="3">
        <v>1</v>
      </c>
      <c r="G171">
        <v>0</v>
      </c>
    </row>
    <row r="172" spans="1:7" x14ac:dyDescent="0.25">
      <c r="A172" s="111" t="str">
        <f t="shared" si="2"/>
        <v>JDH4-02-007-SB-1610</v>
      </c>
      <c r="B172" t="s">
        <v>456</v>
      </c>
      <c r="C172" t="s">
        <v>134</v>
      </c>
      <c r="D172">
        <v>0</v>
      </c>
      <c r="E172" s="3">
        <v>1</v>
      </c>
      <c r="F172" s="3">
        <v>1</v>
      </c>
      <c r="G172">
        <v>0</v>
      </c>
    </row>
    <row r="173" spans="1:7" x14ac:dyDescent="0.25">
      <c r="A173" s="111" t="str">
        <f t="shared" si="2"/>
        <v>Water Proofing</v>
      </c>
      <c r="B173" t="s">
        <v>83</v>
      </c>
      <c r="D173">
        <v>0</v>
      </c>
      <c r="E173" s="3"/>
      <c r="F173" s="3">
        <v>0</v>
      </c>
      <c r="G173">
        <v>0</v>
      </c>
    </row>
    <row r="174" spans="1:7" x14ac:dyDescent="0.25">
      <c r="A174" s="111" t="str">
        <f t="shared" si="2"/>
        <v>JDH4-02-007-SB-1620</v>
      </c>
      <c r="B174" t="s">
        <v>457</v>
      </c>
      <c r="C174" t="s">
        <v>84</v>
      </c>
      <c r="D174">
        <v>0</v>
      </c>
      <c r="E174" s="3">
        <v>1</v>
      </c>
      <c r="F174" s="3">
        <v>1</v>
      </c>
      <c r="G174">
        <v>0</v>
      </c>
    </row>
    <row r="175" spans="1:7" x14ac:dyDescent="0.25">
      <c r="A175" s="111" t="str">
        <f t="shared" si="2"/>
        <v>JDH4-02-007-SB-1630</v>
      </c>
      <c r="B175" t="s">
        <v>458</v>
      </c>
      <c r="C175" t="s">
        <v>136</v>
      </c>
      <c r="D175">
        <v>0</v>
      </c>
      <c r="E175" s="3">
        <v>1</v>
      </c>
      <c r="F175" s="3">
        <v>1</v>
      </c>
      <c r="G175">
        <v>0</v>
      </c>
    </row>
    <row r="176" spans="1:7" x14ac:dyDescent="0.25">
      <c r="A176" s="111" t="str">
        <f t="shared" si="2"/>
        <v>Aggregate Base Course</v>
      </c>
      <c r="B176" t="s">
        <v>86</v>
      </c>
      <c r="D176">
        <v>0</v>
      </c>
      <c r="E176" s="3"/>
      <c r="F176" s="3">
        <v>0</v>
      </c>
      <c r="G176">
        <v>0</v>
      </c>
    </row>
    <row r="177" spans="1:7" x14ac:dyDescent="0.25">
      <c r="A177" s="111" t="str">
        <f t="shared" si="2"/>
        <v>JDH4-02-007-SB-1000</v>
      </c>
      <c r="B177" t="s">
        <v>459</v>
      </c>
      <c r="C177" t="s">
        <v>87</v>
      </c>
      <c r="D177">
        <v>0</v>
      </c>
      <c r="E177" s="3">
        <v>1</v>
      </c>
      <c r="F177" s="3">
        <v>1</v>
      </c>
      <c r="G177">
        <v>0</v>
      </c>
    </row>
    <row r="178" spans="1:7" x14ac:dyDescent="0.25">
      <c r="A178" s="111" t="str">
        <f t="shared" si="2"/>
        <v>JDH4-02-007-SB-1010</v>
      </c>
      <c r="B178" t="s">
        <v>460</v>
      </c>
      <c r="C178" t="s">
        <v>138</v>
      </c>
      <c r="D178">
        <v>0</v>
      </c>
      <c r="E178" s="3">
        <v>1</v>
      </c>
      <c r="F178" s="3">
        <v>1</v>
      </c>
      <c r="G178">
        <v>0</v>
      </c>
    </row>
    <row r="179" spans="1:7" x14ac:dyDescent="0.25">
      <c r="A179" s="111" t="str">
        <f t="shared" si="2"/>
        <v>Bituminous Base &amp; Wearing Course</v>
      </c>
      <c r="B179" t="s">
        <v>89</v>
      </c>
      <c r="D179">
        <v>0</v>
      </c>
      <c r="E179" s="3"/>
      <c r="F179" s="3">
        <v>0</v>
      </c>
      <c r="G179">
        <v>0</v>
      </c>
    </row>
    <row r="180" spans="1:7" x14ac:dyDescent="0.25">
      <c r="A180" s="111" t="str">
        <f t="shared" si="2"/>
        <v>JDH4-02-007-SB-1020</v>
      </c>
      <c r="B180" t="s">
        <v>461</v>
      </c>
      <c r="C180" t="s">
        <v>90</v>
      </c>
      <c r="D180">
        <v>0</v>
      </c>
      <c r="E180" s="3">
        <v>1</v>
      </c>
      <c r="F180" s="3">
        <v>1</v>
      </c>
      <c r="G180">
        <v>0</v>
      </c>
    </row>
    <row r="181" spans="1:7" x14ac:dyDescent="0.25">
      <c r="A181" s="111" t="str">
        <f t="shared" si="2"/>
        <v>JDH4-02-007-SB-1030</v>
      </c>
      <c r="B181" t="s">
        <v>462</v>
      </c>
      <c r="C181" t="s">
        <v>140</v>
      </c>
      <c r="D181">
        <v>0</v>
      </c>
      <c r="E181" s="3">
        <v>1</v>
      </c>
      <c r="F181" s="3">
        <v>1</v>
      </c>
      <c r="G181">
        <v>0</v>
      </c>
    </row>
    <row r="182" spans="1:7" x14ac:dyDescent="0.25">
      <c r="A182" s="111" t="str">
        <f t="shared" si="2"/>
        <v>Precast Concrete Kerb</v>
      </c>
      <c r="B182" t="s">
        <v>92</v>
      </c>
      <c r="D182">
        <v>0</v>
      </c>
      <c r="E182" s="3"/>
      <c r="F182" s="3">
        <v>0</v>
      </c>
      <c r="G182">
        <v>0</v>
      </c>
    </row>
    <row r="183" spans="1:7" x14ac:dyDescent="0.25">
      <c r="A183" s="111" t="str">
        <f t="shared" si="2"/>
        <v>JDH4-02-007-SB-1050</v>
      </c>
      <c r="B183" t="s">
        <v>463</v>
      </c>
      <c r="C183" t="s">
        <v>141</v>
      </c>
      <c r="D183">
        <v>0</v>
      </c>
      <c r="E183" s="3">
        <v>1</v>
      </c>
      <c r="F183" s="3">
        <v>1</v>
      </c>
      <c r="G183">
        <v>0</v>
      </c>
    </row>
    <row r="184" spans="1:7" x14ac:dyDescent="0.25">
      <c r="A184" s="111" t="str">
        <f t="shared" si="2"/>
        <v>JDH4-02-007-SB-1040</v>
      </c>
      <c r="B184" t="s">
        <v>464</v>
      </c>
      <c r="C184" t="s">
        <v>93</v>
      </c>
      <c r="D184">
        <v>0</v>
      </c>
      <c r="E184" s="3">
        <v>1</v>
      </c>
      <c r="F184" s="3">
        <v>1</v>
      </c>
      <c r="G184">
        <v>0</v>
      </c>
    </row>
    <row r="185" spans="1:7" x14ac:dyDescent="0.25">
      <c r="A185" s="111" t="str">
        <f t="shared" si="2"/>
        <v>Interlocking Block Pavers</v>
      </c>
      <c r="B185" t="s">
        <v>95</v>
      </c>
      <c r="D185">
        <v>0</v>
      </c>
      <c r="E185" s="3"/>
      <c r="F185" s="3">
        <v>0</v>
      </c>
      <c r="G185">
        <v>0</v>
      </c>
    </row>
    <row r="186" spans="1:7" x14ac:dyDescent="0.25">
      <c r="A186" s="111" t="str">
        <f t="shared" si="2"/>
        <v>JDH4-02-007-SB-1070</v>
      </c>
      <c r="B186" t="s">
        <v>466</v>
      </c>
      <c r="C186" t="s">
        <v>143</v>
      </c>
      <c r="D186">
        <v>0</v>
      </c>
      <c r="E186" s="3">
        <v>1</v>
      </c>
      <c r="F186" s="3">
        <v>1</v>
      </c>
      <c r="G186">
        <v>0</v>
      </c>
    </row>
    <row r="187" spans="1:7" x14ac:dyDescent="0.25">
      <c r="A187" s="111" t="str">
        <f t="shared" si="2"/>
        <v>JDH4-02-007-SB-1060</v>
      </c>
      <c r="B187" t="s">
        <v>465</v>
      </c>
      <c r="C187" t="s">
        <v>96</v>
      </c>
      <c r="D187">
        <v>0</v>
      </c>
      <c r="E187" s="3">
        <v>1</v>
      </c>
      <c r="F187" s="3">
        <v>1</v>
      </c>
      <c r="G187">
        <v>0</v>
      </c>
    </row>
    <row r="188" spans="1:7" x14ac:dyDescent="0.25">
      <c r="A188" s="111" t="str">
        <f t="shared" si="2"/>
        <v>Pavement Markings</v>
      </c>
      <c r="B188" t="s">
        <v>98</v>
      </c>
      <c r="D188">
        <v>0</v>
      </c>
      <c r="E188" s="3"/>
      <c r="F188" s="3">
        <v>0</v>
      </c>
      <c r="G188">
        <v>0</v>
      </c>
    </row>
    <row r="189" spans="1:7" x14ac:dyDescent="0.25">
      <c r="A189" s="111" t="str">
        <f t="shared" si="2"/>
        <v>JDH4-02-007-SB-1080</v>
      </c>
      <c r="B189" t="s">
        <v>467</v>
      </c>
      <c r="C189" t="s">
        <v>99</v>
      </c>
      <c r="D189">
        <v>0</v>
      </c>
      <c r="E189" s="3">
        <v>1</v>
      </c>
      <c r="F189" s="3">
        <v>1</v>
      </c>
      <c r="G189">
        <v>0</v>
      </c>
    </row>
    <row r="190" spans="1:7" x14ac:dyDescent="0.25">
      <c r="A190" s="111" t="str">
        <f t="shared" si="2"/>
        <v>JDH4-02-007-SB-1090</v>
      </c>
      <c r="B190" t="s">
        <v>468</v>
      </c>
      <c r="C190" t="s">
        <v>145</v>
      </c>
      <c r="D190">
        <v>0</v>
      </c>
      <c r="E190" s="3">
        <v>1</v>
      </c>
      <c r="F190" s="3">
        <v>1</v>
      </c>
      <c r="G190">
        <v>0</v>
      </c>
    </row>
    <row r="191" spans="1:7" x14ac:dyDescent="0.25">
      <c r="A191" s="111" t="str">
        <f t="shared" si="2"/>
        <v>Traffic Signs</v>
      </c>
      <c r="B191" t="s">
        <v>101</v>
      </c>
      <c r="D191">
        <v>0</v>
      </c>
      <c r="E191" s="3"/>
      <c r="F191" s="3">
        <v>0</v>
      </c>
      <c r="G191">
        <v>0</v>
      </c>
    </row>
    <row r="192" spans="1:7" x14ac:dyDescent="0.25">
      <c r="A192" s="111" t="str">
        <f t="shared" si="2"/>
        <v>JDH4-02-007-SB-1100</v>
      </c>
      <c r="B192" t="s">
        <v>469</v>
      </c>
      <c r="C192" t="s">
        <v>102</v>
      </c>
      <c r="D192">
        <v>0</v>
      </c>
      <c r="E192" s="3">
        <v>1</v>
      </c>
      <c r="F192" s="3">
        <v>1</v>
      </c>
      <c r="G192">
        <v>0</v>
      </c>
    </row>
    <row r="193" spans="1:7" x14ac:dyDescent="0.25">
      <c r="A193" s="111" t="str">
        <f t="shared" si="2"/>
        <v>JDH4-02-007-SB-1110</v>
      </c>
      <c r="B193" t="s">
        <v>470</v>
      </c>
      <c r="C193" t="s">
        <v>147</v>
      </c>
      <c r="D193">
        <v>0</v>
      </c>
      <c r="E193" s="3">
        <v>1</v>
      </c>
      <c r="F193" s="3">
        <v>1</v>
      </c>
      <c r="G193">
        <v>0</v>
      </c>
    </row>
    <row r="194" spans="1:7" x14ac:dyDescent="0.25">
      <c r="A194" s="111" t="str">
        <f t="shared" si="2"/>
        <v>Storm Network</v>
      </c>
      <c r="B194" t="s">
        <v>131</v>
      </c>
      <c r="D194">
        <v>0</v>
      </c>
      <c r="E194" s="3"/>
      <c r="F194" s="3">
        <v>0</v>
      </c>
      <c r="G194">
        <v>0</v>
      </c>
    </row>
    <row r="195" spans="1:7" x14ac:dyDescent="0.25">
      <c r="A195" s="111" t="str">
        <f t="shared" si="2"/>
        <v>GRP Pipes</v>
      </c>
      <c r="B195" t="s">
        <v>128</v>
      </c>
      <c r="D195">
        <v>0</v>
      </c>
      <c r="E195" s="3"/>
      <c r="F195" s="3">
        <v>0</v>
      </c>
      <c r="G195">
        <v>0</v>
      </c>
    </row>
    <row r="196" spans="1:7" x14ac:dyDescent="0.25">
      <c r="A196" s="111" t="str">
        <f t="shared" ref="A196:A259" si="3">TRIM(B196)</f>
        <v>JDH4-02-007-SB-1260</v>
      </c>
      <c r="B196" t="s">
        <v>471</v>
      </c>
      <c r="C196" t="s">
        <v>129</v>
      </c>
      <c r="D196">
        <v>0</v>
      </c>
      <c r="E196" s="3">
        <v>1</v>
      </c>
      <c r="F196" s="3">
        <v>1</v>
      </c>
      <c r="G196">
        <v>0</v>
      </c>
    </row>
    <row r="197" spans="1:7" x14ac:dyDescent="0.25">
      <c r="A197" s="111" t="str">
        <f t="shared" si="3"/>
        <v>JDH4-02-007-SB-1270</v>
      </c>
      <c r="B197" t="s">
        <v>472</v>
      </c>
      <c r="C197" t="s">
        <v>158</v>
      </c>
      <c r="D197" s="1">
        <v>0</v>
      </c>
      <c r="E197" s="3">
        <v>1</v>
      </c>
      <c r="F197" s="2">
        <v>1</v>
      </c>
      <c r="G197">
        <v>0</v>
      </c>
    </row>
    <row r="198" spans="1:7" x14ac:dyDescent="0.25">
      <c r="A198" s="111" t="str">
        <f t="shared" si="3"/>
        <v>Catch Basin</v>
      </c>
      <c r="B198" t="s">
        <v>473</v>
      </c>
      <c r="D198">
        <v>0</v>
      </c>
      <c r="F198" s="3">
        <v>0</v>
      </c>
      <c r="G198">
        <v>0</v>
      </c>
    </row>
    <row r="199" spans="1:7" x14ac:dyDescent="0.25">
      <c r="A199" s="111" t="str">
        <f t="shared" si="3"/>
        <v>JDH4-02-007-SB-1640</v>
      </c>
      <c r="B199" t="s">
        <v>474</v>
      </c>
      <c r="C199" t="s">
        <v>475</v>
      </c>
      <c r="D199">
        <v>0</v>
      </c>
      <c r="E199" s="3">
        <v>1</v>
      </c>
      <c r="F199" s="3">
        <v>1</v>
      </c>
      <c r="G199">
        <v>0</v>
      </c>
    </row>
    <row r="200" spans="1:7" x14ac:dyDescent="0.25">
      <c r="A200" s="111" t="str">
        <f t="shared" si="3"/>
        <v>JDH4-02-007-SB-1650</v>
      </c>
      <c r="B200" t="s">
        <v>476</v>
      </c>
      <c r="C200" t="s">
        <v>477</v>
      </c>
      <c r="D200">
        <v>0</v>
      </c>
      <c r="E200" s="3">
        <v>1</v>
      </c>
      <c r="F200" s="3">
        <v>1</v>
      </c>
      <c r="G200">
        <v>0</v>
      </c>
    </row>
    <row r="201" spans="1:7" x14ac:dyDescent="0.25">
      <c r="A201" s="111" t="str">
        <f t="shared" si="3"/>
        <v>Inlet Manholes</v>
      </c>
      <c r="B201" t="s">
        <v>478</v>
      </c>
      <c r="D201">
        <v>0</v>
      </c>
      <c r="E201" s="3"/>
      <c r="F201" s="3">
        <v>0</v>
      </c>
      <c r="G201">
        <v>0</v>
      </c>
    </row>
    <row r="202" spans="1:7" x14ac:dyDescent="0.25">
      <c r="A202" s="111" t="str">
        <f t="shared" si="3"/>
        <v>JDH4-02-007-SB-1280</v>
      </c>
      <c r="B202" t="s">
        <v>479</v>
      </c>
      <c r="C202" t="s">
        <v>480</v>
      </c>
      <c r="D202">
        <v>0</v>
      </c>
      <c r="E202" s="3">
        <v>1</v>
      </c>
      <c r="F202" s="3">
        <v>1</v>
      </c>
      <c r="G202">
        <v>0</v>
      </c>
    </row>
    <row r="203" spans="1:7" x14ac:dyDescent="0.25">
      <c r="A203" s="111" t="str">
        <f t="shared" si="3"/>
        <v>JDH4-02-007-SB-1290</v>
      </c>
      <c r="B203" t="s">
        <v>481</v>
      </c>
      <c r="C203" t="s">
        <v>482</v>
      </c>
      <c r="D203">
        <v>0</v>
      </c>
      <c r="E203" s="3">
        <v>1</v>
      </c>
      <c r="F203" s="3">
        <v>1</v>
      </c>
      <c r="G203">
        <v>0</v>
      </c>
    </row>
    <row r="204" spans="1:7" x14ac:dyDescent="0.25">
      <c r="A204" s="111" t="str">
        <f t="shared" si="3"/>
        <v>Sanitary Sewerage</v>
      </c>
      <c r="B204" t="s">
        <v>483</v>
      </c>
      <c r="D204">
        <v>0</v>
      </c>
      <c r="E204" s="3"/>
      <c r="F204" s="3">
        <v>0</v>
      </c>
      <c r="G204">
        <v>0</v>
      </c>
    </row>
    <row r="205" spans="1:7" x14ac:dyDescent="0.25">
      <c r="A205" s="111" t="str">
        <f t="shared" si="3"/>
        <v>GRP Pipes</v>
      </c>
      <c r="B205" t="s">
        <v>128</v>
      </c>
      <c r="D205">
        <v>0</v>
      </c>
      <c r="E205" s="3"/>
      <c r="F205" s="3">
        <v>0</v>
      </c>
      <c r="G205">
        <v>0</v>
      </c>
    </row>
    <row r="206" spans="1:7" x14ac:dyDescent="0.25">
      <c r="A206" s="111" t="str">
        <f t="shared" si="3"/>
        <v>JDH4-02-007-SB-1220</v>
      </c>
      <c r="B206" t="s">
        <v>484</v>
      </c>
      <c r="C206" t="s">
        <v>129</v>
      </c>
      <c r="D206">
        <v>0</v>
      </c>
      <c r="E206" s="3">
        <v>1</v>
      </c>
      <c r="F206" s="3">
        <v>1</v>
      </c>
      <c r="G206">
        <v>0</v>
      </c>
    </row>
    <row r="207" spans="1:7" x14ac:dyDescent="0.25">
      <c r="A207" s="111" t="str">
        <f t="shared" si="3"/>
        <v>JDH4-02-007-SB-1230</v>
      </c>
      <c r="B207" t="s">
        <v>485</v>
      </c>
      <c r="C207" t="s">
        <v>158</v>
      </c>
      <c r="D207">
        <v>0</v>
      </c>
      <c r="E207" s="3">
        <v>1</v>
      </c>
      <c r="F207" s="3">
        <v>1</v>
      </c>
      <c r="G207">
        <v>0</v>
      </c>
    </row>
    <row r="208" spans="1:7" x14ac:dyDescent="0.25">
      <c r="A208" s="111" t="str">
        <f t="shared" si="3"/>
        <v>Manholes</v>
      </c>
      <c r="B208" t="s">
        <v>486</v>
      </c>
      <c r="D208">
        <v>0</v>
      </c>
      <c r="E208" s="3"/>
      <c r="F208" s="3">
        <v>0</v>
      </c>
      <c r="G208">
        <v>0</v>
      </c>
    </row>
    <row r="209" spans="1:7" x14ac:dyDescent="0.25">
      <c r="A209" s="111" t="str">
        <f t="shared" si="3"/>
        <v>JDH4-02-007-SB-1240</v>
      </c>
      <c r="B209" t="s">
        <v>487</v>
      </c>
      <c r="C209" t="s">
        <v>488</v>
      </c>
      <c r="D209">
        <v>0</v>
      </c>
      <c r="E209" s="3">
        <v>1</v>
      </c>
      <c r="F209" s="3">
        <v>1</v>
      </c>
      <c r="G209">
        <v>0</v>
      </c>
    </row>
    <row r="210" spans="1:7" x14ac:dyDescent="0.25">
      <c r="A210" s="111" t="str">
        <f t="shared" si="3"/>
        <v>JDH4-02-007-SB-1250</v>
      </c>
      <c r="B210" t="s">
        <v>489</v>
      </c>
      <c r="C210" t="s">
        <v>490</v>
      </c>
      <c r="D210">
        <v>0</v>
      </c>
      <c r="E210" s="3">
        <v>1</v>
      </c>
      <c r="F210" s="3">
        <v>1</v>
      </c>
      <c r="G210">
        <v>0</v>
      </c>
    </row>
    <row r="211" spans="1:7" x14ac:dyDescent="0.25">
      <c r="A211" s="111" t="str">
        <f t="shared" si="3"/>
        <v>TSE Network</v>
      </c>
      <c r="B211" t="s">
        <v>491</v>
      </c>
      <c r="D211">
        <v>0</v>
      </c>
      <c r="E211" s="3"/>
      <c r="F211" s="3">
        <v>0</v>
      </c>
      <c r="G211">
        <v>0</v>
      </c>
    </row>
    <row r="212" spans="1:7" x14ac:dyDescent="0.25">
      <c r="A212" s="111" t="str">
        <f t="shared" si="3"/>
        <v>HDPE Pipe (PN 16)</v>
      </c>
      <c r="B212" t="s">
        <v>121</v>
      </c>
      <c r="D212">
        <v>0</v>
      </c>
      <c r="F212" s="3">
        <v>0</v>
      </c>
      <c r="G212">
        <v>0</v>
      </c>
    </row>
    <row r="213" spans="1:7" x14ac:dyDescent="0.25">
      <c r="A213" s="111" t="str">
        <f t="shared" si="3"/>
        <v>JDH4-02-007-SB-1200</v>
      </c>
      <c r="B213" t="s">
        <v>492</v>
      </c>
      <c r="C213" t="s">
        <v>122</v>
      </c>
      <c r="D213">
        <v>0</v>
      </c>
      <c r="E213" s="3">
        <v>1</v>
      </c>
      <c r="F213" s="3">
        <v>1</v>
      </c>
      <c r="G213">
        <v>0</v>
      </c>
    </row>
    <row r="214" spans="1:7" x14ac:dyDescent="0.25">
      <c r="A214" s="111" t="str">
        <f t="shared" si="3"/>
        <v>JDH4-02-007-SB-1210</v>
      </c>
      <c r="B214" t="s">
        <v>493</v>
      </c>
      <c r="C214" t="s">
        <v>154</v>
      </c>
      <c r="D214">
        <v>0</v>
      </c>
      <c r="E214" s="3">
        <v>1</v>
      </c>
      <c r="F214" s="3">
        <v>1</v>
      </c>
      <c r="G214">
        <v>0</v>
      </c>
    </row>
    <row r="215" spans="1:7" x14ac:dyDescent="0.25">
      <c r="A215" s="111" t="str">
        <f t="shared" si="3"/>
        <v>Valves / Chambers</v>
      </c>
      <c r="B215" t="s">
        <v>494</v>
      </c>
      <c r="D215">
        <v>0</v>
      </c>
      <c r="F215" s="3">
        <v>0</v>
      </c>
      <c r="G215">
        <v>0</v>
      </c>
    </row>
    <row r="216" spans="1:7" x14ac:dyDescent="0.25">
      <c r="A216" s="111" t="str">
        <f t="shared" si="3"/>
        <v>JDH4-02-007-SB-1440</v>
      </c>
      <c r="B216" t="s">
        <v>495</v>
      </c>
      <c r="C216" t="s">
        <v>496</v>
      </c>
      <c r="D216">
        <v>0</v>
      </c>
      <c r="E216" s="3">
        <v>1</v>
      </c>
      <c r="F216" s="3">
        <v>1</v>
      </c>
      <c r="G216">
        <v>0</v>
      </c>
    </row>
    <row r="217" spans="1:7" x14ac:dyDescent="0.25">
      <c r="A217" s="111" t="str">
        <f t="shared" si="3"/>
        <v>JDH4-02-007-SB-1450</v>
      </c>
      <c r="B217" t="s">
        <v>497</v>
      </c>
      <c r="C217" t="s">
        <v>498</v>
      </c>
      <c r="D217">
        <v>0</v>
      </c>
      <c r="E217" s="3">
        <v>1</v>
      </c>
      <c r="F217" s="3">
        <v>1</v>
      </c>
      <c r="G217">
        <v>0</v>
      </c>
    </row>
    <row r="218" spans="1:7" x14ac:dyDescent="0.25">
      <c r="A218" s="111" t="str">
        <f t="shared" si="3"/>
        <v>Risers</v>
      </c>
      <c r="B218" t="s">
        <v>499</v>
      </c>
      <c r="D218">
        <v>0</v>
      </c>
      <c r="F218" s="3">
        <v>0</v>
      </c>
      <c r="G218">
        <v>0</v>
      </c>
    </row>
    <row r="219" spans="1:7" x14ac:dyDescent="0.25">
      <c r="A219" s="111" t="str">
        <f t="shared" si="3"/>
        <v>JDH4-02-007-SB-1460</v>
      </c>
      <c r="B219" t="s">
        <v>500</v>
      </c>
      <c r="C219" t="s">
        <v>501</v>
      </c>
      <c r="D219">
        <v>0</v>
      </c>
      <c r="E219" s="3">
        <v>1</v>
      </c>
      <c r="F219" s="3">
        <v>1</v>
      </c>
      <c r="G219">
        <v>0</v>
      </c>
    </row>
    <row r="220" spans="1:7" x14ac:dyDescent="0.25">
      <c r="A220" s="111" t="str">
        <f t="shared" si="3"/>
        <v>JDH4-02-007-SB-1470</v>
      </c>
      <c r="B220" t="s">
        <v>502</v>
      </c>
      <c r="C220" t="s">
        <v>503</v>
      </c>
      <c r="D220">
        <v>0</v>
      </c>
      <c r="E220" s="3">
        <v>1</v>
      </c>
      <c r="F220" s="3">
        <v>1</v>
      </c>
      <c r="G220">
        <v>0</v>
      </c>
    </row>
    <row r="221" spans="1:7" x14ac:dyDescent="0.25">
      <c r="A221" s="111" t="str">
        <f t="shared" si="3"/>
        <v>Potable Water Network</v>
      </c>
      <c r="B221" t="s">
        <v>504</v>
      </c>
      <c r="D221">
        <v>0</v>
      </c>
      <c r="F221" s="3">
        <v>0</v>
      </c>
      <c r="G221">
        <v>0</v>
      </c>
    </row>
    <row r="222" spans="1:7" x14ac:dyDescent="0.25">
      <c r="A222" s="111" t="str">
        <f t="shared" si="3"/>
        <v>HDPE Pipe (PN 16)</v>
      </c>
      <c r="B222" t="s">
        <v>121</v>
      </c>
      <c r="D222">
        <v>0</v>
      </c>
      <c r="E222" s="3"/>
      <c r="F222" s="3">
        <v>0</v>
      </c>
      <c r="G222">
        <v>0</v>
      </c>
    </row>
    <row r="223" spans="1:7" x14ac:dyDescent="0.25">
      <c r="A223" s="111" t="str">
        <f t="shared" si="3"/>
        <v>JDH4-02-007-SB-1180</v>
      </c>
      <c r="B223" t="s">
        <v>505</v>
      </c>
      <c r="C223" t="s">
        <v>122</v>
      </c>
      <c r="D223">
        <v>0</v>
      </c>
      <c r="E223" s="3">
        <v>1</v>
      </c>
      <c r="F223" s="3">
        <v>1</v>
      </c>
      <c r="G223">
        <v>0</v>
      </c>
    </row>
    <row r="224" spans="1:7" x14ac:dyDescent="0.25">
      <c r="A224" s="111" t="str">
        <f t="shared" si="3"/>
        <v>JDH4-02-007-SB-1190</v>
      </c>
      <c r="B224" t="s">
        <v>506</v>
      </c>
      <c r="C224" t="s">
        <v>154</v>
      </c>
      <c r="D224">
        <v>0</v>
      </c>
      <c r="E224" s="3">
        <v>1</v>
      </c>
      <c r="F224" s="3">
        <v>1</v>
      </c>
      <c r="G224">
        <v>0</v>
      </c>
    </row>
    <row r="225" spans="1:7" x14ac:dyDescent="0.25">
      <c r="A225" s="111" t="str">
        <f t="shared" si="3"/>
        <v>Valves / Chambers</v>
      </c>
      <c r="B225" t="s">
        <v>494</v>
      </c>
      <c r="D225">
        <v>0</v>
      </c>
      <c r="E225" s="3"/>
      <c r="F225" s="3">
        <v>0</v>
      </c>
      <c r="G225">
        <v>0</v>
      </c>
    </row>
    <row r="226" spans="1:7" x14ac:dyDescent="0.25">
      <c r="A226" s="111" t="str">
        <f t="shared" si="3"/>
        <v>JDH4-02-007-SB-1420</v>
      </c>
      <c r="B226" t="s">
        <v>507</v>
      </c>
      <c r="C226" t="s">
        <v>496</v>
      </c>
      <c r="D226">
        <v>0</v>
      </c>
      <c r="E226" s="3">
        <v>1</v>
      </c>
      <c r="F226" s="3">
        <v>1</v>
      </c>
      <c r="G226">
        <v>0</v>
      </c>
    </row>
    <row r="227" spans="1:7" x14ac:dyDescent="0.25">
      <c r="A227" s="111" t="str">
        <f t="shared" si="3"/>
        <v>JDH4-02-007-SB-1430</v>
      </c>
      <c r="B227" t="s">
        <v>508</v>
      </c>
      <c r="C227" t="s">
        <v>498</v>
      </c>
      <c r="D227">
        <v>0</v>
      </c>
      <c r="E227" s="3">
        <v>1</v>
      </c>
      <c r="F227" s="3">
        <v>1</v>
      </c>
      <c r="G227">
        <v>0</v>
      </c>
    </row>
    <row r="228" spans="1:7" x14ac:dyDescent="0.25">
      <c r="A228" s="111" t="str">
        <f t="shared" si="3"/>
        <v>Fire Hydrant</v>
      </c>
      <c r="B228" t="s">
        <v>124</v>
      </c>
      <c r="D228">
        <v>0</v>
      </c>
      <c r="E228" s="3"/>
      <c r="F228" s="3">
        <v>0</v>
      </c>
      <c r="G228">
        <v>0</v>
      </c>
    </row>
    <row r="229" spans="1:7" x14ac:dyDescent="0.25">
      <c r="A229" s="111" t="str">
        <f t="shared" si="3"/>
        <v>JDH4-02-007-SB-1660</v>
      </c>
      <c r="B229" t="s">
        <v>509</v>
      </c>
      <c r="C229" t="s">
        <v>125</v>
      </c>
      <c r="D229">
        <v>0</v>
      </c>
      <c r="E229" s="3">
        <v>1</v>
      </c>
      <c r="F229" s="3">
        <v>1</v>
      </c>
      <c r="G229">
        <v>0</v>
      </c>
    </row>
    <row r="230" spans="1:7" x14ac:dyDescent="0.25">
      <c r="A230" s="111" t="str">
        <f t="shared" si="3"/>
        <v>JDH4-02-007-SB-1670</v>
      </c>
      <c r="B230" t="s">
        <v>510</v>
      </c>
      <c r="C230" t="s">
        <v>156</v>
      </c>
      <c r="D230">
        <v>0</v>
      </c>
      <c r="E230" s="3">
        <v>1</v>
      </c>
      <c r="F230" s="3">
        <v>1</v>
      </c>
      <c r="G230">
        <v>0</v>
      </c>
    </row>
    <row r="231" spans="1:7" x14ac:dyDescent="0.25">
      <c r="A231" s="111" t="str">
        <f t="shared" si="3"/>
        <v>Electrical Network</v>
      </c>
      <c r="B231" t="s">
        <v>104</v>
      </c>
      <c r="D231">
        <v>0</v>
      </c>
      <c r="F231" s="3">
        <v>0</v>
      </c>
      <c r="G231">
        <v>0</v>
      </c>
    </row>
    <row r="232" spans="1:7" x14ac:dyDescent="0.25">
      <c r="A232" s="111" t="str">
        <f t="shared" si="3"/>
        <v>Pipe for the Duct</v>
      </c>
      <c r="B232" t="s">
        <v>511</v>
      </c>
      <c r="D232">
        <v>0</v>
      </c>
      <c r="E232" s="3"/>
      <c r="F232" s="3">
        <v>0</v>
      </c>
      <c r="G232">
        <v>0</v>
      </c>
    </row>
    <row r="233" spans="1:7" x14ac:dyDescent="0.25">
      <c r="A233" s="111" t="str">
        <f t="shared" si="3"/>
        <v>JDH4-02-007-SB-1120</v>
      </c>
      <c r="B233" t="s">
        <v>512</v>
      </c>
      <c r="C233" t="s">
        <v>513</v>
      </c>
      <c r="D233">
        <v>0</v>
      </c>
      <c r="E233" s="3">
        <v>1</v>
      </c>
      <c r="F233" s="3">
        <v>1</v>
      </c>
      <c r="G233">
        <v>0</v>
      </c>
    </row>
    <row r="234" spans="1:7" x14ac:dyDescent="0.25">
      <c r="A234" s="111" t="str">
        <f t="shared" si="3"/>
        <v>JDH4-02-007-SB-1130</v>
      </c>
      <c r="B234" t="s">
        <v>514</v>
      </c>
      <c r="C234" t="s">
        <v>515</v>
      </c>
      <c r="D234">
        <v>0</v>
      </c>
      <c r="E234" s="3">
        <v>1</v>
      </c>
      <c r="F234" s="3">
        <v>1</v>
      </c>
      <c r="G234">
        <v>0</v>
      </c>
    </row>
    <row r="235" spans="1:7" x14ac:dyDescent="0.25">
      <c r="A235" s="111" t="str">
        <f t="shared" si="3"/>
        <v>Low Voltage Cables</v>
      </c>
      <c r="B235" t="s">
        <v>105</v>
      </c>
      <c r="D235">
        <v>0</v>
      </c>
      <c r="E235" s="3"/>
      <c r="F235" s="3">
        <v>0</v>
      </c>
      <c r="G235">
        <v>0</v>
      </c>
    </row>
    <row r="236" spans="1:7" x14ac:dyDescent="0.25">
      <c r="A236" s="111" t="str">
        <f t="shared" si="3"/>
        <v>JDH4-02-007-SB-1320</v>
      </c>
      <c r="B236" t="s">
        <v>516</v>
      </c>
      <c r="C236" t="s">
        <v>106</v>
      </c>
      <c r="D236">
        <v>0</v>
      </c>
      <c r="E236" s="3">
        <v>1</v>
      </c>
      <c r="F236" s="3">
        <v>1</v>
      </c>
      <c r="G236">
        <v>0</v>
      </c>
    </row>
    <row r="237" spans="1:7" x14ac:dyDescent="0.25">
      <c r="A237" s="111" t="str">
        <f t="shared" si="3"/>
        <v>JDH4-02-007-SB-1330</v>
      </c>
      <c r="B237" t="s">
        <v>517</v>
      </c>
      <c r="C237" t="s">
        <v>149</v>
      </c>
      <c r="D237">
        <v>0</v>
      </c>
      <c r="E237" s="3">
        <v>1</v>
      </c>
      <c r="F237" s="3">
        <v>1</v>
      </c>
      <c r="G237">
        <v>0</v>
      </c>
    </row>
    <row r="238" spans="1:7" x14ac:dyDescent="0.25">
      <c r="A238" s="111" t="str">
        <f t="shared" si="3"/>
        <v>Earthing System</v>
      </c>
      <c r="B238" t="s">
        <v>108</v>
      </c>
      <c r="D238">
        <v>0</v>
      </c>
      <c r="E238" s="3"/>
      <c r="F238" s="3">
        <v>0</v>
      </c>
      <c r="G238">
        <v>0</v>
      </c>
    </row>
    <row r="239" spans="1:7" x14ac:dyDescent="0.25">
      <c r="A239" s="111" t="str">
        <f t="shared" si="3"/>
        <v>JDH4-02-007-SB-1160</v>
      </c>
      <c r="B239" t="s">
        <v>518</v>
      </c>
      <c r="C239" t="s">
        <v>109</v>
      </c>
      <c r="D239">
        <v>0</v>
      </c>
      <c r="E239" s="3">
        <v>1</v>
      </c>
      <c r="F239" s="3">
        <v>1</v>
      </c>
      <c r="G239">
        <v>0</v>
      </c>
    </row>
    <row r="240" spans="1:7" x14ac:dyDescent="0.25">
      <c r="A240" s="111" t="str">
        <f t="shared" si="3"/>
        <v>JDH4-02-007-SB-1170</v>
      </c>
      <c r="B240" t="s">
        <v>519</v>
      </c>
      <c r="C240" t="s">
        <v>150</v>
      </c>
      <c r="D240">
        <v>0</v>
      </c>
      <c r="E240" s="3">
        <v>1</v>
      </c>
      <c r="F240" s="3">
        <v>1</v>
      </c>
      <c r="G240">
        <v>0</v>
      </c>
    </row>
    <row r="241" spans="1:7" x14ac:dyDescent="0.25">
      <c r="A241" s="111" t="str">
        <f t="shared" si="3"/>
        <v>Medium Voltage Cable</v>
      </c>
      <c r="B241" t="s">
        <v>111</v>
      </c>
      <c r="D241">
        <v>0</v>
      </c>
      <c r="E241" s="3"/>
      <c r="F241" s="3">
        <v>0</v>
      </c>
      <c r="G241">
        <v>0</v>
      </c>
    </row>
    <row r="242" spans="1:7" x14ac:dyDescent="0.25">
      <c r="A242" s="111" t="str">
        <f t="shared" si="3"/>
        <v>JDH4-02-007-SB-1300</v>
      </c>
      <c r="B242" t="s">
        <v>520</v>
      </c>
      <c r="C242" t="s">
        <v>112</v>
      </c>
      <c r="D242">
        <v>0</v>
      </c>
      <c r="E242" s="3">
        <v>1</v>
      </c>
      <c r="F242" s="3">
        <v>1</v>
      </c>
      <c r="G242">
        <v>0</v>
      </c>
    </row>
    <row r="243" spans="1:7" x14ac:dyDescent="0.25">
      <c r="A243" s="111" t="str">
        <f t="shared" si="3"/>
        <v>JDH4-02-007-SB-1310</v>
      </c>
      <c r="B243" t="s">
        <v>521</v>
      </c>
      <c r="C243" t="s">
        <v>151</v>
      </c>
      <c r="D243">
        <v>0</v>
      </c>
      <c r="E243" s="3">
        <v>1</v>
      </c>
      <c r="F243" s="3">
        <v>1</v>
      </c>
      <c r="G243">
        <v>0</v>
      </c>
    </row>
    <row r="244" spans="1:7" x14ac:dyDescent="0.25">
      <c r="A244" s="111" t="str">
        <f t="shared" si="3"/>
        <v>Low Voltage Distribution Panel</v>
      </c>
      <c r="B244" t="s">
        <v>522</v>
      </c>
      <c r="D244">
        <v>0</v>
      </c>
      <c r="E244" s="3"/>
      <c r="F244" s="3">
        <v>0</v>
      </c>
      <c r="G244">
        <v>0</v>
      </c>
    </row>
    <row r="245" spans="1:7" x14ac:dyDescent="0.25">
      <c r="A245" s="111" t="str">
        <f t="shared" si="3"/>
        <v>JDH4-02-007-SB-1140</v>
      </c>
      <c r="B245" t="s">
        <v>523</v>
      </c>
      <c r="C245" t="s">
        <v>524</v>
      </c>
      <c r="D245">
        <v>0</v>
      </c>
      <c r="E245" s="3">
        <v>1</v>
      </c>
      <c r="F245" s="3">
        <v>1</v>
      </c>
      <c r="G245">
        <v>0</v>
      </c>
    </row>
    <row r="246" spans="1:7" x14ac:dyDescent="0.25">
      <c r="A246" s="111" t="str">
        <f t="shared" si="3"/>
        <v>JDH4-02-007-SB-1150</v>
      </c>
      <c r="B246" t="s">
        <v>525</v>
      </c>
      <c r="C246" t="s">
        <v>526</v>
      </c>
      <c r="D246">
        <v>0</v>
      </c>
      <c r="E246" s="3">
        <v>1</v>
      </c>
      <c r="F246" s="3">
        <v>1</v>
      </c>
      <c r="G246">
        <v>0</v>
      </c>
    </row>
    <row r="247" spans="1:7" x14ac:dyDescent="0.25">
      <c r="A247" s="111" t="str">
        <f t="shared" si="3"/>
        <v>Unit Sub Station</v>
      </c>
      <c r="B247" t="s">
        <v>527</v>
      </c>
      <c r="D247">
        <v>0</v>
      </c>
      <c r="E247" s="3"/>
      <c r="F247" s="3">
        <v>0</v>
      </c>
      <c r="G247">
        <v>0</v>
      </c>
    </row>
    <row r="248" spans="1:7" x14ac:dyDescent="0.25">
      <c r="A248" s="111" t="str">
        <f t="shared" si="3"/>
        <v>JDH4-02-007-SB-1380</v>
      </c>
      <c r="B248" t="s">
        <v>528</v>
      </c>
      <c r="C248" t="s">
        <v>529</v>
      </c>
      <c r="D248">
        <v>0</v>
      </c>
      <c r="E248" s="3">
        <v>1</v>
      </c>
      <c r="F248" s="3">
        <v>1</v>
      </c>
      <c r="G248">
        <v>0</v>
      </c>
    </row>
    <row r="249" spans="1:7" x14ac:dyDescent="0.25">
      <c r="A249" s="111" t="str">
        <f t="shared" si="3"/>
        <v>JDH4-02-007-SB-1390</v>
      </c>
      <c r="B249" t="s">
        <v>530</v>
      </c>
      <c r="C249" t="s">
        <v>531</v>
      </c>
      <c r="D249">
        <v>0</v>
      </c>
      <c r="E249" s="3">
        <v>1</v>
      </c>
      <c r="F249" s="3">
        <v>1</v>
      </c>
      <c r="G249">
        <v>0</v>
      </c>
    </row>
    <row r="250" spans="1:7" x14ac:dyDescent="0.25">
      <c r="A250" s="111" t="str">
        <f t="shared" si="3"/>
        <v>Ring Main Unit (RMU)</v>
      </c>
      <c r="B250" t="s">
        <v>532</v>
      </c>
      <c r="D250">
        <v>0</v>
      </c>
      <c r="E250" s="3"/>
      <c r="F250" s="3">
        <v>0</v>
      </c>
      <c r="G250">
        <v>0</v>
      </c>
    </row>
    <row r="251" spans="1:7" x14ac:dyDescent="0.25">
      <c r="A251" s="111" t="str">
        <f t="shared" si="3"/>
        <v>JDH4-02-007-SB-1400</v>
      </c>
      <c r="B251" t="s">
        <v>533</v>
      </c>
      <c r="C251" t="s">
        <v>534</v>
      </c>
      <c r="D251">
        <v>0</v>
      </c>
      <c r="E251" s="3">
        <v>1</v>
      </c>
      <c r="F251" s="3">
        <v>1</v>
      </c>
      <c r="G251">
        <v>0</v>
      </c>
    </row>
    <row r="252" spans="1:7" x14ac:dyDescent="0.25">
      <c r="A252" s="111" t="str">
        <f t="shared" si="3"/>
        <v>JDH4-02-007-SB-1410</v>
      </c>
      <c r="B252" t="s">
        <v>535</v>
      </c>
      <c r="C252" t="s">
        <v>536</v>
      </c>
      <c r="D252">
        <v>0</v>
      </c>
      <c r="E252" s="3">
        <v>1</v>
      </c>
      <c r="F252" s="3">
        <v>1</v>
      </c>
      <c r="G252">
        <v>0</v>
      </c>
    </row>
    <row r="253" spans="1:7" x14ac:dyDescent="0.25">
      <c r="A253" s="111" t="str">
        <f t="shared" si="3"/>
        <v>Lighting poles</v>
      </c>
      <c r="B253" t="s">
        <v>114</v>
      </c>
      <c r="D253">
        <v>0</v>
      </c>
      <c r="E253" s="3"/>
      <c r="F253" s="3">
        <v>0</v>
      </c>
      <c r="G253">
        <v>0</v>
      </c>
    </row>
    <row r="254" spans="1:7" x14ac:dyDescent="0.25">
      <c r="A254" s="111" t="str">
        <f t="shared" si="3"/>
        <v>JDH4-02-007-SB-1340</v>
      </c>
      <c r="B254" t="s">
        <v>537</v>
      </c>
      <c r="C254" t="s">
        <v>115</v>
      </c>
      <c r="D254">
        <v>0</v>
      </c>
      <c r="E254" s="3">
        <v>1</v>
      </c>
      <c r="F254" s="3">
        <v>1</v>
      </c>
      <c r="G254">
        <v>0</v>
      </c>
    </row>
    <row r="255" spans="1:7" x14ac:dyDescent="0.25">
      <c r="A255" s="111" t="str">
        <f t="shared" si="3"/>
        <v>JDH4-02-007-SB-1350</v>
      </c>
      <c r="B255" t="s">
        <v>538</v>
      </c>
      <c r="C255" t="s">
        <v>152</v>
      </c>
      <c r="D255">
        <v>0</v>
      </c>
      <c r="E255" s="3">
        <v>1</v>
      </c>
      <c r="F255" s="3">
        <v>1</v>
      </c>
      <c r="G255">
        <v>0</v>
      </c>
    </row>
    <row r="256" spans="1:7" x14ac:dyDescent="0.25">
      <c r="A256" s="111" t="str">
        <f t="shared" si="3"/>
        <v>Lighting panels/Feeder Pillers</v>
      </c>
      <c r="B256" t="s">
        <v>539</v>
      </c>
      <c r="D256">
        <v>0</v>
      </c>
      <c r="E256" s="3"/>
      <c r="F256" s="3">
        <v>0</v>
      </c>
      <c r="G256">
        <v>0</v>
      </c>
    </row>
    <row r="257" spans="1:7" x14ac:dyDescent="0.25">
      <c r="A257" s="111" t="str">
        <f t="shared" si="3"/>
        <v>JDH4-02-007-SB-1520</v>
      </c>
      <c r="B257" t="s">
        <v>540</v>
      </c>
      <c r="C257" t="s">
        <v>541</v>
      </c>
      <c r="D257">
        <v>0</v>
      </c>
      <c r="E257" s="3">
        <v>1</v>
      </c>
      <c r="F257" s="3">
        <v>1</v>
      </c>
      <c r="G257">
        <v>0</v>
      </c>
    </row>
    <row r="258" spans="1:7" x14ac:dyDescent="0.25">
      <c r="A258" s="111" t="str">
        <f t="shared" si="3"/>
        <v>JDH4-02-007-SB-1530</v>
      </c>
      <c r="B258" t="s">
        <v>542</v>
      </c>
      <c r="C258" t="s">
        <v>543</v>
      </c>
      <c r="D258">
        <v>0</v>
      </c>
      <c r="E258" s="3">
        <v>1</v>
      </c>
      <c r="F258" s="3">
        <v>1</v>
      </c>
      <c r="G258">
        <v>0</v>
      </c>
    </row>
    <row r="259" spans="1:7" x14ac:dyDescent="0.25">
      <c r="A259" s="111" t="str">
        <f t="shared" si="3"/>
        <v>Street Lighting Luminaire</v>
      </c>
      <c r="B259" t="s">
        <v>117</v>
      </c>
      <c r="D259">
        <v>0</v>
      </c>
      <c r="E259" s="3"/>
      <c r="F259" s="3">
        <v>0</v>
      </c>
      <c r="G259">
        <v>0</v>
      </c>
    </row>
    <row r="260" spans="1:7" x14ac:dyDescent="0.25">
      <c r="A260" s="111" t="str">
        <f t="shared" ref="A260:A323" si="4">TRIM(B260)</f>
        <v>JDH4-02-007-SB-1360</v>
      </c>
      <c r="B260" t="s">
        <v>544</v>
      </c>
      <c r="C260" t="s">
        <v>118</v>
      </c>
      <c r="D260">
        <v>0</v>
      </c>
      <c r="E260" s="3">
        <v>1</v>
      </c>
      <c r="F260" s="3">
        <v>1</v>
      </c>
      <c r="G260">
        <v>0</v>
      </c>
    </row>
    <row r="261" spans="1:7" x14ac:dyDescent="0.25">
      <c r="A261" s="111" t="str">
        <f t="shared" si="4"/>
        <v>JDH4-02-007-SB-1370</v>
      </c>
      <c r="B261" t="s">
        <v>545</v>
      </c>
      <c r="C261" t="s">
        <v>153</v>
      </c>
      <c r="D261">
        <v>0</v>
      </c>
      <c r="E261" s="3">
        <v>1</v>
      </c>
      <c r="F261" s="3">
        <v>1</v>
      </c>
      <c r="G261">
        <v>0</v>
      </c>
    </row>
    <row r="262" spans="1:7" x14ac:dyDescent="0.25">
      <c r="A262" s="111" t="str">
        <f t="shared" si="4"/>
        <v>Telecommunications</v>
      </c>
      <c r="B262" t="s">
        <v>546</v>
      </c>
      <c r="D262">
        <v>0</v>
      </c>
      <c r="E262" s="3"/>
      <c r="F262" s="3">
        <v>0</v>
      </c>
      <c r="G262">
        <v>0</v>
      </c>
    </row>
    <row r="263" spans="1:7" x14ac:dyDescent="0.25">
      <c r="A263" s="111" t="str">
        <f t="shared" si="4"/>
        <v>Pipe for the Duct</v>
      </c>
      <c r="B263" t="s">
        <v>511</v>
      </c>
      <c r="D263">
        <v>0</v>
      </c>
      <c r="E263" s="3"/>
      <c r="F263" s="3">
        <v>0</v>
      </c>
      <c r="G263">
        <v>0</v>
      </c>
    </row>
    <row r="264" spans="1:7" x14ac:dyDescent="0.25">
      <c r="A264" s="111" t="str">
        <f t="shared" si="4"/>
        <v>JDH4-02-007-SB-1550</v>
      </c>
      <c r="B264" t="s">
        <v>547</v>
      </c>
      <c r="C264" t="s">
        <v>515</v>
      </c>
      <c r="D264">
        <v>0</v>
      </c>
      <c r="E264" s="3">
        <v>1</v>
      </c>
      <c r="F264" s="3">
        <v>1</v>
      </c>
      <c r="G264">
        <v>0</v>
      </c>
    </row>
    <row r="265" spans="1:7" x14ac:dyDescent="0.25">
      <c r="A265" s="111" t="str">
        <f t="shared" si="4"/>
        <v>JDH4-02-007-SB-1540</v>
      </c>
      <c r="B265" t="s">
        <v>548</v>
      </c>
      <c r="C265" t="s">
        <v>513</v>
      </c>
      <c r="D265">
        <v>0</v>
      </c>
      <c r="E265" s="3">
        <v>1</v>
      </c>
      <c r="F265" s="3">
        <v>1</v>
      </c>
      <c r="G265">
        <v>0</v>
      </c>
    </row>
    <row r="266" spans="1:7" x14ac:dyDescent="0.25">
      <c r="A266" s="111" t="str">
        <f t="shared" si="4"/>
        <v>Sewage Lift Station</v>
      </c>
      <c r="B266" t="s">
        <v>549</v>
      </c>
      <c r="D266">
        <v>0</v>
      </c>
      <c r="E266" s="3"/>
      <c r="F266" s="3">
        <v>0</v>
      </c>
      <c r="G266">
        <v>0</v>
      </c>
    </row>
    <row r="267" spans="1:7" x14ac:dyDescent="0.25">
      <c r="A267" s="111" t="str">
        <f t="shared" si="4"/>
        <v>Thermal &amp; Moisture Protection</v>
      </c>
      <c r="B267" t="s">
        <v>550</v>
      </c>
      <c r="D267">
        <v>0</v>
      </c>
      <c r="F267" s="3">
        <v>0</v>
      </c>
      <c r="G267">
        <v>0</v>
      </c>
    </row>
    <row r="268" spans="1:7" x14ac:dyDescent="0.25">
      <c r="A268" s="111" t="str">
        <f t="shared" si="4"/>
        <v>JDH4-02-007-SB-1490</v>
      </c>
      <c r="B268" t="s">
        <v>551</v>
      </c>
      <c r="C268" t="s">
        <v>552</v>
      </c>
      <c r="D268">
        <v>0</v>
      </c>
      <c r="E268" s="3">
        <v>1</v>
      </c>
      <c r="F268" s="3">
        <v>1</v>
      </c>
      <c r="G268">
        <v>0</v>
      </c>
    </row>
    <row r="269" spans="1:7" x14ac:dyDescent="0.25">
      <c r="A269" s="111" t="str">
        <f t="shared" si="4"/>
        <v>JDH4-02-007-SB-1510</v>
      </c>
      <c r="B269" t="s">
        <v>553</v>
      </c>
      <c r="C269" t="s">
        <v>554</v>
      </c>
      <c r="D269">
        <v>0</v>
      </c>
      <c r="E269" s="3">
        <v>1</v>
      </c>
      <c r="F269" s="3">
        <v>1</v>
      </c>
      <c r="G269">
        <v>0</v>
      </c>
    </row>
    <row r="270" spans="1:7" x14ac:dyDescent="0.25">
      <c r="A270" s="111" t="str">
        <f t="shared" si="4"/>
        <v>Metals</v>
      </c>
      <c r="B270" t="s">
        <v>555</v>
      </c>
      <c r="D270">
        <v>0</v>
      </c>
      <c r="F270" s="3">
        <v>0</v>
      </c>
      <c r="G270">
        <v>0</v>
      </c>
    </row>
    <row r="271" spans="1:7" x14ac:dyDescent="0.25">
      <c r="A271" s="111" t="str">
        <f t="shared" si="4"/>
        <v>JDH4-02-007-SB-1480</v>
      </c>
      <c r="B271" t="s">
        <v>556</v>
      </c>
      <c r="C271" t="s">
        <v>557</v>
      </c>
      <c r="D271">
        <v>0</v>
      </c>
      <c r="E271" s="3">
        <v>1</v>
      </c>
      <c r="F271" s="3">
        <v>1</v>
      </c>
      <c r="G271">
        <v>0</v>
      </c>
    </row>
    <row r="272" spans="1:7" x14ac:dyDescent="0.25">
      <c r="A272" s="111" t="str">
        <f t="shared" si="4"/>
        <v>JDH4-02-007-SB-1500</v>
      </c>
      <c r="B272" t="s">
        <v>558</v>
      </c>
      <c r="C272" t="s">
        <v>559</v>
      </c>
      <c r="D272">
        <v>0</v>
      </c>
      <c r="E272" s="3">
        <v>1</v>
      </c>
      <c r="F272" s="3">
        <v>1</v>
      </c>
      <c r="G272">
        <v>0</v>
      </c>
    </row>
    <row r="273" spans="1:7" x14ac:dyDescent="0.25">
      <c r="A273" s="111" t="str">
        <f t="shared" si="4"/>
        <v>Pumps</v>
      </c>
      <c r="B273" t="s">
        <v>560</v>
      </c>
      <c r="D273">
        <v>0</v>
      </c>
      <c r="E273" s="3"/>
      <c r="F273" s="3">
        <v>0</v>
      </c>
      <c r="G273">
        <v>0</v>
      </c>
    </row>
    <row r="274" spans="1:7" x14ac:dyDescent="0.25">
      <c r="A274" s="111" t="str">
        <f t="shared" si="4"/>
        <v>JDH4-02-007-SB-1560</v>
      </c>
      <c r="B274" t="s">
        <v>561</v>
      </c>
      <c r="C274" t="s">
        <v>562</v>
      </c>
      <c r="D274">
        <v>0</v>
      </c>
      <c r="E274" s="3">
        <v>1</v>
      </c>
      <c r="F274" s="3">
        <v>1</v>
      </c>
      <c r="G274">
        <v>0</v>
      </c>
    </row>
    <row r="275" spans="1:7" x14ac:dyDescent="0.25">
      <c r="A275" s="111" t="str">
        <f t="shared" si="4"/>
        <v>JDH4-02-007-SB-1570</v>
      </c>
      <c r="B275" t="s">
        <v>563</v>
      </c>
      <c r="C275" t="s">
        <v>564</v>
      </c>
      <c r="D275">
        <v>0</v>
      </c>
      <c r="E275" s="3">
        <v>1</v>
      </c>
      <c r="F275" s="3">
        <v>1</v>
      </c>
      <c r="G275">
        <v>0</v>
      </c>
    </row>
    <row r="276" spans="1:7" x14ac:dyDescent="0.25">
      <c r="A276" s="111" t="str">
        <f t="shared" si="4"/>
        <v>Pipes,Fittings &amp; Valves</v>
      </c>
      <c r="B276" t="s">
        <v>565</v>
      </c>
      <c r="D276">
        <v>0</v>
      </c>
      <c r="E276" s="3"/>
      <c r="F276" s="3">
        <v>0</v>
      </c>
      <c r="G276">
        <v>0</v>
      </c>
    </row>
    <row r="277" spans="1:7" x14ac:dyDescent="0.25">
      <c r="A277" s="111" t="str">
        <f t="shared" si="4"/>
        <v>JDH4-02-007-SB-1680</v>
      </c>
      <c r="B277" t="s">
        <v>566</v>
      </c>
      <c r="C277" t="s">
        <v>567</v>
      </c>
      <c r="D277">
        <v>0</v>
      </c>
      <c r="E277" s="3">
        <v>1</v>
      </c>
      <c r="F277" s="3">
        <v>1</v>
      </c>
      <c r="G277">
        <v>0</v>
      </c>
    </row>
    <row r="278" spans="1:7" x14ac:dyDescent="0.25">
      <c r="A278" s="111" t="str">
        <f t="shared" si="4"/>
        <v>JDH4-02-007-SB-1700</v>
      </c>
      <c r="B278" t="s">
        <v>568</v>
      </c>
      <c r="C278" t="s">
        <v>569</v>
      </c>
      <c r="D278">
        <v>0</v>
      </c>
      <c r="E278" s="3">
        <v>1</v>
      </c>
      <c r="F278" s="3">
        <v>1</v>
      </c>
      <c r="G278">
        <v>0</v>
      </c>
    </row>
    <row r="279" spans="1:7" x14ac:dyDescent="0.25">
      <c r="A279" s="111" t="str">
        <f t="shared" si="4"/>
        <v>Odours scrubbing system</v>
      </c>
      <c r="B279" t="s">
        <v>570</v>
      </c>
      <c r="D279">
        <v>0</v>
      </c>
      <c r="E279" s="3"/>
      <c r="F279" s="3">
        <v>0</v>
      </c>
      <c r="G279">
        <v>0</v>
      </c>
    </row>
    <row r="280" spans="1:7" x14ac:dyDescent="0.25">
      <c r="A280" s="111" t="str">
        <f t="shared" si="4"/>
        <v>JDH4-02-007-SB-1690</v>
      </c>
      <c r="B280" t="s">
        <v>571</v>
      </c>
      <c r="C280" t="s">
        <v>572</v>
      </c>
      <c r="D280">
        <v>0</v>
      </c>
      <c r="E280" s="3">
        <v>1</v>
      </c>
      <c r="F280" s="3">
        <v>1</v>
      </c>
      <c r="G280">
        <v>0</v>
      </c>
    </row>
    <row r="281" spans="1:7" x14ac:dyDescent="0.25">
      <c r="A281" s="111" t="str">
        <f t="shared" si="4"/>
        <v>JDH4-02-007-SB-1710</v>
      </c>
      <c r="B281" t="s">
        <v>573</v>
      </c>
      <c r="C281" t="s">
        <v>574</v>
      </c>
      <c r="D281">
        <v>0</v>
      </c>
      <c r="E281" s="3">
        <v>1</v>
      </c>
      <c r="F281" s="3">
        <v>1</v>
      </c>
      <c r="G281">
        <v>0</v>
      </c>
    </row>
    <row r="282" spans="1:7" x14ac:dyDescent="0.25">
      <c r="A282" s="111" t="str">
        <f t="shared" si="4"/>
        <v>Crane</v>
      </c>
      <c r="B282" t="s">
        <v>575</v>
      </c>
      <c r="D282">
        <v>0</v>
      </c>
      <c r="E282" s="3"/>
      <c r="F282" s="3">
        <v>0</v>
      </c>
      <c r="G282">
        <v>0</v>
      </c>
    </row>
    <row r="283" spans="1:7" x14ac:dyDescent="0.25">
      <c r="A283" s="111" t="str">
        <f t="shared" si="4"/>
        <v>JDH4-02-007-SB-1720</v>
      </c>
      <c r="B283" t="s">
        <v>576</v>
      </c>
      <c r="C283" t="s">
        <v>577</v>
      </c>
      <c r="D283">
        <v>0</v>
      </c>
      <c r="E283" s="3">
        <v>1</v>
      </c>
      <c r="F283" s="3">
        <v>1</v>
      </c>
      <c r="G283">
        <v>0</v>
      </c>
    </row>
    <row r="284" spans="1:7" x14ac:dyDescent="0.25">
      <c r="A284" s="111" t="str">
        <f t="shared" si="4"/>
        <v>JDH4-02-007-SB-1730</v>
      </c>
      <c r="B284" t="s">
        <v>578</v>
      </c>
      <c r="C284" t="s">
        <v>579</v>
      </c>
      <c r="D284">
        <v>0</v>
      </c>
      <c r="E284" s="3">
        <v>1</v>
      </c>
      <c r="F284" s="3">
        <v>1</v>
      </c>
      <c r="G284">
        <v>0</v>
      </c>
    </row>
    <row r="285" spans="1:7" x14ac:dyDescent="0.25">
      <c r="A285" s="111" t="str">
        <f t="shared" si="4"/>
        <v>Air Vents</v>
      </c>
      <c r="B285" t="s">
        <v>580</v>
      </c>
      <c r="D285">
        <v>0</v>
      </c>
      <c r="E285" s="3"/>
      <c r="F285" s="3">
        <v>0</v>
      </c>
      <c r="G285">
        <v>0</v>
      </c>
    </row>
    <row r="286" spans="1:7" x14ac:dyDescent="0.25">
      <c r="A286" s="111" t="str">
        <f t="shared" si="4"/>
        <v>JDH4-02-007-SB-1800</v>
      </c>
      <c r="B286" t="s">
        <v>581</v>
      </c>
      <c r="C286" t="s">
        <v>582</v>
      </c>
      <c r="D286">
        <v>0</v>
      </c>
      <c r="E286" s="3">
        <v>1</v>
      </c>
      <c r="F286" s="3">
        <v>1</v>
      </c>
      <c r="G286">
        <v>0</v>
      </c>
    </row>
    <row r="287" spans="1:7" x14ac:dyDescent="0.25">
      <c r="A287" s="111" t="str">
        <f t="shared" si="4"/>
        <v>JDH4-02-007-SB-1820</v>
      </c>
      <c r="B287" t="s">
        <v>583</v>
      </c>
      <c r="C287" t="s">
        <v>584</v>
      </c>
      <c r="D287">
        <v>0</v>
      </c>
      <c r="E287" s="3">
        <v>1</v>
      </c>
      <c r="F287" s="3">
        <v>1</v>
      </c>
      <c r="G287">
        <v>0</v>
      </c>
    </row>
    <row r="288" spans="1:7" x14ac:dyDescent="0.25">
      <c r="A288" s="111" t="str">
        <f t="shared" si="4"/>
        <v>Screening Container</v>
      </c>
      <c r="B288" t="s">
        <v>585</v>
      </c>
      <c r="D288">
        <v>0</v>
      </c>
      <c r="E288" s="3"/>
      <c r="F288" s="3">
        <v>0</v>
      </c>
      <c r="G288">
        <v>0</v>
      </c>
    </row>
    <row r="289" spans="1:7" x14ac:dyDescent="0.25">
      <c r="A289" s="111" t="str">
        <f t="shared" si="4"/>
        <v>JDH4-02-007-SB-1740</v>
      </c>
      <c r="B289" t="s">
        <v>586</v>
      </c>
      <c r="C289" t="s">
        <v>587</v>
      </c>
      <c r="D289">
        <v>0</v>
      </c>
      <c r="E289" s="3">
        <v>1</v>
      </c>
      <c r="F289" s="3">
        <v>1</v>
      </c>
      <c r="G289">
        <v>0</v>
      </c>
    </row>
    <row r="290" spans="1:7" x14ac:dyDescent="0.25">
      <c r="A290" s="111" t="str">
        <f t="shared" si="4"/>
        <v>JDH4-02-007-SB-1760</v>
      </c>
      <c r="B290" t="s">
        <v>588</v>
      </c>
      <c r="C290" t="s">
        <v>589</v>
      </c>
      <c r="D290">
        <v>0</v>
      </c>
      <c r="E290" s="3">
        <v>1</v>
      </c>
      <c r="F290" s="3">
        <v>1</v>
      </c>
      <c r="G290">
        <v>0</v>
      </c>
    </row>
    <row r="291" spans="1:7" x14ac:dyDescent="0.25">
      <c r="A291" s="111" t="str">
        <f t="shared" si="4"/>
        <v>Baffle Plates</v>
      </c>
      <c r="B291" t="s">
        <v>590</v>
      </c>
      <c r="D291">
        <v>0</v>
      </c>
      <c r="F291" s="3">
        <v>0</v>
      </c>
      <c r="G291">
        <v>0</v>
      </c>
    </row>
    <row r="292" spans="1:7" x14ac:dyDescent="0.25">
      <c r="A292" s="111" t="str">
        <f t="shared" si="4"/>
        <v>JDH4-02-007-SB-1810</v>
      </c>
      <c r="B292" t="s">
        <v>591</v>
      </c>
      <c r="C292" t="s">
        <v>592</v>
      </c>
      <c r="D292">
        <v>0</v>
      </c>
      <c r="E292" s="3">
        <v>1</v>
      </c>
      <c r="F292" s="3">
        <v>1</v>
      </c>
      <c r="G292">
        <v>0</v>
      </c>
    </row>
    <row r="293" spans="1:7" x14ac:dyDescent="0.25">
      <c r="A293" s="111" t="str">
        <f t="shared" si="4"/>
        <v>JDH4-02-007-SB-1830</v>
      </c>
      <c r="B293" t="s">
        <v>593</v>
      </c>
      <c r="C293" t="s">
        <v>594</v>
      </c>
      <c r="D293">
        <v>0</v>
      </c>
      <c r="E293" s="3">
        <v>1</v>
      </c>
      <c r="F293" s="3">
        <v>1</v>
      </c>
      <c r="G293">
        <v>0</v>
      </c>
    </row>
    <row r="294" spans="1:7" x14ac:dyDescent="0.25">
      <c r="A294" s="111" t="str">
        <f t="shared" si="4"/>
        <v>Anti-Water Hammer Equipment</v>
      </c>
      <c r="B294" t="s">
        <v>595</v>
      </c>
      <c r="D294">
        <v>0</v>
      </c>
      <c r="F294" s="3">
        <v>0</v>
      </c>
      <c r="G294">
        <v>0</v>
      </c>
    </row>
    <row r="295" spans="1:7" x14ac:dyDescent="0.25">
      <c r="A295" s="111" t="str">
        <f t="shared" si="4"/>
        <v>JDH4-02-007-SB-1840</v>
      </c>
      <c r="B295" t="s">
        <v>596</v>
      </c>
      <c r="C295" t="s">
        <v>597</v>
      </c>
      <c r="D295">
        <v>0</v>
      </c>
      <c r="E295" s="3">
        <v>1</v>
      </c>
      <c r="F295" s="3">
        <v>1</v>
      </c>
      <c r="G295">
        <v>0</v>
      </c>
    </row>
    <row r="296" spans="1:7" x14ac:dyDescent="0.25">
      <c r="A296" s="111" t="str">
        <f t="shared" si="4"/>
        <v>JDH4-02-007-SB-1850</v>
      </c>
      <c r="B296" t="s">
        <v>598</v>
      </c>
      <c r="C296" t="s">
        <v>599</v>
      </c>
      <c r="D296">
        <v>0</v>
      </c>
      <c r="E296" s="3">
        <v>1</v>
      </c>
      <c r="F296" s="3">
        <v>1</v>
      </c>
      <c r="G296">
        <v>0</v>
      </c>
    </row>
    <row r="297" spans="1:7" x14ac:dyDescent="0.25">
      <c r="A297" s="111" t="str">
        <f t="shared" si="4"/>
        <v>Air Conditioning and Ventilation</v>
      </c>
      <c r="B297" t="s">
        <v>600</v>
      </c>
      <c r="D297">
        <v>0</v>
      </c>
      <c r="F297" s="3">
        <v>0</v>
      </c>
      <c r="G297">
        <v>0</v>
      </c>
    </row>
    <row r="298" spans="1:7" x14ac:dyDescent="0.25">
      <c r="A298" s="111" t="str">
        <f t="shared" si="4"/>
        <v>JDH4-02-007-SB-1750</v>
      </c>
      <c r="B298" t="s">
        <v>601</v>
      </c>
      <c r="C298" t="s">
        <v>602</v>
      </c>
      <c r="D298">
        <v>0</v>
      </c>
      <c r="E298" s="3">
        <v>1</v>
      </c>
      <c r="F298" s="3">
        <v>1</v>
      </c>
      <c r="G298">
        <v>0</v>
      </c>
    </row>
    <row r="299" spans="1:7" x14ac:dyDescent="0.25">
      <c r="A299" s="111" t="str">
        <f t="shared" si="4"/>
        <v>JDH4-02-007-SB-1770</v>
      </c>
      <c r="B299" t="s">
        <v>603</v>
      </c>
      <c r="C299" t="s">
        <v>604</v>
      </c>
      <c r="D299">
        <v>0</v>
      </c>
      <c r="E299" s="3">
        <v>1</v>
      </c>
      <c r="F299" s="3">
        <v>1</v>
      </c>
      <c r="G299">
        <v>0</v>
      </c>
    </row>
    <row r="300" spans="1:7" x14ac:dyDescent="0.25">
      <c r="A300" s="111" t="str">
        <f t="shared" si="4"/>
        <v>Fuel System</v>
      </c>
      <c r="B300" t="s">
        <v>605</v>
      </c>
      <c r="D300">
        <v>0</v>
      </c>
      <c r="E300" s="3"/>
      <c r="F300" s="3">
        <v>0</v>
      </c>
      <c r="G300">
        <v>0</v>
      </c>
    </row>
    <row r="301" spans="1:7" x14ac:dyDescent="0.25">
      <c r="A301" s="111" t="str">
        <f t="shared" si="4"/>
        <v>JDH4-02-007-SB-1780</v>
      </c>
      <c r="B301" t="s">
        <v>606</v>
      </c>
      <c r="C301" t="s">
        <v>607</v>
      </c>
      <c r="D301">
        <v>0</v>
      </c>
      <c r="E301" s="3">
        <v>1</v>
      </c>
      <c r="F301" s="3">
        <v>1</v>
      </c>
      <c r="G301">
        <v>0</v>
      </c>
    </row>
    <row r="302" spans="1:7" x14ac:dyDescent="0.25">
      <c r="A302" s="111" t="str">
        <f t="shared" si="4"/>
        <v>JDH4-02-007-SB-1790</v>
      </c>
      <c r="B302" t="s">
        <v>608</v>
      </c>
      <c r="C302" t="s">
        <v>609</v>
      </c>
      <c r="D302">
        <v>0</v>
      </c>
      <c r="E302" s="3">
        <v>1</v>
      </c>
      <c r="F302" s="3">
        <v>1</v>
      </c>
      <c r="G302">
        <v>0</v>
      </c>
    </row>
    <row r="303" spans="1:7" x14ac:dyDescent="0.25">
      <c r="A303" s="111" t="str">
        <f t="shared" si="4"/>
        <v>Fire Fighting System</v>
      </c>
      <c r="B303" t="s">
        <v>610</v>
      </c>
      <c r="D303">
        <v>0</v>
      </c>
      <c r="E303" s="3"/>
      <c r="F303" s="3">
        <v>0</v>
      </c>
      <c r="G303">
        <v>0</v>
      </c>
    </row>
    <row r="304" spans="1:7" x14ac:dyDescent="0.25">
      <c r="A304" s="111" t="str">
        <f t="shared" si="4"/>
        <v>JDH4-02-007-SB-1920</v>
      </c>
      <c r="B304" t="s">
        <v>611</v>
      </c>
      <c r="C304" t="s">
        <v>612</v>
      </c>
      <c r="D304">
        <v>0</v>
      </c>
      <c r="E304" s="3">
        <v>1</v>
      </c>
      <c r="F304" s="3">
        <v>1</v>
      </c>
      <c r="G304">
        <v>0</v>
      </c>
    </row>
    <row r="305" spans="1:7" x14ac:dyDescent="0.25">
      <c r="A305" s="111" t="str">
        <f t="shared" si="4"/>
        <v>JDH4-02-007-SB-1930</v>
      </c>
      <c r="B305" t="s">
        <v>613</v>
      </c>
      <c r="C305" t="s">
        <v>614</v>
      </c>
      <c r="D305">
        <v>0</v>
      </c>
      <c r="E305" s="3">
        <v>1</v>
      </c>
      <c r="F305" s="3">
        <v>1</v>
      </c>
      <c r="G305">
        <v>0</v>
      </c>
    </row>
    <row r="306" spans="1:7" x14ac:dyDescent="0.25">
      <c r="A306" s="111" t="str">
        <f t="shared" si="4"/>
        <v>Main Distribution Board /MCC panels</v>
      </c>
      <c r="B306" t="s">
        <v>615</v>
      </c>
      <c r="D306">
        <v>0</v>
      </c>
      <c r="E306" s="3"/>
      <c r="F306" s="3">
        <v>0</v>
      </c>
      <c r="G306">
        <v>0</v>
      </c>
    </row>
    <row r="307" spans="1:7" x14ac:dyDescent="0.25">
      <c r="A307" s="111" t="str">
        <f t="shared" si="4"/>
        <v>JDH4-02-007-SB-1860</v>
      </c>
      <c r="B307" t="s">
        <v>616</v>
      </c>
      <c r="C307" t="s">
        <v>617</v>
      </c>
      <c r="D307">
        <v>0</v>
      </c>
      <c r="E307" s="3">
        <v>1</v>
      </c>
      <c r="F307" s="3">
        <v>1</v>
      </c>
      <c r="G307">
        <v>0</v>
      </c>
    </row>
    <row r="308" spans="1:7" x14ac:dyDescent="0.25">
      <c r="A308" s="111" t="str">
        <f t="shared" si="4"/>
        <v>JDH4-02-007-SB-1870</v>
      </c>
      <c r="B308" t="s">
        <v>618</v>
      </c>
      <c r="C308" t="s">
        <v>619</v>
      </c>
      <c r="D308">
        <v>0</v>
      </c>
      <c r="E308" s="3">
        <v>1</v>
      </c>
      <c r="F308" s="3">
        <v>1</v>
      </c>
      <c r="G308">
        <v>0</v>
      </c>
    </row>
    <row r="309" spans="1:7" x14ac:dyDescent="0.25">
      <c r="A309" s="111" t="str">
        <f t="shared" si="4"/>
        <v>Final Panel boards</v>
      </c>
      <c r="B309" t="s">
        <v>620</v>
      </c>
      <c r="D309">
        <v>0</v>
      </c>
      <c r="E309" s="3"/>
      <c r="F309" s="3">
        <v>0</v>
      </c>
      <c r="G309">
        <v>0</v>
      </c>
    </row>
    <row r="310" spans="1:7" x14ac:dyDescent="0.25">
      <c r="A310" s="111" t="str">
        <f t="shared" si="4"/>
        <v>JDH4-02-007-SB-1880</v>
      </c>
      <c r="B310" t="s">
        <v>621</v>
      </c>
      <c r="C310" t="s">
        <v>622</v>
      </c>
      <c r="D310">
        <v>0</v>
      </c>
      <c r="E310" s="3">
        <v>1</v>
      </c>
      <c r="F310" s="3">
        <v>1</v>
      </c>
      <c r="G310">
        <v>0</v>
      </c>
    </row>
    <row r="311" spans="1:7" x14ac:dyDescent="0.25">
      <c r="A311" s="111" t="str">
        <f t="shared" si="4"/>
        <v>JDH4-02-007-SB-1890</v>
      </c>
      <c r="B311" t="s">
        <v>623</v>
      </c>
      <c r="C311" t="s">
        <v>624</v>
      </c>
      <c r="D311">
        <v>0</v>
      </c>
      <c r="E311" s="3">
        <v>1</v>
      </c>
      <c r="F311" s="3">
        <v>1</v>
      </c>
      <c r="G311">
        <v>0</v>
      </c>
    </row>
    <row r="312" spans="1:7" x14ac:dyDescent="0.25">
      <c r="A312" s="111" t="str">
        <f t="shared" si="4"/>
        <v>Local Control Panel/ Monitoring Control Panel</v>
      </c>
      <c r="B312" t="s">
        <v>625</v>
      </c>
      <c r="D312">
        <v>0</v>
      </c>
      <c r="F312" s="3">
        <v>0</v>
      </c>
      <c r="G312">
        <v>0</v>
      </c>
    </row>
    <row r="313" spans="1:7" x14ac:dyDescent="0.25">
      <c r="A313" s="111" t="str">
        <f t="shared" si="4"/>
        <v>JDH4-02-007-SB-1900</v>
      </c>
      <c r="B313" t="s">
        <v>626</v>
      </c>
      <c r="C313" t="s">
        <v>627</v>
      </c>
      <c r="D313">
        <v>0</v>
      </c>
      <c r="E313" s="3">
        <v>1</v>
      </c>
      <c r="F313" s="3">
        <v>1</v>
      </c>
      <c r="G313">
        <v>0</v>
      </c>
    </row>
    <row r="314" spans="1:7" x14ac:dyDescent="0.25">
      <c r="A314" s="111" t="str">
        <f t="shared" si="4"/>
        <v>JDH4-02-007-SB-1910</v>
      </c>
      <c r="B314" t="s">
        <v>628</v>
      </c>
      <c r="C314" t="s">
        <v>629</v>
      </c>
      <c r="D314">
        <v>0</v>
      </c>
      <c r="E314" s="3">
        <v>1</v>
      </c>
      <c r="F314" s="3">
        <v>1</v>
      </c>
      <c r="G314">
        <v>0</v>
      </c>
    </row>
    <row r="315" spans="1:7" x14ac:dyDescent="0.25">
      <c r="A315" s="111" t="str">
        <f t="shared" si="4"/>
        <v>Engine Generators</v>
      </c>
      <c r="B315" t="s">
        <v>630</v>
      </c>
      <c r="D315">
        <v>0</v>
      </c>
      <c r="F315" s="3">
        <v>0</v>
      </c>
      <c r="G315">
        <v>0</v>
      </c>
    </row>
    <row r="316" spans="1:7" x14ac:dyDescent="0.25">
      <c r="A316" s="111" t="str">
        <f t="shared" si="4"/>
        <v>JDH4-02-007-SB-2060</v>
      </c>
      <c r="B316" t="s">
        <v>631</v>
      </c>
      <c r="C316" t="s">
        <v>632</v>
      </c>
      <c r="D316">
        <v>0</v>
      </c>
      <c r="E316" s="3">
        <v>1</v>
      </c>
      <c r="F316" s="3">
        <v>1</v>
      </c>
      <c r="G316">
        <v>0</v>
      </c>
    </row>
    <row r="317" spans="1:7" x14ac:dyDescent="0.25">
      <c r="A317" s="111" t="str">
        <f t="shared" si="4"/>
        <v>JDH4-02-007-SB-2070</v>
      </c>
      <c r="B317" t="s">
        <v>633</v>
      </c>
      <c r="C317" t="s">
        <v>634</v>
      </c>
      <c r="D317">
        <v>0</v>
      </c>
      <c r="E317" s="3">
        <v>1</v>
      </c>
      <c r="F317" s="3">
        <v>1</v>
      </c>
      <c r="G317">
        <v>0</v>
      </c>
    </row>
    <row r="318" spans="1:7" x14ac:dyDescent="0.25">
      <c r="A318" s="111" t="str">
        <f t="shared" si="4"/>
        <v>Standby Diesel Generator</v>
      </c>
      <c r="B318" t="s">
        <v>635</v>
      </c>
      <c r="D318">
        <v>0</v>
      </c>
      <c r="F318" s="3">
        <v>0</v>
      </c>
      <c r="G318">
        <v>0</v>
      </c>
    </row>
    <row r="319" spans="1:7" x14ac:dyDescent="0.25">
      <c r="A319" s="111" t="str">
        <f t="shared" si="4"/>
        <v>JDH4-02-007-SB-2040</v>
      </c>
      <c r="B319" t="s">
        <v>636</v>
      </c>
      <c r="C319" t="s">
        <v>637</v>
      </c>
      <c r="D319">
        <v>0</v>
      </c>
      <c r="E319" s="3">
        <v>1</v>
      </c>
      <c r="F319" s="3">
        <v>1</v>
      </c>
      <c r="G319">
        <v>0</v>
      </c>
    </row>
    <row r="320" spans="1:7" x14ac:dyDescent="0.25">
      <c r="A320" s="111" t="str">
        <f t="shared" si="4"/>
        <v>JDH4-02-007-SB-2050</v>
      </c>
      <c r="B320" t="s">
        <v>638</v>
      </c>
      <c r="C320" t="s">
        <v>639</v>
      </c>
      <c r="D320">
        <v>0</v>
      </c>
      <c r="E320" s="3">
        <v>1</v>
      </c>
      <c r="F320" s="3">
        <v>1</v>
      </c>
      <c r="G320">
        <v>0</v>
      </c>
    </row>
    <row r="321" spans="1:7" x14ac:dyDescent="0.25">
      <c r="A321" s="111" t="str">
        <f t="shared" si="4"/>
        <v>Power Factor Correction Capacitor Bank</v>
      </c>
      <c r="B321" t="s">
        <v>640</v>
      </c>
      <c r="D321">
        <v>0</v>
      </c>
      <c r="F321" s="3">
        <v>0</v>
      </c>
      <c r="G321">
        <v>0</v>
      </c>
    </row>
    <row r="322" spans="1:7" x14ac:dyDescent="0.25">
      <c r="A322" s="111" t="str">
        <f t="shared" si="4"/>
        <v>JDH4-02-007-SB-2000</v>
      </c>
      <c r="B322" t="s">
        <v>641</v>
      </c>
      <c r="C322" t="s">
        <v>642</v>
      </c>
      <c r="D322">
        <v>0</v>
      </c>
      <c r="E322" s="3">
        <v>1</v>
      </c>
      <c r="F322" s="3">
        <v>1</v>
      </c>
      <c r="G322">
        <v>0</v>
      </c>
    </row>
    <row r="323" spans="1:7" x14ac:dyDescent="0.25">
      <c r="A323" s="111" t="str">
        <f t="shared" si="4"/>
        <v>JDH4-02-007-SB-2010</v>
      </c>
      <c r="B323" t="s">
        <v>643</v>
      </c>
      <c r="C323" t="s">
        <v>644</v>
      </c>
      <c r="D323">
        <v>0</v>
      </c>
      <c r="E323" s="3">
        <v>1</v>
      </c>
      <c r="F323" s="3">
        <v>1</v>
      </c>
      <c r="G323">
        <v>0</v>
      </c>
    </row>
    <row r="324" spans="1:7" x14ac:dyDescent="0.25">
      <c r="A324" s="111" t="str">
        <f t="shared" ref="A324:A387" si="5">TRIM(B324)</f>
        <v>Low-Voltage Electrical Power Conductors and Cables</v>
      </c>
      <c r="B324" t="s">
        <v>218</v>
      </c>
      <c r="D324">
        <v>0</v>
      </c>
      <c r="E324" s="3"/>
      <c r="F324" s="3">
        <v>0</v>
      </c>
      <c r="G324">
        <v>0</v>
      </c>
    </row>
    <row r="325" spans="1:7" x14ac:dyDescent="0.25">
      <c r="A325" s="111" t="str">
        <f t="shared" si="5"/>
        <v>JDH4-02-007-SB-2020</v>
      </c>
      <c r="B325" t="s">
        <v>645</v>
      </c>
      <c r="C325" t="s">
        <v>646</v>
      </c>
      <c r="D325">
        <v>0</v>
      </c>
      <c r="E325" s="3">
        <v>1</v>
      </c>
      <c r="F325" s="3">
        <v>1</v>
      </c>
      <c r="G325">
        <v>0</v>
      </c>
    </row>
    <row r="326" spans="1:7" x14ac:dyDescent="0.25">
      <c r="A326" s="111" t="str">
        <f t="shared" si="5"/>
        <v>JDH4-02-007-SB-2030</v>
      </c>
      <c r="B326" t="s">
        <v>647</v>
      </c>
      <c r="C326" t="s">
        <v>648</v>
      </c>
      <c r="D326">
        <v>0</v>
      </c>
      <c r="E326" s="3">
        <v>1</v>
      </c>
      <c r="F326" s="3">
        <v>1</v>
      </c>
      <c r="G326">
        <v>0</v>
      </c>
    </row>
    <row r="327" spans="1:7" x14ac:dyDescent="0.25">
      <c r="A327" s="111" t="str">
        <f t="shared" si="5"/>
        <v>Low Voltage Feeder Cable</v>
      </c>
      <c r="B327" t="s">
        <v>649</v>
      </c>
      <c r="D327">
        <v>0</v>
      </c>
      <c r="E327" s="3"/>
      <c r="F327" s="3">
        <v>0</v>
      </c>
      <c r="G327">
        <v>0</v>
      </c>
    </row>
    <row r="328" spans="1:7" x14ac:dyDescent="0.25">
      <c r="A328" s="111" t="str">
        <f t="shared" si="5"/>
        <v>JDH4-02-007-SB-1980</v>
      </c>
      <c r="B328" t="s">
        <v>650</v>
      </c>
      <c r="C328" t="s">
        <v>651</v>
      </c>
      <c r="D328">
        <v>0</v>
      </c>
      <c r="E328" s="3">
        <v>1</v>
      </c>
      <c r="F328" s="3">
        <v>1</v>
      </c>
      <c r="G328">
        <v>0</v>
      </c>
    </row>
    <row r="329" spans="1:7" x14ac:dyDescent="0.25">
      <c r="A329" s="111" t="str">
        <f t="shared" si="5"/>
        <v>JDH4-02-007-SB-1990</v>
      </c>
      <c r="B329" t="s">
        <v>652</v>
      </c>
      <c r="C329" t="s">
        <v>653</v>
      </c>
      <c r="D329">
        <v>0</v>
      </c>
      <c r="E329" s="3">
        <v>1</v>
      </c>
      <c r="F329" s="3">
        <v>1</v>
      </c>
      <c r="G329">
        <v>0</v>
      </c>
    </row>
    <row r="330" spans="1:7" x14ac:dyDescent="0.25">
      <c r="A330" s="111" t="str">
        <f t="shared" si="5"/>
        <v>Wiring Devices</v>
      </c>
      <c r="B330" t="s">
        <v>654</v>
      </c>
      <c r="D330">
        <v>0</v>
      </c>
      <c r="E330" s="3"/>
      <c r="F330" s="3">
        <v>0</v>
      </c>
      <c r="G330">
        <v>0</v>
      </c>
    </row>
    <row r="331" spans="1:7" x14ac:dyDescent="0.25">
      <c r="A331" s="111" t="str">
        <f t="shared" si="5"/>
        <v>JDH4-02-007-SB-1940</v>
      </c>
      <c r="B331" t="s">
        <v>655</v>
      </c>
      <c r="C331" t="s">
        <v>656</v>
      </c>
      <c r="D331">
        <v>0</v>
      </c>
      <c r="E331" s="3">
        <v>1</v>
      </c>
      <c r="F331" s="3">
        <v>1</v>
      </c>
      <c r="G331">
        <v>0</v>
      </c>
    </row>
    <row r="332" spans="1:7" x14ac:dyDescent="0.25">
      <c r="A332" s="111" t="str">
        <f t="shared" si="5"/>
        <v>JDH4-02-007-SB-1950</v>
      </c>
      <c r="B332" t="s">
        <v>657</v>
      </c>
      <c r="C332" t="s">
        <v>658</v>
      </c>
      <c r="D332">
        <v>0</v>
      </c>
      <c r="E332" s="3">
        <v>1</v>
      </c>
      <c r="F332" s="3">
        <v>1</v>
      </c>
      <c r="G332">
        <v>0</v>
      </c>
    </row>
    <row r="333" spans="1:7" x14ac:dyDescent="0.25">
      <c r="A333" s="111" t="str">
        <f t="shared" si="5"/>
        <v>Enclosed Switches and Circuit Breakers</v>
      </c>
      <c r="B333" t="s">
        <v>659</v>
      </c>
      <c r="D333">
        <v>0</v>
      </c>
      <c r="E333" s="3"/>
      <c r="F333" s="3">
        <v>0</v>
      </c>
      <c r="G333">
        <v>0</v>
      </c>
    </row>
    <row r="334" spans="1:7" x14ac:dyDescent="0.25">
      <c r="A334" s="111" t="str">
        <f t="shared" si="5"/>
        <v>JDH4-02-007-SB-1960</v>
      </c>
      <c r="B334" t="s">
        <v>660</v>
      </c>
      <c r="C334" t="s">
        <v>661</v>
      </c>
      <c r="D334">
        <v>0</v>
      </c>
      <c r="E334" s="3">
        <v>1</v>
      </c>
      <c r="F334" s="3">
        <v>1</v>
      </c>
      <c r="G334">
        <v>0</v>
      </c>
    </row>
    <row r="335" spans="1:7" x14ac:dyDescent="0.25">
      <c r="A335" s="111" t="str">
        <f t="shared" si="5"/>
        <v>JDH4-02-007-SB-1970</v>
      </c>
      <c r="B335" t="s">
        <v>662</v>
      </c>
      <c r="C335" t="s">
        <v>663</v>
      </c>
      <c r="D335">
        <v>0</v>
      </c>
      <c r="E335" s="3">
        <v>1</v>
      </c>
      <c r="F335" s="3">
        <v>1</v>
      </c>
      <c r="G335">
        <v>0</v>
      </c>
    </row>
    <row r="336" spans="1:7" x14ac:dyDescent="0.25">
      <c r="A336" s="111" t="str">
        <f t="shared" si="5"/>
        <v>Raceways for Electrical Systems</v>
      </c>
      <c r="B336" t="s">
        <v>664</v>
      </c>
      <c r="D336">
        <v>0</v>
      </c>
      <c r="E336" s="3"/>
      <c r="F336" s="3">
        <v>0</v>
      </c>
      <c r="G336">
        <v>0</v>
      </c>
    </row>
    <row r="337" spans="1:7" x14ac:dyDescent="0.25">
      <c r="A337" s="111" t="str">
        <f t="shared" si="5"/>
        <v>JDH4-02-007-SB-2100</v>
      </c>
      <c r="B337" t="s">
        <v>665</v>
      </c>
      <c r="C337" t="s">
        <v>666</v>
      </c>
      <c r="D337">
        <v>0</v>
      </c>
      <c r="E337" s="3">
        <v>1</v>
      </c>
      <c r="F337" s="3">
        <v>1</v>
      </c>
      <c r="G337">
        <v>0</v>
      </c>
    </row>
    <row r="338" spans="1:7" x14ac:dyDescent="0.25">
      <c r="A338" s="111" t="str">
        <f t="shared" si="5"/>
        <v>JDH4-02-007-SB-2110</v>
      </c>
      <c r="B338" t="s">
        <v>667</v>
      </c>
      <c r="C338" t="s">
        <v>668</v>
      </c>
      <c r="D338">
        <v>0</v>
      </c>
      <c r="E338" s="3">
        <v>1</v>
      </c>
      <c r="F338" s="3">
        <v>1</v>
      </c>
      <c r="G338">
        <v>0</v>
      </c>
    </row>
    <row r="339" spans="1:7" x14ac:dyDescent="0.25">
      <c r="A339" s="111" t="str">
        <f t="shared" si="5"/>
        <v>Electrical Manholes</v>
      </c>
      <c r="B339" t="s">
        <v>669</v>
      </c>
      <c r="D339">
        <v>0</v>
      </c>
      <c r="E339" s="3"/>
      <c r="F339" s="3">
        <v>0</v>
      </c>
      <c r="G339">
        <v>0</v>
      </c>
    </row>
    <row r="340" spans="1:7" x14ac:dyDescent="0.25">
      <c r="A340" s="111" t="str">
        <f t="shared" si="5"/>
        <v>JDH4-02-007-SB-2140</v>
      </c>
      <c r="B340" t="s">
        <v>670</v>
      </c>
      <c r="C340" t="s">
        <v>671</v>
      </c>
      <c r="D340">
        <v>0</v>
      </c>
      <c r="E340" s="3">
        <v>1</v>
      </c>
      <c r="F340" s="3">
        <v>1</v>
      </c>
      <c r="G340">
        <v>0</v>
      </c>
    </row>
    <row r="341" spans="1:7" x14ac:dyDescent="0.25">
      <c r="A341" s="111" t="str">
        <f t="shared" si="5"/>
        <v>JDH4-02-007-SB-2150</v>
      </c>
      <c r="B341" t="s">
        <v>672</v>
      </c>
      <c r="C341" t="s">
        <v>673</v>
      </c>
      <c r="D341">
        <v>0</v>
      </c>
      <c r="E341" s="3">
        <v>1</v>
      </c>
      <c r="F341" s="3">
        <v>1</v>
      </c>
      <c r="G341">
        <v>0</v>
      </c>
    </row>
    <row r="342" spans="1:7" x14ac:dyDescent="0.25">
      <c r="A342" s="111" t="str">
        <f t="shared" si="5"/>
        <v>Security System (CCTV System)</v>
      </c>
      <c r="B342" t="s">
        <v>674</v>
      </c>
      <c r="D342">
        <v>0</v>
      </c>
      <c r="E342" s="3"/>
      <c r="F342" s="3">
        <v>0</v>
      </c>
      <c r="G342">
        <v>0</v>
      </c>
    </row>
    <row r="343" spans="1:7" x14ac:dyDescent="0.25">
      <c r="A343" s="111" t="str">
        <f t="shared" si="5"/>
        <v>JDH4-02-007-SB-2080</v>
      </c>
      <c r="B343" t="s">
        <v>675</v>
      </c>
      <c r="C343" t="s">
        <v>676</v>
      </c>
      <c r="D343">
        <v>0</v>
      </c>
      <c r="E343" s="3">
        <v>1</v>
      </c>
      <c r="F343" s="3">
        <v>1</v>
      </c>
      <c r="G343">
        <v>0</v>
      </c>
    </row>
    <row r="344" spans="1:7" x14ac:dyDescent="0.25">
      <c r="A344" s="111" t="str">
        <f t="shared" si="5"/>
        <v>JDH4-02-007-SB-2090</v>
      </c>
      <c r="B344" t="s">
        <v>677</v>
      </c>
      <c r="C344" t="s">
        <v>678</v>
      </c>
      <c r="D344">
        <v>0</v>
      </c>
      <c r="E344" s="3">
        <v>1</v>
      </c>
      <c r="F344" s="3">
        <v>1</v>
      </c>
      <c r="G344">
        <v>0</v>
      </c>
    </row>
    <row r="345" spans="1:7" x14ac:dyDescent="0.25">
      <c r="A345" s="111" t="str">
        <f t="shared" si="5"/>
        <v>ICT (Data&amp; telephone System)</v>
      </c>
      <c r="B345" t="s">
        <v>679</v>
      </c>
      <c r="D345">
        <v>0</v>
      </c>
      <c r="E345" s="3"/>
      <c r="F345" s="3">
        <v>0</v>
      </c>
      <c r="G345">
        <v>0</v>
      </c>
    </row>
    <row r="346" spans="1:7" x14ac:dyDescent="0.25">
      <c r="A346" s="111" t="str">
        <f t="shared" si="5"/>
        <v>JDH4-02-007-SB-2120</v>
      </c>
      <c r="B346" t="s">
        <v>680</v>
      </c>
      <c r="C346" t="s">
        <v>681</v>
      </c>
      <c r="D346">
        <v>0</v>
      </c>
      <c r="E346" s="3">
        <v>1</v>
      </c>
      <c r="F346" s="3">
        <v>1</v>
      </c>
      <c r="G346">
        <v>0</v>
      </c>
    </row>
    <row r="347" spans="1:7" x14ac:dyDescent="0.25">
      <c r="A347" s="111" t="str">
        <f t="shared" si="5"/>
        <v>JDH4-02-007-SB-2130</v>
      </c>
      <c r="B347" t="s">
        <v>682</v>
      </c>
      <c r="C347" t="s">
        <v>683</v>
      </c>
      <c r="D347">
        <v>0</v>
      </c>
      <c r="E347" s="3">
        <v>1</v>
      </c>
      <c r="F347" s="3">
        <v>1</v>
      </c>
      <c r="G347">
        <v>0</v>
      </c>
    </row>
    <row r="348" spans="1:7" x14ac:dyDescent="0.25">
      <c r="A348" s="111" t="str">
        <f t="shared" si="5"/>
        <v>Programmable Logic Controllers</v>
      </c>
      <c r="B348" t="s">
        <v>684</v>
      </c>
      <c r="D348">
        <v>0</v>
      </c>
      <c r="E348" s="3"/>
      <c r="F348" s="3">
        <v>0</v>
      </c>
      <c r="G348">
        <v>0</v>
      </c>
    </row>
    <row r="349" spans="1:7" x14ac:dyDescent="0.25">
      <c r="A349" s="111" t="str">
        <f t="shared" si="5"/>
        <v>JDH4-02-007-SB-2200</v>
      </c>
      <c r="B349" t="s">
        <v>685</v>
      </c>
      <c r="C349" t="s">
        <v>686</v>
      </c>
      <c r="D349">
        <v>0</v>
      </c>
      <c r="E349" s="3">
        <v>1</v>
      </c>
      <c r="F349" s="3">
        <v>1</v>
      </c>
      <c r="G349">
        <v>0</v>
      </c>
    </row>
    <row r="350" spans="1:7" x14ac:dyDescent="0.25">
      <c r="A350" s="111" t="str">
        <f t="shared" si="5"/>
        <v>JDH4-02-007-SB-2210</v>
      </c>
      <c r="B350" t="s">
        <v>687</v>
      </c>
      <c r="C350" t="s">
        <v>688</v>
      </c>
      <c r="D350">
        <v>0</v>
      </c>
      <c r="E350" s="3">
        <v>1</v>
      </c>
      <c r="F350" s="3">
        <v>1</v>
      </c>
      <c r="G350">
        <v>0</v>
      </c>
    </row>
    <row r="351" spans="1:7" x14ac:dyDescent="0.25">
      <c r="A351" s="111" t="str">
        <f t="shared" si="5"/>
        <v>Process Control Wiring</v>
      </c>
      <c r="B351" t="s">
        <v>689</v>
      </c>
      <c r="D351">
        <v>0</v>
      </c>
      <c r="E351" s="3"/>
      <c r="F351" s="3">
        <v>0</v>
      </c>
      <c r="G351">
        <v>0</v>
      </c>
    </row>
    <row r="352" spans="1:7" x14ac:dyDescent="0.25">
      <c r="A352" s="111" t="str">
        <f t="shared" si="5"/>
        <v>JDH4-02-007-SB-2180</v>
      </c>
      <c r="B352" t="s">
        <v>690</v>
      </c>
      <c r="C352" t="s">
        <v>691</v>
      </c>
      <c r="D352">
        <v>0</v>
      </c>
      <c r="E352" s="3">
        <v>1</v>
      </c>
      <c r="F352" s="3">
        <v>1</v>
      </c>
      <c r="G352">
        <v>0</v>
      </c>
    </row>
    <row r="353" spans="1:7" x14ac:dyDescent="0.25">
      <c r="A353" s="111" t="str">
        <f t="shared" si="5"/>
        <v>JDH4-02-007-SB-2190</v>
      </c>
      <c r="B353" t="s">
        <v>692</v>
      </c>
      <c r="C353" t="s">
        <v>693</v>
      </c>
      <c r="D353">
        <v>0</v>
      </c>
      <c r="E353" s="3">
        <v>1</v>
      </c>
      <c r="F353" s="3">
        <v>1</v>
      </c>
      <c r="G353">
        <v>0</v>
      </c>
    </row>
    <row r="354" spans="1:7" x14ac:dyDescent="0.25">
      <c r="A354" s="111" t="str">
        <f t="shared" si="5"/>
        <v>Instrumentation for Process Systems</v>
      </c>
      <c r="B354" t="s">
        <v>694</v>
      </c>
      <c r="D354">
        <v>0</v>
      </c>
      <c r="E354" s="3"/>
      <c r="F354" s="3">
        <v>0</v>
      </c>
      <c r="G354">
        <v>0</v>
      </c>
    </row>
    <row r="355" spans="1:7" x14ac:dyDescent="0.25">
      <c r="A355" s="111" t="str">
        <f t="shared" si="5"/>
        <v>JDH4-02-007-SB-2160</v>
      </c>
      <c r="B355" t="s">
        <v>695</v>
      </c>
      <c r="C355" t="s">
        <v>696</v>
      </c>
      <c r="D355">
        <v>0</v>
      </c>
      <c r="E355" s="3">
        <v>1</v>
      </c>
      <c r="F355" s="3">
        <v>1</v>
      </c>
      <c r="G355">
        <v>0</v>
      </c>
    </row>
    <row r="356" spans="1:7" x14ac:dyDescent="0.25">
      <c r="A356" s="111" t="str">
        <f t="shared" si="5"/>
        <v>JDH4-02-007-SB-2170</v>
      </c>
      <c r="B356" t="s">
        <v>697</v>
      </c>
      <c r="C356" t="s">
        <v>698</v>
      </c>
      <c r="D356">
        <v>0</v>
      </c>
      <c r="E356" s="3">
        <v>1</v>
      </c>
      <c r="F356" s="3">
        <v>1</v>
      </c>
      <c r="G356">
        <v>0</v>
      </c>
    </row>
    <row r="357" spans="1:7" x14ac:dyDescent="0.25">
      <c r="A357" s="111" t="str">
        <f t="shared" si="5"/>
        <v>Material Submittal &amp; Approval</v>
      </c>
      <c r="B357" t="s">
        <v>4013</v>
      </c>
      <c r="D357" s="1">
        <v>1719130.43</v>
      </c>
      <c r="E357" s="3"/>
      <c r="F357" s="3">
        <v>1</v>
      </c>
      <c r="G357" s="1">
        <v>1719130.43</v>
      </c>
    </row>
    <row r="358" spans="1:7" x14ac:dyDescent="0.25">
      <c r="A358" s="111" t="str">
        <f t="shared" si="5"/>
        <v>Road Works - Civil</v>
      </c>
      <c r="B358" t="s">
        <v>76</v>
      </c>
      <c r="D358" s="1">
        <v>253642.23</v>
      </c>
      <c r="F358" s="3">
        <v>1</v>
      </c>
      <c r="G358" s="1">
        <v>253642.23</v>
      </c>
    </row>
    <row r="359" spans="1:7" x14ac:dyDescent="0.25">
      <c r="A359" s="111" t="str">
        <f t="shared" si="5"/>
        <v>Steel Reinforcement</v>
      </c>
      <c r="B359" t="s">
        <v>77</v>
      </c>
      <c r="D359" s="1">
        <v>28182.47</v>
      </c>
      <c r="E359" s="3"/>
      <c r="F359" s="3">
        <v>1</v>
      </c>
      <c r="G359" s="1">
        <v>28182.47</v>
      </c>
    </row>
    <row r="360" spans="1:7" x14ac:dyDescent="0.25">
      <c r="A360" s="111" t="str">
        <f t="shared" si="5"/>
        <v>JDH4-02-007-MA-1590</v>
      </c>
      <c r="B360" t="s">
        <v>701</v>
      </c>
      <c r="C360" t="s">
        <v>133</v>
      </c>
      <c r="D360" s="1">
        <v>28182.47</v>
      </c>
      <c r="E360" s="3">
        <v>1</v>
      </c>
      <c r="F360" s="3">
        <v>1</v>
      </c>
      <c r="G360" s="1">
        <v>28182.47</v>
      </c>
    </row>
    <row r="361" spans="1:7" x14ac:dyDescent="0.25">
      <c r="A361" s="111" t="str">
        <f t="shared" si="5"/>
        <v>JDH4-02-007-MA-1580</v>
      </c>
      <c r="B361" t="s">
        <v>700</v>
      </c>
      <c r="C361" t="s">
        <v>79</v>
      </c>
      <c r="D361" s="1">
        <v>0</v>
      </c>
      <c r="E361" s="3">
        <v>1</v>
      </c>
      <c r="F361" s="3">
        <v>1</v>
      </c>
      <c r="G361" s="1">
        <v>0</v>
      </c>
    </row>
    <row r="362" spans="1:7" x14ac:dyDescent="0.25">
      <c r="A362" s="111" t="str">
        <f t="shared" si="5"/>
        <v>Ready Mixed Concrete</v>
      </c>
      <c r="B362" t="s">
        <v>80</v>
      </c>
      <c r="D362" s="1">
        <v>28182.47</v>
      </c>
      <c r="E362" s="3"/>
      <c r="F362" s="3">
        <v>1</v>
      </c>
      <c r="G362" s="1">
        <v>28182.47</v>
      </c>
    </row>
    <row r="363" spans="1:7" x14ac:dyDescent="0.25">
      <c r="A363" s="111" t="str">
        <f t="shared" si="5"/>
        <v>JDH4-02-007-MA-1610</v>
      </c>
      <c r="B363" t="s">
        <v>703</v>
      </c>
      <c r="C363" t="s">
        <v>135</v>
      </c>
      <c r="D363" s="1">
        <v>28182.47</v>
      </c>
      <c r="E363" s="3">
        <v>1</v>
      </c>
      <c r="F363" s="3">
        <v>1</v>
      </c>
      <c r="G363" s="1">
        <v>28182.47</v>
      </c>
    </row>
    <row r="364" spans="1:7" x14ac:dyDescent="0.25">
      <c r="A364" s="111" t="str">
        <f t="shared" si="5"/>
        <v>JDH4-02-007-MA-1600</v>
      </c>
      <c r="B364" t="s">
        <v>702</v>
      </c>
      <c r="C364" t="s">
        <v>82</v>
      </c>
      <c r="D364" s="1">
        <v>0</v>
      </c>
      <c r="E364" s="3">
        <v>1</v>
      </c>
      <c r="F364" s="3">
        <v>1</v>
      </c>
      <c r="G364" s="1">
        <v>0</v>
      </c>
    </row>
    <row r="365" spans="1:7" x14ac:dyDescent="0.25">
      <c r="A365" s="111" t="str">
        <f t="shared" si="5"/>
        <v>Water Proofing</v>
      </c>
      <c r="B365" t="s">
        <v>83</v>
      </c>
      <c r="D365" s="1">
        <v>28182.47</v>
      </c>
      <c r="E365" s="3"/>
      <c r="F365" s="3">
        <v>1</v>
      </c>
      <c r="G365" s="1">
        <v>28182.47</v>
      </c>
    </row>
    <row r="366" spans="1:7" x14ac:dyDescent="0.25">
      <c r="A366" s="111" t="str">
        <f t="shared" si="5"/>
        <v>JDH4-02-007-MA-1630</v>
      </c>
      <c r="B366" t="s">
        <v>705</v>
      </c>
      <c r="C366" t="s">
        <v>137</v>
      </c>
      <c r="D366" s="1">
        <v>28182.47</v>
      </c>
      <c r="E366" s="3">
        <v>1</v>
      </c>
      <c r="F366" s="3">
        <v>1</v>
      </c>
      <c r="G366" s="1">
        <v>28182.47</v>
      </c>
    </row>
    <row r="367" spans="1:7" x14ac:dyDescent="0.25">
      <c r="A367" s="111" t="str">
        <f t="shared" si="5"/>
        <v>JDH4-02-007-MA-1620</v>
      </c>
      <c r="B367" t="s">
        <v>704</v>
      </c>
      <c r="C367" t="s">
        <v>85</v>
      </c>
      <c r="D367" s="1">
        <v>0</v>
      </c>
      <c r="E367" s="3">
        <v>1</v>
      </c>
      <c r="F367" s="3">
        <v>1</v>
      </c>
      <c r="G367" s="1">
        <v>0</v>
      </c>
    </row>
    <row r="368" spans="1:7" x14ac:dyDescent="0.25">
      <c r="A368" s="111" t="str">
        <f t="shared" si="5"/>
        <v>Aggregate Base Course</v>
      </c>
      <c r="B368" t="s">
        <v>86</v>
      </c>
      <c r="D368" s="1">
        <v>28182.47</v>
      </c>
      <c r="E368" s="3"/>
      <c r="F368" s="3">
        <v>1</v>
      </c>
      <c r="G368" s="1">
        <v>28182.47</v>
      </c>
    </row>
    <row r="369" spans="1:7" x14ac:dyDescent="0.25">
      <c r="A369" s="111" t="str">
        <f t="shared" si="5"/>
        <v>JDH4-02-007-MA-1010</v>
      </c>
      <c r="B369" t="s">
        <v>707</v>
      </c>
      <c r="C369" t="s">
        <v>139</v>
      </c>
      <c r="D369" s="1">
        <v>28182.47</v>
      </c>
      <c r="E369" s="3">
        <v>1</v>
      </c>
      <c r="F369" s="3">
        <v>1</v>
      </c>
      <c r="G369" s="1">
        <v>28182.47</v>
      </c>
    </row>
    <row r="370" spans="1:7" x14ac:dyDescent="0.25">
      <c r="A370" s="111" t="str">
        <f t="shared" si="5"/>
        <v>JDH4-02-007-MA-1000</v>
      </c>
      <c r="B370" t="s">
        <v>706</v>
      </c>
      <c r="C370" t="s">
        <v>88</v>
      </c>
      <c r="D370" s="1">
        <v>0</v>
      </c>
      <c r="E370" s="3">
        <v>1</v>
      </c>
      <c r="F370" s="3">
        <v>1</v>
      </c>
      <c r="G370" s="1">
        <v>0</v>
      </c>
    </row>
    <row r="371" spans="1:7" x14ac:dyDescent="0.25">
      <c r="A371" s="111" t="str">
        <f t="shared" si="5"/>
        <v>Bituminous Base &amp; Wearing Course</v>
      </c>
      <c r="B371" t="s">
        <v>89</v>
      </c>
      <c r="D371" s="1">
        <v>28182.47</v>
      </c>
      <c r="E371" s="3"/>
      <c r="F371" s="3">
        <v>1</v>
      </c>
      <c r="G371" s="1">
        <v>28182.47</v>
      </c>
    </row>
    <row r="372" spans="1:7" x14ac:dyDescent="0.25">
      <c r="A372" s="111" t="str">
        <f t="shared" si="5"/>
        <v>JDH4-02-007-MA-1030</v>
      </c>
      <c r="B372" t="s">
        <v>709</v>
      </c>
      <c r="C372" t="s">
        <v>710</v>
      </c>
      <c r="D372" s="1">
        <v>28182.47</v>
      </c>
      <c r="E372" s="3">
        <v>1</v>
      </c>
      <c r="F372" s="3">
        <v>1</v>
      </c>
      <c r="G372" s="1">
        <v>28182.47</v>
      </c>
    </row>
    <row r="373" spans="1:7" x14ac:dyDescent="0.25">
      <c r="A373" s="111" t="str">
        <f t="shared" si="5"/>
        <v>JDH4-02-007-MA-1020</v>
      </c>
      <c r="B373" t="s">
        <v>708</v>
      </c>
      <c r="C373" t="s">
        <v>91</v>
      </c>
      <c r="D373" s="1">
        <v>0</v>
      </c>
      <c r="E373" s="3">
        <v>1</v>
      </c>
      <c r="F373" s="3">
        <v>1</v>
      </c>
      <c r="G373" s="1">
        <v>0</v>
      </c>
    </row>
    <row r="374" spans="1:7" x14ac:dyDescent="0.25">
      <c r="A374" s="111" t="str">
        <f t="shared" si="5"/>
        <v>Precast Concrete Kerb</v>
      </c>
      <c r="B374" t="s">
        <v>92</v>
      </c>
      <c r="D374" s="1">
        <v>28182.47</v>
      </c>
      <c r="E374" s="3"/>
      <c r="F374" s="3">
        <v>1</v>
      </c>
      <c r="G374" s="1">
        <v>28182.47</v>
      </c>
    </row>
    <row r="375" spans="1:7" x14ac:dyDescent="0.25">
      <c r="A375" s="111" t="str">
        <f t="shared" si="5"/>
        <v>JDH4-02-007-MA-1040</v>
      </c>
      <c r="B375" t="s">
        <v>711</v>
      </c>
      <c r="C375" t="s">
        <v>94</v>
      </c>
      <c r="D375">
        <v>0</v>
      </c>
      <c r="E375" s="3">
        <v>1</v>
      </c>
      <c r="F375" s="3">
        <v>1</v>
      </c>
      <c r="G375">
        <v>0</v>
      </c>
    </row>
    <row r="376" spans="1:7" x14ac:dyDescent="0.25">
      <c r="A376" s="111" t="str">
        <f t="shared" si="5"/>
        <v>JDH4-02-007-MA-1050</v>
      </c>
      <c r="B376" t="s">
        <v>712</v>
      </c>
      <c r="C376" t="s">
        <v>142</v>
      </c>
      <c r="D376" s="1">
        <v>28182.47</v>
      </c>
      <c r="E376" s="3">
        <v>1</v>
      </c>
      <c r="F376" s="3">
        <v>1</v>
      </c>
      <c r="G376" s="1">
        <v>28182.47</v>
      </c>
    </row>
    <row r="377" spans="1:7" x14ac:dyDescent="0.25">
      <c r="A377" s="111" t="str">
        <f t="shared" si="5"/>
        <v>Interlocking Block Pavers</v>
      </c>
      <c r="B377" t="s">
        <v>95</v>
      </c>
      <c r="D377" s="1">
        <v>28182.47</v>
      </c>
      <c r="E377" s="3"/>
      <c r="F377" s="3">
        <v>1</v>
      </c>
      <c r="G377" s="1">
        <v>28182.47</v>
      </c>
    </row>
    <row r="378" spans="1:7" x14ac:dyDescent="0.25">
      <c r="A378" s="111" t="str">
        <f t="shared" si="5"/>
        <v>JDH4-02-007-MA-1060</v>
      </c>
      <c r="B378" t="s">
        <v>713</v>
      </c>
      <c r="C378" t="s">
        <v>97</v>
      </c>
      <c r="D378">
        <v>0</v>
      </c>
      <c r="E378" s="3">
        <v>1</v>
      </c>
      <c r="F378" s="3">
        <v>1</v>
      </c>
      <c r="G378">
        <v>0</v>
      </c>
    </row>
    <row r="379" spans="1:7" x14ac:dyDescent="0.25">
      <c r="A379" s="111" t="str">
        <f t="shared" si="5"/>
        <v>JDH4-02-007-MA-1070</v>
      </c>
      <c r="B379" t="s">
        <v>714</v>
      </c>
      <c r="C379" t="s">
        <v>144</v>
      </c>
      <c r="D379" s="1">
        <v>28182.47</v>
      </c>
      <c r="E379" s="3">
        <v>1</v>
      </c>
      <c r="F379" s="3">
        <v>1</v>
      </c>
      <c r="G379" s="1">
        <v>28182.47</v>
      </c>
    </row>
    <row r="380" spans="1:7" x14ac:dyDescent="0.25">
      <c r="A380" s="111" t="str">
        <f t="shared" si="5"/>
        <v>Pavement Markings</v>
      </c>
      <c r="B380" t="s">
        <v>98</v>
      </c>
      <c r="D380" s="1">
        <v>28182.47</v>
      </c>
      <c r="F380" s="3">
        <v>1</v>
      </c>
      <c r="G380" s="1">
        <v>28182.47</v>
      </c>
    </row>
    <row r="381" spans="1:7" x14ac:dyDescent="0.25">
      <c r="A381" s="111" t="str">
        <f t="shared" si="5"/>
        <v>JDH4-02-007-MA-1080</v>
      </c>
      <c r="B381" t="s">
        <v>715</v>
      </c>
      <c r="C381" t="s">
        <v>100</v>
      </c>
      <c r="D381">
        <v>0</v>
      </c>
      <c r="E381" s="3">
        <v>1</v>
      </c>
      <c r="F381" s="3">
        <v>1</v>
      </c>
      <c r="G381">
        <v>0</v>
      </c>
    </row>
    <row r="382" spans="1:7" x14ac:dyDescent="0.25">
      <c r="A382" s="111" t="str">
        <f t="shared" si="5"/>
        <v>JDH4-02-007-MA-1090</v>
      </c>
      <c r="B382" t="s">
        <v>716</v>
      </c>
      <c r="C382" t="s">
        <v>146</v>
      </c>
      <c r="D382" s="1">
        <v>28182.47</v>
      </c>
      <c r="E382" s="3">
        <v>1</v>
      </c>
      <c r="F382" s="3">
        <v>1</v>
      </c>
      <c r="G382" s="1">
        <v>28182.47</v>
      </c>
    </row>
    <row r="383" spans="1:7" x14ac:dyDescent="0.25">
      <c r="A383" s="111" t="str">
        <f t="shared" si="5"/>
        <v>Traffic Signs</v>
      </c>
      <c r="B383" t="s">
        <v>101</v>
      </c>
      <c r="D383" s="1">
        <v>28182.47</v>
      </c>
      <c r="F383" s="3">
        <v>1</v>
      </c>
      <c r="G383" s="1">
        <v>28182.47</v>
      </c>
    </row>
    <row r="384" spans="1:7" x14ac:dyDescent="0.25">
      <c r="A384" s="111" t="str">
        <f t="shared" si="5"/>
        <v>JDH4-02-007-MA-1100</v>
      </c>
      <c r="B384" t="s">
        <v>717</v>
      </c>
      <c r="C384" t="s">
        <v>103</v>
      </c>
      <c r="D384">
        <v>0</v>
      </c>
      <c r="E384" s="3">
        <v>1</v>
      </c>
      <c r="F384" s="3">
        <v>1</v>
      </c>
      <c r="G384">
        <v>0</v>
      </c>
    </row>
    <row r="385" spans="1:7" x14ac:dyDescent="0.25">
      <c r="A385" s="111" t="str">
        <f t="shared" si="5"/>
        <v>JDH4-02-007-MA-1110</v>
      </c>
      <c r="B385" t="s">
        <v>718</v>
      </c>
      <c r="C385" t="s">
        <v>148</v>
      </c>
      <c r="D385" s="1">
        <v>28182.47</v>
      </c>
      <c r="E385" s="3">
        <v>1</v>
      </c>
      <c r="F385" s="3">
        <v>1</v>
      </c>
      <c r="G385" s="1">
        <v>28182.47</v>
      </c>
    </row>
    <row r="386" spans="1:7" x14ac:dyDescent="0.25">
      <c r="A386" s="111" t="str">
        <f t="shared" si="5"/>
        <v>Storm Network</v>
      </c>
      <c r="B386" t="s">
        <v>131</v>
      </c>
      <c r="D386" s="1">
        <v>84547.41</v>
      </c>
      <c r="F386" s="2">
        <v>1</v>
      </c>
      <c r="G386" s="1">
        <v>84547.41</v>
      </c>
    </row>
    <row r="387" spans="1:7" x14ac:dyDescent="0.25">
      <c r="A387" s="111" t="str">
        <f t="shared" si="5"/>
        <v>GRP Pipes</v>
      </c>
      <c r="B387" t="s">
        <v>128</v>
      </c>
      <c r="D387" s="1">
        <v>28182.47</v>
      </c>
      <c r="F387" s="3">
        <v>1</v>
      </c>
      <c r="G387" s="1">
        <v>28182.47</v>
      </c>
    </row>
    <row r="388" spans="1:7" x14ac:dyDescent="0.25">
      <c r="A388" s="111" t="str">
        <f t="shared" ref="A388:A451" si="6">TRIM(B388)</f>
        <v>JDH4-02-007-MA-1270</v>
      </c>
      <c r="B388" t="s">
        <v>720</v>
      </c>
      <c r="C388" t="s">
        <v>159</v>
      </c>
      <c r="D388" s="1">
        <v>28182.47</v>
      </c>
      <c r="E388" s="3">
        <v>1</v>
      </c>
      <c r="F388" s="3">
        <v>1</v>
      </c>
      <c r="G388" s="1">
        <v>28182.47</v>
      </c>
    </row>
    <row r="389" spans="1:7" x14ac:dyDescent="0.25">
      <c r="A389" s="111" t="str">
        <f t="shared" si="6"/>
        <v>JDH4-02-007-MA-1250</v>
      </c>
      <c r="B389" t="s">
        <v>719</v>
      </c>
      <c r="C389" t="s">
        <v>130</v>
      </c>
      <c r="D389" s="1">
        <v>0</v>
      </c>
      <c r="E389" s="3">
        <v>1</v>
      </c>
      <c r="F389" s="3">
        <v>1</v>
      </c>
      <c r="G389" s="1">
        <v>0</v>
      </c>
    </row>
    <row r="390" spans="1:7" x14ac:dyDescent="0.25">
      <c r="A390" s="111" t="str">
        <f t="shared" si="6"/>
        <v>Catch Basin</v>
      </c>
      <c r="B390" t="s">
        <v>473</v>
      </c>
      <c r="D390" s="1">
        <v>28182.47</v>
      </c>
      <c r="E390" s="3"/>
      <c r="F390" s="3">
        <v>1</v>
      </c>
      <c r="G390" s="1">
        <v>28182.47</v>
      </c>
    </row>
    <row r="391" spans="1:7" x14ac:dyDescent="0.25">
      <c r="A391" s="111" t="str">
        <f t="shared" si="6"/>
        <v>JDH4-02-007-MA-1650</v>
      </c>
      <c r="B391" t="s">
        <v>723</v>
      </c>
      <c r="C391" t="s">
        <v>724</v>
      </c>
      <c r="D391" s="1">
        <v>28182.47</v>
      </c>
      <c r="E391" s="3">
        <v>1</v>
      </c>
      <c r="F391" s="3">
        <v>1</v>
      </c>
      <c r="G391" s="1">
        <v>28182.47</v>
      </c>
    </row>
    <row r="392" spans="1:7" x14ac:dyDescent="0.25">
      <c r="A392" s="111" t="str">
        <f t="shared" si="6"/>
        <v>JDH4-02-007-MA-1640</v>
      </c>
      <c r="B392" t="s">
        <v>721</v>
      </c>
      <c r="C392" t="s">
        <v>722</v>
      </c>
      <c r="D392" s="1">
        <v>0</v>
      </c>
      <c r="E392" s="3">
        <v>1</v>
      </c>
      <c r="F392" s="3">
        <v>1</v>
      </c>
      <c r="G392" s="1">
        <v>0</v>
      </c>
    </row>
    <row r="393" spans="1:7" x14ac:dyDescent="0.25">
      <c r="A393" s="111" t="str">
        <f t="shared" si="6"/>
        <v>Inlet Manholes</v>
      </c>
      <c r="B393" t="s">
        <v>478</v>
      </c>
      <c r="D393" s="1">
        <v>28182.47</v>
      </c>
      <c r="E393" s="3"/>
      <c r="F393" s="3">
        <v>1</v>
      </c>
      <c r="G393" s="1">
        <v>28182.47</v>
      </c>
    </row>
    <row r="394" spans="1:7" x14ac:dyDescent="0.25">
      <c r="A394" s="111" t="str">
        <f t="shared" si="6"/>
        <v>JDH4-02-007-MA-1290</v>
      </c>
      <c r="B394" t="s">
        <v>727</v>
      </c>
      <c r="C394" t="s">
        <v>728</v>
      </c>
      <c r="D394" s="1">
        <v>28182.47</v>
      </c>
      <c r="E394" s="3">
        <v>1</v>
      </c>
      <c r="F394" s="3">
        <v>1</v>
      </c>
      <c r="G394" s="1">
        <v>28182.47</v>
      </c>
    </row>
    <row r="395" spans="1:7" x14ac:dyDescent="0.25">
      <c r="A395" s="111" t="str">
        <f t="shared" si="6"/>
        <v>JDH4-02-007-MA-1280</v>
      </c>
      <c r="B395" t="s">
        <v>725</v>
      </c>
      <c r="C395" t="s">
        <v>726</v>
      </c>
      <c r="D395" s="1">
        <v>0</v>
      </c>
      <c r="E395" s="3">
        <v>1</v>
      </c>
      <c r="F395" s="3">
        <v>1</v>
      </c>
      <c r="G395" s="1">
        <v>0</v>
      </c>
    </row>
    <row r="396" spans="1:7" x14ac:dyDescent="0.25">
      <c r="A396" s="111" t="str">
        <f t="shared" si="6"/>
        <v>Sanitary Sewerage</v>
      </c>
      <c r="B396" t="s">
        <v>483</v>
      </c>
      <c r="D396" s="1">
        <v>56364.94</v>
      </c>
      <c r="E396" s="3"/>
      <c r="F396" s="3">
        <v>1</v>
      </c>
      <c r="G396" s="1">
        <v>56364.94</v>
      </c>
    </row>
    <row r="397" spans="1:7" x14ac:dyDescent="0.25">
      <c r="A397" s="111" t="str">
        <f t="shared" si="6"/>
        <v>GRP Pipes</v>
      </c>
      <c r="B397" t="s">
        <v>128</v>
      </c>
      <c r="D397" s="1">
        <v>28182.47</v>
      </c>
      <c r="F397" s="3">
        <v>1</v>
      </c>
      <c r="G397" s="1">
        <v>28182.47</v>
      </c>
    </row>
    <row r="398" spans="1:7" x14ac:dyDescent="0.25">
      <c r="A398" s="111" t="str">
        <f t="shared" si="6"/>
        <v>JDH4-02-007-MA-1230</v>
      </c>
      <c r="B398" t="s">
        <v>730</v>
      </c>
      <c r="C398" t="s">
        <v>159</v>
      </c>
      <c r="D398" s="1">
        <v>28182.47</v>
      </c>
      <c r="E398" s="3">
        <v>1</v>
      </c>
      <c r="F398" s="3">
        <v>1</v>
      </c>
      <c r="G398" s="1">
        <v>28182.47</v>
      </c>
    </row>
    <row r="399" spans="1:7" x14ac:dyDescent="0.25">
      <c r="A399" s="111" t="str">
        <f t="shared" si="6"/>
        <v>JDH4-02-007-MA-1220</v>
      </c>
      <c r="B399" t="s">
        <v>729</v>
      </c>
      <c r="C399" t="s">
        <v>130</v>
      </c>
      <c r="D399" s="1">
        <v>0</v>
      </c>
      <c r="E399" s="3">
        <v>1</v>
      </c>
      <c r="F399" s="3">
        <v>1</v>
      </c>
      <c r="G399" s="1">
        <v>0</v>
      </c>
    </row>
    <row r="400" spans="1:7" x14ac:dyDescent="0.25">
      <c r="A400" s="111" t="str">
        <f t="shared" si="6"/>
        <v>Manholes</v>
      </c>
      <c r="B400" t="s">
        <v>486</v>
      </c>
      <c r="D400" s="1">
        <v>28182.47</v>
      </c>
      <c r="F400" s="3">
        <v>1</v>
      </c>
      <c r="G400" s="1">
        <v>28182.47</v>
      </c>
    </row>
    <row r="401" spans="1:7" x14ac:dyDescent="0.25">
      <c r="A401" s="111" t="str">
        <f t="shared" si="6"/>
        <v>JDH4-02-007-MA-1260</v>
      </c>
      <c r="B401" t="s">
        <v>733</v>
      </c>
      <c r="C401" t="s">
        <v>734</v>
      </c>
      <c r="D401" s="1">
        <v>28182.47</v>
      </c>
      <c r="E401" s="3">
        <v>1</v>
      </c>
      <c r="F401" s="3">
        <v>1</v>
      </c>
      <c r="G401" s="1">
        <v>28182.47</v>
      </c>
    </row>
    <row r="402" spans="1:7" x14ac:dyDescent="0.25">
      <c r="A402" s="111" t="str">
        <f t="shared" si="6"/>
        <v>JDH4-02-007-MA-1240</v>
      </c>
      <c r="B402" t="s">
        <v>731</v>
      </c>
      <c r="C402" t="s">
        <v>732</v>
      </c>
      <c r="D402" s="1">
        <v>0</v>
      </c>
      <c r="E402" s="3">
        <v>1</v>
      </c>
      <c r="F402" s="3">
        <v>1</v>
      </c>
      <c r="G402" s="1">
        <v>0</v>
      </c>
    </row>
    <row r="403" spans="1:7" x14ac:dyDescent="0.25">
      <c r="A403" s="111" t="str">
        <f t="shared" si="6"/>
        <v>TSE Network</v>
      </c>
      <c r="B403" t="s">
        <v>491</v>
      </c>
      <c r="D403" s="1">
        <v>84547.41</v>
      </c>
      <c r="F403" s="3">
        <v>1</v>
      </c>
      <c r="G403" s="1">
        <v>84547.41</v>
      </c>
    </row>
    <row r="404" spans="1:7" x14ac:dyDescent="0.25">
      <c r="A404" s="111" t="str">
        <f t="shared" si="6"/>
        <v>HDPE Pipe (PN 16)</v>
      </c>
      <c r="B404" t="s">
        <v>121</v>
      </c>
      <c r="D404" s="1">
        <v>28182.47</v>
      </c>
      <c r="E404" s="3"/>
      <c r="F404" s="3">
        <v>1</v>
      </c>
      <c r="G404" s="1">
        <v>28182.47</v>
      </c>
    </row>
    <row r="405" spans="1:7" x14ac:dyDescent="0.25">
      <c r="A405" s="111" t="str">
        <f t="shared" si="6"/>
        <v>JDH4-02-007-MA-1200</v>
      </c>
      <c r="B405" t="s">
        <v>735</v>
      </c>
      <c r="C405" t="s">
        <v>123</v>
      </c>
      <c r="D405">
        <v>0</v>
      </c>
      <c r="E405" s="3">
        <v>1</v>
      </c>
      <c r="F405" s="3">
        <v>1</v>
      </c>
      <c r="G405">
        <v>0</v>
      </c>
    </row>
    <row r="406" spans="1:7" x14ac:dyDescent="0.25">
      <c r="A406" s="111" t="str">
        <f t="shared" si="6"/>
        <v>JDH4-02-007-MA-1210</v>
      </c>
      <c r="B406" t="s">
        <v>736</v>
      </c>
      <c r="C406" t="s">
        <v>155</v>
      </c>
      <c r="D406" s="1">
        <v>28182.47</v>
      </c>
      <c r="E406" s="3">
        <v>1</v>
      </c>
      <c r="F406" s="3">
        <v>1</v>
      </c>
      <c r="G406" s="1">
        <v>28182.47</v>
      </c>
    </row>
    <row r="407" spans="1:7" x14ac:dyDescent="0.25">
      <c r="A407" s="111" t="str">
        <f t="shared" si="6"/>
        <v>Valves / Chambers</v>
      </c>
      <c r="B407" t="s">
        <v>494</v>
      </c>
      <c r="D407" s="1">
        <v>28182.47</v>
      </c>
      <c r="E407" s="3"/>
      <c r="F407" s="3">
        <v>1</v>
      </c>
      <c r="G407" s="1">
        <v>28182.47</v>
      </c>
    </row>
    <row r="408" spans="1:7" x14ac:dyDescent="0.25">
      <c r="A408" s="111" t="str">
        <f t="shared" si="6"/>
        <v>JDH4-02-007-MA-1440</v>
      </c>
      <c r="B408" t="s">
        <v>737</v>
      </c>
      <c r="C408" t="s">
        <v>738</v>
      </c>
      <c r="D408">
        <v>0</v>
      </c>
      <c r="E408" s="3">
        <v>1</v>
      </c>
      <c r="F408" s="3">
        <v>1</v>
      </c>
      <c r="G408">
        <v>0</v>
      </c>
    </row>
    <row r="409" spans="1:7" x14ac:dyDescent="0.25">
      <c r="A409" s="111" t="str">
        <f t="shared" si="6"/>
        <v>JDH4-02-007-MA-1450</v>
      </c>
      <c r="B409" t="s">
        <v>739</v>
      </c>
      <c r="C409" t="s">
        <v>740</v>
      </c>
      <c r="D409" s="1">
        <v>28182.47</v>
      </c>
      <c r="E409" s="3">
        <v>1</v>
      </c>
      <c r="F409" s="3">
        <v>1</v>
      </c>
      <c r="G409" s="1">
        <v>28182.47</v>
      </c>
    </row>
    <row r="410" spans="1:7" x14ac:dyDescent="0.25">
      <c r="A410" s="111" t="str">
        <f t="shared" si="6"/>
        <v>Risers</v>
      </c>
      <c r="B410" t="s">
        <v>499</v>
      </c>
      <c r="D410" s="1">
        <v>28182.47</v>
      </c>
      <c r="E410" s="3"/>
      <c r="F410" s="3">
        <v>1</v>
      </c>
      <c r="G410" s="1">
        <v>28182.47</v>
      </c>
    </row>
    <row r="411" spans="1:7" x14ac:dyDescent="0.25">
      <c r="A411" s="111" t="str">
        <f t="shared" si="6"/>
        <v>JDH4-02-007-MA-1460</v>
      </c>
      <c r="B411" t="s">
        <v>741</v>
      </c>
      <c r="C411" t="s">
        <v>742</v>
      </c>
      <c r="D411">
        <v>0</v>
      </c>
      <c r="E411" s="3">
        <v>1</v>
      </c>
      <c r="F411" s="3">
        <v>1</v>
      </c>
      <c r="G411">
        <v>0</v>
      </c>
    </row>
    <row r="412" spans="1:7" x14ac:dyDescent="0.25">
      <c r="A412" s="111" t="str">
        <f t="shared" si="6"/>
        <v>JDH4-02-007-MA-1470</v>
      </c>
      <c r="B412" t="s">
        <v>743</v>
      </c>
      <c r="C412" t="s">
        <v>744</v>
      </c>
      <c r="D412" s="1">
        <v>28182.47</v>
      </c>
      <c r="E412" s="3">
        <v>1</v>
      </c>
      <c r="F412" s="3">
        <v>1</v>
      </c>
      <c r="G412" s="1">
        <v>28182.47</v>
      </c>
    </row>
    <row r="413" spans="1:7" x14ac:dyDescent="0.25">
      <c r="A413" s="111" t="str">
        <f t="shared" si="6"/>
        <v>Potable Water Network</v>
      </c>
      <c r="B413" t="s">
        <v>504</v>
      </c>
      <c r="D413" s="1">
        <v>84547.41</v>
      </c>
      <c r="E413" s="3"/>
      <c r="F413" s="3">
        <v>1</v>
      </c>
      <c r="G413" s="1">
        <v>84547.41</v>
      </c>
    </row>
    <row r="414" spans="1:7" x14ac:dyDescent="0.25">
      <c r="A414" s="111" t="str">
        <f t="shared" si="6"/>
        <v>HDPE Pipe (PN 16)</v>
      </c>
      <c r="B414" t="s">
        <v>121</v>
      </c>
      <c r="D414" s="1">
        <v>28182.47</v>
      </c>
      <c r="E414" s="3"/>
      <c r="F414" s="3">
        <v>1</v>
      </c>
      <c r="G414" s="1">
        <v>28182.47</v>
      </c>
    </row>
    <row r="415" spans="1:7" x14ac:dyDescent="0.25">
      <c r="A415" s="111" t="str">
        <f t="shared" si="6"/>
        <v>JDH4-02-007-MA-1180</v>
      </c>
      <c r="B415" t="s">
        <v>745</v>
      </c>
      <c r="C415" t="s">
        <v>123</v>
      </c>
      <c r="D415">
        <v>0</v>
      </c>
      <c r="E415" s="3">
        <v>1</v>
      </c>
      <c r="F415" s="3">
        <v>1</v>
      </c>
      <c r="G415">
        <v>0</v>
      </c>
    </row>
    <row r="416" spans="1:7" x14ac:dyDescent="0.25">
      <c r="A416" s="111" t="str">
        <f t="shared" si="6"/>
        <v>JDH4-02-007-MA-1190</v>
      </c>
      <c r="B416" t="s">
        <v>746</v>
      </c>
      <c r="C416" t="s">
        <v>155</v>
      </c>
      <c r="D416" s="1">
        <v>28182.47</v>
      </c>
      <c r="E416" s="3">
        <v>1</v>
      </c>
      <c r="F416" s="3">
        <v>1</v>
      </c>
      <c r="G416" s="1">
        <v>28182.47</v>
      </c>
    </row>
    <row r="417" spans="1:7" x14ac:dyDescent="0.25">
      <c r="A417" s="111" t="str">
        <f t="shared" si="6"/>
        <v>Valves / Chambers</v>
      </c>
      <c r="B417" t="s">
        <v>494</v>
      </c>
      <c r="D417" s="1">
        <v>28182.47</v>
      </c>
      <c r="E417" s="3"/>
      <c r="F417" s="3">
        <v>1</v>
      </c>
      <c r="G417" s="1">
        <v>28182.47</v>
      </c>
    </row>
    <row r="418" spans="1:7" x14ac:dyDescent="0.25">
      <c r="A418" s="111" t="str">
        <f t="shared" si="6"/>
        <v>JDH4-02-007-MA-1420</v>
      </c>
      <c r="B418" t="s">
        <v>747</v>
      </c>
      <c r="C418" t="s">
        <v>738</v>
      </c>
      <c r="D418" s="1">
        <v>0</v>
      </c>
      <c r="E418" s="3">
        <v>1</v>
      </c>
      <c r="F418" s="2">
        <v>1</v>
      </c>
      <c r="G418">
        <v>0</v>
      </c>
    </row>
    <row r="419" spans="1:7" x14ac:dyDescent="0.25">
      <c r="A419" s="111" t="str">
        <f t="shared" si="6"/>
        <v>JDH4-02-007-MA-1430</v>
      </c>
      <c r="B419" t="s">
        <v>748</v>
      </c>
      <c r="C419" t="s">
        <v>740</v>
      </c>
      <c r="D419" s="1">
        <v>28182.47</v>
      </c>
      <c r="E419" s="3">
        <v>1</v>
      </c>
      <c r="F419" s="3">
        <v>1</v>
      </c>
      <c r="G419" s="1">
        <v>28182.47</v>
      </c>
    </row>
    <row r="420" spans="1:7" x14ac:dyDescent="0.25">
      <c r="A420" s="111" t="str">
        <f t="shared" si="6"/>
        <v>Fire Hydrant</v>
      </c>
      <c r="B420" t="s">
        <v>124</v>
      </c>
      <c r="D420" s="1">
        <v>28182.47</v>
      </c>
      <c r="E420" s="3"/>
      <c r="F420" s="3">
        <v>1</v>
      </c>
      <c r="G420" s="1">
        <v>28182.47</v>
      </c>
    </row>
    <row r="421" spans="1:7" x14ac:dyDescent="0.25">
      <c r="A421" s="111" t="str">
        <f t="shared" si="6"/>
        <v>JDH4-02-007-MA-1660</v>
      </c>
      <c r="B421" t="s">
        <v>749</v>
      </c>
      <c r="C421" t="s">
        <v>126</v>
      </c>
      <c r="D421">
        <v>0</v>
      </c>
      <c r="E421" s="3">
        <v>1</v>
      </c>
      <c r="F421" s="3">
        <v>1</v>
      </c>
      <c r="G421">
        <v>0</v>
      </c>
    </row>
    <row r="422" spans="1:7" x14ac:dyDescent="0.25">
      <c r="A422" s="111" t="str">
        <f t="shared" si="6"/>
        <v>JDH4-02-007-MA-1670</v>
      </c>
      <c r="B422" t="s">
        <v>750</v>
      </c>
      <c r="C422" t="s">
        <v>157</v>
      </c>
      <c r="D422" s="1">
        <v>28182.47</v>
      </c>
      <c r="E422" s="3">
        <v>1</v>
      </c>
      <c r="F422" s="3">
        <v>1</v>
      </c>
      <c r="G422" s="1">
        <v>28182.47</v>
      </c>
    </row>
    <row r="423" spans="1:7" x14ac:dyDescent="0.25">
      <c r="A423" s="111" t="str">
        <f t="shared" si="6"/>
        <v>Electrical Network</v>
      </c>
      <c r="B423" t="s">
        <v>104</v>
      </c>
      <c r="D423" s="1">
        <v>281824.7</v>
      </c>
      <c r="E423" s="3"/>
      <c r="F423" s="3">
        <v>1</v>
      </c>
      <c r="G423" s="1">
        <v>281824.7</v>
      </c>
    </row>
    <row r="424" spans="1:7" x14ac:dyDescent="0.25">
      <c r="A424" s="111" t="str">
        <f t="shared" si="6"/>
        <v>Pipe for the Duct</v>
      </c>
      <c r="B424" t="s">
        <v>511</v>
      </c>
      <c r="D424" s="1">
        <v>28182.47</v>
      </c>
      <c r="E424" s="3"/>
      <c r="F424" s="3">
        <v>1</v>
      </c>
      <c r="G424" s="1">
        <v>28182.47</v>
      </c>
    </row>
    <row r="425" spans="1:7" x14ac:dyDescent="0.25">
      <c r="A425" s="111" t="str">
        <f t="shared" si="6"/>
        <v>JDH4-02-007-MA-1120</v>
      </c>
      <c r="B425" t="s">
        <v>751</v>
      </c>
      <c r="C425" t="s">
        <v>752</v>
      </c>
      <c r="D425" s="1">
        <v>0</v>
      </c>
      <c r="E425" s="3">
        <v>1</v>
      </c>
      <c r="F425" s="3">
        <v>1</v>
      </c>
      <c r="G425">
        <v>0</v>
      </c>
    </row>
    <row r="426" spans="1:7" x14ac:dyDescent="0.25">
      <c r="A426" s="111" t="str">
        <f t="shared" si="6"/>
        <v>JDH4-02-007-MA-1130</v>
      </c>
      <c r="B426" t="s">
        <v>753</v>
      </c>
      <c r="C426" t="s">
        <v>754</v>
      </c>
      <c r="D426" s="1">
        <v>28182.47</v>
      </c>
      <c r="E426" s="3">
        <v>1</v>
      </c>
      <c r="F426" s="3">
        <v>1</v>
      </c>
      <c r="G426" s="1">
        <v>28182.47</v>
      </c>
    </row>
    <row r="427" spans="1:7" x14ac:dyDescent="0.25">
      <c r="A427" s="111" t="str">
        <f t="shared" si="6"/>
        <v>Low Voltage Cables</v>
      </c>
      <c r="B427" t="s">
        <v>105</v>
      </c>
      <c r="D427" s="1">
        <v>28182.47</v>
      </c>
      <c r="E427" s="3"/>
      <c r="F427" s="3">
        <v>1</v>
      </c>
      <c r="G427" s="1">
        <v>28182.47</v>
      </c>
    </row>
    <row r="428" spans="1:7" x14ac:dyDescent="0.25">
      <c r="A428" s="111" t="str">
        <f t="shared" si="6"/>
        <v>JDH4-02-007-MA-1330</v>
      </c>
      <c r="B428" t="s">
        <v>756</v>
      </c>
      <c r="C428" t="s">
        <v>757</v>
      </c>
      <c r="D428" s="1">
        <v>28182.47</v>
      </c>
      <c r="E428" s="3">
        <v>1</v>
      </c>
      <c r="F428" s="3">
        <v>1</v>
      </c>
      <c r="G428" s="1">
        <v>28182.47</v>
      </c>
    </row>
    <row r="429" spans="1:7" x14ac:dyDescent="0.25">
      <c r="A429" s="111" t="str">
        <f t="shared" si="6"/>
        <v>JDH4-02-007-MA-1320</v>
      </c>
      <c r="B429" t="s">
        <v>755</v>
      </c>
      <c r="C429" t="s">
        <v>107</v>
      </c>
      <c r="D429" s="1">
        <v>0</v>
      </c>
      <c r="E429" s="3">
        <v>1</v>
      </c>
      <c r="F429" s="3">
        <v>1</v>
      </c>
      <c r="G429" s="1">
        <v>0</v>
      </c>
    </row>
    <row r="430" spans="1:7" x14ac:dyDescent="0.25">
      <c r="A430" s="111" t="str">
        <f t="shared" si="6"/>
        <v>Earthing System</v>
      </c>
      <c r="B430" t="s">
        <v>108</v>
      </c>
      <c r="D430" s="1">
        <v>28182.47</v>
      </c>
      <c r="E430" s="3"/>
      <c r="F430" s="3">
        <v>1</v>
      </c>
      <c r="G430" s="1">
        <v>28182.47</v>
      </c>
    </row>
    <row r="431" spans="1:7" x14ac:dyDescent="0.25">
      <c r="A431" s="111" t="str">
        <f t="shared" si="6"/>
        <v>JDH4-02-007-MA-1160</v>
      </c>
      <c r="B431" t="s">
        <v>758</v>
      </c>
      <c r="C431" t="s">
        <v>110</v>
      </c>
      <c r="D431" s="1">
        <v>0</v>
      </c>
      <c r="E431" s="3">
        <v>1</v>
      </c>
      <c r="F431" s="3">
        <v>1</v>
      </c>
      <c r="G431">
        <v>0</v>
      </c>
    </row>
    <row r="432" spans="1:7" x14ac:dyDescent="0.25">
      <c r="A432" s="111" t="str">
        <f t="shared" si="6"/>
        <v>JDH4-02-007-MA-1170</v>
      </c>
      <c r="B432" t="s">
        <v>759</v>
      </c>
      <c r="C432" t="s">
        <v>760</v>
      </c>
      <c r="D432" s="1">
        <v>28182.47</v>
      </c>
      <c r="E432" s="3">
        <v>1</v>
      </c>
      <c r="F432" s="3">
        <v>1</v>
      </c>
      <c r="G432" s="1">
        <v>28182.47</v>
      </c>
    </row>
    <row r="433" spans="1:7" x14ac:dyDescent="0.25">
      <c r="A433" s="111" t="str">
        <f t="shared" si="6"/>
        <v>Medium Voltage Cable</v>
      </c>
      <c r="B433" t="s">
        <v>111</v>
      </c>
      <c r="D433" s="1">
        <v>28182.47</v>
      </c>
      <c r="E433" s="3"/>
      <c r="F433" s="3">
        <v>1</v>
      </c>
      <c r="G433" s="1">
        <v>28182.47</v>
      </c>
    </row>
    <row r="434" spans="1:7" x14ac:dyDescent="0.25">
      <c r="A434" s="111" t="str">
        <f t="shared" si="6"/>
        <v>JDH4-02-007-MA-1300</v>
      </c>
      <c r="B434" t="s">
        <v>761</v>
      </c>
      <c r="C434" t="s">
        <v>113</v>
      </c>
      <c r="D434" s="1">
        <v>0</v>
      </c>
      <c r="E434" s="3">
        <v>1</v>
      </c>
      <c r="F434" s="3">
        <v>1</v>
      </c>
      <c r="G434">
        <v>0</v>
      </c>
    </row>
    <row r="435" spans="1:7" x14ac:dyDescent="0.25">
      <c r="A435" s="111" t="str">
        <f t="shared" si="6"/>
        <v>JDH4-02-007-MA-1310</v>
      </c>
      <c r="B435" t="s">
        <v>762</v>
      </c>
      <c r="C435" t="s">
        <v>763</v>
      </c>
      <c r="D435" s="1">
        <v>28182.47</v>
      </c>
      <c r="E435" s="3">
        <v>1</v>
      </c>
      <c r="F435" s="3">
        <v>1</v>
      </c>
      <c r="G435" s="1">
        <v>28182.47</v>
      </c>
    </row>
    <row r="436" spans="1:7" x14ac:dyDescent="0.25">
      <c r="A436" s="111" t="str">
        <f t="shared" si="6"/>
        <v>Low Voltage Distribution Panel</v>
      </c>
      <c r="B436" t="s">
        <v>522</v>
      </c>
      <c r="D436" s="1">
        <v>28182.47</v>
      </c>
      <c r="E436" s="3"/>
      <c r="F436" s="3">
        <v>1</v>
      </c>
      <c r="G436" s="1">
        <v>28182.47</v>
      </c>
    </row>
    <row r="437" spans="1:7" x14ac:dyDescent="0.25">
      <c r="A437" s="111" t="str">
        <f t="shared" si="6"/>
        <v>JDH4-02-007-MA-1140</v>
      </c>
      <c r="B437" t="s">
        <v>764</v>
      </c>
      <c r="C437" t="s">
        <v>765</v>
      </c>
      <c r="D437" s="1">
        <v>0</v>
      </c>
      <c r="E437" s="3">
        <v>1</v>
      </c>
      <c r="F437" s="3">
        <v>1</v>
      </c>
      <c r="G437">
        <v>0</v>
      </c>
    </row>
    <row r="438" spans="1:7" x14ac:dyDescent="0.25">
      <c r="A438" s="111" t="str">
        <f t="shared" si="6"/>
        <v>JDH4-02-007-MA-1150</v>
      </c>
      <c r="B438" t="s">
        <v>766</v>
      </c>
      <c r="C438" t="s">
        <v>767</v>
      </c>
      <c r="D438" s="1">
        <v>28182.47</v>
      </c>
      <c r="E438" s="3">
        <v>1</v>
      </c>
      <c r="F438" s="3">
        <v>1</v>
      </c>
      <c r="G438" s="1">
        <v>28182.47</v>
      </c>
    </row>
    <row r="439" spans="1:7" x14ac:dyDescent="0.25">
      <c r="A439" s="111" t="str">
        <f t="shared" si="6"/>
        <v>Unit Sub Station</v>
      </c>
      <c r="B439" t="s">
        <v>527</v>
      </c>
      <c r="D439" s="1">
        <v>28182.47</v>
      </c>
      <c r="E439" s="3"/>
      <c r="F439" s="3">
        <v>1</v>
      </c>
      <c r="G439" s="1">
        <v>28182.47</v>
      </c>
    </row>
    <row r="440" spans="1:7" x14ac:dyDescent="0.25">
      <c r="A440" s="111" t="str">
        <f t="shared" si="6"/>
        <v>JDH4-02-007-MA-1380</v>
      </c>
      <c r="B440" t="s">
        <v>768</v>
      </c>
      <c r="C440" t="s">
        <v>769</v>
      </c>
      <c r="D440" s="1">
        <v>0</v>
      </c>
      <c r="E440" s="3">
        <v>1</v>
      </c>
      <c r="F440" s="3">
        <v>1</v>
      </c>
      <c r="G440">
        <v>0</v>
      </c>
    </row>
    <row r="441" spans="1:7" x14ac:dyDescent="0.25">
      <c r="A441" s="111" t="str">
        <f t="shared" si="6"/>
        <v>JDH4-02-007-MA-1390</v>
      </c>
      <c r="B441" t="s">
        <v>770</v>
      </c>
      <c r="C441" t="s">
        <v>771</v>
      </c>
      <c r="D441" s="1">
        <v>28182.47</v>
      </c>
      <c r="E441" s="3">
        <v>1</v>
      </c>
      <c r="F441" s="3">
        <v>1</v>
      </c>
      <c r="G441" s="1">
        <v>28182.47</v>
      </c>
    </row>
    <row r="442" spans="1:7" x14ac:dyDescent="0.25">
      <c r="A442" s="111" t="str">
        <f t="shared" si="6"/>
        <v>Ring Main Unit (RMU)</v>
      </c>
      <c r="B442" t="s">
        <v>532</v>
      </c>
      <c r="D442" s="1">
        <v>28182.47</v>
      </c>
      <c r="E442" s="3"/>
      <c r="F442" s="3">
        <v>1</v>
      </c>
      <c r="G442" s="1">
        <v>28182.47</v>
      </c>
    </row>
    <row r="443" spans="1:7" x14ac:dyDescent="0.25">
      <c r="A443" s="111" t="str">
        <f t="shared" si="6"/>
        <v>JDH4-02-007-MA-1400</v>
      </c>
      <c r="B443" t="s">
        <v>772</v>
      </c>
      <c r="C443" t="s">
        <v>773</v>
      </c>
      <c r="D443" s="1">
        <v>0</v>
      </c>
      <c r="E443" s="3">
        <v>1</v>
      </c>
      <c r="F443" s="3">
        <v>1</v>
      </c>
      <c r="G443">
        <v>0</v>
      </c>
    </row>
    <row r="444" spans="1:7" x14ac:dyDescent="0.25">
      <c r="A444" s="111" t="str">
        <f t="shared" si="6"/>
        <v>JDH4-02-007-MA-1410</v>
      </c>
      <c r="B444" t="s">
        <v>774</v>
      </c>
      <c r="C444" t="s">
        <v>775</v>
      </c>
      <c r="D444" s="1">
        <v>28182.47</v>
      </c>
      <c r="E444" s="3">
        <v>1</v>
      </c>
      <c r="F444" s="3">
        <v>1</v>
      </c>
      <c r="G444" s="1">
        <v>28182.47</v>
      </c>
    </row>
    <row r="445" spans="1:7" x14ac:dyDescent="0.25">
      <c r="A445" s="111" t="str">
        <f t="shared" si="6"/>
        <v>Lighting poles</v>
      </c>
      <c r="B445" t="s">
        <v>114</v>
      </c>
      <c r="D445" s="1">
        <v>28182.47</v>
      </c>
      <c r="E445" s="3"/>
      <c r="F445" s="3">
        <v>1</v>
      </c>
      <c r="G445" s="1">
        <v>28182.47</v>
      </c>
    </row>
    <row r="446" spans="1:7" x14ac:dyDescent="0.25">
      <c r="A446" s="111" t="str">
        <f t="shared" si="6"/>
        <v>JDH4-02-007-MA-1340</v>
      </c>
      <c r="B446" t="s">
        <v>776</v>
      </c>
      <c r="C446" t="s">
        <v>116</v>
      </c>
      <c r="D446" s="1">
        <v>0</v>
      </c>
      <c r="E446" s="3">
        <v>1</v>
      </c>
      <c r="F446" s="3">
        <v>1</v>
      </c>
      <c r="G446">
        <v>0</v>
      </c>
    </row>
    <row r="447" spans="1:7" x14ac:dyDescent="0.25">
      <c r="A447" s="111" t="str">
        <f t="shared" si="6"/>
        <v>JDH4-02-007-MA-1350</v>
      </c>
      <c r="B447" t="s">
        <v>777</v>
      </c>
      <c r="C447" t="s">
        <v>778</v>
      </c>
      <c r="D447" s="1">
        <v>28182.47</v>
      </c>
      <c r="E447" s="3">
        <v>1</v>
      </c>
      <c r="F447" s="3">
        <v>1</v>
      </c>
      <c r="G447" s="1">
        <v>28182.47</v>
      </c>
    </row>
    <row r="448" spans="1:7" x14ac:dyDescent="0.25">
      <c r="A448" s="111" t="str">
        <f t="shared" si="6"/>
        <v>Lighting panels/Feeder Pillers</v>
      </c>
      <c r="B448" t="s">
        <v>539</v>
      </c>
      <c r="D448" s="1">
        <v>28182.47</v>
      </c>
      <c r="E448" s="3"/>
      <c r="F448" s="3">
        <v>1</v>
      </c>
      <c r="G448" s="1">
        <v>28182.47</v>
      </c>
    </row>
    <row r="449" spans="1:7" x14ac:dyDescent="0.25">
      <c r="A449" s="111" t="str">
        <f t="shared" si="6"/>
        <v>JDH4-02-007-MA-1515</v>
      </c>
      <c r="B449" t="s">
        <v>779</v>
      </c>
      <c r="C449" t="s">
        <v>780</v>
      </c>
      <c r="D449">
        <v>0</v>
      </c>
      <c r="E449" s="3">
        <v>1</v>
      </c>
      <c r="F449" s="3">
        <v>1</v>
      </c>
      <c r="G449">
        <v>0</v>
      </c>
    </row>
    <row r="450" spans="1:7" x14ac:dyDescent="0.25">
      <c r="A450" s="111" t="str">
        <f t="shared" si="6"/>
        <v>JDH4-02-007-MA-1520</v>
      </c>
      <c r="B450" t="s">
        <v>781</v>
      </c>
      <c r="C450" t="s">
        <v>782</v>
      </c>
      <c r="D450" s="1">
        <v>28182.47</v>
      </c>
      <c r="E450" s="3">
        <v>1</v>
      </c>
      <c r="F450" s="3">
        <v>1</v>
      </c>
      <c r="G450" s="1">
        <v>28182.47</v>
      </c>
    </row>
    <row r="451" spans="1:7" x14ac:dyDescent="0.25">
      <c r="A451" s="111" t="str">
        <f t="shared" si="6"/>
        <v>Street Lighting Luminaire</v>
      </c>
      <c r="B451" t="s">
        <v>117</v>
      </c>
      <c r="D451" s="1">
        <v>28182.47</v>
      </c>
      <c r="E451" s="3"/>
      <c r="F451" s="3">
        <v>1</v>
      </c>
      <c r="G451" s="1">
        <v>28182.47</v>
      </c>
    </row>
    <row r="452" spans="1:7" x14ac:dyDescent="0.25">
      <c r="A452" s="111" t="str">
        <f t="shared" ref="A452:A515" si="7">TRIM(B452)</f>
        <v>JDH4-02-007-MA-1360</v>
      </c>
      <c r="B452" t="s">
        <v>783</v>
      </c>
      <c r="C452" t="s">
        <v>119</v>
      </c>
      <c r="D452" s="1">
        <v>0</v>
      </c>
      <c r="E452" s="3">
        <v>1</v>
      </c>
      <c r="F452" s="3">
        <v>1</v>
      </c>
      <c r="G452">
        <v>0</v>
      </c>
    </row>
    <row r="453" spans="1:7" x14ac:dyDescent="0.25">
      <c r="A453" s="111" t="str">
        <f t="shared" si="7"/>
        <v>JDH4-02-007-MA-1370</v>
      </c>
      <c r="B453" t="s">
        <v>784</v>
      </c>
      <c r="C453" t="s">
        <v>785</v>
      </c>
      <c r="D453" s="1">
        <v>28182.47</v>
      </c>
      <c r="E453" s="3">
        <v>1</v>
      </c>
      <c r="F453" s="3">
        <v>1</v>
      </c>
      <c r="G453" s="1">
        <v>28182.47</v>
      </c>
    </row>
    <row r="454" spans="1:7" x14ac:dyDescent="0.25">
      <c r="A454" s="111" t="str">
        <f t="shared" si="7"/>
        <v>Telecommunications</v>
      </c>
      <c r="B454" t="s">
        <v>546</v>
      </c>
      <c r="D454" s="1">
        <v>28182.47</v>
      </c>
      <c r="E454" s="3"/>
      <c r="F454" s="3">
        <v>1</v>
      </c>
      <c r="G454" s="1">
        <v>28182.47</v>
      </c>
    </row>
    <row r="455" spans="1:7" x14ac:dyDescent="0.25">
      <c r="A455" s="111" t="str">
        <f t="shared" si="7"/>
        <v>Pipe for the Duct</v>
      </c>
      <c r="B455" t="s">
        <v>511</v>
      </c>
      <c r="D455" s="1">
        <v>28182.47</v>
      </c>
      <c r="F455" s="3">
        <v>1</v>
      </c>
      <c r="G455" s="1">
        <v>28182.47</v>
      </c>
    </row>
    <row r="456" spans="1:7" x14ac:dyDescent="0.25">
      <c r="A456" s="111" t="str">
        <f t="shared" si="7"/>
        <v>JDH4-02-007-MA-1550</v>
      </c>
      <c r="B456" t="s">
        <v>787</v>
      </c>
      <c r="C456" t="s">
        <v>788</v>
      </c>
      <c r="D456" s="1">
        <v>28182.47</v>
      </c>
      <c r="E456" s="3">
        <v>1</v>
      </c>
      <c r="F456" s="3">
        <v>1</v>
      </c>
      <c r="G456" s="1">
        <v>28182.47</v>
      </c>
    </row>
    <row r="457" spans="1:7" x14ac:dyDescent="0.25">
      <c r="A457" s="111" t="str">
        <f t="shared" si="7"/>
        <v>JDH4-02-007-MA-1540</v>
      </c>
      <c r="B457" t="s">
        <v>786</v>
      </c>
      <c r="C457" t="s">
        <v>752</v>
      </c>
      <c r="D457" s="1">
        <v>0</v>
      </c>
      <c r="E457" s="3">
        <v>1</v>
      </c>
      <c r="F457" s="3">
        <v>1</v>
      </c>
      <c r="G457" s="1">
        <v>0</v>
      </c>
    </row>
    <row r="458" spans="1:7" x14ac:dyDescent="0.25">
      <c r="A458" s="111" t="str">
        <f t="shared" si="7"/>
        <v>Sewage Lift Station</v>
      </c>
      <c r="B458" t="s">
        <v>549</v>
      </c>
      <c r="D458" s="1">
        <v>845473.86</v>
      </c>
      <c r="F458" s="3">
        <v>1</v>
      </c>
      <c r="G458" s="1">
        <v>845473.86</v>
      </c>
    </row>
    <row r="459" spans="1:7" x14ac:dyDescent="0.25">
      <c r="A459" s="111" t="str">
        <f t="shared" si="7"/>
        <v>Thermal &amp; Moisture Protection</v>
      </c>
      <c r="B459" t="s">
        <v>550</v>
      </c>
      <c r="D459" s="1">
        <v>28182.47</v>
      </c>
      <c r="F459" s="3">
        <v>1</v>
      </c>
      <c r="G459" s="1">
        <v>28182.47</v>
      </c>
    </row>
    <row r="460" spans="1:7" x14ac:dyDescent="0.25">
      <c r="A460" s="111" t="str">
        <f t="shared" si="7"/>
        <v>JDH4-02-007-MA-1490</v>
      </c>
      <c r="B460" t="s">
        <v>789</v>
      </c>
      <c r="C460" t="s">
        <v>790</v>
      </c>
      <c r="D460">
        <v>0</v>
      </c>
      <c r="E460" s="3">
        <v>1</v>
      </c>
      <c r="F460" s="3">
        <v>1</v>
      </c>
      <c r="G460">
        <v>0</v>
      </c>
    </row>
    <row r="461" spans="1:7" x14ac:dyDescent="0.25">
      <c r="A461" s="111" t="str">
        <f t="shared" si="7"/>
        <v>JDH4-02-007-MA-1510</v>
      </c>
      <c r="B461" t="s">
        <v>791</v>
      </c>
      <c r="C461" t="s">
        <v>792</v>
      </c>
      <c r="D461" s="1">
        <v>28182.47</v>
      </c>
      <c r="E461" s="3">
        <v>1</v>
      </c>
      <c r="F461" s="3">
        <v>1</v>
      </c>
      <c r="G461" s="1">
        <v>28182.47</v>
      </c>
    </row>
    <row r="462" spans="1:7" x14ac:dyDescent="0.25">
      <c r="A462" s="111" t="str">
        <f t="shared" si="7"/>
        <v>Metals</v>
      </c>
      <c r="B462" t="s">
        <v>555</v>
      </c>
      <c r="D462" s="1">
        <v>28182.47</v>
      </c>
      <c r="F462" s="3">
        <v>1</v>
      </c>
      <c r="G462" s="1">
        <v>28182.47</v>
      </c>
    </row>
    <row r="463" spans="1:7" x14ac:dyDescent="0.25">
      <c r="A463" s="111" t="str">
        <f t="shared" si="7"/>
        <v>JDH4-02-007-MA-1480</v>
      </c>
      <c r="B463" t="s">
        <v>793</v>
      </c>
      <c r="C463" t="s">
        <v>794</v>
      </c>
      <c r="D463">
        <v>0</v>
      </c>
      <c r="E463" s="3">
        <v>1</v>
      </c>
      <c r="F463" s="3">
        <v>1</v>
      </c>
      <c r="G463">
        <v>0</v>
      </c>
    </row>
    <row r="464" spans="1:7" x14ac:dyDescent="0.25">
      <c r="A464" s="111" t="str">
        <f t="shared" si="7"/>
        <v>JDH4-02-007-MA-1500</v>
      </c>
      <c r="B464" t="s">
        <v>795</v>
      </c>
      <c r="C464" t="s">
        <v>796</v>
      </c>
      <c r="D464" s="1">
        <v>28182.47</v>
      </c>
      <c r="E464" s="3">
        <v>1</v>
      </c>
      <c r="F464" s="3">
        <v>1</v>
      </c>
      <c r="G464" s="1">
        <v>28182.47</v>
      </c>
    </row>
    <row r="465" spans="1:7" x14ac:dyDescent="0.25">
      <c r="A465" s="111" t="str">
        <f t="shared" si="7"/>
        <v>Pumps</v>
      </c>
      <c r="B465" t="s">
        <v>560</v>
      </c>
      <c r="D465" s="1">
        <v>28182.47</v>
      </c>
      <c r="F465" s="3">
        <v>1</v>
      </c>
      <c r="G465" s="1">
        <v>28182.47</v>
      </c>
    </row>
    <row r="466" spans="1:7" x14ac:dyDescent="0.25">
      <c r="A466" s="111" t="str">
        <f t="shared" si="7"/>
        <v>JDH4-02-007-MA-1560</v>
      </c>
      <c r="B466" t="s">
        <v>797</v>
      </c>
      <c r="C466" t="s">
        <v>798</v>
      </c>
      <c r="D466">
        <v>0</v>
      </c>
      <c r="E466" s="3">
        <v>1</v>
      </c>
      <c r="F466" s="3">
        <v>1</v>
      </c>
      <c r="G466">
        <v>0</v>
      </c>
    </row>
    <row r="467" spans="1:7" x14ac:dyDescent="0.25">
      <c r="A467" s="111" t="str">
        <f t="shared" si="7"/>
        <v>JDH4-02-007-MA-1570</v>
      </c>
      <c r="B467" t="s">
        <v>799</v>
      </c>
      <c r="C467" t="s">
        <v>800</v>
      </c>
      <c r="D467" s="1">
        <v>28182.47</v>
      </c>
      <c r="E467" s="3">
        <v>1</v>
      </c>
      <c r="F467" s="3">
        <v>1</v>
      </c>
      <c r="G467" s="1">
        <v>28182.47</v>
      </c>
    </row>
    <row r="468" spans="1:7" x14ac:dyDescent="0.25">
      <c r="A468" s="111" t="str">
        <f t="shared" si="7"/>
        <v>Pipes,Fittings &amp; Valves</v>
      </c>
      <c r="B468" t="s">
        <v>565</v>
      </c>
      <c r="D468" s="1">
        <v>28182.47</v>
      </c>
      <c r="F468" s="3">
        <v>1</v>
      </c>
      <c r="G468" s="1">
        <v>28182.47</v>
      </c>
    </row>
    <row r="469" spans="1:7" x14ac:dyDescent="0.25">
      <c r="A469" s="111" t="str">
        <f t="shared" si="7"/>
        <v>JDH4-02-007-MA-1680</v>
      </c>
      <c r="B469" t="s">
        <v>801</v>
      </c>
      <c r="C469" t="s">
        <v>802</v>
      </c>
      <c r="D469" s="1">
        <v>0</v>
      </c>
      <c r="E469" s="3">
        <v>1</v>
      </c>
      <c r="F469" s="3">
        <v>1</v>
      </c>
      <c r="G469">
        <v>0</v>
      </c>
    </row>
    <row r="470" spans="1:7" x14ac:dyDescent="0.25">
      <c r="A470" s="111" t="str">
        <f t="shared" si="7"/>
        <v>JDH4-02-007-MA-1700</v>
      </c>
      <c r="B470" t="s">
        <v>803</v>
      </c>
      <c r="C470" t="s">
        <v>804</v>
      </c>
      <c r="D470" s="1">
        <v>28182.47</v>
      </c>
      <c r="E470" s="3">
        <v>1</v>
      </c>
      <c r="F470" s="3">
        <v>1</v>
      </c>
      <c r="G470" s="1">
        <v>28182.47</v>
      </c>
    </row>
    <row r="471" spans="1:7" x14ac:dyDescent="0.25">
      <c r="A471" s="111" t="str">
        <f t="shared" si="7"/>
        <v>Odours scrubbing system</v>
      </c>
      <c r="B471" t="s">
        <v>570</v>
      </c>
      <c r="D471" s="1">
        <v>28182.47</v>
      </c>
      <c r="E471" s="3"/>
      <c r="F471" s="3">
        <v>1</v>
      </c>
      <c r="G471" s="1">
        <v>28182.47</v>
      </c>
    </row>
    <row r="472" spans="1:7" x14ac:dyDescent="0.25">
      <c r="A472" s="111" t="str">
        <f t="shared" si="7"/>
        <v>JDH4-02-007-MA-1690</v>
      </c>
      <c r="B472" t="s">
        <v>805</v>
      </c>
      <c r="C472" t="s">
        <v>806</v>
      </c>
      <c r="D472">
        <v>0</v>
      </c>
      <c r="E472" s="3">
        <v>1</v>
      </c>
      <c r="F472" s="3">
        <v>1</v>
      </c>
      <c r="G472">
        <v>0</v>
      </c>
    </row>
    <row r="473" spans="1:7" x14ac:dyDescent="0.25">
      <c r="A473" s="111" t="str">
        <f t="shared" si="7"/>
        <v>JDH4-02-007-MA-1710</v>
      </c>
      <c r="B473" t="s">
        <v>807</v>
      </c>
      <c r="C473" t="s">
        <v>808</v>
      </c>
      <c r="D473" s="1">
        <v>28182.47</v>
      </c>
      <c r="E473" s="3">
        <v>1</v>
      </c>
      <c r="F473" s="3">
        <v>1</v>
      </c>
      <c r="G473" s="1">
        <v>28182.47</v>
      </c>
    </row>
    <row r="474" spans="1:7" x14ac:dyDescent="0.25">
      <c r="A474" s="111" t="str">
        <f t="shared" si="7"/>
        <v>Crane</v>
      </c>
      <c r="B474" t="s">
        <v>575</v>
      </c>
      <c r="D474" s="1">
        <v>28182.47</v>
      </c>
      <c r="E474" s="3"/>
      <c r="F474" s="3">
        <v>1</v>
      </c>
      <c r="G474" s="1">
        <v>28182.47</v>
      </c>
    </row>
    <row r="475" spans="1:7" x14ac:dyDescent="0.25">
      <c r="A475" s="111" t="str">
        <f t="shared" si="7"/>
        <v>JDH4-02-007-MA-1720</v>
      </c>
      <c r="B475" t="s">
        <v>809</v>
      </c>
      <c r="C475" t="s">
        <v>810</v>
      </c>
      <c r="D475" s="1">
        <v>0</v>
      </c>
      <c r="E475" s="3">
        <v>1</v>
      </c>
      <c r="F475" s="3">
        <v>1</v>
      </c>
      <c r="G475">
        <v>0</v>
      </c>
    </row>
    <row r="476" spans="1:7" x14ac:dyDescent="0.25">
      <c r="A476" s="111" t="str">
        <f t="shared" si="7"/>
        <v>JDH4-02-007-MA-1730</v>
      </c>
      <c r="B476" t="s">
        <v>811</v>
      </c>
      <c r="C476" t="s">
        <v>812</v>
      </c>
      <c r="D476" s="1">
        <v>28182.47</v>
      </c>
      <c r="E476" s="3">
        <v>1</v>
      </c>
      <c r="F476" s="3">
        <v>1</v>
      </c>
      <c r="G476" s="1">
        <v>28182.47</v>
      </c>
    </row>
    <row r="477" spans="1:7" x14ac:dyDescent="0.25">
      <c r="A477" s="111" t="str">
        <f t="shared" si="7"/>
        <v>Air Vents</v>
      </c>
      <c r="B477" t="s">
        <v>580</v>
      </c>
      <c r="D477" s="1">
        <v>28182.47</v>
      </c>
      <c r="E477" s="3"/>
      <c r="F477" s="3">
        <v>1</v>
      </c>
      <c r="G477" s="1">
        <v>28182.47</v>
      </c>
    </row>
    <row r="478" spans="1:7" x14ac:dyDescent="0.25">
      <c r="A478" s="111" t="str">
        <f t="shared" si="7"/>
        <v>JDH4-02-007-MA-1800</v>
      </c>
      <c r="B478" t="s">
        <v>813</v>
      </c>
      <c r="C478" t="s">
        <v>814</v>
      </c>
      <c r="D478" s="1">
        <v>0</v>
      </c>
      <c r="E478" s="3">
        <v>1</v>
      </c>
      <c r="F478" s="3">
        <v>1</v>
      </c>
      <c r="G478">
        <v>0</v>
      </c>
    </row>
    <row r="479" spans="1:7" x14ac:dyDescent="0.25">
      <c r="A479" s="111" t="str">
        <f t="shared" si="7"/>
        <v>JDH4-02-007-MA-1820</v>
      </c>
      <c r="B479" t="s">
        <v>815</v>
      </c>
      <c r="C479" t="s">
        <v>816</v>
      </c>
      <c r="D479" s="1">
        <v>28182.47</v>
      </c>
      <c r="E479" s="3">
        <v>1</v>
      </c>
      <c r="F479" s="3">
        <v>1</v>
      </c>
      <c r="G479" s="1">
        <v>28182.47</v>
      </c>
    </row>
    <row r="480" spans="1:7" x14ac:dyDescent="0.25">
      <c r="A480" s="111" t="str">
        <f t="shared" si="7"/>
        <v>Screening Container</v>
      </c>
      <c r="B480" t="s">
        <v>585</v>
      </c>
      <c r="D480" s="1">
        <v>28182.47</v>
      </c>
      <c r="E480" s="3"/>
      <c r="F480" s="3">
        <v>1</v>
      </c>
      <c r="G480" s="1">
        <v>28182.47</v>
      </c>
    </row>
    <row r="481" spans="1:7" x14ac:dyDescent="0.25">
      <c r="A481" s="111" t="str">
        <f t="shared" si="7"/>
        <v>JDH4-02-007-MA-1740</v>
      </c>
      <c r="B481" t="s">
        <v>817</v>
      </c>
      <c r="C481" t="s">
        <v>818</v>
      </c>
      <c r="D481" s="1">
        <v>0</v>
      </c>
      <c r="E481" s="3">
        <v>1</v>
      </c>
      <c r="F481" s="3">
        <v>1</v>
      </c>
      <c r="G481">
        <v>0</v>
      </c>
    </row>
    <row r="482" spans="1:7" x14ac:dyDescent="0.25">
      <c r="A482" s="111" t="str">
        <f t="shared" si="7"/>
        <v>JDH4-02-007-MA-1760</v>
      </c>
      <c r="B482" t="s">
        <v>819</v>
      </c>
      <c r="C482" t="s">
        <v>820</v>
      </c>
      <c r="D482" s="1">
        <v>28182.47</v>
      </c>
      <c r="E482" s="3">
        <v>1</v>
      </c>
      <c r="F482" s="3">
        <v>1</v>
      </c>
      <c r="G482" s="1">
        <v>28182.47</v>
      </c>
    </row>
    <row r="483" spans="1:7" x14ac:dyDescent="0.25">
      <c r="A483" s="111" t="str">
        <f t="shared" si="7"/>
        <v>Baffle Plates</v>
      </c>
      <c r="B483" t="s">
        <v>590</v>
      </c>
      <c r="D483" s="1">
        <v>28182.47</v>
      </c>
      <c r="E483" s="3"/>
      <c r="F483" s="3">
        <v>1</v>
      </c>
      <c r="G483" s="1">
        <v>28182.47</v>
      </c>
    </row>
    <row r="484" spans="1:7" x14ac:dyDescent="0.25">
      <c r="A484" s="111" t="str">
        <f t="shared" si="7"/>
        <v>JDH4-02-007-MA-1810</v>
      </c>
      <c r="B484" t="s">
        <v>821</v>
      </c>
      <c r="C484" t="s">
        <v>822</v>
      </c>
      <c r="D484" s="1">
        <v>0</v>
      </c>
      <c r="E484" s="3">
        <v>1</v>
      </c>
      <c r="F484" s="3">
        <v>1</v>
      </c>
      <c r="G484">
        <v>0</v>
      </c>
    </row>
    <row r="485" spans="1:7" x14ac:dyDescent="0.25">
      <c r="A485" s="111" t="str">
        <f t="shared" si="7"/>
        <v>JDH4-02-007-MA-1830</v>
      </c>
      <c r="B485" t="s">
        <v>823</v>
      </c>
      <c r="C485" t="s">
        <v>824</v>
      </c>
      <c r="D485" s="1">
        <v>28182.47</v>
      </c>
      <c r="E485" s="3">
        <v>1</v>
      </c>
      <c r="F485" s="3">
        <v>1</v>
      </c>
      <c r="G485" s="1">
        <v>28182.47</v>
      </c>
    </row>
    <row r="486" spans="1:7" x14ac:dyDescent="0.25">
      <c r="A486" s="111" t="str">
        <f t="shared" si="7"/>
        <v>Anti-Water Hammer Equipment</v>
      </c>
      <c r="B486" t="s">
        <v>595</v>
      </c>
      <c r="D486" s="1">
        <v>28182.47</v>
      </c>
      <c r="F486" s="3">
        <v>1</v>
      </c>
      <c r="G486" s="1">
        <v>28182.47</v>
      </c>
    </row>
    <row r="487" spans="1:7" x14ac:dyDescent="0.25">
      <c r="A487" s="111" t="str">
        <f t="shared" si="7"/>
        <v>JDH4-02-007-MA-1840</v>
      </c>
      <c r="B487" t="s">
        <v>825</v>
      </c>
      <c r="C487" t="s">
        <v>826</v>
      </c>
      <c r="D487">
        <v>0</v>
      </c>
      <c r="E487" s="3">
        <v>1</v>
      </c>
      <c r="F487" s="3">
        <v>1</v>
      </c>
      <c r="G487">
        <v>0</v>
      </c>
    </row>
    <row r="488" spans="1:7" x14ac:dyDescent="0.25">
      <c r="A488" s="111" t="str">
        <f t="shared" si="7"/>
        <v>JDH4-02-007-MA-1850</v>
      </c>
      <c r="B488" t="s">
        <v>827</v>
      </c>
      <c r="C488" t="s">
        <v>828</v>
      </c>
      <c r="D488" s="1">
        <v>28182.47</v>
      </c>
      <c r="E488" s="3">
        <v>1</v>
      </c>
      <c r="F488" s="3">
        <v>1</v>
      </c>
      <c r="G488" s="1">
        <v>28182.47</v>
      </c>
    </row>
    <row r="489" spans="1:7" x14ac:dyDescent="0.25">
      <c r="A489" s="111" t="str">
        <f t="shared" si="7"/>
        <v>Air Conditioning and Ventilation</v>
      </c>
      <c r="B489" t="s">
        <v>600</v>
      </c>
      <c r="D489" s="1">
        <v>28182.47</v>
      </c>
      <c r="F489" s="3">
        <v>1</v>
      </c>
      <c r="G489" s="1">
        <v>28182.47</v>
      </c>
    </row>
    <row r="490" spans="1:7" x14ac:dyDescent="0.25">
      <c r="A490" s="111" t="str">
        <f t="shared" si="7"/>
        <v>JDH4-02-007-MA-1750</v>
      </c>
      <c r="B490" t="s">
        <v>829</v>
      </c>
      <c r="C490" t="s">
        <v>830</v>
      </c>
      <c r="D490">
        <v>0</v>
      </c>
      <c r="E490" s="3">
        <v>1</v>
      </c>
      <c r="F490" s="3">
        <v>1</v>
      </c>
      <c r="G490">
        <v>0</v>
      </c>
    </row>
    <row r="491" spans="1:7" x14ac:dyDescent="0.25">
      <c r="A491" s="111" t="str">
        <f t="shared" si="7"/>
        <v>JDH4-02-007-MA-1770</v>
      </c>
      <c r="B491" t="s">
        <v>831</v>
      </c>
      <c r="C491" t="s">
        <v>832</v>
      </c>
      <c r="D491" s="1">
        <v>28182.47</v>
      </c>
      <c r="E491" s="3">
        <v>1</v>
      </c>
      <c r="F491" s="3">
        <v>1</v>
      </c>
      <c r="G491" s="1">
        <v>28182.47</v>
      </c>
    </row>
    <row r="492" spans="1:7" x14ac:dyDescent="0.25">
      <c r="A492" s="111" t="str">
        <f t="shared" si="7"/>
        <v>Fuel System</v>
      </c>
      <c r="B492" t="s">
        <v>605</v>
      </c>
      <c r="D492" s="1">
        <v>28182.23</v>
      </c>
      <c r="F492" s="3">
        <v>1</v>
      </c>
      <c r="G492" s="1">
        <v>28182.23</v>
      </c>
    </row>
    <row r="493" spans="1:7" x14ac:dyDescent="0.25">
      <c r="A493" s="111" t="str">
        <f t="shared" si="7"/>
        <v>JDH4-02-007-MA-1780</v>
      </c>
      <c r="B493" t="s">
        <v>833</v>
      </c>
      <c r="C493" t="s">
        <v>834</v>
      </c>
      <c r="D493">
        <v>0</v>
      </c>
      <c r="E493" s="3">
        <v>1</v>
      </c>
      <c r="F493" s="3">
        <v>1</v>
      </c>
      <c r="G493">
        <v>0</v>
      </c>
    </row>
    <row r="494" spans="1:7" x14ac:dyDescent="0.25">
      <c r="A494" s="111" t="str">
        <f t="shared" si="7"/>
        <v>JDH4-02-007-MA-1790</v>
      </c>
      <c r="B494" t="s">
        <v>835</v>
      </c>
      <c r="C494" t="s">
        <v>4014</v>
      </c>
      <c r="D494" s="1">
        <v>14091.23</v>
      </c>
      <c r="E494" s="3">
        <v>1</v>
      </c>
      <c r="F494" s="3">
        <v>1</v>
      </c>
      <c r="G494" s="1">
        <v>14091.23</v>
      </c>
    </row>
    <row r="495" spans="1:7" x14ac:dyDescent="0.25">
      <c r="A495" s="111" t="str">
        <f t="shared" si="7"/>
        <v>JDH4-02-007-MA-1790R</v>
      </c>
      <c r="B495" t="s">
        <v>4015</v>
      </c>
      <c r="C495" t="s">
        <v>836</v>
      </c>
      <c r="D495" s="1">
        <v>14091</v>
      </c>
      <c r="E495" s="3">
        <v>1</v>
      </c>
      <c r="F495" s="3">
        <v>1</v>
      </c>
      <c r="G495" s="1">
        <v>14091</v>
      </c>
    </row>
    <row r="496" spans="1:7" x14ac:dyDescent="0.25">
      <c r="A496" s="111" t="str">
        <f t="shared" si="7"/>
        <v>Fire Fighting System</v>
      </c>
      <c r="B496" t="s">
        <v>610</v>
      </c>
      <c r="D496" s="1">
        <v>28182.47</v>
      </c>
      <c r="E496" s="3"/>
      <c r="F496" s="3">
        <v>1</v>
      </c>
      <c r="G496" s="1">
        <v>28182.47</v>
      </c>
    </row>
    <row r="497" spans="1:7" x14ac:dyDescent="0.25">
      <c r="A497" s="111" t="str">
        <f t="shared" si="7"/>
        <v>JDH4-02-007-MA-1920</v>
      </c>
      <c r="B497" t="s">
        <v>837</v>
      </c>
      <c r="C497" t="s">
        <v>838</v>
      </c>
      <c r="D497" s="1">
        <v>0</v>
      </c>
      <c r="E497" s="3">
        <v>1</v>
      </c>
      <c r="F497" s="3">
        <v>1</v>
      </c>
      <c r="G497">
        <v>0</v>
      </c>
    </row>
    <row r="498" spans="1:7" x14ac:dyDescent="0.25">
      <c r="A498" s="111" t="str">
        <f t="shared" si="7"/>
        <v>JDH4-02-007-MA-1930</v>
      </c>
      <c r="B498" t="s">
        <v>839</v>
      </c>
      <c r="C498" t="s">
        <v>840</v>
      </c>
      <c r="D498" s="1">
        <v>28182.47</v>
      </c>
      <c r="E498" s="3">
        <v>1</v>
      </c>
      <c r="F498" s="2">
        <v>1</v>
      </c>
      <c r="G498" s="1">
        <v>28182.47</v>
      </c>
    </row>
    <row r="499" spans="1:7" x14ac:dyDescent="0.25">
      <c r="A499" s="111" t="str">
        <f t="shared" si="7"/>
        <v>Main Distribution Board /MCC panels</v>
      </c>
      <c r="B499" t="s">
        <v>615</v>
      </c>
      <c r="D499" s="1">
        <v>28182.47</v>
      </c>
      <c r="E499" s="3"/>
      <c r="F499" s="3">
        <v>1</v>
      </c>
      <c r="G499" s="1">
        <v>28182.47</v>
      </c>
    </row>
    <row r="500" spans="1:7" x14ac:dyDescent="0.25">
      <c r="A500" s="111" t="str">
        <f t="shared" si="7"/>
        <v>JDH4-02-007-MA-1860</v>
      </c>
      <c r="B500" t="s">
        <v>841</v>
      </c>
      <c r="C500" t="s">
        <v>842</v>
      </c>
      <c r="D500" s="1">
        <v>0</v>
      </c>
      <c r="E500" s="3">
        <v>1</v>
      </c>
      <c r="F500" s="3">
        <v>1</v>
      </c>
      <c r="G500">
        <v>0</v>
      </c>
    </row>
    <row r="501" spans="1:7" x14ac:dyDescent="0.25">
      <c r="A501" s="111" t="str">
        <f t="shared" si="7"/>
        <v>JDH4-02-007-MA-1870</v>
      </c>
      <c r="B501" t="s">
        <v>843</v>
      </c>
      <c r="C501" t="s">
        <v>844</v>
      </c>
      <c r="D501" s="1">
        <v>28182.47</v>
      </c>
      <c r="E501" s="3">
        <v>1</v>
      </c>
      <c r="F501" s="3">
        <v>1</v>
      </c>
      <c r="G501" s="1">
        <v>28182.47</v>
      </c>
    </row>
    <row r="502" spans="1:7" x14ac:dyDescent="0.25">
      <c r="A502" s="111" t="str">
        <f t="shared" si="7"/>
        <v>Final Panel boards</v>
      </c>
      <c r="B502" t="s">
        <v>620</v>
      </c>
      <c r="D502" s="1">
        <v>28182.47</v>
      </c>
      <c r="E502" s="3"/>
      <c r="F502" s="3">
        <v>1</v>
      </c>
      <c r="G502" s="1">
        <v>28182.47</v>
      </c>
    </row>
    <row r="503" spans="1:7" x14ac:dyDescent="0.25">
      <c r="A503" s="111" t="str">
        <f t="shared" si="7"/>
        <v>JDH4-02-007-MA-1880</v>
      </c>
      <c r="B503" t="s">
        <v>845</v>
      </c>
      <c r="C503" t="s">
        <v>846</v>
      </c>
      <c r="D503" s="1">
        <v>0</v>
      </c>
      <c r="E503" s="3">
        <v>1</v>
      </c>
      <c r="F503" s="3">
        <v>1</v>
      </c>
      <c r="G503">
        <v>0</v>
      </c>
    </row>
    <row r="504" spans="1:7" x14ac:dyDescent="0.25">
      <c r="A504" s="111" t="str">
        <f t="shared" si="7"/>
        <v>JDH4-02-007-MA-1890</v>
      </c>
      <c r="B504" t="s">
        <v>847</v>
      </c>
      <c r="C504" t="s">
        <v>848</v>
      </c>
      <c r="D504" s="1">
        <v>28182.47</v>
      </c>
      <c r="E504" s="3">
        <v>1</v>
      </c>
      <c r="F504" s="3">
        <v>1</v>
      </c>
      <c r="G504" s="1">
        <v>28182.47</v>
      </c>
    </row>
    <row r="505" spans="1:7" x14ac:dyDescent="0.25">
      <c r="A505" s="111" t="str">
        <f t="shared" si="7"/>
        <v>Local Control Panel/ Monitoring Control Panel</v>
      </c>
      <c r="B505" t="s">
        <v>625</v>
      </c>
      <c r="D505" s="1">
        <v>28182.47</v>
      </c>
      <c r="E505" s="3"/>
      <c r="F505" s="3">
        <v>1</v>
      </c>
      <c r="G505" s="1">
        <v>28182.47</v>
      </c>
    </row>
    <row r="506" spans="1:7" x14ac:dyDescent="0.25">
      <c r="A506" s="111" t="str">
        <f t="shared" si="7"/>
        <v>JDH4-02-007-MA-1900</v>
      </c>
      <c r="B506" t="s">
        <v>849</v>
      </c>
      <c r="C506" t="s">
        <v>850</v>
      </c>
      <c r="D506" s="1">
        <v>0</v>
      </c>
      <c r="E506" s="3">
        <v>1</v>
      </c>
      <c r="F506" s="3">
        <v>1</v>
      </c>
      <c r="G506">
        <v>0</v>
      </c>
    </row>
    <row r="507" spans="1:7" x14ac:dyDescent="0.25">
      <c r="A507" s="111" t="str">
        <f t="shared" si="7"/>
        <v>JDH4-02-007-MA-1910</v>
      </c>
      <c r="B507" t="s">
        <v>851</v>
      </c>
      <c r="C507" t="s">
        <v>852</v>
      </c>
      <c r="D507" s="1">
        <v>28182.47</v>
      </c>
      <c r="E507" s="3">
        <v>1</v>
      </c>
      <c r="F507" s="3">
        <v>1</v>
      </c>
      <c r="G507" s="1">
        <v>28182.47</v>
      </c>
    </row>
    <row r="508" spans="1:7" x14ac:dyDescent="0.25">
      <c r="A508" s="111" t="str">
        <f t="shared" si="7"/>
        <v>Engine Generators</v>
      </c>
      <c r="B508" t="s">
        <v>630</v>
      </c>
      <c r="D508" s="1">
        <v>28182.47</v>
      </c>
      <c r="E508" s="3"/>
      <c r="F508" s="3">
        <v>1</v>
      </c>
      <c r="G508" s="1">
        <v>28182.47</v>
      </c>
    </row>
    <row r="509" spans="1:7" x14ac:dyDescent="0.25">
      <c r="A509" s="111" t="str">
        <f t="shared" si="7"/>
        <v>JDH4-02-007-MA-2060</v>
      </c>
      <c r="B509" t="s">
        <v>853</v>
      </c>
      <c r="C509" t="s">
        <v>854</v>
      </c>
      <c r="D509" s="1">
        <v>0</v>
      </c>
      <c r="E509" s="3">
        <v>1</v>
      </c>
      <c r="F509" s="2">
        <v>1</v>
      </c>
      <c r="G509" s="1">
        <v>0</v>
      </c>
    </row>
    <row r="510" spans="1:7" x14ac:dyDescent="0.25">
      <c r="A510" s="111" t="str">
        <f t="shared" si="7"/>
        <v>JDH4-02-007-MA-2070</v>
      </c>
      <c r="B510" t="s">
        <v>855</v>
      </c>
      <c r="C510" t="s">
        <v>856</v>
      </c>
      <c r="D510" s="1">
        <v>28182.47</v>
      </c>
      <c r="E510" s="3">
        <v>1</v>
      </c>
      <c r="F510" s="3">
        <v>1</v>
      </c>
      <c r="G510" s="1">
        <v>28182.47</v>
      </c>
    </row>
    <row r="511" spans="1:7" x14ac:dyDescent="0.25">
      <c r="A511" s="111" t="str">
        <f t="shared" si="7"/>
        <v>Standby Diesel Generator</v>
      </c>
      <c r="B511" t="s">
        <v>635</v>
      </c>
      <c r="D511" s="1">
        <v>28182.47</v>
      </c>
      <c r="E511" s="3"/>
      <c r="F511" s="3">
        <v>1</v>
      </c>
      <c r="G511" s="1">
        <v>28182.47</v>
      </c>
    </row>
    <row r="512" spans="1:7" x14ac:dyDescent="0.25">
      <c r="A512" s="111" t="str">
        <f t="shared" si="7"/>
        <v>JDH4-02-007-MA-2040</v>
      </c>
      <c r="B512" t="s">
        <v>857</v>
      </c>
      <c r="C512" t="s">
        <v>858</v>
      </c>
      <c r="D512" s="1">
        <v>0</v>
      </c>
      <c r="E512" s="3">
        <v>1</v>
      </c>
      <c r="F512" s="3">
        <v>1</v>
      </c>
      <c r="G512" s="1">
        <v>0</v>
      </c>
    </row>
    <row r="513" spans="1:7" x14ac:dyDescent="0.25">
      <c r="A513" s="111" t="str">
        <f t="shared" si="7"/>
        <v>JDH4-02-007-MA-2050</v>
      </c>
      <c r="B513" t="s">
        <v>859</v>
      </c>
      <c r="C513" t="s">
        <v>860</v>
      </c>
      <c r="D513" s="1">
        <v>28182.47</v>
      </c>
      <c r="E513" s="3">
        <v>1</v>
      </c>
      <c r="F513" s="3">
        <v>1</v>
      </c>
      <c r="G513" s="1">
        <v>28182.47</v>
      </c>
    </row>
    <row r="514" spans="1:7" x14ac:dyDescent="0.25">
      <c r="A514" s="111" t="str">
        <f t="shared" si="7"/>
        <v>Power Factor Correction Capacitor Bank</v>
      </c>
      <c r="B514" t="s">
        <v>640</v>
      </c>
      <c r="D514" s="1">
        <v>28182.47</v>
      </c>
      <c r="E514" s="3"/>
      <c r="F514" s="3">
        <v>1</v>
      </c>
      <c r="G514" s="1">
        <v>28182.47</v>
      </c>
    </row>
    <row r="515" spans="1:7" x14ac:dyDescent="0.25">
      <c r="A515" s="111" t="str">
        <f t="shared" si="7"/>
        <v>JDH4-02-007-MA-2000</v>
      </c>
      <c r="B515" t="s">
        <v>861</v>
      </c>
      <c r="C515" t="s">
        <v>862</v>
      </c>
      <c r="D515" s="1">
        <v>0</v>
      </c>
      <c r="E515" s="3">
        <v>1</v>
      </c>
      <c r="F515" s="3">
        <v>1</v>
      </c>
      <c r="G515">
        <v>0</v>
      </c>
    </row>
    <row r="516" spans="1:7" x14ac:dyDescent="0.25">
      <c r="A516" s="111" t="str">
        <f t="shared" ref="A516:A579" si="8">TRIM(B516)</f>
        <v>JDH4-02-007-MA-2010</v>
      </c>
      <c r="B516" t="s">
        <v>863</v>
      </c>
      <c r="C516" t="s">
        <v>864</v>
      </c>
      <c r="D516" s="1">
        <v>28182.47</v>
      </c>
      <c r="E516" s="3">
        <v>1</v>
      </c>
      <c r="F516" s="3">
        <v>1</v>
      </c>
      <c r="G516" s="1">
        <v>28182.47</v>
      </c>
    </row>
    <row r="517" spans="1:7" x14ac:dyDescent="0.25">
      <c r="A517" s="111" t="str">
        <f t="shared" si="8"/>
        <v>Low-Voltage Electrical Power Conductors and Cables</v>
      </c>
      <c r="B517" t="s">
        <v>218</v>
      </c>
      <c r="D517" s="1">
        <v>28182.47</v>
      </c>
      <c r="E517" s="3"/>
      <c r="F517" s="3">
        <v>1</v>
      </c>
      <c r="G517" s="1">
        <v>28182.47</v>
      </c>
    </row>
    <row r="518" spans="1:7" x14ac:dyDescent="0.25">
      <c r="A518" s="111" t="str">
        <f t="shared" si="8"/>
        <v>JDH4-02-007-MA-2020</v>
      </c>
      <c r="B518" t="s">
        <v>865</v>
      </c>
      <c r="C518" t="s">
        <v>866</v>
      </c>
      <c r="D518" s="1">
        <v>0</v>
      </c>
      <c r="E518" s="3">
        <v>1</v>
      </c>
      <c r="F518" s="3">
        <v>1</v>
      </c>
      <c r="G518" s="1">
        <v>0</v>
      </c>
    </row>
    <row r="519" spans="1:7" x14ac:dyDescent="0.25">
      <c r="A519" s="111" t="str">
        <f t="shared" si="8"/>
        <v>JDH4-02-007-MA-2030</v>
      </c>
      <c r="B519" t="s">
        <v>867</v>
      </c>
      <c r="C519" t="s">
        <v>868</v>
      </c>
      <c r="D519" s="1">
        <v>28182.47</v>
      </c>
      <c r="E519" s="3">
        <v>1</v>
      </c>
      <c r="F519" s="3">
        <v>1</v>
      </c>
      <c r="G519" s="1">
        <v>28182.47</v>
      </c>
    </row>
    <row r="520" spans="1:7" x14ac:dyDescent="0.25">
      <c r="A520" s="111" t="str">
        <f t="shared" si="8"/>
        <v>Low Voltage Feeder Cable</v>
      </c>
      <c r="B520" t="s">
        <v>649</v>
      </c>
      <c r="D520" s="1">
        <v>28182.47</v>
      </c>
      <c r="E520" s="3"/>
      <c r="F520" s="3">
        <v>1</v>
      </c>
      <c r="G520" s="1">
        <v>28182.47</v>
      </c>
    </row>
    <row r="521" spans="1:7" x14ac:dyDescent="0.25">
      <c r="A521" s="111" t="str">
        <f t="shared" si="8"/>
        <v>JDH4-02-007-MA-1980</v>
      </c>
      <c r="B521" t="s">
        <v>869</v>
      </c>
      <c r="C521" t="s">
        <v>870</v>
      </c>
      <c r="D521" s="1">
        <v>0</v>
      </c>
      <c r="E521" s="3">
        <v>1</v>
      </c>
      <c r="F521" s="3">
        <v>1</v>
      </c>
      <c r="G521" s="1">
        <v>0</v>
      </c>
    </row>
    <row r="522" spans="1:7" x14ac:dyDescent="0.25">
      <c r="A522" s="111" t="str">
        <f t="shared" si="8"/>
        <v>JDH4-02-007-MA-1990</v>
      </c>
      <c r="B522" t="s">
        <v>871</v>
      </c>
      <c r="C522" t="s">
        <v>872</v>
      </c>
      <c r="D522" s="1">
        <v>28182.47</v>
      </c>
      <c r="E522" s="3">
        <v>1</v>
      </c>
      <c r="F522" s="3">
        <v>1</v>
      </c>
      <c r="G522" s="1">
        <v>28182.47</v>
      </c>
    </row>
    <row r="523" spans="1:7" x14ac:dyDescent="0.25">
      <c r="A523" s="111" t="str">
        <f t="shared" si="8"/>
        <v>Wiring Devices</v>
      </c>
      <c r="B523" t="s">
        <v>654</v>
      </c>
      <c r="D523" s="1">
        <v>28182.47</v>
      </c>
      <c r="E523" s="3"/>
      <c r="F523" s="3">
        <v>1</v>
      </c>
      <c r="G523" s="1">
        <v>28182.47</v>
      </c>
    </row>
    <row r="524" spans="1:7" x14ac:dyDescent="0.25">
      <c r="A524" s="111" t="str">
        <f t="shared" si="8"/>
        <v>JDH4-02-007-MA-1940</v>
      </c>
      <c r="B524" t="s">
        <v>873</v>
      </c>
      <c r="C524" t="s">
        <v>874</v>
      </c>
      <c r="D524" s="1">
        <v>0</v>
      </c>
      <c r="E524" s="3">
        <v>1</v>
      </c>
      <c r="F524" s="3">
        <v>1</v>
      </c>
      <c r="G524">
        <v>0</v>
      </c>
    </row>
    <row r="525" spans="1:7" x14ac:dyDescent="0.25">
      <c r="A525" s="111" t="str">
        <f t="shared" si="8"/>
        <v>JDH4-02-007-MA-1950</v>
      </c>
      <c r="B525" t="s">
        <v>875</v>
      </c>
      <c r="C525" t="s">
        <v>876</v>
      </c>
      <c r="D525" s="1">
        <v>28182.47</v>
      </c>
      <c r="E525" s="3">
        <v>1</v>
      </c>
      <c r="F525" s="3">
        <v>1</v>
      </c>
      <c r="G525" s="1">
        <v>28182.47</v>
      </c>
    </row>
    <row r="526" spans="1:7" x14ac:dyDescent="0.25">
      <c r="A526" s="111" t="str">
        <f t="shared" si="8"/>
        <v>Enclosed Switches and Circuit Breakers</v>
      </c>
      <c r="B526" t="s">
        <v>659</v>
      </c>
      <c r="D526" s="1">
        <v>28182.47</v>
      </c>
      <c r="E526" s="3"/>
      <c r="F526" s="3">
        <v>1</v>
      </c>
      <c r="G526" s="1">
        <v>28182.47</v>
      </c>
    </row>
    <row r="527" spans="1:7" x14ac:dyDescent="0.25">
      <c r="A527" s="111" t="str">
        <f t="shared" si="8"/>
        <v>JDH4-02-007-MA-1960</v>
      </c>
      <c r="B527" t="s">
        <v>877</v>
      </c>
      <c r="C527" t="s">
        <v>878</v>
      </c>
      <c r="D527" s="1">
        <v>0</v>
      </c>
      <c r="E527" s="3">
        <v>1</v>
      </c>
      <c r="F527" s="3">
        <v>1</v>
      </c>
      <c r="G527" s="1">
        <v>0</v>
      </c>
    </row>
    <row r="528" spans="1:7" x14ac:dyDescent="0.25">
      <c r="A528" s="111" t="str">
        <f t="shared" si="8"/>
        <v>JDH4-02-007-MA-1970</v>
      </c>
      <c r="B528" t="s">
        <v>879</v>
      </c>
      <c r="C528" t="s">
        <v>880</v>
      </c>
      <c r="D528" s="1">
        <v>28182.47</v>
      </c>
      <c r="E528" s="3">
        <v>1</v>
      </c>
      <c r="F528" s="3">
        <v>1</v>
      </c>
      <c r="G528" s="1">
        <v>28182.47</v>
      </c>
    </row>
    <row r="529" spans="1:7" x14ac:dyDescent="0.25">
      <c r="A529" s="111" t="str">
        <f t="shared" si="8"/>
        <v>Raceways for Electrical Systems</v>
      </c>
      <c r="B529" t="s">
        <v>664</v>
      </c>
      <c r="D529" s="1">
        <v>28182.47</v>
      </c>
      <c r="E529" s="3"/>
      <c r="F529" s="3">
        <v>1</v>
      </c>
      <c r="G529" s="1">
        <v>28182.47</v>
      </c>
    </row>
    <row r="530" spans="1:7" x14ac:dyDescent="0.25">
      <c r="A530" s="111" t="str">
        <f t="shared" si="8"/>
        <v>JDH4-02-007-MA-2100</v>
      </c>
      <c r="B530" t="s">
        <v>881</v>
      </c>
      <c r="C530" t="s">
        <v>882</v>
      </c>
      <c r="D530" s="1">
        <v>0</v>
      </c>
      <c r="E530" s="3">
        <v>1</v>
      </c>
      <c r="F530" s="3">
        <v>1</v>
      </c>
      <c r="G530">
        <v>0</v>
      </c>
    </row>
    <row r="531" spans="1:7" x14ac:dyDescent="0.25">
      <c r="A531" s="111" t="str">
        <f t="shared" si="8"/>
        <v>JDH4-02-007-MA-2110</v>
      </c>
      <c r="B531" t="s">
        <v>883</v>
      </c>
      <c r="C531" t="s">
        <v>884</v>
      </c>
      <c r="D531" s="1">
        <v>28182.47</v>
      </c>
      <c r="E531" s="3">
        <v>1</v>
      </c>
      <c r="F531" s="3">
        <v>1</v>
      </c>
      <c r="G531" s="1">
        <v>28182.47</v>
      </c>
    </row>
    <row r="532" spans="1:7" x14ac:dyDescent="0.25">
      <c r="A532" s="111" t="str">
        <f t="shared" si="8"/>
        <v>Electrical Manholes</v>
      </c>
      <c r="B532" t="s">
        <v>669</v>
      </c>
      <c r="D532" s="1">
        <v>28182.47</v>
      </c>
      <c r="E532" s="3"/>
      <c r="F532" s="3">
        <v>1</v>
      </c>
      <c r="G532" s="1">
        <v>28182.47</v>
      </c>
    </row>
    <row r="533" spans="1:7" x14ac:dyDescent="0.25">
      <c r="A533" s="111" t="str">
        <f t="shared" si="8"/>
        <v>JDH4-02-007-MA-2140</v>
      </c>
      <c r="B533" t="s">
        <v>885</v>
      </c>
      <c r="C533" t="s">
        <v>886</v>
      </c>
      <c r="D533" s="1">
        <v>0</v>
      </c>
      <c r="E533" s="3">
        <v>1</v>
      </c>
      <c r="F533" s="3">
        <v>1</v>
      </c>
      <c r="G533" s="1">
        <v>0</v>
      </c>
    </row>
    <row r="534" spans="1:7" x14ac:dyDescent="0.25">
      <c r="A534" s="111" t="str">
        <f t="shared" si="8"/>
        <v>JDH4-02-007-MA-2150</v>
      </c>
      <c r="B534" t="s">
        <v>887</v>
      </c>
      <c r="C534" t="s">
        <v>888</v>
      </c>
      <c r="D534" s="1">
        <v>28182.47</v>
      </c>
      <c r="E534" s="3">
        <v>1</v>
      </c>
      <c r="F534" s="3">
        <v>1</v>
      </c>
      <c r="G534" s="1">
        <v>28182.47</v>
      </c>
    </row>
    <row r="535" spans="1:7" x14ac:dyDescent="0.25">
      <c r="A535" s="111" t="str">
        <f t="shared" si="8"/>
        <v>Security System (CCTV System)</v>
      </c>
      <c r="B535" t="s">
        <v>674</v>
      </c>
      <c r="D535" s="1">
        <v>28182.47</v>
      </c>
      <c r="E535" s="3"/>
      <c r="F535" s="3">
        <v>1</v>
      </c>
      <c r="G535" s="1">
        <v>28182.47</v>
      </c>
    </row>
    <row r="536" spans="1:7" x14ac:dyDescent="0.25">
      <c r="A536" s="111" t="str">
        <f t="shared" si="8"/>
        <v>JDH4-02-007-MA-2080</v>
      </c>
      <c r="B536" t="s">
        <v>889</v>
      </c>
      <c r="C536" t="s">
        <v>890</v>
      </c>
      <c r="D536" s="1">
        <v>0</v>
      </c>
      <c r="E536" s="3">
        <v>1</v>
      </c>
      <c r="F536" s="3">
        <v>1</v>
      </c>
      <c r="G536" s="1">
        <v>0</v>
      </c>
    </row>
    <row r="537" spans="1:7" x14ac:dyDescent="0.25">
      <c r="A537" s="111" t="str">
        <f t="shared" si="8"/>
        <v>JDH4-02-007-MA-2090</v>
      </c>
      <c r="B537" t="s">
        <v>891</v>
      </c>
      <c r="C537" t="s">
        <v>892</v>
      </c>
      <c r="D537" s="1">
        <v>28182.47</v>
      </c>
      <c r="E537" s="3">
        <v>1</v>
      </c>
      <c r="F537" s="3">
        <v>1</v>
      </c>
      <c r="G537" s="1">
        <v>28182.47</v>
      </c>
    </row>
    <row r="538" spans="1:7" x14ac:dyDescent="0.25">
      <c r="A538" s="111" t="str">
        <f t="shared" si="8"/>
        <v>ICT (Data&amp; telephone System)</v>
      </c>
      <c r="B538" t="s">
        <v>679</v>
      </c>
      <c r="D538" s="1">
        <v>28182.47</v>
      </c>
      <c r="E538" s="3"/>
      <c r="F538" s="3">
        <v>1</v>
      </c>
      <c r="G538" s="1">
        <v>28182.47</v>
      </c>
    </row>
    <row r="539" spans="1:7" x14ac:dyDescent="0.25">
      <c r="A539" s="111" t="str">
        <f t="shared" si="8"/>
        <v>JDH4-02-007-MA-2120</v>
      </c>
      <c r="B539" t="s">
        <v>893</v>
      </c>
      <c r="C539" t="s">
        <v>894</v>
      </c>
      <c r="D539" s="1">
        <v>0</v>
      </c>
      <c r="E539" s="3">
        <v>1</v>
      </c>
      <c r="F539" s="3">
        <v>1</v>
      </c>
      <c r="G539" s="1">
        <v>0</v>
      </c>
    </row>
    <row r="540" spans="1:7" x14ac:dyDescent="0.25">
      <c r="A540" s="111" t="str">
        <f t="shared" si="8"/>
        <v>JDH4-02-007-MA-2130</v>
      </c>
      <c r="B540" t="s">
        <v>895</v>
      </c>
      <c r="C540" t="s">
        <v>896</v>
      </c>
      <c r="D540" s="1">
        <v>28182.47</v>
      </c>
      <c r="E540" s="3">
        <v>1</v>
      </c>
      <c r="F540" s="3">
        <v>1</v>
      </c>
      <c r="G540" s="1">
        <v>28182.47</v>
      </c>
    </row>
    <row r="541" spans="1:7" x14ac:dyDescent="0.25">
      <c r="A541" s="111" t="str">
        <f t="shared" si="8"/>
        <v>Programmable Logic Controllers</v>
      </c>
      <c r="B541" t="s">
        <v>684</v>
      </c>
      <c r="D541" s="1">
        <v>28182.47</v>
      </c>
      <c r="E541" s="3"/>
      <c r="F541" s="3">
        <v>1</v>
      </c>
      <c r="G541" s="1">
        <v>28182.47</v>
      </c>
    </row>
    <row r="542" spans="1:7" x14ac:dyDescent="0.25">
      <c r="A542" s="111" t="str">
        <f t="shared" si="8"/>
        <v>JDH4-02-007-MA-2200</v>
      </c>
      <c r="B542" t="s">
        <v>897</v>
      </c>
      <c r="C542" t="s">
        <v>898</v>
      </c>
      <c r="D542" s="1">
        <v>0</v>
      </c>
      <c r="E542" s="3">
        <v>1</v>
      </c>
      <c r="F542" s="3">
        <v>1</v>
      </c>
      <c r="G542" s="1">
        <v>0</v>
      </c>
    </row>
    <row r="543" spans="1:7" x14ac:dyDescent="0.25">
      <c r="A543" s="111" t="str">
        <f t="shared" si="8"/>
        <v>JDH4-02-007-MA-2210</v>
      </c>
      <c r="B543" t="s">
        <v>899</v>
      </c>
      <c r="C543" t="s">
        <v>900</v>
      </c>
      <c r="D543" s="1">
        <v>28182.47</v>
      </c>
      <c r="E543" s="3">
        <v>1</v>
      </c>
      <c r="F543" s="3">
        <v>1</v>
      </c>
      <c r="G543" s="1">
        <v>28182.47</v>
      </c>
    </row>
    <row r="544" spans="1:7" x14ac:dyDescent="0.25">
      <c r="A544" s="111" t="str">
        <f t="shared" si="8"/>
        <v>Process Control Wiring</v>
      </c>
      <c r="B544" t="s">
        <v>689</v>
      </c>
      <c r="D544" s="1">
        <v>28182.47</v>
      </c>
      <c r="E544" s="3"/>
      <c r="F544" s="3">
        <v>1</v>
      </c>
      <c r="G544" s="1">
        <v>28182.47</v>
      </c>
    </row>
    <row r="545" spans="1:7" x14ac:dyDescent="0.25">
      <c r="A545" s="111" t="str">
        <f t="shared" si="8"/>
        <v>JDH4-02-007-MA-2180</v>
      </c>
      <c r="B545" t="s">
        <v>901</v>
      </c>
      <c r="C545" t="s">
        <v>902</v>
      </c>
      <c r="D545" s="1">
        <v>0</v>
      </c>
      <c r="E545" s="3">
        <v>1</v>
      </c>
      <c r="F545" s="3">
        <v>1</v>
      </c>
      <c r="G545" s="1">
        <v>0</v>
      </c>
    </row>
    <row r="546" spans="1:7" x14ac:dyDescent="0.25">
      <c r="A546" s="111" t="str">
        <f t="shared" si="8"/>
        <v>JDH4-02-007-MA-2190</v>
      </c>
      <c r="B546" t="s">
        <v>903</v>
      </c>
      <c r="C546" t="s">
        <v>904</v>
      </c>
      <c r="D546" s="1">
        <v>28182.47</v>
      </c>
      <c r="E546" s="3">
        <v>1</v>
      </c>
      <c r="F546" s="3">
        <v>1</v>
      </c>
      <c r="G546" s="1">
        <v>28182.47</v>
      </c>
    </row>
    <row r="547" spans="1:7" x14ac:dyDescent="0.25">
      <c r="A547" s="111" t="str">
        <f t="shared" si="8"/>
        <v>Instrumentation for Process Systems</v>
      </c>
      <c r="B547" t="s">
        <v>694</v>
      </c>
      <c r="D547" s="1">
        <v>28182.47</v>
      </c>
      <c r="E547" s="3"/>
      <c r="F547" s="3">
        <v>1</v>
      </c>
      <c r="G547" s="1">
        <v>28182.47</v>
      </c>
    </row>
    <row r="548" spans="1:7" x14ac:dyDescent="0.25">
      <c r="A548" s="111" t="str">
        <f t="shared" si="8"/>
        <v>JDH4-02-007-MA-2160</v>
      </c>
      <c r="B548" t="s">
        <v>905</v>
      </c>
      <c r="C548" t="s">
        <v>906</v>
      </c>
      <c r="D548" s="1">
        <v>0</v>
      </c>
      <c r="E548" s="3">
        <v>1</v>
      </c>
      <c r="F548" s="3">
        <v>1</v>
      </c>
      <c r="G548" s="1">
        <v>0</v>
      </c>
    </row>
    <row r="549" spans="1:7" x14ac:dyDescent="0.25">
      <c r="A549" s="111" t="str">
        <f t="shared" si="8"/>
        <v>JDH4-02-007-MA-2170</v>
      </c>
      <c r="B549" t="s">
        <v>907</v>
      </c>
      <c r="C549" t="s">
        <v>908</v>
      </c>
      <c r="D549" s="1">
        <v>28182.47</v>
      </c>
      <c r="E549" s="3">
        <v>1</v>
      </c>
      <c r="F549" s="3">
        <v>1</v>
      </c>
      <c r="G549" s="1">
        <v>28182.47</v>
      </c>
    </row>
    <row r="550" spans="1:7" x14ac:dyDescent="0.25">
      <c r="A550" s="111" t="str">
        <f t="shared" si="8"/>
        <v>Procurement</v>
      </c>
      <c r="B550" t="s">
        <v>909</v>
      </c>
      <c r="D550" s="1">
        <v>11460869.58</v>
      </c>
      <c r="E550" s="3"/>
      <c r="F550" s="3">
        <v>1</v>
      </c>
      <c r="G550" s="1">
        <v>11460869.58</v>
      </c>
    </row>
    <row r="551" spans="1:7" x14ac:dyDescent="0.25">
      <c r="A551" s="111" t="str">
        <f t="shared" si="8"/>
        <v>Short Lead Item</v>
      </c>
      <c r="B551" t="s">
        <v>160</v>
      </c>
      <c r="D551" s="1">
        <v>5193206.43</v>
      </c>
      <c r="E551" s="3"/>
      <c r="F551" s="3">
        <v>1</v>
      </c>
      <c r="G551" s="1">
        <v>5193206.43</v>
      </c>
    </row>
    <row r="552" spans="1:7" x14ac:dyDescent="0.25">
      <c r="A552" s="111" t="str">
        <f t="shared" si="8"/>
        <v>Road Works - Civil</v>
      </c>
      <c r="B552" t="s">
        <v>161</v>
      </c>
      <c r="D552" s="1">
        <v>1611684.79</v>
      </c>
      <c r="F552" s="3">
        <v>1</v>
      </c>
      <c r="G552" s="1">
        <v>1611684.79</v>
      </c>
    </row>
    <row r="553" spans="1:7" x14ac:dyDescent="0.25">
      <c r="A553" s="111" t="str">
        <f t="shared" si="8"/>
        <v>Steel Reinforcement</v>
      </c>
      <c r="B553" t="s">
        <v>162</v>
      </c>
      <c r="D553" s="1">
        <v>179076.06</v>
      </c>
      <c r="E553" s="3"/>
      <c r="F553" s="3">
        <v>1</v>
      </c>
      <c r="G553" s="1">
        <v>179076.06</v>
      </c>
    </row>
    <row r="554" spans="1:7" x14ac:dyDescent="0.25">
      <c r="A554" s="111" t="str">
        <f t="shared" si="8"/>
        <v>JDH4-02-007-PR-1300</v>
      </c>
      <c r="B554" t="s">
        <v>910</v>
      </c>
      <c r="C554" t="s">
        <v>163</v>
      </c>
      <c r="D554" s="1">
        <v>0</v>
      </c>
      <c r="E554" s="3">
        <v>1</v>
      </c>
      <c r="F554" s="3">
        <v>1</v>
      </c>
      <c r="G554">
        <v>0</v>
      </c>
    </row>
    <row r="555" spans="1:7" x14ac:dyDescent="0.25">
      <c r="A555" s="111" t="str">
        <f t="shared" si="8"/>
        <v>JDH4-02-007-PR-1310</v>
      </c>
      <c r="B555" t="s">
        <v>911</v>
      </c>
      <c r="C555" t="s">
        <v>164</v>
      </c>
      <c r="D555" s="1">
        <v>0</v>
      </c>
      <c r="E555" s="3">
        <v>1</v>
      </c>
      <c r="F555" s="3">
        <v>1</v>
      </c>
      <c r="G555" s="1">
        <v>0</v>
      </c>
    </row>
    <row r="556" spans="1:7" x14ac:dyDescent="0.25">
      <c r="A556" s="111" t="str">
        <f t="shared" si="8"/>
        <v>JDH4-02-007-PR-1319</v>
      </c>
      <c r="B556" t="s">
        <v>912</v>
      </c>
      <c r="C556" t="s">
        <v>4016</v>
      </c>
      <c r="D556" s="1">
        <v>35815.22</v>
      </c>
      <c r="E556" s="3">
        <v>1</v>
      </c>
      <c r="F556" s="3">
        <v>1</v>
      </c>
      <c r="G556" s="1">
        <v>35815.22</v>
      </c>
    </row>
    <row r="557" spans="1:7" x14ac:dyDescent="0.25">
      <c r="A557" s="111" t="str">
        <f t="shared" si="8"/>
        <v>JDH4-02-007-PR-1319R</v>
      </c>
      <c r="B557" t="s">
        <v>4017</v>
      </c>
      <c r="C557" t="s">
        <v>913</v>
      </c>
      <c r="D557" s="1">
        <v>53722.79</v>
      </c>
      <c r="E557" s="3">
        <v>1</v>
      </c>
      <c r="F557" s="3">
        <v>1</v>
      </c>
      <c r="G557" s="1">
        <v>53722.79</v>
      </c>
    </row>
    <row r="558" spans="1:7" x14ac:dyDescent="0.25">
      <c r="A558" s="111" t="str">
        <f t="shared" si="8"/>
        <v>JDH4-02-007-PR-1320</v>
      </c>
      <c r="B558" t="s">
        <v>914</v>
      </c>
      <c r="C558" t="s">
        <v>915</v>
      </c>
      <c r="D558" s="1">
        <v>89538.05</v>
      </c>
      <c r="E558" s="3">
        <v>1</v>
      </c>
      <c r="F558" s="3">
        <v>1</v>
      </c>
      <c r="G558" s="1">
        <v>89538.05</v>
      </c>
    </row>
    <row r="559" spans="1:7" x14ac:dyDescent="0.25">
      <c r="A559" s="111" t="str">
        <f t="shared" si="8"/>
        <v>Ready Mixed Concrete</v>
      </c>
      <c r="B559" t="s">
        <v>165</v>
      </c>
      <c r="D559" s="1">
        <v>179076.09</v>
      </c>
      <c r="E559" s="3"/>
      <c r="F559" s="3">
        <v>1</v>
      </c>
      <c r="G559" s="1">
        <v>179076.09</v>
      </c>
    </row>
    <row r="560" spans="1:7" x14ac:dyDescent="0.25">
      <c r="A560" s="111" t="str">
        <f t="shared" si="8"/>
        <v>JDH4-02-007-PR-1330</v>
      </c>
      <c r="B560" t="s">
        <v>916</v>
      </c>
      <c r="C560" t="s">
        <v>166</v>
      </c>
      <c r="D560" s="1">
        <v>0</v>
      </c>
      <c r="E560" s="3">
        <v>1</v>
      </c>
      <c r="F560" s="3">
        <v>1</v>
      </c>
      <c r="G560">
        <v>0</v>
      </c>
    </row>
    <row r="561" spans="1:7" x14ac:dyDescent="0.25">
      <c r="A561" s="111" t="str">
        <f t="shared" si="8"/>
        <v>JDH4-02-007-PR-1340</v>
      </c>
      <c r="B561" t="s">
        <v>917</v>
      </c>
      <c r="C561" t="s">
        <v>167</v>
      </c>
      <c r="D561" s="1">
        <v>179076.09</v>
      </c>
      <c r="E561" s="3">
        <v>1</v>
      </c>
      <c r="F561" s="3">
        <v>1</v>
      </c>
      <c r="G561" s="1">
        <v>179076.09</v>
      </c>
    </row>
    <row r="562" spans="1:7" x14ac:dyDescent="0.25">
      <c r="A562" s="111" t="str">
        <f t="shared" si="8"/>
        <v>Water Proofing</v>
      </c>
      <c r="B562" t="s">
        <v>168</v>
      </c>
      <c r="D562" s="1">
        <v>179076.09</v>
      </c>
      <c r="E562" s="3"/>
      <c r="F562" s="3">
        <v>1</v>
      </c>
      <c r="G562" s="1">
        <v>179076.09</v>
      </c>
    </row>
    <row r="563" spans="1:7" x14ac:dyDescent="0.25">
      <c r="A563" s="111" t="str">
        <f t="shared" si="8"/>
        <v>JDH4-02-007-PR-1350</v>
      </c>
      <c r="B563" t="s">
        <v>918</v>
      </c>
      <c r="C563" t="s">
        <v>169</v>
      </c>
      <c r="D563" s="1">
        <v>0</v>
      </c>
      <c r="E563" s="3">
        <v>1</v>
      </c>
      <c r="F563" s="3">
        <v>1</v>
      </c>
      <c r="G563">
        <v>0</v>
      </c>
    </row>
    <row r="564" spans="1:7" x14ac:dyDescent="0.25">
      <c r="A564" s="111" t="str">
        <f t="shared" si="8"/>
        <v>JDH4-02-007-PR-1360</v>
      </c>
      <c r="B564" t="s">
        <v>919</v>
      </c>
      <c r="C564" t="s">
        <v>920</v>
      </c>
      <c r="D564" s="1">
        <v>0</v>
      </c>
      <c r="E564" s="3">
        <v>1</v>
      </c>
      <c r="F564" s="3">
        <v>1</v>
      </c>
      <c r="G564">
        <v>0</v>
      </c>
    </row>
    <row r="565" spans="1:7" x14ac:dyDescent="0.25">
      <c r="A565" s="111" t="str">
        <f t="shared" si="8"/>
        <v>JDH4-02-007-PR-1370</v>
      </c>
      <c r="B565" t="s">
        <v>921</v>
      </c>
      <c r="C565" t="s">
        <v>170</v>
      </c>
      <c r="D565" s="1">
        <v>179076.09</v>
      </c>
      <c r="E565" s="3">
        <v>1</v>
      </c>
      <c r="F565" s="3">
        <v>1</v>
      </c>
      <c r="G565" s="1">
        <v>179076.09</v>
      </c>
    </row>
    <row r="566" spans="1:7" x14ac:dyDescent="0.25">
      <c r="A566" s="111" t="str">
        <f t="shared" si="8"/>
        <v>Aggregate Base Course</v>
      </c>
      <c r="B566" t="s">
        <v>171</v>
      </c>
      <c r="D566" s="1">
        <v>179076.1</v>
      </c>
      <c r="E566" s="3"/>
      <c r="F566" s="3">
        <v>1</v>
      </c>
      <c r="G566" s="1">
        <v>179076.1</v>
      </c>
    </row>
    <row r="567" spans="1:7" x14ac:dyDescent="0.25">
      <c r="A567" s="111" t="str">
        <f t="shared" si="8"/>
        <v>JDH4-02-007-PR-1380</v>
      </c>
      <c r="B567" t="s">
        <v>922</v>
      </c>
      <c r="C567" t="s">
        <v>923</v>
      </c>
      <c r="D567" s="1">
        <v>0</v>
      </c>
      <c r="E567" s="3">
        <v>1</v>
      </c>
      <c r="F567" s="3">
        <v>1</v>
      </c>
      <c r="G567">
        <v>0</v>
      </c>
    </row>
    <row r="568" spans="1:7" x14ac:dyDescent="0.25">
      <c r="A568" s="111" t="str">
        <f t="shared" si="8"/>
        <v>JDH4-02-007-PR-1389</v>
      </c>
      <c r="B568" t="s">
        <v>924</v>
      </c>
      <c r="C568" t="s">
        <v>925</v>
      </c>
      <c r="D568" s="1">
        <v>89538.05</v>
      </c>
      <c r="E568" s="3">
        <v>1</v>
      </c>
      <c r="F568" s="3">
        <v>1</v>
      </c>
      <c r="G568" s="1">
        <v>89538.05</v>
      </c>
    </row>
    <row r="569" spans="1:7" x14ac:dyDescent="0.25">
      <c r="A569" s="111" t="str">
        <f t="shared" si="8"/>
        <v>JDH4-02-007-PR-1390</v>
      </c>
      <c r="B569" t="s">
        <v>926</v>
      </c>
      <c r="C569" t="s">
        <v>927</v>
      </c>
      <c r="D569" s="1">
        <v>89538.05</v>
      </c>
      <c r="E569" s="3">
        <v>1</v>
      </c>
      <c r="F569" s="3">
        <v>1</v>
      </c>
      <c r="G569" s="1">
        <v>89538.05</v>
      </c>
    </row>
    <row r="570" spans="1:7" x14ac:dyDescent="0.25">
      <c r="A570" s="111" t="str">
        <f t="shared" si="8"/>
        <v>Bituminous Base &amp; Wearing Course</v>
      </c>
      <c r="B570" t="s">
        <v>172</v>
      </c>
      <c r="D570" s="1">
        <v>179076.09</v>
      </c>
      <c r="E570" s="3"/>
      <c r="F570" s="3">
        <v>1</v>
      </c>
      <c r="G570" s="1">
        <v>179076.09</v>
      </c>
    </row>
    <row r="571" spans="1:7" x14ac:dyDescent="0.25">
      <c r="A571" s="111" t="str">
        <f t="shared" si="8"/>
        <v>JDH4-02-007-PR-1400</v>
      </c>
      <c r="B571" t="s">
        <v>928</v>
      </c>
      <c r="C571" t="s">
        <v>173</v>
      </c>
      <c r="D571" s="1">
        <v>0</v>
      </c>
      <c r="E571" s="3">
        <v>1</v>
      </c>
      <c r="F571" s="3">
        <v>1</v>
      </c>
      <c r="G571">
        <v>0</v>
      </c>
    </row>
    <row r="572" spans="1:7" x14ac:dyDescent="0.25">
      <c r="A572" s="111" t="str">
        <f t="shared" si="8"/>
        <v>JDH4-02-007-PR-1410</v>
      </c>
      <c r="B572" t="s">
        <v>929</v>
      </c>
      <c r="C572" t="s">
        <v>174</v>
      </c>
      <c r="D572" s="1">
        <v>179076.09</v>
      </c>
      <c r="E572" s="3">
        <v>1</v>
      </c>
      <c r="F572" s="3">
        <v>1</v>
      </c>
      <c r="G572" s="1">
        <v>179076.09</v>
      </c>
    </row>
    <row r="573" spans="1:7" x14ac:dyDescent="0.25">
      <c r="A573" s="111" t="str">
        <f t="shared" si="8"/>
        <v>Precast Concrete Kerb</v>
      </c>
      <c r="B573" t="s">
        <v>175</v>
      </c>
      <c r="D573" s="1">
        <v>179076.09</v>
      </c>
      <c r="E573" s="3"/>
      <c r="F573" s="3">
        <v>1</v>
      </c>
      <c r="G573" s="1">
        <v>179076.09</v>
      </c>
    </row>
    <row r="574" spans="1:7" x14ac:dyDescent="0.25">
      <c r="A574" s="111" t="str">
        <f t="shared" si="8"/>
        <v>JDH4-02-007-PR-1420</v>
      </c>
      <c r="B574" t="s">
        <v>930</v>
      </c>
      <c r="C574" t="s">
        <v>176</v>
      </c>
      <c r="D574" s="1">
        <v>0</v>
      </c>
      <c r="E574" s="3">
        <v>1</v>
      </c>
      <c r="F574" s="2">
        <v>1</v>
      </c>
      <c r="G574">
        <v>0</v>
      </c>
    </row>
    <row r="575" spans="1:7" x14ac:dyDescent="0.25">
      <c r="A575" s="111" t="str">
        <f t="shared" si="8"/>
        <v>JDH4-02-007-PR-1430</v>
      </c>
      <c r="B575" t="s">
        <v>931</v>
      </c>
      <c r="C575" t="s">
        <v>177</v>
      </c>
      <c r="D575" s="1">
        <v>0</v>
      </c>
      <c r="E575" s="3">
        <v>1</v>
      </c>
      <c r="F575" s="3">
        <v>1</v>
      </c>
      <c r="G575">
        <v>0</v>
      </c>
    </row>
    <row r="576" spans="1:7" x14ac:dyDescent="0.25">
      <c r="A576" s="111" t="str">
        <f t="shared" si="8"/>
        <v>JDH4-02-007-PR-1440</v>
      </c>
      <c r="B576" t="s">
        <v>932</v>
      </c>
      <c r="C576" t="s">
        <v>178</v>
      </c>
      <c r="D576" s="1">
        <v>179076.09</v>
      </c>
      <c r="E576" s="3">
        <v>1</v>
      </c>
      <c r="F576" s="3">
        <v>1</v>
      </c>
      <c r="G576" s="1">
        <v>179076.09</v>
      </c>
    </row>
    <row r="577" spans="1:7" x14ac:dyDescent="0.25">
      <c r="A577" s="111" t="str">
        <f t="shared" si="8"/>
        <v>Interlocking Block Pavers</v>
      </c>
      <c r="B577" t="s">
        <v>179</v>
      </c>
      <c r="D577" s="1">
        <v>179076.09</v>
      </c>
      <c r="E577" s="3"/>
      <c r="F577" s="3">
        <v>1</v>
      </c>
      <c r="G577" s="1">
        <v>179076.09</v>
      </c>
    </row>
    <row r="578" spans="1:7" x14ac:dyDescent="0.25">
      <c r="A578" s="111" t="str">
        <f t="shared" si="8"/>
        <v>JDH4-02-007-PR-1450</v>
      </c>
      <c r="B578" t="s">
        <v>933</v>
      </c>
      <c r="C578" t="s">
        <v>180</v>
      </c>
      <c r="D578" s="1">
        <v>0</v>
      </c>
      <c r="E578" s="3">
        <v>1</v>
      </c>
      <c r="F578" s="3">
        <v>1</v>
      </c>
      <c r="G578">
        <v>0</v>
      </c>
    </row>
    <row r="579" spans="1:7" x14ac:dyDescent="0.25">
      <c r="A579" s="111" t="str">
        <f t="shared" si="8"/>
        <v>JDH4-02-007-PR-1460</v>
      </c>
      <c r="B579" t="s">
        <v>934</v>
      </c>
      <c r="C579" t="s">
        <v>181</v>
      </c>
      <c r="D579" s="1">
        <v>0</v>
      </c>
      <c r="E579" s="3">
        <v>1</v>
      </c>
      <c r="F579" s="3">
        <v>1</v>
      </c>
      <c r="G579">
        <v>0</v>
      </c>
    </row>
    <row r="580" spans="1:7" x14ac:dyDescent="0.25">
      <c r="A580" s="111" t="str">
        <f t="shared" ref="A580:A643" si="9">TRIM(B580)</f>
        <v>JDH4-02-007-PR-1470</v>
      </c>
      <c r="B580" t="s">
        <v>935</v>
      </c>
      <c r="C580" t="s">
        <v>182</v>
      </c>
      <c r="D580" s="1">
        <v>179076.09</v>
      </c>
      <c r="E580" s="3">
        <v>1</v>
      </c>
      <c r="F580" s="3">
        <v>1</v>
      </c>
      <c r="G580" s="1">
        <v>179076.09</v>
      </c>
    </row>
    <row r="581" spans="1:7" x14ac:dyDescent="0.25">
      <c r="A581" s="111" t="str">
        <f t="shared" si="9"/>
        <v>Pavement Markings</v>
      </c>
      <c r="B581" t="s">
        <v>183</v>
      </c>
      <c r="D581" s="1">
        <v>179076.09</v>
      </c>
      <c r="E581" s="3"/>
      <c r="F581" s="3">
        <v>1</v>
      </c>
      <c r="G581" s="1">
        <v>179076.09</v>
      </c>
    </row>
    <row r="582" spans="1:7" x14ac:dyDescent="0.25">
      <c r="A582" s="111" t="str">
        <f t="shared" si="9"/>
        <v>JDH4-02-007-PR-1480</v>
      </c>
      <c r="B582" t="s">
        <v>936</v>
      </c>
      <c r="C582" t="s">
        <v>184</v>
      </c>
      <c r="D582" s="1">
        <v>0</v>
      </c>
      <c r="E582" s="3">
        <v>1</v>
      </c>
      <c r="F582" s="3">
        <v>1</v>
      </c>
      <c r="G582">
        <v>0</v>
      </c>
    </row>
    <row r="583" spans="1:7" x14ac:dyDescent="0.25">
      <c r="A583" s="111" t="str">
        <f t="shared" si="9"/>
        <v>JDH4-02-007-PR-1500</v>
      </c>
      <c r="B583" t="s">
        <v>939</v>
      </c>
      <c r="C583" t="s">
        <v>185</v>
      </c>
      <c r="D583" s="1">
        <v>179076.09</v>
      </c>
      <c r="E583" s="3">
        <v>1</v>
      </c>
      <c r="F583" s="3">
        <v>1</v>
      </c>
      <c r="G583" s="1">
        <v>179076.09</v>
      </c>
    </row>
    <row r="584" spans="1:7" x14ac:dyDescent="0.25">
      <c r="A584" s="111" t="str">
        <f t="shared" si="9"/>
        <v>JDH4-02-007-PR-1490</v>
      </c>
      <c r="B584" t="s">
        <v>937</v>
      </c>
      <c r="C584" t="s">
        <v>938</v>
      </c>
      <c r="D584" s="1">
        <v>0</v>
      </c>
      <c r="E584" s="3">
        <v>1</v>
      </c>
      <c r="F584" s="3">
        <v>1</v>
      </c>
      <c r="G584">
        <v>0</v>
      </c>
    </row>
    <row r="585" spans="1:7" x14ac:dyDescent="0.25">
      <c r="A585" s="111" t="str">
        <f t="shared" si="9"/>
        <v>Traffic Signs</v>
      </c>
      <c r="B585" t="s">
        <v>186</v>
      </c>
      <c r="D585" s="1">
        <v>179076.09</v>
      </c>
      <c r="E585" s="3"/>
      <c r="F585" s="3">
        <v>1</v>
      </c>
      <c r="G585" s="1">
        <v>179076.09</v>
      </c>
    </row>
    <row r="586" spans="1:7" x14ac:dyDescent="0.25">
      <c r="A586" s="111" t="str">
        <f t="shared" si="9"/>
        <v>JDH4-02-007-PR-1510</v>
      </c>
      <c r="B586" t="s">
        <v>940</v>
      </c>
      <c r="C586" t="s">
        <v>187</v>
      </c>
      <c r="D586" s="1">
        <v>0</v>
      </c>
      <c r="E586" s="3">
        <v>1</v>
      </c>
      <c r="F586" s="3">
        <v>1</v>
      </c>
      <c r="G586">
        <v>0</v>
      </c>
    </row>
    <row r="587" spans="1:7" x14ac:dyDescent="0.25">
      <c r="A587" s="111" t="str">
        <f t="shared" si="9"/>
        <v>JDH4-02-007-PR-1520</v>
      </c>
      <c r="B587" t="s">
        <v>941</v>
      </c>
      <c r="C587" t="s">
        <v>188</v>
      </c>
      <c r="D587" s="1">
        <v>0</v>
      </c>
      <c r="E587" s="3">
        <v>1</v>
      </c>
      <c r="F587" s="3">
        <v>1</v>
      </c>
      <c r="G587" s="1">
        <v>0</v>
      </c>
    </row>
    <row r="588" spans="1:7" x14ac:dyDescent="0.25">
      <c r="A588" s="111" t="str">
        <f t="shared" si="9"/>
        <v>JDH4-02-007-PR-1530</v>
      </c>
      <c r="B588" t="s">
        <v>942</v>
      </c>
      <c r="C588" t="s">
        <v>189</v>
      </c>
      <c r="D588" s="1">
        <v>179076.09</v>
      </c>
      <c r="E588" s="3">
        <v>1</v>
      </c>
      <c r="F588" s="3">
        <v>1</v>
      </c>
      <c r="G588" s="1">
        <v>179076.09</v>
      </c>
    </row>
    <row r="589" spans="1:7" x14ac:dyDescent="0.25">
      <c r="A589" s="111" t="str">
        <f t="shared" si="9"/>
        <v>Stormwater Utilities</v>
      </c>
      <c r="B589" t="s">
        <v>943</v>
      </c>
      <c r="D589" s="1">
        <v>716304.35</v>
      </c>
      <c r="E589" s="3"/>
      <c r="F589" s="3">
        <v>1</v>
      </c>
      <c r="G589" s="1">
        <v>716304.35</v>
      </c>
    </row>
    <row r="590" spans="1:7" x14ac:dyDescent="0.25">
      <c r="A590" s="111" t="str">
        <f t="shared" si="9"/>
        <v>Catch Basins</v>
      </c>
      <c r="B590" t="s">
        <v>944</v>
      </c>
      <c r="D590" s="1">
        <v>179076.09</v>
      </c>
      <c r="E590" s="3"/>
      <c r="F590" s="3">
        <v>1</v>
      </c>
      <c r="G590" s="1">
        <v>179076.09</v>
      </c>
    </row>
    <row r="591" spans="1:7" x14ac:dyDescent="0.25">
      <c r="A591" s="111" t="str">
        <f t="shared" si="9"/>
        <v>JDH4-02-007-PR-1720</v>
      </c>
      <c r="B591" t="s">
        <v>945</v>
      </c>
      <c r="C591" t="s">
        <v>946</v>
      </c>
      <c r="D591" s="1">
        <v>0</v>
      </c>
      <c r="E591" s="3">
        <v>1</v>
      </c>
      <c r="F591" s="3">
        <v>1</v>
      </c>
      <c r="G591" s="1">
        <v>0</v>
      </c>
    </row>
    <row r="592" spans="1:7" x14ac:dyDescent="0.25">
      <c r="A592" s="111" t="str">
        <f t="shared" si="9"/>
        <v>JDH4-02-007-PR-1729</v>
      </c>
      <c r="B592" t="s">
        <v>947</v>
      </c>
      <c r="C592" t="s">
        <v>948</v>
      </c>
      <c r="D592" s="1">
        <v>0</v>
      </c>
      <c r="E592" s="3">
        <v>1</v>
      </c>
      <c r="F592" s="3">
        <v>1</v>
      </c>
      <c r="G592">
        <v>0</v>
      </c>
    </row>
    <row r="593" spans="1:7" x14ac:dyDescent="0.25">
      <c r="A593" s="111" t="str">
        <f t="shared" si="9"/>
        <v>JDH4-02-007-PR-1740</v>
      </c>
      <c r="B593" t="s">
        <v>951</v>
      </c>
      <c r="C593" t="s">
        <v>4018</v>
      </c>
      <c r="D593" s="1">
        <v>53722.83</v>
      </c>
      <c r="E593" s="3">
        <v>1</v>
      </c>
      <c r="F593" s="3">
        <v>1</v>
      </c>
      <c r="G593" s="1">
        <v>53722.83</v>
      </c>
    </row>
    <row r="594" spans="1:7" x14ac:dyDescent="0.25">
      <c r="A594" s="111" t="str">
        <f t="shared" si="9"/>
        <v>JDH4-02-007-PR-1740R</v>
      </c>
      <c r="B594" t="s">
        <v>4019</v>
      </c>
      <c r="C594" t="s">
        <v>952</v>
      </c>
      <c r="D594" s="1">
        <v>125353.26</v>
      </c>
      <c r="E594" s="3">
        <v>1</v>
      </c>
      <c r="F594" s="3">
        <v>1</v>
      </c>
      <c r="G594" s="1">
        <v>125353.26</v>
      </c>
    </row>
    <row r="595" spans="1:7" x14ac:dyDescent="0.25">
      <c r="A595" s="111" t="str">
        <f t="shared" si="9"/>
        <v>JDH4-02-007-PR-1729R</v>
      </c>
      <c r="B595" t="s">
        <v>4020</v>
      </c>
      <c r="C595" t="s">
        <v>948</v>
      </c>
      <c r="D595" s="1">
        <v>0</v>
      </c>
      <c r="E595" s="3">
        <v>1</v>
      </c>
      <c r="F595" s="3">
        <v>1</v>
      </c>
      <c r="G595" s="1">
        <v>0</v>
      </c>
    </row>
    <row r="596" spans="1:7" x14ac:dyDescent="0.25">
      <c r="A596" s="111" t="str">
        <f t="shared" si="9"/>
        <v>JDH4-02-007-PR-1730</v>
      </c>
      <c r="B596" t="s">
        <v>949</v>
      </c>
      <c r="C596" t="s">
        <v>950</v>
      </c>
      <c r="D596" s="1">
        <v>0</v>
      </c>
      <c r="E596" s="3">
        <v>1</v>
      </c>
      <c r="F596" s="3">
        <v>1</v>
      </c>
      <c r="G596" s="1">
        <v>0</v>
      </c>
    </row>
    <row r="597" spans="1:7" x14ac:dyDescent="0.25">
      <c r="A597" s="111" t="str">
        <f t="shared" si="9"/>
        <v>JDH4-02-007-PR-1830</v>
      </c>
      <c r="B597" t="s">
        <v>953</v>
      </c>
      <c r="C597" t="s">
        <v>954</v>
      </c>
      <c r="D597" s="1">
        <v>0</v>
      </c>
      <c r="E597" s="3">
        <v>1</v>
      </c>
      <c r="F597" s="3">
        <v>1</v>
      </c>
      <c r="G597" s="1">
        <v>0</v>
      </c>
    </row>
    <row r="598" spans="1:7" x14ac:dyDescent="0.25">
      <c r="A598" s="111" t="str">
        <f t="shared" si="9"/>
        <v>GRP Pipes</v>
      </c>
      <c r="B598" t="s">
        <v>217</v>
      </c>
      <c r="D598" s="1">
        <v>358152.18</v>
      </c>
      <c r="E598" s="3"/>
      <c r="F598" s="3">
        <v>1</v>
      </c>
      <c r="G598" s="1">
        <v>358152.18</v>
      </c>
    </row>
    <row r="599" spans="1:7" x14ac:dyDescent="0.25">
      <c r="A599" s="111" t="str">
        <f t="shared" si="9"/>
        <v>JDH4-02-007-PR-1660</v>
      </c>
      <c r="B599" t="s">
        <v>955</v>
      </c>
      <c r="C599" t="s">
        <v>956</v>
      </c>
      <c r="D599">
        <v>0</v>
      </c>
      <c r="E599" s="3">
        <v>1</v>
      </c>
      <c r="F599" s="3">
        <v>1</v>
      </c>
      <c r="G599">
        <v>0</v>
      </c>
    </row>
    <row r="600" spans="1:7" x14ac:dyDescent="0.25">
      <c r="A600" s="111" t="str">
        <f t="shared" si="9"/>
        <v>JDH4-02-007-PR-1670</v>
      </c>
      <c r="B600" t="s">
        <v>957</v>
      </c>
      <c r="C600" t="s">
        <v>958</v>
      </c>
      <c r="D600">
        <v>0</v>
      </c>
      <c r="E600" s="3">
        <v>1</v>
      </c>
      <c r="F600" s="3">
        <v>1</v>
      </c>
      <c r="G600">
        <v>0</v>
      </c>
    </row>
    <row r="601" spans="1:7" x14ac:dyDescent="0.25">
      <c r="A601" s="111" t="str">
        <f t="shared" si="9"/>
        <v>JDH4-02-007-PR-1680</v>
      </c>
      <c r="B601" t="s">
        <v>959</v>
      </c>
      <c r="C601" t="s">
        <v>4021</v>
      </c>
      <c r="D601" s="1">
        <v>196983.7</v>
      </c>
      <c r="E601" s="3">
        <v>1</v>
      </c>
      <c r="F601" s="3">
        <v>1</v>
      </c>
      <c r="G601" s="1">
        <v>196983.7</v>
      </c>
    </row>
    <row r="602" spans="1:7" x14ac:dyDescent="0.25">
      <c r="A602" s="111" t="str">
        <f t="shared" si="9"/>
        <v>JDH4-02-007-PR-1670R</v>
      </c>
      <c r="B602" t="s">
        <v>4022</v>
      </c>
      <c r="C602" t="s">
        <v>958</v>
      </c>
      <c r="D602" s="1">
        <v>0</v>
      </c>
      <c r="E602" s="3">
        <v>1</v>
      </c>
      <c r="F602" s="3">
        <v>1</v>
      </c>
      <c r="G602" s="1">
        <v>0</v>
      </c>
    </row>
    <row r="603" spans="1:7" x14ac:dyDescent="0.25">
      <c r="A603" s="111" t="str">
        <f t="shared" si="9"/>
        <v>JDH4-02-007-PR-1680R</v>
      </c>
      <c r="B603" t="s">
        <v>4023</v>
      </c>
      <c r="C603" t="s">
        <v>960</v>
      </c>
      <c r="D603" s="1">
        <v>161168.48000000001</v>
      </c>
      <c r="E603" s="3">
        <v>1</v>
      </c>
      <c r="F603" s="3">
        <v>1</v>
      </c>
      <c r="G603" s="1">
        <v>161168.48000000001</v>
      </c>
    </row>
    <row r="604" spans="1:7" x14ac:dyDescent="0.25">
      <c r="A604" s="111" t="str">
        <f t="shared" si="9"/>
        <v>Inlet Manholes</v>
      </c>
      <c r="B604" t="s">
        <v>961</v>
      </c>
      <c r="D604" s="1">
        <v>179076.09</v>
      </c>
      <c r="E604" s="3"/>
      <c r="F604" s="3">
        <v>1</v>
      </c>
      <c r="G604" s="1">
        <v>179076.09</v>
      </c>
    </row>
    <row r="605" spans="1:7" x14ac:dyDescent="0.25">
      <c r="A605" s="111" t="str">
        <f t="shared" si="9"/>
        <v>JDH4-02-007-PR-1690</v>
      </c>
      <c r="B605" t="s">
        <v>962</v>
      </c>
      <c r="C605" t="s">
        <v>963</v>
      </c>
      <c r="D605">
        <v>0</v>
      </c>
      <c r="E605" s="3">
        <v>1</v>
      </c>
      <c r="F605" s="3">
        <v>1</v>
      </c>
      <c r="G605">
        <v>0</v>
      </c>
    </row>
    <row r="606" spans="1:7" x14ac:dyDescent="0.25">
      <c r="A606" s="111" t="str">
        <f t="shared" si="9"/>
        <v>JDH4-02-007-PR-1700</v>
      </c>
      <c r="B606" t="s">
        <v>964</v>
      </c>
      <c r="C606" t="s">
        <v>965</v>
      </c>
      <c r="D606" s="1">
        <v>0</v>
      </c>
      <c r="E606" s="3">
        <v>1</v>
      </c>
      <c r="F606" s="3">
        <v>1</v>
      </c>
      <c r="G606" s="1">
        <v>0</v>
      </c>
    </row>
    <row r="607" spans="1:7" x14ac:dyDescent="0.25">
      <c r="A607" s="111" t="str">
        <f t="shared" si="9"/>
        <v>JDH4-02-007-PR-1710</v>
      </c>
      <c r="B607" t="s">
        <v>966</v>
      </c>
      <c r="C607" t="s">
        <v>4024</v>
      </c>
      <c r="D607" s="1">
        <v>71630.44</v>
      </c>
      <c r="E607" s="3">
        <v>1</v>
      </c>
      <c r="F607" s="3">
        <v>1</v>
      </c>
      <c r="G607" s="1">
        <v>71630.44</v>
      </c>
    </row>
    <row r="608" spans="1:7" x14ac:dyDescent="0.25">
      <c r="A608" s="111" t="str">
        <f t="shared" si="9"/>
        <v>JDH4-02-007-PR-1700R</v>
      </c>
      <c r="B608" t="s">
        <v>4025</v>
      </c>
      <c r="C608" t="s">
        <v>965</v>
      </c>
      <c r="D608" s="1">
        <v>0</v>
      </c>
      <c r="E608" s="3">
        <v>1</v>
      </c>
      <c r="F608" s="3">
        <v>1</v>
      </c>
      <c r="G608" s="1">
        <v>0</v>
      </c>
    </row>
    <row r="609" spans="1:7" x14ac:dyDescent="0.25">
      <c r="A609" s="111" t="str">
        <f t="shared" si="9"/>
        <v>JDH4-02-007-PR-1710R</v>
      </c>
      <c r="B609" t="s">
        <v>4026</v>
      </c>
      <c r="C609" t="s">
        <v>967</v>
      </c>
      <c r="D609" s="1">
        <v>107445.65</v>
      </c>
      <c r="E609" s="3">
        <v>1</v>
      </c>
      <c r="F609" s="3">
        <v>1</v>
      </c>
      <c r="G609" s="1">
        <v>107445.65</v>
      </c>
    </row>
    <row r="610" spans="1:7" x14ac:dyDescent="0.25">
      <c r="A610" s="111" t="str">
        <f t="shared" si="9"/>
        <v>Sanitary Sewerage</v>
      </c>
      <c r="B610" t="s">
        <v>968</v>
      </c>
      <c r="D610" s="1">
        <v>716304.35</v>
      </c>
      <c r="E610" s="3"/>
      <c r="F610" s="3">
        <v>1</v>
      </c>
      <c r="G610" s="1">
        <v>716304.35</v>
      </c>
    </row>
    <row r="611" spans="1:7" x14ac:dyDescent="0.25">
      <c r="A611" s="111" t="str">
        <f t="shared" si="9"/>
        <v>GRP Pipes</v>
      </c>
      <c r="B611" t="s">
        <v>217</v>
      </c>
      <c r="D611" s="1">
        <v>358152.18</v>
      </c>
      <c r="E611" s="3"/>
      <c r="F611" s="3">
        <v>1</v>
      </c>
      <c r="G611" s="1">
        <v>358152.18</v>
      </c>
    </row>
    <row r="612" spans="1:7" x14ac:dyDescent="0.25">
      <c r="A612" s="111" t="str">
        <f t="shared" si="9"/>
        <v>JDH4-02-007-PR-1600</v>
      </c>
      <c r="B612" t="s">
        <v>969</v>
      </c>
      <c r="C612" t="s">
        <v>956</v>
      </c>
      <c r="D612" s="1">
        <v>0</v>
      </c>
      <c r="E612" s="3">
        <v>1</v>
      </c>
      <c r="F612" s="3">
        <v>1</v>
      </c>
      <c r="G612" s="1">
        <v>0</v>
      </c>
    </row>
    <row r="613" spans="1:7" x14ac:dyDescent="0.25">
      <c r="A613" s="111" t="str">
        <f t="shared" si="9"/>
        <v>JDH4-02-007-PR-1610</v>
      </c>
      <c r="B613" t="s">
        <v>970</v>
      </c>
      <c r="C613" t="s">
        <v>958</v>
      </c>
      <c r="D613" s="1">
        <v>0</v>
      </c>
      <c r="E613" s="3">
        <v>1</v>
      </c>
      <c r="F613" s="3">
        <v>1</v>
      </c>
      <c r="G613" s="1">
        <v>0</v>
      </c>
    </row>
    <row r="614" spans="1:7" x14ac:dyDescent="0.25">
      <c r="A614" s="111" t="str">
        <f t="shared" si="9"/>
        <v>JDH4-02-007-PR-1620</v>
      </c>
      <c r="B614" t="s">
        <v>971</v>
      </c>
      <c r="C614" t="s">
        <v>4021</v>
      </c>
      <c r="D614" s="1">
        <v>17907.61</v>
      </c>
      <c r="E614" s="3">
        <v>1</v>
      </c>
      <c r="F614" s="3">
        <v>1</v>
      </c>
      <c r="G614" s="1">
        <v>17907.61</v>
      </c>
    </row>
    <row r="615" spans="1:7" x14ac:dyDescent="0.25">
      <c r="A615" s="111" t="str">
        <f t="shared" si="9"/>
        <v>JDH4-02-007-PR-1610R</v>
      </c>
      <c r="B615" t="s">
        <v>4027</v>
      </c>
      <c r="C615" t="s">
        <v>958</v>
      </c>
      <c r="D615" s="1">
        <v>0</v>
      </c>
      <c r="E615" s="3">
        <v>1</v>
      </c>
      <c r="F615" s="3">
        <v>1</v>
      </c>
      <c r="G615" s="1">
        <v>0</v>
      </c>
    </row>
    <row r="616" spans="1:7" x14ac:dyDescent="0.25">
      <c r="A616" s="111" t="str">
        <f t="shared" si="9"/>
        <v>JDH4-02-007-PR-1620R</v>
      </c>
      <c r="B616" t="s">
        <v>4028</v>
      </c>
      <c r="C616" t="s">
        <v>960</v>
      </c>
      <c r="D616" s="1">
        <v>340244.57</v>
      </c>
      <c r="E616" s="3">
        <v>1</v>
      </c>
      <c r="F616" s="3">
        <v>1</v>
      </c>
      <c r="G616" s="1">
        <v>340244.57</v>
      </c>
    </row>
    <row r="617" spans="1:7" x14ac:dyDescent="0.25">
      <c r="A617" s="111" t="str">
        <f t="shared" si="9"/>
        <v>Manholes</v>
      </c>
      <c r="B617" t="s">
        <v>972</v>
      </c>
      <c r="D617" s="1">
        <v>358152.17</v>
      </c>
      <c r="E617" s="3"/>
      <c r="F617" s="3">
        <v>1</v>
      </c>
      <c r="G617" s="1">
        <v>358152.17</v>
      </c>
    </row>
    <row r="618" spans="1:7" x14ac:dyDescent="0.25">
      <c r="A618" s="111" t="str">
        <f t="shared" si="9"/>
        <v>JDH4-02-007-PR-1630</v>
      </c>
      <c r="B618" t="s">
        <v>973</v>
      </c>
      <c r="C618" t="s">
        <v>974</v>
      </c>
      <c r="D618" s="1">
        <v>0</v>
      </c>
      <c r="E618" s="3">
        <v>1</v>
      </c>
      <c r="F618" s="3">
        <v>1</v>
      </c>
      <c r="G618" s="1">
        <v>0</v>
      </c>
    </row>
    <row r="619" spans="1:7" x14ac:dyDescent="0.25">
      <c r="A619" s="111" t="str">
        <f t="shared" si="9"/>
        <v>JDH4-02-007-PR-1638</v>
      </c>
      <c r="B619" t="s">
        <v>975</v>
      </c>
      <c r="C619" t="s">
        <v>976</v>
      </c>
      <c r="D619" s="1">
        <v>0</v>
      </c>
      <c r="E619" s="3">
        <v>1</v>
      </c>
      <c r="F619" s="3">
        <v>1</v>
      </c>
      <c r="G619" s="1">
        <v>0</v>
      </c>
    </row>
    <row r="620" spans="1:7" x14ac:dyDescent="0.25">
      <c r="A620" s="111" t="str">
        <f t="shared" si="9"/>
        <v>JDH4-02-007-PR-1650</v>
      </c>
      <c r="B620" t="s">
        <v>981</v>
      </c>
      <c r="C620" t="s">
        <v>4029</v>
      </c>
      <c r="D620" s="1">
        <v>161168.48000000001</v>
      </c>
      <c r="E620" s="3">
        <v>1</v>
      </c>
      <c r="F620" s="3">
        <v>1</v>
      </c>
      <c r="G620" s="1">
        <v>161168.48000000001</v>
      </c>
    </row>
    <row r="621" spans="1:7" x14ac:dyDescent="0.25">
      <c r="A621" s="111" t="str">
        <f t="shared" si="9"/>
        <v>JDH4-02-007-PR-1650R</v>
      </c>
      <c r="B621" t="s">
        <v>4030</v>
      </c>
      <c r="C621" t="s">
        <v>982</v>
      </c>
      <c r="D621" s="1">
        <v>196983.69</v>
      </c>
      <c r="E621" s="3">
        <v>1</v>
      </c>
      <c r="F621" s="3">
        <v>1</v>
      </c>
      <c r="G621" s="1">
        <v>196983.69</v>
      </c>
    </row>
    <row r="622" spans="1:7" x14ac:dyDescent="0.25">
      <c r="A622" s="111" t="str">
        <f t="shared" si="9"/>
        <v>JDH4-02-007-PR-1639</v>
      </c>
      <c r="B622" t="s">
        <v>977</v>
      </c>
      <c r="C622" t="s">
        <v>978</v>
      </c>
      <c r="D622" s="1">
        <v>0</v>
      </c>
      <c r="E622" s="3">
        <v>1</v>
      </c>
      <c r="F622" s="3">
        <v>1</v>
      </c>
      <c r="G622" s="1">
        <v>0</v>
      </c>
    </row>
    <row r="623" spans="1:7" x14ac:dyDescent="0.25">
      <c r="A623" s="111" t="str">
        <f t="shared" si="9"/>
        <v>JDH4-02-007-PR-1640</v>
      </c>
      <c r="B623" t="s">
        <v>979</v>
      </c>
      <c r="C623" t="s">
        <v>980</v>
      </c>
      <c r="D623" s="1">
        <v>0</v>
      </c>
      <c r="E623" s="3">
        <v>1</v>
      </c>
      <c r="F623" s="3">
        <v>1</v>
      </c>
      <c r="G623" s="1">
        <v>0</v>
      </c>
    </row>
    <row r="624" spans="1:7" x14ac:dyDescent="0.25">
      <c r="A624" s="111" t="str">
        <f t="shared" si="9"/>
        <v>TSE Network</v>
      </c>
      <c r="B624" t="s">
        <v>983</v>
      </c>
      <c r="D624" s="1">
        <v>179076.09</v>
      </c>
      <c r="E624" s="3"/>
      <c r="F624" s="3">
        <v>1</v>
      </c>
      <c r="G624" s="1">
        <v>179076.09</v>
      </c>
    </row>
    <row r="625" spans="1:7" x14ac:dyDescent="0.25">
      <c r="A625" s="111" t="str">
        <f t="shared" si="9"/>
        <v>HDPE Pipe (PN 16)</v>
      </c>
      <c r="B625" t="s">
        <v>211</v>
      </c>
      <c r="D625" s="1">
        <v>179076.09</v>
      </c>
      <c r="E625" s="3"/>
      <c r="F625" s="3">
        <v>1</v>
      </c>
      <c r="G625" s="1">
        <v>179076.09</v>
      </c>
    </row>
    <row r="626" spans="1:7" x14ac:dyDescent="0.25">
      <c r="A626" s="111" t="str">
        <f t="shared" si="9"/>
        <v>JDH4-02-007-PR-1570</v>
      </c>
      <c r="B626" t="s">
        <v>984</v>
      </c>
      <c r="C626" t="s">
        <v>212</v>
      </c>
      <c r="D626">
        <v>0</v>
      </c>
      <c r="E626" s="3">
        <v>1</v>
      </c>
      <c r="F626" s="3">
        <v>1</v>
      </c>
      <c r="G626">
        <v>0</v>
      </c>
    </row>
    <row r="627" spans="1:7" x14ac:dyDescent="0.25">
      <c r="A627" s="111" t="str">
        <f t="shared" si="9"/>
        <v>JDH4-02-007-PR-1580</v>
      </c>
      <c r="B627" t="s">
        <v>985</v>
      </c>
      <c r="C627" t="s">
        <v>213</v>
      </c>
      <c r="D627" s="1">
        <v>0</v>
      </c>
      <c r="E627" s="3">
        <v>1</v>
      </c>
      <c r="F627" s="3">
        <v>1</v>
      </c>
      <c r="G627">
        <v>0</v>
      </c>
    </row>
    <row r="628" spans="1:7" x14ac:dyDescent="0.25">
      <c r="A628" s="111" t="str">
        <f t="shared" si="9"/>
        <v>JDH4-02-007-PR-1590</v>
      </c>
      <c r="B628" t="s">
        <v>986</v>
      </c>
      <c r="C628" t="s">
        <v>4031</v>
      </c>
      <c r="D628" s="1">
        <v>164750</v>
      </c>
      <c r="E628" s="3">
        <v>1</v>
      </c>
      <c r="F628" s="3">
        <v>1</v>
      </c>
      <c r="G628" s="1">
        <v>164750</v>
      </c>
    </row>
    <row r="629" spans="1:7" x14ac:dyDescent="0.25">
      <c r="A629" s="111" t="str">
        <f t="shared" si="9"/>
        <v>JDH4-02-007-PR-1580R</v>
      </c>
      <c r="B629" t="s">
        <v>4032</v>
      </c>
      <c r="C629" t="s">
        <v>213</v>
      </c>
      <c r="D629" s="1">
        <v>0</v>
      </c>
      <c r="E629" s="3">
        <v>1</v>
      </c>
      <c r="F629" s="3">
        <v>1</v>
      </c>
      <c r="G629" s="1">
        <v>0</v>
      </c>
    </row>
    <row r="630" spans="1:7" x14ac:dyDescent="0.25">
      <c r="A630" s="111" t="str">
        <f t="shared" si="9"/>
        <v>JDH4-02-007-PR-1590R</v>
      </c>
      <c r="B630" t="s">
        <v>4033</v>
      </c>
      <c r="C630" t="s">
        <v>214</v>
      </c>
      <c r="D630" s="1">
        <v>14326.09</v>
      </c>
      <c r="E630" s="3">
        <v>1</v>
      </c>
      <c r="F630" s="3">
        <v>1</v>
      </c>
      <c r="G630" s="1">
        <v>14326.09</v>
      </c>
    </row>
    <row r="631" spans="1:7" x14ac:dyDescent="0.25">
      <c r="A631" s="111" t="str">
        <f t="shared" si="9"/>
        <v>Potable Water Network</v>
      </c>
      <c r="B631" t="s">
        <v>987</v>
      </c>
      <c r="D631" s="1">
        <v>179076.09</v>
      </c>
      <c r="E631" s="3"/>
      <c r="F631" s="3">
        <v>1</v>
      </c>
      <c r="G631" s="1">
        <v>179076.09</v>
      </c>
    </row>
    <row r="632" spans="1:7" x14ac:dyDescent="0.25">
      <c r="A632" s="111" t="str">
        <f t="shared" si="9"/>
        <v>HDPE Pipe (PN 16)</v>
      </c>
      <c r="B632" t="s">
        <v>211</v>
      </c>
      <c r="D632" s="1">
        <v>179076.09</v>
      </c>
      <c r="E632" s="3"/>
      <c r="F632" s="3">
        <v>1</v>
      </c>
      <c r="G632" s="1">
        <v>179076.09</v>
      </c>
    </row>
    <row r="633" spans="1:7" x14ac:dyDescent="0.25">
      <c r="A633" s="111" t="str">
        <f t="shared" si="9"/>
        <v>JDH4-02-007-PR-1540</v>
      </c>
      <c r="B633" t="s">
        <v>988</v>
      </c>
      <c r="C633" t="s">
        <v>212</v>
      </c>
      <c r="D633" s="1">
        <v>0</v>
      </c>
      <c r="E633" s="3">
        <v>1</v>
      </c>
      <c r="F633" s="3">
        <v>1</v>
      </c>
      <c r="G633" s="1">
        <v>0</v>
      </c>
    </row>
    <row r="634" spans="1:7" x14ac:dyDescent="0.25">
      <c r="A634" s="111" t="str">
        <f t="shared" si="9"/>
        <v>JDH4-02-007-PR-1550</v>
      </c>
      <c r="B634" t="s">
        <v>989</v>
      </c>
      <c r="C634" t="s">
        <v>213</v>
      </c>
      <c r="D634" s="1">
        <v>0</v>
      </c>
      <c r="E634" s="3">
        <v>1</v>
      </c>
      <c r="F634" s="2">
        <v>1</v>
      </c>
      <c r="G634">
        <v>0</v>
      </c>
    </row>
    <row r="635" spans="1:7" x14ac:dyDescent="0.25">
      <c r="A635" s="111" t="str">
        <f t="shared" si="9"/>
        <v>JDH4-02-007-PR-1560</v>
      </c>
      <c r="B635" t="s">
        <v>990</v>
      </c>
      <c r="C635" t="s">
        <v>4031</v>
      </c>
      <c r="D635" s="1">
        <v>148633.15</v>
      </c>
      <c r="E635" s="3">
        <v>1</v>
      </c>
      <c r="F635" s="3">
        <v>1</v>
      </c>
      <c r="G635" s="1">
        <v>148633.15</v>
      </c>
    </row>
    <row r="636" spans="1:7" x14ac:dyDescent="0.25">
      <c r="A636" s="111" t="str">
        <f t="shared" si="9"/>
        <v>JDH4-02-007-PR-1550R</v>
      </c>
      <c r="B636" t="s">
        <v>4034</v>
      </c>
      <c r="C636" t="s">
        <v>213</v>
      </c>
      <c r="D636" s="1">
        <v>0</v>
      </c>
      <c r="E636" s="3">
        <v>1</v>
      </c>
      <c r="F636" s="3">
        <v>1</v>
      </c>
      <c r="G636" s="1">
        <v>0</v>
      </c>
    </row>
    <row r="637" spans="1:7" x14ac:dyDescent="0.25">
      <c r="A637" s="111" t="str">
        <f t="shared" si="9"/>
        <v>JDH4-02-007-PR-1560R</v>
      </c>
      <c r="B637" t="s">
        <v>4035</v>
      </c>
      <c r="C637" t="s">
        <v>214</v>
      </c>
      <c r="D637" s="1">
        <v>30442.94</v>
      </c>
      <c r="E637" s="3">
        <v>1</v>
      </c>
      <c r="F637" s="3">
        <v>1</v>
      </c>
      <c r="G637" s="1">
        <v>30442.94</v>
      </c>
    </row>
    <row r="638" spans="1:7" x14ac:dyDescent="0.25">
      <c r="A638" s="111" t="str">
        <f t="shared" si="9"/>
        <v>Electrical Network</v>
      </c>
      <c r="B638" t="s">
        <v>190</v>
      </c>
      <c r="D638" s="1">
        <v>358152.04</v>
      </c>
      <c r="E638" s="3"/>
      <c r="F638" s="3">
        <v>1</v>
      </c>
      <c r="G638" s="1">
        <v>358152.04</v>
      </c>
    </row>
    <row r="639" spans="1:7" x14ac:dyDescent="0.25">
      <c r="A639" s="111" t="str">
        <f t="shared" si="9"/>
        <v>Pipe for the Duct</v>
      </c>
      <c r="B639" t="s">
        <v>991</v>
      </c>
      <c r="D639" s="1">
        <v>179075.95</v>
      </c>
      <c r="E639" s="3"/>
      <c r="F639" s="3">
        <v>1</v>
      </c>
      <c r="G639" s="1">
        <v>179075.95</v>
      </c>
    </row>
    <row r="640" spans="1:7" x14ac:dyDescent="0.25">
      <c r="A640" s="111" t="str">
        <f t="shared" si="9"/>
        <v>JDH4-02-007-PR-1190</v>
      </c>
      <c r="B640" t="s">
        <v>992</v>
      </c>
      <c r="C640" t="s">
        <v>993</v>
      </c>
      <c r="D640" s="1">
        <v>0</v>
      </c>
      <c r="E640" s="3">
        <v>1</v>
      </c>
      <c r="F640" s="3">
        <v>1</v>
      </c>
      <c r="G640">
        <v>0</v>
      </c>
    </row>
    <row r="641" spans="1:7" x14ac:dyDescent="0.25">
      <c r="A641" s="111" t="str">
        <f t="shared" si="9"/>
        <v>JDH4-02-007-PR-1210</v>
      </c>
      <c r="B641" t="s">
        <v>994</v>
      </c>
      <c r="C641" t="s">
        <v>995</v>
      </c>
      <c r="D641">
        <v>0</v>
      </c>
      <c r="E641" s="3">
        <v>1</v>
      </c>
      <c r="F641" s="3">
        <v>1</v>
      </c>
      <c r="G641">
        <v>0</v>
      </c>
    </row>
    <row r="642" spans="1:7" x14ac:dyDescent="0.25">
      <c r="A642" s="111" t="str">
        <f t="shared" si="9"/>
        <v>JDH4-02-007-PR-1230</v>
      </c>
      <c r="B642" t="s">
        <v>996</v>
      </c>
      <c r="C642" t="s">
        <v>997</v>
      </c>
      <c r="D642" s="1">
        <v>179075.95</v>
      </c>
      <c r="E642" s="3">
        <v>1</v>
      </c>
      <c r="F642" s="3">
        <v>1</v>
      </c>
      <c r="G642" s="1">
        <v>179075.95</v>
      </c>
    </row>
    <row r="643" spans="1:7" x14ac:dyDescent="0.25">
      <c r="A643" s="111" t="str">
        <f t="shared" si="9"/>
        <v>Earthing System</v>
      </c>
      <c r="B643" t="s">
        <v>191</v>
      </c>
      <c r="D643" s="1">
        <v>179076.09</v>
      </c>
      <c r="E643" s="3"/>
      <c r="F643" s="3">
        <v>1</v>
      </c>
      <c r="G643" s="1">
        <v>179076.09</v>
      </c>
    </row>
    <row r="644" spans="1:7" x14ac:dyDescent="0.25">
      <c r="A644" s="111" t="str">
        <f t="shared" ref="A644:A707" si="10">TRIM(B644)</f>
        <v>JDH4-02-007-PR-1180</v>
      </c>
      <c r="B644" t="s">
        <v>998</v>
      </c>
      <c r="C644" t="s">
        <v>192</v>
      </c>
      <c r="D644" s="1">
        <v>0</v>
      </c>
      <c r="E644" s="3">
        <v>1</v>
      </c>
      <c r="F644" s="3">
        <v>1</v>
      </c>
      <c r="G644">
        <v>0</v>
      </c>
    </row>
    <row r="645" spans="1:7" x14ac:dyDescent="0.25">
      <c r="A645" s="111" t="str">
        <f t="shared" si="10"/>
        <v>JDH4-02-007-PR-1200</v>
      </c>
      <c r="B645" t="s">
        <v>999</v>
      </c>
      <c r="C645" t="s">
        <v>193</v>
      </c>
      <c r="D645" s="1">
        <v>0</v>
      </c>
      <c r="E645" s="3">
        <v>1</v>
      </c>
      <c r="F645" s="3">
        <v>1</v>
      </c>
      <c r="G645">
        <v>0</v>
      </c>
    </row>
    <row r="646" spans="1:7" x14ac:dyDescent="0.25">
      <c r="A646" s="111" t="str">
        <f t="shared" si="10"/>
        <v>JDH4-02-007-PR-1220</v>
      </c>
      <c r="B646" t="s">
        <v>1000</v>
      </c>
      <c r="C646" t="s">
        <v>194</v>
      </c>
      <c r="D646" s="1">
        <v>179076.09</v>
      </c>
      <c r="E646" s="3">
        <v>1</v>
      </c>
      <c r="F646" s="3">
        <v>1</v>
      </c>
      <c r="G646" s="1">
        <v>179076.09</v>
      </c>
    </row>
    <row r="647" spans="1:7" x14ac:dyDescent="0.25">
      <c r="A647" s="111" t="str">
        <f t="shared" si="10"/>
        <v>Telecommunications</v>
      </c>
      <c r="B647" t="s">
        <v>219</v>
      </c>
      <c r="D647" s="1">
        <v>179076.09</v>
      </c>
      <c r="E647" s="3"/>
      <c r="F647" s="3">
        <v>1</v>
      </c>
      <c r="G647" s="1">
        <v>179076.09</v>
      </c>
    </row>
    <row r="648" spans="1:7" x14ac:dyDescent="0.25">
      <c r="A648" s="111" t="str">
        <f t="shared" si="10"/>
        <v>Pipe for the Duct</v>
      </c>
      <c r="B648" t="s">
        <v>991</v>
      </c>
      <c r="D648" s="1">
        <v>179076.09</v>
      </c>
      <c r="E648" s="3"/>
      <c r="F648" s="3">
        <v>1</v>
      </c>
      <c r="G648" s="1">
        <v>179076.09</v>
      </c>
    </row>
    <row r="649" spans="1:7" x14ac:dyDescent="0.25">
      <c r="A649" s="111" t="str">
        <f t="shared" si="10"/>
        <v>JDH4-02-007-PR-2260</v>
      </c>
      <c r="B649" t="s">
        <v>1001</v>
      </c>
      <c r="C649" t="s">
        <v>993</v>
      </c>
      <c r="D649">
        <v>0</v>
      </c>
      <c r="E649" s="3">
        <v>1</v>
      </c>
      <c r="F649" s="3">
        <v>1</v>
      </c>
      <c r="G649">
        <v>0</v>
      </c>
    </row>
    <row r="650" spans="1:7" x14ac:dyDescent="0.25">
      <c r="A650" s="111" t="str">
        <f t="shared" si="10"/>
        <v>JDH4-02-007-PR-2270</v>
      </c>
      <c r="B650" t="s">
        <v>1002</v>
      </c>
      <c r="C650" t="s">
        <v>995</v>
      </c>
      <c r="D650">
        <v>0</v>
      </c>
      <c r="E650" s="3">
        <v>1</v>
      </c>
      <c r="F650" s="3">
        <v>1</v>
      </c>
      <c r="G650">
        <v>0</v>
      </c>
    </row>
    <row r="651" spans="1:7" x14ac:dyDescent="0.25">
      <c r="A651" s="111" t="str">
        <f t="shared" si="10"/>
        <v>JDH4-02-007-PR-2280</v>
      </c>
      <c r="B651" t="s">
        <v>1003</v>
      </c>
      <c r="C651" t="s">
        <v>4036</v>
      </c>
      <c r="D651" s="1">
        <v>71630.44</v>
      </c>
      <c r="E651" s="3">
        <v>1</v>
      </c>
      <c r="F651" s="3">
        <v>1</v>
      </c>
      <c r="G651" s="1">
        <v>71630.44</v>
      </c>
    </row>
    <row r="652" spans="1:7" x14ac:dyDescent="0.25">
      <c r="A652" s="111" t="str">
        <f t="shared" si="10"/>
        <v>JDH4-02-007-PR-2270R</v>
      </c>
      <c r="B652" t="s">
        <v>4037</v>
      </c>
      <c r="C652" t="s">
        <v>995</v>
      </c>
      <c r="D652" s="1">
        <v>0</v>
      </c>
      <c r="E652" s="3">
        <v>1</v>
      </c>
      <c r="F652" s="3">
        <v>1</v>
      </c>
      <c r="G652" s="1">
        <v>0</v>
      </c>
    </row>
    <row r="653" spans="1:7" x14ac:dyDescent="0.25">
      <c r="A653" s="111" t="str">
        <f t="shared" si="10"/>
        <v>JDH4-02-007-PR-2280R</v>
      </c>
      <c r="B653" t="s">
        <v>4038</v>
      </c>
      <c r="C653" t="s">
        <v>997</v>
      </c>
      <c r="D653" s="1">
        <v>107445.65</v>
      </c>
      <c r="E653" s="3">
        <v>1</v>
      </c>
      <c r="F653" s="3">
        <v>1</v>
      </c>
      <c r="G653" s="1">
        <v>107445.65</v>
      </c>
    </row>
    <row r="654" spans="1:7" x14ac:dyDescent="0.25">
      <c r="A654" s="111" t="str">
        <f t="shared" si="10"/>
        <v>Sewage Lift Station</v>
      </c>
      <c r="B654" t="s">
        <v>1004</v>
      </c>
      <c r="D654" s="1">
        <v>1253532.6299999999</v>
      </c>
      <c r="E654" s="3"/>
      <c r="F654" s="3">
        <v>1</v>
      </c>
      <c r="G654" s="1">
        <v>1253532.6299999999</v>
      </c>
    </row>
    <row r="655" spans="1:7" x14ac:dyDescent="0.25">
      <c r="A655" s="111" t="str">
        <f t="shared" si="10"/>
        <v>Thermal &amp; Moisture Protection</v>
      </c>
      <c r="B655" t="s">
        <v>1005</v>
      </c>
      <c r="D655" s="1">
        <v>179076.09</v>
      </c>
      <c r="E655" s="3"/>
      <c r="F655" s="3">
        <v>1</v>
      </c>
      <c r="G655" s="1">
        <v>179076.09</v>
      </c>
    </row>
    <row r="656" spans="1:7" x14ac:dyDescent="0.25">
      <c r="A656" s="111" t="str">
        <f t="shared" si="10"/>
        <v>JDH4-02-007-PR-2350</v>
      </c>
      <c r="B656" t="s">
        <v>1006</v>
      </c>
      <c r="C656" t="s">
        <v>1007</v>
      </c>
      <c r="D656" s="1">
        <v>0</v>
      </c>
      <c r="E656" s="3">
        <v>1</v>
      </c>
      <c r="F656" s="3">
        <v>1</v>
      </c>
      <c r="G656">
        <v>0</v>
      </c>
    </row>
    <row r="657" spans="1:7" x14ac:dyDescent="0.25">
      <c r="A657" s="111" t="str">
        <f t="shared" si="10"/>
        <v>JDH4-02-007-PR-2358</v>
      </c>
      <c r="B657" t="s">
        <v>1008</v>
      </c>
      <c r="C657" t="s">
        <v>1009</v>
      </c>
      <c r="D657">
        <v>0</v>
      </c>
      <c r="E657" s="3">
        <v>1</v>
      </c>
      <c r="F657" s="3">
        <v>1</v>
      </c>
      <c r="G657">
        <v>0</v>
      </c>
    </row>
    <row r="658" spans="1:7" x14ac:dyDescent="0.25">
      <c r="A658" s="111" t="str">
        <f t="shared" si="10"/>
        <v>JDH4-02-007-PR-2359</v>
      </c>
      <c r="B658" t="s">
        <v>1010</v>
      </c>
      <c r="C658" t="s">
        <v>1011</v>
      </c>
      <c r="D658">
        <v>0</v>
      </c>
      <c r="E658" s="3">
        <v>1</v>
      </c>
      <c r="F658" s="3">
        <v>1</v>
      </c>
      <c r="G658">
        <v>0</v>
      </c>
    </row>
    <row r="659" spans="1:7" x14ac:dyDescent="0.25">
      <c r="A659" s="111" t="str">
        <f t="shared" si="10"/>
        <v>JDH4-02-007-PR-2360</v>
      </c>
      <c r="B659" t="s">
        <v>1012</v>
      </c>
      <c r="C659" t="s">
        <v>1013</v>
      </c>
      <c r="D659" s="1">
        <v>0</v>
      </c>
      <c r="E659" s="3">
        <v>1</v>
      </c>
      <c r="F659" s="3">
        <v>1</v>
      </c>
      <c r="G659">
        <v>0</v>
      </c>
    </row>
    <row r="660" spans="1:7" x14ac:dyDescent="0.25">
      <c r="A660" s="111" t="str">
        <f t="shared" si="10"/>
        <v>JDH4-02-007-PR-2369</v>
      </c>
      <c r="B660" t="s">
        <v>1014</v>
      </c>
      <c r="C660" t="s">
        <v>1015</v>
      </c>
      <c r="D660" s="1">
        <v>0</v>
      </c>
      <c r="E660" s="3">
        <v>1</v>
      </c>
      <c r="F660" s="3">
        <v>1</v>
      </c>
      <c r="G660">
        <v>0</v>
      </c>
    </row>
    <row r="661" spans="1:7" x14ac:dyDescent="0.25">
      <c r="A661" s="111" t="str">
        <f t="shared" si="10"/>
        <v>JDH4-02-007-PR-2370</v>
      </c>
      <c r="B661" t="s">
        <v>1016</v>
      </c>
      <c r="C661" t="s">
        <v>1017</v>
      </c>
      <c r="D661" s="1">
        <v>179076.09</v>
      </c>
      <c r="E661" s="3">
        <v>1</v>
      </c>
      <c r="F661" s="3">
        <v>1</v>
      </c>
      <c r="G661" s="1">
        <v>179076.09</v>
      </c>
    </row>
    <row r="662" spans="1:7" x14ac:dyDescent="0.25">
      <c r="A662" s="111" t="str">
        <f t="shared" si="10"/>
        <v>Metals</v>
      </c>
      <c r="B662" t="s">
        <v>1018</v>
      </c>
      <c r="D662" s="1">
        <v>179076.09</v>
      </c>
      <c r="E662" s="3"/>
      <c r="F662" s="3">
        <v>1</v>
      </c>
      <c r="G662" s="1">
        <v>179076.09</v>
      </c>
    </row>
    <row r="663" spans="1:7" x14ac:dyDescent="0.25">
      <c r="A663" s="111" t="str">
        <f t="shared" si="10"/>
        <v>JDH4-02-007-PR-1840</v>
      </c>
      <c r="B663" t="s">
        <v>1019</v>
      </c>
      <c r="C663" t="s">
        <v>1020</v>
      </c>
      <c r="D663" s="1">
        <v>0</v>
      </c>
      <c r="E663" s="3">
        <v>1</v>
      </c>
      <c r="F663" s="3">
        <v>1</v>
      </c>
      <c r="G663">
        <v>0</v>
      </c>
    </row>
    <row r="664" spans="1:7" x14ac:dyDescent="0.25">
      <c r="A664" s="111" t="str">
        <f t="shared" si="10"/>
        <v>JDH4-02-007-PR-1848</v>
      </c>
      <c r="B664" t="s">
        <v>1021</v>
      </c>
      <c r="C664" t="s">
        <v>1022</v>
      </c>
      <c r="D664" s="1">
        <v>0</v>
      </c>
      <c r="E664" s="3">
        <v>1</v>
      </c>
      <c r="F664" s="3">
        <v>1</v>
      </c>
      <c r="G664">
        <v>0</v>
      </c>
    </row>
    <row r="665" spans="1:7" x14ac:dyDescent="0.25">
      <c r="A665" s="111" t="str">
        <f t="shared" si="10"/>
        <v>JDH4-02-007-PR-1849</v>
      </c>
      <c r="B665" t="s">
        <v>1023</v>
      </c>
      <c r="C665" t="s">
        <v>1024</v>
      </c>
      <c r="D665">
        <v>0</v>
      </c>
      <c r="E665" s="3">
        <v>1</v>
      </c>
      <c r="F665" s="3">
        <v>1</v>
      </c>
      <c r="G665">
        <v>0</v>
      </c>
    </row>
    <row r="666" spans="1:7" x14ac:dyDescent="0.25">
      <c r="A666" s="111" t="str">
        <f t="shared" si="10"/>
        <v>JDH4-02-007-PR-1850</v>
      </c>
      <c r="B666" t="s">
        <v>1025</v>
      </c>
      <c r="C666" t="s">
        <v>1026</v>
      </c>
      <c r="D666">
        <v>0</v>
      </c>
      <c r="E666" s="3">
        <v>1</v>
      </c>
      <c r="F666" s="3">
        <v>1</v>
      </c>
      <c r="G666">
        <v>0</v>
      </c>
    </row>
    <row r="667" spans="1:7" x14ac:dyDescent="0.25">
      <c r="A667" s="111" t="str">
        <f t="shared" si="10"/>
        <v>JDH4-02-007-PR-1860</v>
      </c>
      <c r="B667" t="s">
        <v>1029</v>
      </c>
      <c r="C667" t="s">
        <v>1030</v>
      </c>
      <c r="D667" s="1">
        <v>179076.09</v>
      </c>
      <c r="E667" s="3">
        <v>1</v>
      </c>
      <c r="F667" s="3">
        <v>1</v>
      </c>
      <c r="G667" s="1">
        <v>179076.09</v>
      </c>
    </row>
    <row r="668" spans="1:7" x14ac:dyDescent="0.25">
      <c r="A668" s="111" t="str">
        <f t="shared" si="10"/>
        <v>JDH4-02-007-PR-1859</v>
      </c>
      <c r="B668" t="s">
        <v>1027</v>
      </c>
      <c r="C668" t="s">
        <v>1028</v>
      </c>
      <c r="D668" s="1">
        <v>0</v>
      </c>
      <c r="E668" s="3">
        <v>1</v>
      </c>
      <c r="F668" s="2">
        <v>1</v>
      </c>
      <c r="G668">
        <v>0</v>
      </c>
    </row>
    <row r="669" spans="1:7" x14ac:dyDescent="0.25">
      <c r="A669" s="111" t="str">
        <f t="shared" si="10"/>
        <v>Pipes</v>
      </c>
      <c r="B669" t="s">
        <v>1031</v>
      </c>
      <c r="D669" s="1">
        <v>179076.09</v>
      </c>
      <c r="E669" s="3"/>
      <c r="F669" s="3">
        <v>1</v>
      </c>
      <c r="G669" s="1">
        <v>179076.09</v>
      </c>
    </row>
    <row r="670" spans="1:7" x14ac:dyDescent="0.25">
      <c r="A670" s="111" t="str">
        <f t="shared" si="10"/>
        <v>JDH4-02-007-PR-2290</v>
      </c>
      <c r="B670" t="s">
        <v>1032</v>
      </c>
      <c r="C670" t="s">
        <v>1033</v>
      </c>
      <c r="D670">
        <v>0</v>
      </c>
      <c r="E670" s="3">
        <v>1</v>
      </c>
      <c r="F670" s="3">
        <v>1</v>
      </c>
      <c r="G670">
        <v>0</v>
      </c>
    </row>
    <row r="671" spans="1:7" x14ac:dyDescent="0.25">
      <c r="A671" s="111" t="str">
        <f t="shared" si="10"/>
        <v>JDH4-02-007-PR-2300</v>
      </c>
      <c r="B671" t="s">
        <v>1034</v>
      </c>
      <c r="C671" t="s">
        <v>1035</v>
      </c>
      <c r="D671" s="1">
        <v>0</v>
      </c>
      <c r="E671" s="3">
        <v>1</v>
      </c>
      <c r="F671" s="3">
        <v>1</v>
      </c>
      <c r="G671">
        <v>0</v>
      </c>
    </row>
    <row r="672" spans="1:7" x14ac:dyDescent="0.25">
      <c r="A672" s="111" t="str">
        <f t="shared" si="10"/>
        <v>JDH4-02-007-PR-2310</v>
      </c>
      <c r="B672" t="s">
        <v>1036</v>
      </c>
      <c r="C672" t="s">
        <v>1037</v>
      </c>
      <c r="D672" s="1">
        <v>179076.09</v>
      </c>
      <c r="E672" s="3">
        <v>1</v>
      </c>
      <c r="F672" s="3">
        <v>1</v>
      </c>
      <c r="G672" s="1">
        <v>179076.09</v>
      </c>
    </row>
    <row r="673" spans="1:7" x14ac:dyDescent="0.25">
      <c r="A673" s="111" t="str">
        <f t="shared" si="10"/>
        <v>Air Conditioning and Ventilation</v>
      </c>
      <c r="B673" t="s">
        <v>1038</v>
      </c>
      <c r="D673" s="1">
        <v>179076.09</v>
      </c>
      <c r="F673" s="3">
        <v>1</v>
      </c>
      <c r="G673" s="1">
        <v>179076.09</v>
      </c>
    </row>
    <row r="674" spans="1:7" x14ac:dyDescent="0.25">
      <c r="A674" s="111" t="str">
        <f t="shared" si="10"/>
        <v>JDH4-02-007-PR-2380</v>
      </c>
      <c r="B674" t="s">
        <v>1039</v>
      </c>
      <c r="C674" t="s">
        <v>1040</v>
      </c>
      <c r="D674" s="1">
        <v>0</v>
      </c>
      <c r="E674" s="3">
        <v>1</v>
      </c>
      <c r="F674" s="3">
        <v>1</v>
      </c>
      <c r="G674">
        <v>0</v>
      </c>
    </row>
    <row r="675" spans="1:7" x14ac:dyDescent="0.25">
      <c r="A675" s="111" t="str">
        <f t="shared" si="10"/>
        <v>JDH4-02-007-PR-2390</v>
      </c>
      <c r="B675" t="s">
        <v>1041</v>
      </c>
      <c r="C675" t="s">
        <v>1042</v>
      </c>
      <c r="D675">
        <v>0</v>
      </c>
      <c r="E675" s="3">
        <v>1</v>
      </c>
      <c r="F675" s="3">
        <v>1</v>
      </c>
      <c r="G675">
        <v>0</v>
      </c>
    </row>
    <row r="676" spans="1:7" x14ac:dyDescent="0.25">
      <c r="A676" s="111" t="str">
        <f t="shared" si="10"/>
        <v>JDH4-02-007-PR-2400</v>
      </c>
      <c r="B676" t="s">
        <v>1043</v>
      </c>
      <c r="C676" t="s">
        <v>1044</v>
      </c>
      <c r="D676" s="1">
        <v>179076.09</v>
      </c>
      <c r="E676" s="3">
        <v>1</v>
      </c>
      <c r="F676" s="3">
        <v>1</v>
      </c>
      <c r="G676" s="1">
        <v>179076.09</v>
      </c>
    </row>
    <row r="677" spans="1:7" x14ac:dyDescent="0.25">
      <c r="A677" s="111" t="str">
        <f t="shared" si="10"/>
        <v>Fuel System</v>
      </c>
      <c r="B677" t="s">
        <v>1045</v>
      </c>
      <c r="D677" s="1">
        <v>179076.09</v>
      </c>
      <c r="E677" s="3"/>
      <c r="F677" s="3">
        <v>1</v>
      </c>
      <c r="G677" s="1">
        <v>179076.09</v>
      </c>
    </row>
    <row r="678" spans="1:7" x14ac:dyDescent="0.25">
      <c r="A678" s="111" t="str">
        <f t="shared" si="10"/>
        <v>JDH4-02-007-PR-1870</v>
      </c>
      <c r="B678" t="s">
        <v>1046</v>
      </c>
      <c r="C678" t="s">
        <v>4039</v>
      </c>
      <c r="D678">
        <v>0</v>
      </c>
      <c r="E678" s="3">
        <v>1</v>
      </c>
      <c r="F678" s="3">
        <v>1</v>
      </c>
      <c r="G678">
        <v>0</v>
      </c>
    </row>
    <row r="679" spans="1:7" x14ac:dyDescent="0.25">
      <c r="A679" s="111" t="str">
        <f t="shared" si="10"/>
        <v>JDH4-02-007-PR-1880</v>
      </c>
      <c r="B679" t="s">
        <v>1048</v>
      </c>
      <c r="C679" t="s">
        <v>1049</v>
      </c>
      <c r="D679">
        <v>0</v>
      </c>
      <c r="E679" s="3">
        <v>1</v>
      </c>
      <c r="F679" s="3">
        <v>1</v>
      </c>
      <c r="G679">
        <v>0</v>
      </c>
    </row>
    <row r="680" spans="1:7" x14ac:dyDescent="0.25">
      <c r="A680" s="111" t="str">
        <f t="shared" si="10"/>
        <v>JDH4-02-007-PR-1890</v>
      </c>
      <c r="B680" t="s">
        <v>1050</v>
      </c>
      <c r="C680" t="s">
        <v>1051</v>
      </c>
      <c r="D680" s="1">
        <v>179076.09</v>
      </c>
      <c r="E680" s="3">
        <v>1</v>
      </c>
      <c r="F680" s="3">
        <v>1</v>
      </c>
      <c r="G680" s="1">
        <v>179076.09</v>
      </c>
    </row>
    <row r="681" spans="1:7" x14ac:dyDescent="0.25">
      <c r="A681" s="111" t="str">
        <f t="shared" si="10"/>
        <v>Fire Fighting System</v>
      </c>
      <c r="B681" t="s">
        <v>1052</v>
      </c>
      <c r="D681" s="1">
        <v>179076.09</v>
      </c>
      <c r="E681" s="3"/>
      <c r="F681" s="2">
        <v>1</v>
      </c>
      <c r="G681" s="1">
        <v>179076.09</v>
      </c>
    </row>
    <row r="682" spans="1:7" x14ac:dyDescent="0.25">
      <c r="A682" s="111" t="str">
        <f t="shared" si="10"/>
        <v>JDH4-02-007-PR-2320</v>
      </c>
      <c r="B682" t="s">
        <v>1053</v>
      </c>
      <c r="C682" t="s">
        <v>1054</v>
      </c>
      <c r="D682" s="1">
        <v>0</v>
      </c>
      <c r="E682" s="3">
        <v>1</v>
      </c>
      <c r="F682" s="3">
        <v>1</v>
      </c>
      <c r="G682">
        <v>0</v>
      </c>
    </row>
    <row r="683" spans="1:7" x14ac:dyDescent="0.25">
      <c r="A683" s="111" t="str">
        <f t="shared" si="10"/>
        <v>JDH4-02-007-PR-2330</v>
      </c>
      <c r="B683" t="s">
        <v>1055</v>
      </c>
      <c r="C683" t="s">
        <v>1056</v>
      </c>
      <c r="D683">
        <v>0</v>
      </c>
      <c r="E683" s="3">
        <v>1</v>
      </c>
      <c r="F683" s="3">
        <v>1</v>
      </c>
      <c r="G683">
        <v>0</v>
      </c>
    </row>
    <row r="684" spans="1:7" x14ac:dyDescent="0.25">
      <c r="A684" s="111" t="str">
        <f t="shared" si="10"/>
        <v>JDH4-02-007-PR-2340</v>
      </c>
      <c r="B684" t="s">
        <v>1057</v>
      </c>
      <c r="C684" t="s">
        <v>1058</v>
      </c>
      <c r="D684" s="1">
        <v>179076.09</v>
      </c>
      <c r="E684" s="3">
        <v>1</v>
      </c>
      <c r="F684" s="3">
        <v>1</v>
      </c>
      <c r="G684" s="1">
        <v>179076.09</v>
      </c>
    </row>
    <row r="685" spans="1:7" x14ac:dyDescent="0.25">
      <c r="A685" s="111" t="str">
        <f t="shared" si="10"/>
        <v>Security System (CCTV System)</v>
      </c>
      <c r="B685" t="s">
        <v>1059</v>
      </c>
      <c r="D685" s="1">
        <v>179076.09</v>
      </c>
      <c r="E685" s="3"/>
      <c r="F685" s="3">
        <v>1</v>
      </c>
      <c r="G685" s="1">
        <v>179076.09</v>
      </c>
    </row>
    <row r="686" spans="1:7" x14ac:dyDescent="0.25">
      <c r="A686" s="111" t="str">
        <f t="shared" si="10"/>
        <v>JDH4-02-007-PR-2410</v>
      </c>
      <c r="B686" t="s">
        <v>1060</v>
      </c>
      <c r="C686" t="s">
        <v>1061</v>
      </c>
      <c r="D686" s="1">
        <v>0</v>
      </c>
      <c r="E686" s="3">
        <v>1</v>
      </c>
      <c r="F686" s="3">
        <v>1</v>
      </c>
      <c r="G686">
        <v>0</v>
      </c>
    </row>
    <row r="687" spans="1:7" x14ac:dyDescent="0.25">
      <c r="A687" s="111" t="str">
        <f t="shared" si="10"/>
        <v>JDH4-02-007-PR-2420</v>
      </c>
      <c r="B687" t="s">
        <v>1062</v>
      </c>
      <c r="C687" t="s">
        <v>1063</v>
      </c>
      <c r="D687">
        <v>0</v>
      </c>
      <c r="E687" s="3">
        <v>1</v>
      </c>
      <c r="F687" s="3">
        <v>1</v>
      </c>
      <c r="G687">
        <v>0</v>
      </c>
    </row>
    <row r="688" spans="1:7" x14ac:dyDescent="0.25">
      <c r="A688" s="111" t="str">
        <f t="shared" si="10"/>
        <v>JDH4-02-007-PR-2430</v>
      </c>
      <c r="B688" t="s">
        <v>1064</v>
      </c>
      <c r="C688" t="s">
        <v>1065</v>
      </c>
      <c r="D688" s="1">
        <v>179076.09</v>
      </c>
      <c r="E688" s="3">
        <v>1</v>
      </c>
      <c r="F688" s="3">
        <v>1</v>
      </c>
      <c r="G688" s="1">
        <v>179076.09</v>
      </c>
    </row>
    <row r="689" spans="1:7" x14ac:dyDescent="0.25">
      <c r="A689" s="111" t="str">
        <f t="shared" si="10"/>
        <v>Long Lead Item</v>
      </c>
      <c r="B689" t="s">
        <v>195</v>
      </c>
      <c r="D689" s="1">
        <v>6267663.1500000004</v>
      </c>
      <c r="E689" s="3"/>
      <c r="F689" s="3">
        <v>1</v>
      </c>
      <c r="G689" s="1">
        <v>6267663.1500000004</v>
      </c>
    </row>
    <row r="690" spans="1:7" x14ac:dyDescent="0.25">
      <c r="A690" s="111" t="str">
        <f t="shared" si="10"/>
        <v>TSE Network</v>
      </c>
      <c r="B690" t="s">
        <v>983</v>
      </c>
      <c r="D690" s="1">
        <v>358152.18</v>
      </c>
      <c r="F690" s="3">
        <v>1</v>
      </c>
      <c r="G690" s="1">
        <v>358152.18</v>
      </c>
    </row>
    <row r="691" spans="1:7" x14ac:dyDescent="0.25">
      <c r="A691" s="111" t="str">
        <f t="shared" si="10"/>
        <v>Valves / Chambers</v>
      </c>
      <c r="B691" t="s">
        <v>1066</v>
      </c>
      <c r="D691" s="1">
        <v>179076.09</v>
      </c>
      <c r="E691" s="3"/>
      <c r="F691" s="3">
        <v>1</v>
      </c>
      <c r="G691" s="1">
        <v>179076.09</v>
      </c>
    </row>
    <row r="692" spans="1:7" x14ac:dyDescent="0.25">
      <c r="A692" s="111" t="str">
        <f t="shared" si="10"/>
        <v>JDH4-02-007-PR-1270</v>
      </c>
      <c r="B692" t="s">
        <v>1067</v>
      </c>
      <c r="C692" t="s">
        <v>1068</v>
      </c>
      <c r="D692">
        <v>0</v>
      </c>
      <c r="E692" s="3">
        <v>1</v>
      </c>
      <c r="F692" s="3">
        <v>1</v>
      </c>
      <c r="G692">
        <v>0</v>
      </c>
    </row>
    <row r="693" spans="1:7" x14ac:dyDescent="0.25">
      <c r="A693" s="111" t="str">
        <f t="shared" si="10"/>
        <v>JDH4-02-007-PR-1277</v>
      </c>
      <c r="B693" t="s">
        <v>1069</v>
      </c>
      <c r="C693" t="s">
        <v>1070</v>
      </c>
      <c r="D693">
        <v>0</v>
      </c>
      <c r="E693" s="3">
        <v>1</v>
      </c>
      <c r="F693" s="3">
        <v>1</v>
      </c>
      <c r="G693">
        <v>0</v>
      </c>
    </row>
    <row r="694" spans="1:7" x14ac:dyDescent="0.25">
      <c r="A694" s="111" t="str">
        <f t="shared" si="10"/>
        <v>JDH4-02-007-PR-1278</v>
      </c>
      <c r="B694" t="s">
        <v>1071</v>
      </c>
      <c r="C694" t="s">
        <v>1072</v>
      </c>
      <c r="D694" s="1">
        <v>0</v>
      </c>
      <c r="E694" s="3">
        <v>1</v>
      </c>
      <c r="F694" s="2">
        <v>1</v>
      </c>
      <c r="G694">
        <v>0</v>
      </c>
    </row>
    <row r="695" spans="1:7" x14ac:dyDescent="0.25">
      <c r="A695" s="111" t="str">
        <f t="shared" si="10"/>
        <v>JDH4-02-007-PR-1279</v>
      </c>
      <c r="B695" t="s">
        <v>1073</v>
      </c>
      <c r="C695" t="s">
        <v>1074</v>
      </c>
      <c r="D695" s="1">
        <v>0</v>
      </c>
      <c r="E695" s="3">
        <v>1</v>
      </c>
      <c r="F695" s="3">
        <v>1</v>
      </c>
      <c r="G695">
        <v>0</v>
      </c>
    </row>
    <row r="696" spans="1:7" x14ac:dyDescent="0.25">
      <c r="A696" s="111" t="str">
        <f t="shared" si="10"/>
        <v>JDH4-02-007-PR-1280</v>
      </c>
      <c r="B696" t="s">
        <v>1075</v>
      </c>
      <c r="C696" t="s">
        <v>1076</v>
      </c>
      <c r="D696" s="1">
        <v>0</v>
      </c>
      <c r="E696" s="3">
        <v>1</v>
      </c>
      <c r="F696" s="3">
        <v>1</v>
      </c>
      <c r="G696">
        <v>0</v>
      </c>
    </row>
    <row r="697" spans="1:7" x14ac:dyDescent="0.25">
      <c r="A697" s="111" t="str">
        <f t="shared" si="10"/>
        <v>JDH4-02-007-PR-1290</v>
      </c>
      <c r="B697" t="s">
        <v>1077</v>
      </c>
      <c r="C697" t="s">
        <v>1078</v>
      </c>
      <c r="D697" s="1">
        <v>179076.09</v>
      </c>
      <c r="E697" s="3">
        <v>1</v>
      </c>
      <c r="F697" s="3">
        <v>1</v>
      </c>
      <c r="G697" s="1">
        <v>179076.09</v>
      </c>
    </row>
    <row r="698" spans="1:7" x14ac:dyDescent="0.25">
      <c r="A698" s="111" t="str">
        <f t="shared" si="10"/>
        <v>JDH4-02-007-PR-1820</v>
      </c>
      <c r="B698" t="s">
        <v>1079</v>
      </c>
      <c r="C698" t="s">
        <v>1080</v>
      </c>
      <c r="D698" s="1">
        <v>0</v>
      </c>
      <c r="E698" s="3">
        <v>1</v>
      </c>
      <c r="F698" s="3">
        <v>1</v>
      </c>
      <c r="G698">
        <v>0</v>
      </c>
    </row>
    <row r="699" spans="1:7" x14ac:dyDescent="0.25">
      <c r="A699" s="111" t="str">
        <f t="shared" si="10"/>
        <v>Risers</v>
      </c>
      <c r="B699" t="s">
        <v>1081</v>
      </c>
      <c r="D699" s="1">
        <v>179076.09</v>
      </c>
      <c r="E699" s="3"/>
      <c r="F699" s="3">
        <v>1</v>
      </c>
      <c r="G699" s="1">
        <v>179076.09</v>
      </c>
    </row>
    <row r="700" spans="1:7" x14ac:dyDescent="0.25">
      <c r="A700" s="111" t="str">
        <f t="shared" si="10"/>
        <v>JDH4-02-007-PR-1900</v>
      </c>
      <c r="B700" t="s">
        <v>1082</v>
      </c>
      <c r="C700" t="s">
        <v>1083</v>
      </c>
      <c r="D700">
        <v>0</v>
      </c>
      <c r="E700" s="3">
        <v>1</v>
      </c>
      <c r="F700" s="3">
        <v>1</v>
      </c>
      <c r="G700">
        <v>0</v>
      </c>
    </row>
    <row r="701" spans="1:7" x14ac:dyDescent="0.25">
      <c r="A701" s="111" t="str">
        <f t="shared" si="10"/>
        <v>JDH4-02-007-PR-1907</v>
      </c>
      <c r="B701" t="s">
        <v>1084</v>
      </c>
      <c r="C701" t="s">
        <v>1085</v>
      </c>
      <c r="D701">
        <v>0</v>
      </c>
      <c r="E701" s="3">
        <v>1</v>
      </c>
      <c r="F701" s="3">
        <v>1</v>
      </c>
      <c r="G701">
        <v>0</v>
      </c>
    </row>
    <row r="702" spans="1:7" x14ac:dyDescent="0.25">
      <c r="A702" s="111" t="str">
        <f t="shared" si="10"/>
        <v>JDH4-02-007-PR-1908</v>
      </c>
      <c r="B702" t="s">
        <v>1086</v>
      </c>
      <c r="C702" t="s">
        <v>1087</v>
      </c>
      <c r="D702" s="1">
        <v>0</v>
      </c>
      <c r="E702" s="3">
        <v>1</v>
      </c>
      <c r="F702" s="3">
        <v>1</v>
      </c>
      <c r="G702">
        <v>0</v>
      </c>
    </row>
    <row r="703" spans="1:7" x14ac:dyDescent="0.25">
      <c r="A703" s="111" t="str">
        <f t="shared" si="10"/>
        <v>JDH4-02-007-PR-1909</v>
      </c>
      <c r="B703" t="s">
        <v>1088</v>
      </c>
      <c r="C703" t="s">
        <v>1089</v>
      </c>
      <c r="D703" s="1">
        <v>0</v>
      </c>
      <c r="E703" s="3">
        <v>1</v>
      </c>
      <c r="F703" s="2">
        <v>1</v>
      </c>
      <c r="G703">
        <v>0</v>
      </c>
    </row>
    <row r="704" spans="1:7" x14ac:dyDescent="0.25">
      <c r="A704" s="111" t="str">
        <f t="shared" si="10"/>
        <v>JDH4-02-007-PR-1910</v>
      </c>
      <c r="B704" t="s">
        <v>1090</v>
      </c>
      <c r="C704" t="s">
        <v>1091</v>
      </c>
      <c r="D704" s="1">
        <v>0</v>
      </c>
      <c r="E704" s="3">
        <v>1</v>
      </c>
      <c r="F704" s="3">
        <v>1</v>
      </c>
      <c r="G704">
        <v>0</v>
      </c>
    </row>
    <row r="705" spans="1:7" x14ac:dyDescent="0.25">
      <c r="A705" s="111" t="str">
        <f t="shared" si="10"/>
        <v>JDH4-02-007-PR-1920</v>
      </c>
      <c r="B705" t="s">
        <v>1092</v>
      </c>
      <c r="C705" t="s">
        <v>1093</v>
      </c>
      <c r="D705" s="1">
        <v>179076.09</v>
      </c>
      <c r="E705" s="3">
        <v>1</v>
      </c>
      <c r="F705" s="3">
        <v>1</v>
      </c>
      <c r="G705" s="1">
        <v>179076.09</v>
      </c>
    </row>
    <row r="706" spans="1:7" x14ac:dyDescent="0.25">
      <c r="A706" s="111" t="str">
        <f t="shared" si="10"/>
        <v>JDH4-02-007-PR-1930</v>
      </c>
      <c r="B706" t="s">
        <v>1094</v>
      </c>
      <c r="C706" t="s">
        <v>1095</v>
      </c>
      <c r="D706" s="1">
        <v>0</v>
      </c>
      <c r="E706" s="3">
        <v>1</v>
      </c>
      <c r="F706" s="3">
        <v>1</v>
      </c>
      <c r="G706">
        <v>0</v>
      </c>
    </row>
    <row r="707" spans="1:7" x14ac:dyDescent="0.25">
      <c r="A707" s="111" t="str">
        <f t="shared" si="10"/>
        <v>Potable Water Network</v>
      </c>
      <c r="B707" t="s">
        <v>987</v>
      </c>
      <c r="D707" s="1">
        <v>358152.18</v>
      </c>
      <c r="E707" s="3"/>
      <c r="F707" s="3">
        <v>1</v>
      </c>
      <c r="G707" s="1">
        <v>358152.18</v>
      </c>
    </row>
    <row r="708" spans="1:7" x14ac:dyDescent="0.25">
      <c r="A708" s="111" t="str">
        <f t="shared" ref="A708:A771" si="11">TRIM(B708)</f>
        <v>Valves / Chambers</v>
      </c>
      <c r="B708" t="s">
        <v>1066</v>
      </c>
      <c r="D708" s="1">
        <v>179076.09</v>
      </c>
      <c r="E708" s="3"/>
      <c r="F708" s="3">
        <v>1</v>
      </c>
      <c r="G708" s="1">
        <v>179076.09</v>
      </c>
    </row>
    <row r="709" spans="1:7" x14ac:dyDescent="0.25">
      <c r="A709" s="111" t="str">
        <f t="shared" si="11"/>
        <v>JDH4-02-007-PR-1240</v>
      </c>
      <c r="B709" t="s">
        <v>1096</v>
      </c>
      <c r="C709" t="s">
        <v>1068</v>
      </c>
      <c r="D709">
        <v>0</v>
      </c>
      <c r="E709" s="3">
        <v>1</v>
      </c>
      <c r="F709" s="3">
        <v>1</v>
      </c>
      <c r="G709">
        <v>0</v>
      </c>
    </row>
    <row r="710" spans="1:7" x14ac:dyDescent="0.25">
      <c r="A710" s="111" t="str">
        <f t="shared" si="11"/>
        <v>JDH4-02-007-PR-1249</v>
      </c>
      <c r="B710" t="s">
        <v>1098</v>
      </c>
      <c r="C710" t="s">
        <v>1072</v>
      </c>
      <c r="D710">
        <v>0</v>
      </c>
      <c r="E710" s="3">
        <v>1</v>
      </c>
      <c r="F710" s="3">
        <v>1</v>
      </c>
      <c r="G710">
        <v>0</v>
      </c>
    </row>
    <row r="711" spans="1:7" x14ac:dyDescent="0.25">
      <c r="A711" s="111" t="str">
        <f t="shared" si="11"/>
        <v>JDH4-02-007-PR-1248</v>
      </c>
      <c r="B711" t="s">
        <v>1097</v>
      </c>
      <c r="C711" t="s">
        <v>1070</v>
      </c>
      <c r="D711" s="1">
        <v>0</v>
      </c>
      <c r="E711" s="3">
        <v>1</v>
      </c>
      <c r="F711" s="3">
        <v>1</v>
      </c>
      <c r="G711">
        <v>0</v>
      </c>
    </row>
    <row r="712" spans="1:7" x14ac:dyDescent="0.25">
      <c r="A712" s="111" t="str">
        <f t="shared" si="11"/>
        <v>JDH4-02-007-PR-1250</v>
      </c>
      <c r="B712" t="s">
        <v>1099</v>
      </c>
      <c r="C712" t="s">
        <v>1074</v>
      </c>
      <c r="D712" s="1">
        <v>0</v>
      </c>
      <c r="E712" s="3">
        <v>1</v>
      </c>
      <c r="F712" s="3">
        <v>1</v>
      </c>
      <c r="G712">
        <v>0</v>
      </c>
    </row>
    <row r="713" spans="1:7" x14ac:dyDescent="0.25">
      <c r="A713" s="111" t="str">
        <f t="shared" si="11"/>
        <v>JDH4-02-007-PR-1260</v>
      </c>
      <c r="B713" t="s">
        <v>1100</v>
      </c>
      <c r="C713" t="s">
        <v>1078</v>
      </c>
      <c r="D713" s="1">
        <v>179076.09</v>
      </c>
      <c r="E713" s="3">
        <v>1</v>
      </c>
      <c r="F713" s="3">
        <v>1</v>
      </c>
      <c r="G713" s="1">
        <v>179076.09</v>
      </c>
    </row>
    <row r="714" spans="1:7" x14ac:dyDescent="0.25">
      <c r="A714" s="111" t="str">
        <f t="shared" si="11"/>
        <v>JDH4-02-007-PR-1810</v>
      </c>
      <c r="B714" t="s">
        <v>1101</v>
      </c>
      <c r="C714" t="s">
        <v>1080</v>
      </c>
      <c r="D714">
        <v>0</v>
      </c>
      <c r="E714" s="3">
        <v>1</v>
      </c>
      <c r="F714" s="3">
        <v>1</v>
      </c>
      <c r="G714">
        <v>0</v>
      </c>
    </row>
    <row r="715" spans="1:7" x14ac:dyDescent="0.25">
      <c r="A715" s="111" t="str">
        <f t="shared" si="11"/>
        <v>Fire Hydrants</v>
      </c>
      <c r="B715" t="s">
        <v>1102</v>
      </c>
      <c r="D715" s="1">
        <v>179076.09</v>
      </c>
      <c r="E715" s="3"/>
      <c r="F715" s="3">
        <v>1</v>
      </c>
      <c r="G715" s="1">
        <v>179076.09</v>
      </c>
    </row>
    <row r="716" spans="1:7" x14ac:dyDescent="0.25">
      <c r="A716" s="111" t="str">
        <f t="shared" si="11"/>
        <v>JDH4-02-007-PR-2440</v>
      </c>
      <c r="B716" t="s">
        <v>1103</v>
      </c>
      <c r="C716" t="s">
        <v>215</v>
      </c>
      <c r="D716" s="1">
        <v>0</v>
      </c>
      <c r="E716" s="3">
        <v>1</v>
      </c>
      <c r="F716" s="3">
        <v>1</v>
      </c>
      <c r="G716">
        <v>0</v>
      </c>
    </row>
    <row r="717" spans="1:7" x14ac:dyDescent="0.25">
      <c r="A717" s="111" t="str">
        <f t="shared" si="11"/>
        <v>JDH4-02-007-PR-2447</v>
      </c>
      <c r="B717" t="s">
        <v>1104</v>
      </c>
      <c r="C717" t="s">
        <v>1105</v>
      </c>
      <c r="D717">
        <v>0</v>
      </c>
      <c r="E717" s="3">
        <v>1</v>
      </c>
      <c r="F717" s="3">
        <v>1</v>
      </c>
      <c r="G717">
        <v>0</v>
      </c>
    </row>
    <row r="718" spans="1:7" x14ac:dyDescent="0.25">
      <c r="A718" s="111" t="str">
        <f t="shared" si="11"/>
        <v>JDH4-02-007-PR-2448</v>
      </c>
      <c r="B718" t="s">
        <v>1106</v>
      </c>
      <c r="C718" t="s">
        <v>1107</v>
      </c>
      <c r="D718">
        <v>0</v>
      </c>
      <c r="E718" s="3">
        <v>1</v>
      </c>
      <c r="F718" s="3">
        <v>1</v>
      </c>
      <c r="G718">
        <v>0</v>
      </c>
    </row>
    <row r="719" spans="1:7" x14ac:dyDescent="0.25">
      <c r="A719" s="111" t="str">
        <f t="shared" si="11"/>
        <v>JDH4-02-007-PR-2449</v>
      </c>
      <c r="B719" t="s">
        <v>1108</v>
      </c>
      <c r="C719" t="s">
        <v>1109</v>
      </c>
      <c r="D719" s="1">
        <v>0</v>
      </c>
      <c r="E719" s="3">
        <v>1</v>
      </c>
      <c r="F719" s="3">
        <v>1</v>
      </c>
      <c r="G719">
        <v>0</v>
      </c>
    </row>
    <row r="720" spans="1:7" x14ac:dyDescent="0.25">
      <c r="A720" s="111" t="str">
        <f t="shared" si="11"/>
        <v>JDH4-02-007-PR-2450</v>
      </c>
      <c r="B720" t="s">
        <v>1110</v>
      </c>
      <c r="C720" t="s">
        <v>1111</v>
      </c>
      <c r="D720">
        <v>0</v>
      </c>
      <c r="E720" s="3">
        <v>1</v>
      </c>
      <c r="F720" s="3">
        <v>1</v>
      </c>
      <c r="G720">
        <v>0</v>
      </c>
    </row>
    <row r="721" spans="1:7" x14ac:dyDescent="0.25">
      <c r="A721" s="111" t="str">
        <f t="shared" si="11"/>
        <v>JDH4-02-007-PR-2460</v>
      </c>
      <c r="B721" t="s">
        <v>1112</v>
      </c>
      <c r="C721" t="s">
        <v>216</v>
      </c>
      <c r="D721" s="1">
        <v>179076.09</v>
      </c>
      <c r="E721" s="3">
        <v>1</v>
      </c>
      <c r="F721" s="3">
        <v>1</v>
      </c>
      <c r="G721" s="1">
        <v>179076.09</v>
      </c>
    </row>
    <row r="722" spans="1:7" x14ac:dyDescent="0.25">
      <c r="A722" s="111" t="str">
        <f t="shared" si="11"/>
        <v>JDH4-02-007-PR-2470</v>
      </c>
      <c r="B722" t="s">
        <v>1113</v>
      </c>
      <c r="C722" t="s">
        <v>1114</v>
      </c>
      <c r="D722">
        <v>0</v>
      </c>
      <c r="E722" s="3">
        <v>1</v>
      </c>
      <c r="F722" s="3">
        <v>1</v>
      </c>
      <c r="G722">
        <v>0</v>
      </c>
    </row>
    <row r="723" spans="1:7" x14ac:dyDescent="0.25">
      <c r="A723" s="111" t="str">
        <f t="shared" si="11"/>
        <v>Electrical Network</v>
      </c>
      <c r="B723" t="s">
        <v>190</v>
      </c>
      <c r="D723" s="1">
        <v>1432608.72</v>
      </c>
      <c r="E723" s="3"/>
      <c r="F723" s="3">
        <v>1</v>
      </c>
      <c r="G723" s="1">
        <v>1432608.72</v>
      </c>
    </row>
    <row r="724" spans="1:7" x14ac:dyDescent="0.25">
      <c r="A724" s="111" t="str">
        <f t="shared" si="11"/>
        <v>Medium Voltage Cable</v>
      </c>
      <c r="B724" t="s">
        <v>196</v>
      </c>
      <c r="D724" s="1">
        <v>179076.09</v>
      </c>
      <c r="E724" s="3"/>
      <c r="F724" s="3">
        <v>1</v>
      </c>
      <c r="G724" s="1">
        <v>179076.09</v>
      </c>
    </row>
    <row r="725" spans="1:7" x14ac:dyDescent="0.25">
      <c r="A725" s="111" t="str">
        <f t="shared" si="11"/>
        <v>JDH4-02-007-PR-1000</v>
      </c>
      <c r="B725" t="s">
        <v>1115</v>
      </c>
      <c r="C725" t="s">
        <v>197</v>
      </c>
      <c r="D725">
        <v>0</v>
      </c>
      <c r="E725" s="3">
        <v>1</v>
      </c>
      <c r="F725" s="3">
        <v>1</v>
      </c>
      <c r="G725">
        <v>0</v>
      </c>
    </row>
    <row r="726" spans="1:7" x14ac:dyDescent="0.25">
      <c r="A726" s="111" t="str">
        <f t="shared" si="11"/>
        <v>JDH4-02-007-PR-1060</v>
      </c>
      <c r="B726" t="s">
        <v>1118</v>
      </c>
      <c r="C726" t="s">
        <v>1119</v>
      </c>
      <c r="D726" s="1">
        <v>0</v>
      </c>
      <c r="E726" s="3">
        <v>1</v>
      </c>
      <c r="F726" s="3">
        <v>1</v>
      </c>
      <c r="G726">
        <v>0</v>
      </c>
    </row>
    <row r="727" spans="1:7" x14ac:dyDescent="0.25">
      <c r="A727" s="111" t="str">
        <f t="shared" si="11"/>
        <v>JDH4-02-007-PR-1059</v>
      </c>
      <c r="B727" t="s">
        <v>1116</v>
      </c>
      <c r="C727" t="s">
        <v>1117</v>
      </c>
      <c r="D727" s="1">
        <v>0</v>
      </c>
      <c r="E727" s="3">
        <v>1</v>
      </c>
      <c r="F727" s="3">
        <v>1</v>
      </c>
      <c r="G727">
        <v>0</v>
      </c>
    </row>
    <row r="728" spans="1:7" x14ac:dyDescent="0.25">
      <c r="A728" s="111" t="str">
        <f t="shared" si="11"/>
        <v>JDH4-02-007-PR-1120</v>
      </c>
      <c r="B728" t="s">
        <v>1120</v>
      </c>
      <c r="C728" t="s">
        <v>198</v>
      </c>
      <c r="D728" s="1">
        <v>179076.09</v>
      </c>
      <c r="E728" s="3">
        <v>1</v>
      </c>
      <c r="F728" s="3">
        <v>1</v>
      </c>
      <c r="G728" s="1">
        <v>179076.09</v>
      </c>
    </row>
    <row r="729" spans="1:7" x14ac:dyDescent="0.25">
      <c r="A729" s="111" t="str">
        <f t="shared" si="11"/>
        <v>JDH4-02-007-PR-1750</v>
      </c>
      <c r="B729" t="s">
        <v>1121</v>
      </c>
      <c r="C729" t="s">
        <v>1122</v>
      </c>
      <c r="D729">
        <v>0</v>
      </c>
      <c r="E729" s="3">
        <v>1</v>
      </c>
      <c r="F729" s="3">
        <v>1</v>
      </c>
      <c r="G729">
        <v>0</v>
      </c>
    </row>
    <row r="730" spans="1:7" x14ac:dyDescent="0.25">
      <c r="A730" s="111" t="str">
        <f t="shared" si="11"/>
        <v>Unit Sub Station</v>
      </c>
      <c r="B730" t="s">
        <v>1123</v>
      </c>
      <c r="D730" s="1">
        <v>179076.09</v>
      </c>
      <c r="E730" s="3"/>
      <c r="F730" s="3">
        <v>1</v>
      </c>
      <c r="G730" s="1">
        <v>179076.09</v>
      </c>
    </row>
    <row r="731" spans="1:7" x14ac:dyDescent="0.25">
      <c r="A731" s="111" t="str">
        <f t="shared" si="11"/>
        <v>JDH4-02-007-PR-1010</v>
      </c>
      <c r="B731" t="s">
        <v>1124</v>
      </c>
      <c r="C731" t="s">
        <v>1125</v>
      </c>
      <c r="D731" s="1">
        <v>0</v>
      </c>
      <c r="E731" s="3">
        <v>1</v>
      </c>
      <c r="F731" s="3">
        <v>1</v>
      </c>
      <c r="G731">
        <v>0</v>
      </c>
    </row>
    <row r="732" spans="1:7" x14ac:dyDescent="0.25">
      <c r="A732" s="111" t="str">
        <f t="shared" si="11"/>
        <v>JDH4-02-007-PR-1067</v>
      </c>
      <c r="B732" t="s">
        <v>1126</v>
      </c>
      <c r="C732" t="s">
        <v>1127</v>
      </c>
      <c r="D732">
        <v>0</v>
      </c>
      <c r="E732" s="3">
        <v>1</v>
      </c>
      <c r="F732" s="3">
        <v>1</v>
      </c>
      <c r="G732">
        <v>0</v>
      </c>
    </row>
    <row r="733" spans="1:7" x14ac:dyDescent="0.25">
      <c r="A733" s="111" t="str">
        <f t="shared" si="11"/>
        <v>JDH4-02-007-PR-1068</v>
      </c>
      <c r="B733" t="s">
        <v>1128</v>
      </c>
      <c r="C733" t="s">
        <v>1129</v>
      </c>
      <c r="D733" s="1">
        <v>0</v>
      </c>
      <c r="E733" s="3">
        <v>1</v>
      </c>
      <c r="F733" s="3">
        <v>1</v>
      </c>
      <c r="G733">
        <v>0</v>
      </c>
    </row>
    <row r="734" spans="1:7" x14ac:dyDescent="0.25">
      <c r="A734" s="111" t="str">
        <f t="shared" si="11"/>
        <v>JDH4-02-007-PR-1069</v>
      </c>
      <c r="B734" t="s">
        <v>1130</v>
      </c>
      <c r="C734" t="s">
        <v>1131</v>
      </c>
      <c r="D734" s="1">
        <v>0</v>
      </c>
      <c r="E734" s="3">
        <v>1</v>
      </c>
      <c r="F734" s="3">
        <v>1</v>
      </c>
      <c r="G734">
        <v>0</v>
      </c>
    </row>
    <row r="735" spans="1:7" x14ac:dyDescent="0.25">
      <c r="A735" s="111" t="str">
        <f t="shared" si="11"/>
        <v>JDH4-02-007-PR-1070</v>
      </c>
      <c r="B735" t="s">
        <v>1132</v>
      </c>
      <c r="C735" t="s">
        <v>1133</v>
      </c>
      <c r="D735" s="1">
        <v>0</v>
      </c>
      <c r="E735" s="3">
        <v>1</v>
      </c>
      <c r="F735" s="3">
        <v>1</v>
      </c>
      <c r="G735">
        <v>0</v>
      </c>
    </row>
    <row r="736" spans="1:7" x14ac:dyDescent="0.25">
      <c r="A736" s="111" t="str">
        <f t="shared" si="11"/>
        <v>JDH4-02-007-PR-1130</v>
      </c>
      <c r="B736" t="s">
        <v>1134</v>
      </c>
      <c r="C736" t="s">
        <v>1135</v>
      </c>
      <c r="D736" s="1">
        <v>179076.09</v>
      </c>
      <c r="E736" s="3">
        <v>1</v>
      </c>
      <c r="F736" s="3">
        <v>1</v>
      </c>
      <c r="G736" s="1">
        <v>179076.09</v>
      </c>
    </row>
    <row r="737" spans="1:7" x14ac:dyDescent="0.25">
      <c r="A737" s="111" t="str">
        <f t="shared" si="11"/>
        <v>JDH4-02-007-PR-1760</v>
      </c>
      <c r="B737" t="s">
        <v>1136</v>
      </c>
      <c r="C737" t="s">
        <v>1137</v>
      </c>
      <c r="D737">
        <v>0</v>
      </c>
      <c r="E737" s="3">
        <v>1</v>
      </c>
      <c r="F737" s="3">
        <v>1</v>
      </c>
      <c r="G737">
        <v>0</v>
      </c>
    </row>
    <row r="738" spans="1:7" x14ac:dyDescent="0.25">
      <c r="A738" s="111" t="str">
        <f t="shared" si="11"/>
        <v>Low Voltage Cables</v>
      </c>
      <c r="B738" t="s">
        <v>202</v>
      </c>
      <c r="D738" s="1">
        <v>179076.09</v>
      </c>
      <c r="E738" s="3"/>
      <c r="F738" s="3">
        <v>1</v>
      </c>
      <c r="G738" s="1">
        <v>179076.09</v>
      </c>
    </row>
    <row r="739" spans="1:7" x14ac:dyDescent="0.25">
      <c r="A739" s="111" t="str">
        <f t="shared" si="11"/>
        <v>JDH4-02-007-PR-1020</v>
      </c>
      <c r="B739" t="s">
        <v>1138</v>
      </c>
      <c r="C739" t="s">
        <v>203</v>
      </c>
      <c r="D739" s="1">
        <v>0</v>
      </c>
      <c r="E739" s="3">
        <v>1</v>
      </c>
      <c r="F739" s="3">
        <v>1</v>
      </c>
      <c r="G739">
        <v>0</v>
      </c>
    </row>
    <row r="740" spans="1:7" x14ac:dyDescent="0.25">
      <c r="A740" s="111" t="str">
        <f t="shared" si="11"/>
        <v>JDH4-02-007-PR-1078</v>
      </c>
      <c r="B740" t="s">
        <v>1139</v>
      </c>
      <c r="C740" t="s">
        <v>1140</v>
      </c>
      <c r="D740" s="1">
        <v>0</v>
      </c>
      <c r="E740" s="3">
        <v>1</v>
      </c>
      <c r="F740" s="3">
        <v>1</v>
      </c>
      <c r="G740">
        <v>0</v>
      </c>
    </row>
    <row r="741" spans="1:7" x14ac:dyDescent="0.25">
      <c r="A741" s="111" t="str">
        <f t="shared" si="11"/>
        <v>JDH4-02-007-PR-1079</v>
      </c>
      <c r="B741" t="s">
        <v>1141</v>
      </c>
      <c r="C741" t="s">
        <v>1142</v>
      </c>
      <c r="D741">
        <v>0</v>
      </c>
      <c r="E741" s="3">
        <v>1</v>
      </c>
      <c r="F741" s="3">
        <v>1</v>
      </c>
      <c r="G741">
        <v>0</v>
      </c>
    </row>
    <row r="742" spans="1:7" x14ac:dyDescent="0.25">
      <c r="A742" s="111" t="str">
        <f t="shared" si="11"/>
        <v>JDH4-02-007-PR-1080</v>
      </c>
      <c r="B742" t="s">
        <v>1143</v>
      </c>
      <c r="C742" t="s">
        <v>1144</v>
      </c>
      <c r="D742" s="1">
        <v>0</v>
      </c>
      <c r="E742" s="3">
        <v>1</v>
      </c>
      <c r="F742" s="3">
        <v>1</v>
      </c>
      <c r="G742">
        <v>0</v>
      </c>
    </row>
    <row r="743" spans="1:7" x14ac:dyDescent="0.25">
      <c r="A743" s="111" t="str">
        <f t="shared" si="11"/>
        <v>JDH4-02-007-PR-1140</v>
      </c>
      <c r="B743" t="s">
        <v>1145</v>
      </c>
      <c r="C743" t="s">
        <v>204</v>
      </c>
      <c r="D743" s="1">
        <v>179076.09</v>
      </c>
      <c r="E743" s="3">
        <v>1</v>
      </c>
      <c r="F743" s="3">
        <v>1</v>
      </c>
      <c r="G743" s="1">
        <v>179076.09</v>
      </c>
    </row>
    <row r="744" spans="1:7" x14ac:dyDescent="0.25">
      <c r="A744" s="111" t="str">
        <f t="shared" si="11"/>
        <v>JDH4-02-007-PR-1770</v>
      </c>
      <c r="B744" t="s">
        <v>1146</v>
      </c>
      <c r="C744" t="s">
        <v>1147</v>
      </c>
      <c r="D744">
        <v>0</v>
      </c>
      <c r="E744" s="3">
        <v>1</v>
      </c>
      <c r="F744" s="3">
        <v>1</v>
      </c>
      <c r="G744">
        <v>0</v>
      </c>
    </row>
    <row r="745" spans="1:7" x14ac:dyDescent="0.25">
      <c r="A745" s="111" t="str">
        <f t="shared" si="11"/>
        <v>Ring Main Unit</v>
      </c>
      <c r="B745" t="s">
        <v>199</v>
      </c>
      <c r="D745" s="1">
        <v>179076.09</v>
      </c>
      <c r="E745" s="3"/>
      <c r="F745" s="3">
        <v>1</v>
      </c>
      <c r="G745" s="1">
        <v>179076.09</v>
      </c>
    </row>
    <row r="746" spans="1:7" x14ac:dyDescent="0.25">
      <c r="A746" s="111" t="str">
        <f t="shared" si="11"/>
        <v>JDH4-02-007-PR-1940</v>
      </c>
      <c r="B746" t="s">
        <v>1148</v>
      </c>
      <c r="C746" t="s">
        <v>200</v>
      </c>
      <c r="D746" s="1">
        <v>0</v>
      </c>
      <c r="E746" s="3">
        <v>1</v>
      </c>
      <c r="F746" s="3">
        <v>1</v>
      </c>
      <c r="G746">
        <v>0</v>
      </c>
    </row>
    <row r="747" spans="1:7" x14ac:dyDescent="0.25">
      <c r="A747" s="111" t="str">
        <f t="shared" si="11"/>
        <v>JDH4-02-007-PR-1948</v>
      </c>
      <c r="B747" t="s">
        <v>1149</v>
      </c>
      <c r="C747" t="s">
        <v>1150</v>
      </c>
      <c r="D747" s="1">
        <v>0</v>
      </c>
      <c r="E747" s="3">
        <v>1</v>
      </c>
      <c r="F747" s="3">
        <v>1</v>
      </c>
      <c r="G747">
        <v>0</v>
      </c>
    </row>
    <row r="748" spans="1:7" x14ac:dyDescent="0.25">
      <c r="A748" s="111" t="str">
        <f t="shared" si="11"/>
        <v>JDH4-02-007-PR-1949</v>
      </c>
      <c r="B748" t="s">
        <v>1151</v>
      </c>
      <c r="C748" t="s">
        <v>1152</v>
      </c>
      <c r="D748">
        <v>0</v>
      </c>
      <c r="E748" s="3">
        <v>1</v>
      </c>
      <c r="F748" s="3">
        <v>1</v>
      </c>
      <c r="G748">
        <v>0</v>
      </c>
    </row>
    <row r="749" spans="1:7" x14ac:dyDescent="0.25">
      <c r="A749" s="111" t="str">
        <f t="shared" si="11"/>
        <v>JDH4-02-007-PR-1950</v>
      </c>
      <c r="B749" t="s">
        <v>1153</v>
      </c>
      <c r="C749" t="s">
        <v>1154</v>
      </c>
      <c r="D749" s="1">
        <v>0</v>
      </c>
      <c r="E749" s="3">
        <v>1</v>
      </c>
      <c r="F749" s="3">
        <v>1</v>
      </c>
      <c r="G749">
        <v>0</v>
      </c>
    </row>
    <row r="750" spans="1:7" x14ac:dyDescent="0.25">
      <c r="A750" s="111" t="str">
        <f t="shared" si="11"/>
        <v>JDH4-02-007-PR-1960</v>
      </c>
      <c r="B750" t="s">
        <v>1155</v>
      </c>
      <c r="C750" t="s">
        <v>201</v>
      </c>
      <c r="D750" s="1">
        <v>179076.09</v>
      </c>
      <c r="E750" s="3">
        <v>1</v>
      </c>
      <c r="F750" s="3">
        <v>1</v>
      </c>
      <c r="G750" s="1">
        <v>179076.09</v>
      </c>
    </row>
    <row r="751" spans="1:7" x14ac:dyDescent="0.25">
      <c r="A751" s="111" t="str">
        <f t="shared" si="11"/>
        <v>JDH4-02-007-PR-1970</v>
      </c>
      <c r="B751" t="s">
        <v>1156</v>
      </c>
      <c r="C751" t="s">
        <v>1157</v>
      </c>
      <c r="D751" s="1">
        <v>0</v>
      </c>
      <c r="E751" s="3">
        <v>1</v>
      </c>
      <c r="F751" s="3">
        <v>1</v>
      </c>
      <c r="G751">
        <v>0</v>
      </c>
    </row>
    <row r="752" spans="1:7" x14ac:dyDescent="0.25">
      <c r="A752" s="111" t="str">
        <f t="shared" si="11"/>
        <v>Lighting poles</v>
      </c>
      <c r="B752" t="s">
        <v>205</v>
      </c>
      <c r="D752" s="1">
        <v>179076.09</v>
      </c>
      <c r="E752" s="3"/>
      <c r="F752" s="3">
        <v>1</v>
      </c>
      <c r="G752" s="1">
        <v>179076.09</v>
      </c>
    </row>
    <row r="753" spans="1:7" x14ac:dyDescent="0.25">
      <c r="A753" s="111" t="str">
        <f t="shared" si="11"/>
        <v>JDH4-02-007-PR-1030</v>
      </c>
      <c r="B753" t="s">
        <v>1158</v>
      </c>
      <c r="C753" t="s">
        <v>206</v>
      </c>
      <c r="D753">
        <v>0</v>
      </c>
      <c r="E753" s="3">
        <v>1</v>
      </c>
      <c r="F753" s="3">
        <v>1</v>
      </c>
      <c r="G753">
        <v>0</v>
      </c>
    </row>
    <row r="754" spans="1:7" x14ac:dyDescent="0.25">
      <c r="A754" s="111" t="str">
        <f t="shared" si="11"/>
        <v>JDH4-02-007-PR-1088</v>
      </c>
      <c r="B754" t="s">
        <v>1159</v>
      </c>
      <c r="C754" t="s">
        <v>1160</v>
      </c>
      <c r="D754" s="1">
        <v>0</v>
      </c>
      <c r="E754" s="3">
        <v>1</v>
      </c>
      <c r="F754" s="3">
        <v>1</v>
      </c>
      <c r="G754">
        <v>0</v>
      </c>
    </row>
    <row r="755" spans="1:7" x14ac:dyDescent="0.25">
      <c r="A755" s="111" t="str">
        <f t="shared" si="11"/>
        <v>JDH4-02-007-PR-1090</v>
      </c>
      <c r="B755" t="s">
        <v>1163</v>
      </c>
      <c r="C755" t="s">
        <v>1164</v>
      </c>
      <c r="D755" s="1">
        <v>0</v>
      </c>
      <c r="E755" s="3">
        <v>1</v>
      </c>
      <c r="F755" s="3">
        <v>1</v>
      </c>
      <c r="G755">
        <v>0</v>
      </c>
    </row>
    <row r="756" spans="1:7" x14ac:dyDescent="0.25">
      <c r="A756" s="111" t="str">
        <f t="shared" si="11"/>
        <v>JDH4-02-007-PR-1089</v>
      </c>
      <c r="B756" t="s">
        <v>1161</v>
      </c>
      <c r="C756" t="s">
        <v>1162</v>
      </c>
      <c r="D756" s="1">
        <v>0</v>
      </c>
      <c r="E756" s="3">
        <v>1</v>
      </c>
      <c r="F756" s="3">
        <v>1</v>
      </c>
      <c r="G756" s="1">
        <v>0</v>
      </c>
    </row>
    <row r="757" spans="1:7" x14ac:dyDescent="0.25">
      <c r="A757" s="111" t="str">
        <f t="shared" si="11"/>
        <v>JDH4-02-007-PR-1150</v>
      </c>
      <c r="B757" t="s">
        <v>1165</v>
      </c>
      <c r="C757" t="s">
        <v>207</v>
      </c>
      <c r="D757" s="1">
        <v>179076.09</v>
      </c>
      <c r="E757" s="3">
        <v>1</v>
      </c>
      <c r="F757" s="3">
        <v>1</v>
      </c>
      <c r="G757" s="1">
        <v>179076.09</v>
      </c>
    </row>
    <row r="758" spans="1:7" x14ac:dyDescent="0.25">
      <c r="A758" s="111" t="str">
        <f t="shared" si="11"/>
        <v>JDH4-02-007-PR-1780</v>
      </c>
      <c r="B758" t="s">
        <v>1166</v>
      </c>
      <c r="C758" t="s">
        <v>1167</v>
      </c>
      <c r="D758" s="1">
        <v>0</v>
      </c>
      <c r="E758" s="3">
        <v>1</v>
      </c>
      <c r="F758" s="3">
        <v>1</v>
      </c>
      <c r="G758">
        <v>0</v>
      </c>
    </row>
    <row r="759" spans="1:7" x14ac:dyDescent="0.25">
      <c r="A759" s="111" t="str">
        <f t="shared" si="11"/>
        <v>Street Lighting Luminaire</v>
      </c>
      <c r="B759" t="s">
        <v>208</v>
      </c>
      <c r="D759" s="1">
        <v>179076.09</v>
      </c>
      <c r="E759" s="3"/>
      <c r="F759" s="3">
        <v>1</v>
      </c>
      <c r="G759" s="1">
        <v>179076.09</v>
      </c>
    </row>
    <row r="760" spans="1:7" x14ac:dyDescent="0.25">
      <c r="A760" s="111" t="str">
        <f t="shared" si="11"/>
        <v>JDH4-02-007-PR-1040</v>
      </c>
      <c r="B760" t="s">
        <v>1168</v>
      </c>
      <c r="C760" t="s">
        <v>209</v>
      </c>
      <c r="D760">
        <v>0</v>
      </c>
      <c r="E760" s="3">
        <v>1</v>
      </c>
      <c r="F760" s="3">
        <v>1</v>
      </c>
      <c r="G760">
        <v>0</v>
      </c>
    </row>
    <row r="761" spans="1:7" x14ac:dyDescent="0.25">
      <c r="A761" s="111" t="str">
        <f t="shared" si="11"/>
        <v>JDH4-02-007-PR-1098</v>
      </c>
      <c r="B761" t="s">
        <v>1169</v>
      </c>
      <c r="C761" t="s">
        <v>1170</v>
      </c>
      <c r="D761" s="1">
        <v>0</v>
      </c>
      <c r="E761" s="3">
        <v>1</v>
      </c>
      <c r="F761" s="3">
        <v>1</v>
      </c>
      <c r="G761">
        <v>0</v>
      </c>
    </row>
    <row r="762" spans="1:7" x14ac:dyDescent="0.25">
      <c r="A762" s="111" t="str">
        <f t="shared" si="11"/>
        <v>JDH4-02-007-PR-1099</v>
      </c>
      <c r="B762" t="s">
        <v>1171</v>
      </c>
      <c r="C762" t="s">
        <v>1172</v>
      </c>
      <c r="D762" s="1">
        <v>0</v>
      </c>
      <c r="E762" s="3">
        <v>1</v>
      </c>
      <c r="F762" s="3">
        <v>1</v>
      </c>
      <c r="G762" s="1">
        <v>0</v>
      </c>
    </row>
    <row r="763" spans="1:7" x14ac:dyDescent="0.25">
      <c r="A763" s="111" t="str">
        <f t="shared" si="11"/>
        <v>JDH4-02-007-PR-1100</v>
      </c>
      <c r="B763" t="s">
        <v>1173</v>
      </c>
      <c r="C763" t="s">
        <v>1174</v>
      </c>
      <c r="D763" s="1">
        <v>0</v>
      </c>
      <c r="E763" s="3">
        <v>1</v>
      </c>
      <c r="F763" s="3">
        <v>1</v>
      </c>
      <c r="G763" s="1">
        <v>0</v>
      </c>
    </row>
    <row r="764" spans="1:7" x14ac:dyDescent="0.25">
      <c r="A764" s="111" t="str">
        <f t="shared" si="11"/>
        <v>JDH4-02-007-PR-1160</v>
      </c>
      <c r="B764" t="s">
        <v>1175</v>
      </c>
      <c r="C764" t="s">
        <v>210</v>
      </c>
      <c r="D764" s="1">
        <v>179076.09</v>
      </c>
      <c r="E764" s="3">
        <v>1</v>
      </c>
      <c r="F764" s="3">
        <v>1</v>
      </c>
      <c r="G764" s="1">
        <v>179076.09</v>
      </c>
    </row>
    <row r="765" spans="1:7" x14ac:dyDescent="0.25">
      <c r="A765" s="111" t="str">
        <f t="shared" si="11"/>
        <v>JDH4-02-007-PR-1790</v>
      </c>
      <c r="B765" t="s">
        <v>1176</v>
      </c>
      <c r="C765" t="s">
        <v>1177</v>
      </c>
      <c r="D765">
        <v>0</v>
      </c>
      <c r="E765" s="3">
        <v>1</v>
      </c>
      <c r="F765" s="3">
        <v>1</v>
      </c>
      <c r="G765">
        <v>0</v>
      </c>
    </row>
    <row r="766" spans="1:7" x14ac:dyDescent="0.25">
      <c r="A766" s="111" t="str">
        <f t="shared" si="11"/>
        <v>Lighting panels/Feeder Pillers</v>
      </c>
      <c r="B766" t="s">
        <v>1178</v>
      </c>
      <c r="D766" s="1">
        <v>179076.09</v>
      </c>
      <c r="E766" s="3"/>
      <c r="F766" s="3">
        <v>1</v>
      </c>
      <c r="G766" s="1">
        <v>179076.09</v>
      </c>
    </row>
    <row r="767" spans="1:7" x14ac:dyDescent="0.25">
      <c r="A767" s="111" t="str">
        <f t="shared" si="11"/>
        <v>JDH4-02-007-PR-1050</v>
      </c>
      <c r="B767" t="s">
        <v>1179</v>
      </c>
      <c r="C767" t="s">
        <v>1180</v>
      </c>
      <c r="D767" s="1">
        <v>0</v>
      </c>
      <c r="E767" s="3">
        <v>1</v>
      </c>
      <c r="F767" s="3">
        <v>1</v>
      </c>
      <c r="G767">
        <v>0</v>
      </c>
    </row>
    <row r="768" spans="1:7" x14ac:dyDescent="0.25">
      <c r="A768" s="111" t="str">
        <f t="shared" si="11"/>
        <v>JDH4-02-007-PR-1108</v>
      </c>
      <c r="B768" t="s">
        <v>1181</v>
      </c>
      <c r="C768" t="s">
        <v>1182</v>
      </c>
      <c r="D768">
        <v>0</v>
      </c>
      <c r="E768" s="3">
        <v>1</v>
      </c>
      <c r="F768" s="3">
        <v>1</v>
      </c>
      <c r="G768">
        <v>0</v>
      </c>
    </row>
    <row r="769" spans="1:7" x14ac:dyDescent="0.25">
      <c r="A769" s="111" t="str">
        <f t="shared" si="11"/>
        <v>JDH4-02-007-PR-1110</v>
      </c>
      <c r="B769" t="s">
        <v>1185</v>
      </c>
      <c r="C769" t="s">
        <v>1186</v>
      </c>
      <c r="D769">
        <v>0</v>
      </c>
      <c r="E769" s="3">
        <v>1</v>
      </c>
      <c r="F769" s="3">
        <v>1</v>
      </c>
      <c r="G769">
        <v>0</v>
      </c>
    </row>
    <row r="770" spans="1:7" x14ac:dyDescent="0.25">
      <c r="A770" s="111" t="str">
        <f t="shared" si="11"/>
        <v>JDH4-02-007-PR-1170</v>
      </c>
      <c r="B770" t="s">
        <v>1187</v>
      </c>
      <c r="C770" t="s">
        <v>1188</v>
      </c>
      <c r="D770" s="1">
        <v>179076.09</v>
      </c>
      <c r="E770" s="3">
        <v>1</v>
      </c>
      <c r="F770" s="3">
        <v>1</v>
      </c>
      <c r="G770" s="1">
        <v>179076.09</v>
      </c>
    </row>
    <row r="771" spans="1:7" x14ac:dyDescent="0.25">
      <c r="A771" s="111" t="str">
        <f t="shared" si="11"/>
        <v>JDH4-02-007-PR-1109</v>
      </c>
      <c r="B771" t="s">
        <v>1183</v>
      </c>
      <c r="C771" t="s">
        <v>1184</v>
      </c>
      <c r="D771" s="1">
        <v>0</v>
      </c>
      <c r="E771" s="3">
        <v>1</v>
      </c>
      <c r="F771" s="3">
        <v>1</v>
      </c>
      <c r="G771">
        <v>0</v>
      </c>
    </row>
    <row r="772" spans="1:7" x14ac:dyDescent="0.25">
      <c r="A772" s="111" t="str">
        <f t="shared" ref="A772:A835" si="12">TRIM(B772)</f>
        <v>JDH4-02-007-PR-1800</v>
      </c>
      <c r="B772" t="s">
        <v>1189</v>
      </c>
      <c r="C772" t="s">
        <v>1190</v>
      </c>
      <c r="D772" s="1">
        <v>0</v>
      </c>
      <c r="E772" s="3">
        <v>1</v>
      </c>
      <c r="F772" s="3">
        <v>1</v>
      </c>
      <c r="G772">
        <v>0</v>
      </c>
    </row>
    <row r="773" spans="1:7" x14ac:dyDescent="0.25">
      <c r="A773" s="111" t="str">
        <f t="shared" si="12"/>
        <v>Low Voltage Distribution Panels</v>
      </c>
      <c r="B773" t="s">
        <v>1191</v>
      </c>
      <c r="D773" s="1">
        <v>179076.09</v>
      </c>
      <c r="E773" s="3"/>
      <c r="F773" s="3">
        <v>1</v>
      </c>
      <c r="G773" s="1">
        <v>179076.09</v>
      </c>
    </row>
    <row r="774" spans="1:7" x14ac:dyDescent="0.25">
      <c r="A774" s="111" t="str">
        <f t="shared" si="12"/>
        <v>JDH4-02-007-PR-2480</v>
      </c>
      <c r="B774" t="s">
        <v>1192</v>
      </c>
      <c r="C774" t="s">
        <v>1193</v>
      </c>
      <c r="D774" s="1">
        <v>0</v>
      </c>
      <c r="E774" s="3">
        <v>1</v>
      </c>
      <c r="F774" s="3">
        <v>1</v>
      </c>
      <c r="G774">
        <v>0</v>
      </c>
    </row>
    <row r="775" spans="1:7" x14ac:dyDescent="0.25">
      <c r="A775" s="111" t="str">
        <f t="shared" si="12"/>
        <v>JDH4-02-007-PR-2488</v>
      </c>
      <c r="B775" t="s">
        <v>1194</v>
      </c>
      <c r="C775" t="s">
        <v>1195</v>
      </c>
      <c r="D775">
        <v>0</v>
      </c>
      <c r="E775" s="3">
        <v>1</v>
      </c>
      <c r="F775" s="3">
        <v>1</v>
      </c>
      <c r="G775">
        <v>0</v>
      </c>
    </row>
    <row r="776" spans="1:7" x14ac:dyDescent="0.25">
      <c r="A776" s="111" t="str">
        <f t="shared" si="12"/>
        <v>JDH4-02-007-PR-2489</v>
      </c>
      <c r="B776" t="s">
        <v>1196</v>
      </c>
      <c r="C776" t="s">
        <v>1197</v>
      </c>
      <c r="D776">
        <v>0</v>
      </c>
      <c r="E776" s="3">
        <v>1</v>
      </c>
      <c r="F776" s="3">
        <v>1</v>
      </c>
      <c r="G776">
        <v>0</v>
      </c>
    </row>
    <row r="777" spans="1:7" x14ac:dyDescent="0.25">
      <c r="A777" s="111" t="str">
        <f t="shared" si="12"/>
        <v>JDH4-02-007-PR-2490</v>
      </c>
      <c r="B777" t="s">
        <v>1198</v>
      </c>
      <c r="C777" t="s">
        <v>1199</v>
      </c>
      <c r="D777">
        <v>0</v>
      </c>
      <c r="E777" s="3">
        <v>1</v>
      </c>
      <c r="F777" s="3">
        <v>1</v>
      </c>
      <c r="G777">
        <v>0</v>
      </c>
    </row>
    <row r="778" spans="1:7" x14ac:dyDescent="0.25">
      <c r="A778" s="111" t="str">
        <f t="shared" si="12"/>
        <v>JDH4-02-007-PR-2500</v>
      </c>
      <c r="B778" t="s">
        <v>1200</v>
      </c>
      <c r="C778" t="s">
        <v>1201</v>
      </c>
      <c r="D778" s="1">
        <v>179076.09</v>
      </c>
      <c r="E778" s="3">
        <v>1</v>
      </c>
      <c r="F778" s="3">
        <v>1</v>
      </c>
      <c r="G778" s="1">
        <v>179076.09</v>
      </c>
    </row>
    <row r="779" spans="1:7" x14ac:dyDescent="0.25">
      <c r="A779" s="111" t="str">
        <f t="shared" si="12"/>
        <v>JDH4-02-007-PR-2510</v>
      </c>
      <c r="B779" t="s">
        <v>1202</v>
      </c>
      <c r="C779" t="s">
        <v>1203</v>
      </c>
      <c r="D779" s="1">
        <v>0</v>
      </c>
      <c r="E779" s="3">
        <v>1</v>
      </c>
      <c r="F779" s="3">
        <v>1</v>
      </c>
      <c r="G779">
        <v>0</v>
      </c>
    </row>
    <row r="780" spans="1:7" x14ac:dyDescent="0.25">
      <c r="A780" s="111" t="str">
        <f t="shared" si="12"/>
        <v>Sewage Lift Station</v>
      </c>
      <c r="B780" t="s">
        <v>1004</v>
      </c>
      <c r="D780" s="1">
        <v>4118750.07</v>
      </c>
      <c r="E780" s="3"/>
      <c r="F780" s="3">
        <v>1</v>
      </c>
      <c r="G780" s="1">
        <v>4118750.07</v>
      </c>
    </row>
    <row r="781" spans="1:7" x14ac:dyDescent="0.25">
      <c r="A781" s="111" t="str">
        <f t="shared" si="12"/>
        <v>Odours scrubbing system</v>
      </c>
      <c r="B781" t="s">
        <v>1204</v>
      </c>
      <c r="D781" s="1">
        <v>179076.09</v>
      </c>
      <c r="E781" s="3"/>
      <c r="F781" s="3">
        <v>1</v>
      </c>
      <c r="G781" s="1">
        <v>179076.09</v>
      </c>
    </row>
    <row r="782" spans="1:7" x14ac:dyDescent="0.25">
      <c r="A782" s="111" t="str">
        <f t="shared" si="12"/>
        <v>JDH4-02-007-PR-1990</v>
      </c>
      <c r="B782" t="s">
        <v>1205</v>
      </c>
      <c r="C782" t="s">
        <v>1206</v>
      </c>
      <c r="D782" s="1">
        <v>0</v>
      </c>
      <c r="E782" s="3">
        <v>1</v>
      </c>
      <c r="F782" s="3">
        <v>1</v>
      </c>
      <c r="G782">
        <v>0</v>
      </c>
    </row>
    <row r="783" spans="1:7" x14ac:dyDescent="0.25">
      <c r="A783" s="111" t="str">
        <f t="shared" si="12"/>
        <v>JDH4-02-007-PR-2037</v>
      </c>
      <c r="B783" t="s">
        <v>1207</v>
      </c>
      <c r="C783" t="s">
        <v>1208</v>
      </c>
      <c r="D783" s="1">
        <v>0</v>
      </c>
      <c r="E783" s="3">
        <v>1</v>
      </c>
      <c r="F783" s="3">
        <v>1</v>
      </c>
      <c r="G783">
        <v>0</v>
      </c>
    </row>
    <row r="784" spans="1:7" x14ac:dyDescent="0.25">
      <c r="A784" s="111" t="str">
        <f t="shared" si="12"/>
        <v>JDH4-02-007-PR-2038</v>
      </c>
      <c r="B784" t="s">
        <v>1209</v>
      </c>
      <c r="C784" t="s">
        <v>1210</v>
      </c>
      <c r="D784">
        <v>0</v>
      </c>
      <c r="E784" s="3">
        <v>1</v>
      </c>
      <c r="F784" s="3">
        <v>1</v>
      </c>
      <c r="G784">
        <v>0</v>
      </c>
    </row>
    <row r="785" spans="1:7" x14ac:dyDescent="0.25">
      <c r="A785" s="111" t="str">
        <f t="shared" si="12"/>
        <v>JDH4-02-007-PR-2039</v>
      </c>
      <c r="B785" t="s">
        <v>1211</v>
      </c>
      <c r="C785" t="s">
        <v>1212</v>
      </c>
      <c r="D785">
        <v>0</v>
      </c>
      <c r="E785" s="3">
        <v>1</v>
      </c>
      <c r="F785" s="3">
        <v>1</v>
      </c>
      <c r="G785">
        <v>0</v>
      </c>
    </row>
    <row r="786" spans="1:7" x14ac:dyDescent="0.25">
      <c r="A786" s="111" t="str">
        <f t="shared" si="12"/>
        <v>JDH4-02-007-PR-2040</v>
      </c>
      <c r="B786" t="s">
        <v>1213</v>
      </c>
      <c r="C786" t="s">
        <v>1214</v>
      </c>
      <c r="D786" s="1">
        <v>0</v>
      </c>
      <c r="E786" s="3">
        <v>1</v>
      </c>
      <c r="F786" s="3">
        <v>1</v>
      </c>
      <c r="G786">
        <v>0</v>
      </c>
    </row>
    <row r="787" spans="1:7" x14ac:dyDescent="0.25">
      <c r="A787" s="111" t="str">
        <f t="shared" si="12"/>
        <v>JDH4-02-007-PR-2090</v>
      </c>
      <c r="B787" t="s">
        <v>1215</v>
      </c>
      <c r="C787" t="s">
        <v>1216</v>
      </c>
      <c r="D787" s="1">
        <v>179076.09</v>
      </c>
      <c r="E787" s="3">
        <v>1</v>
      </c>
      <c r="F787" s="3">
        <v>1</v>
      </c>
      <c r="G787" s="1">
        <v>179076.09</v>
      </c>
    </row>
    <row r="788" spans="1:7" x14ac:dyDescent="0.25">
      <c r="A788" s="111" t="str">
        <f t="shared" si="12"/>
        <v>JDH4-02-007-PR-2140</v>
      </c>
      <c r="B788" t="s">
        <v>1217</v>
      </c>
      <c r="C788" t="s">
        <v>1218</v>
      </c>
      <c r="D788" s="1">
        <v>0</v>
      </c>
      <c r="E788" s="3">
        <v>1</v>
      </c>
      <c r="F788" s="3">
        <v>1</v>
      </c>
      <c r="G788">
        <v>0</v>
      </c>
    </row>
    <row r="789" spans="1:7" x14ac:dyDescent="0.25">
      <c r="A789" s="111" t="str">
        <f t="shared" si="12"/>
        <v>Crane</v>
      </c>
      <c r="B789" t="s">
        <v>1219</v>
      </c>
      <c r="D789" s="1">
        <v>179076.09</v>
      </c>
      <c r="E789" s="3"/>
      <c r="F789" s="3">
        <v>1</v>
      </c>
      <c r="G789" s="1">
        <v>179076.09</v>
      </c>
    </row>
    <row r="790" spans="1:7" x14ac:dyDescent="0.25">
      <c r="A790" s="111" t="str">
        <f t="shared" si="12"/>
        <v>JDH4-02-007-PR-2180</v>
      </c>
      <c r="B790" t="s">
        <v>1220</v>
      </c>
      <c r="C790" t="s">
        <v>1221</v>
      </c>
      <c r="D790" s="1">
        <v>0</v>
      </c>
      <c r="E790" s="3">
        <v>1</v>
      </c>
      <c r="F790" s="3">
        <v>1</v>
      </c>
      <c r="G790">
        <v>0</v>
      </c>
    </row>
    <row r="791" spans="1:7" x14ac:dyDescent="0.25">
      <c r="A791" s="111" t="str">
        <f t="shared" si="12"/>
        <v>JDH4-02-007-PR-2187</v>
      </c>
      <c r="B791" t="s">
        <v>1222</v>
      </c>
      <c r="C791" t="s">
        <v>1223</v>
      </c>
      <c r="D791" s="1">
        <v>0</v>
      </c>
      <c r="E791" s="3">
        <v>1</v>
      </c>
      <c r="F791" s="3">
        <v>1</v>
      </c>
      <c r="G791">
        <v>0</v>
      </c>
    </row>
    <row r="792" spans="1:7" x14ac:dyDescent="0.25">
      <c r="A792" s="111" t="str">
        <f t="shared" si="12"/>
        <v>JDH4-02-007-PR-2188</v>
      </c>
      <c r="B792" t="s">
        <v>1224</v>
      </c>
      <c r="C792" t="s">
        <v>1225</v>
      </c>
      <c r="D792">
        <v>0</v>
      </c>
      <c r="E792" s="3">
        <v>1</v>
      </c>
      <c r="F792" s="3">
        <v>1</v>
      </c>
      <c r="G792">
        <v>0</v>
      </c>
    </row>
    <row r="793" spans="1:7" x14ac:dyDescent="0.25">
      <c r="A793" s="111" t="str">
        <f t="shared" si="12"/>
        <v>JDH4-02-007-PR-2189</v>
      </c>
      <c r="B793" t="s">
        <v>1226</v>
      </c>
      <c r="C793" t="s">
        <v>1227</v>
      </c>
      <c r="D793">
        <v>0</v>
      </c>
      <c r="E793" s="3">
        <v>1</v>
      </c>
      <c r="F793" s="3">
        <v>1</v>
      </c>
      <c r="G793">
        <v>0</v>
      </c>
    </row>
    <row r="794" spans="1:7" x14ac:dyDescent="0.25">
      <c r="A794" s="111" t="str">
        <f t="shared" si="12"/>
        <v>JDH4-02-007-PR-2190</v>
      </c>
      <c r="B794" t="s">
        <v>1228</v>
      </c>
      <c r="C794" t="s">
        <v>1229</v>
      </c>
      <c r="D794" s="1">
        <v>0</v>
      </c>
      <c r="E794" s="3">
        <v>1</v>
      </c>
      <c r="F794" s="3">
        <v>1</v>
      </c>
      <c r="G794">
        <v>0</v>
      </c>
    </row>
    <row r="795" spans="1:7" x14ac:dyDescent="0.25">
      <c r="A795" s="111" t="str">
        <f t="shared" si="12"/>
        <v>JDH4-02-007-PR-2200</v>
      </c>
      <c r="B795" t="s">
        <v>1230</v>
      </c>
      <c r="C795" t="s">
        <v>1231</v>
      </c>
      <c r="D795" s="1">
        <v>179076.09</v>
      </c>
      <c r="E795" s="3">
        <v>1</v>
      </c>
      <c r="F795" s="3">
        <v>1</v>
      </c>
      <c r="G795" s="1">
        <v>179076.09</v>
      </c>
    </row>
    <row r="796" spans="1:7" x14ac:dyDescent="0.25">
      <c r="A796" s="111" t="str">
        <f t="shared" si="12"/>
        <v>JDH4-02-007-PR-2210</v>
      </c>
      <c r="B796" t="s">
        <v>1232</v>
      </c>
      <c r="C796" t="s">
        <v>1233</v>
      </c>
      <c r="D796">
        <v>0</v>
      </c>
      <c r="E796" s="3">
        <v>1</v>
      </c>
      <c r="F796" s="3">
        <v>1</v>
      </c>
      <c r="G796">
        <v>0</v>
      </c>
    </row>
    <row r="797" spans="1:7" x14ac:dyDescent="0.25">
      <c r="A797" s="111" t="str">
        <f t="shared" si="12"/>
        <v>Air Vents</v>
      </c>
      <c r="B797" t="s">
        <v>1234</v>
      </c>
      <c r="D797" s="1">
        <v>179076.09</v>
      </c>
      <c r="E797" s="3"/>
      <c r="F797" s="3">
        <v>1</v>
      </c>
      <c r="G797" s="1">
        <v>179076.09</v>
      </c>
    </row>
    <row r="798" spans="1:7" x14ac:dyDescent="0.25">
      <c r="A798" s="111" t="str">
        <f t="shared" si="12"/>
        <v>JDH4-02-007-PR-2000</v>
      </c>
      <c r="B798" t="s">
        <v>1235</v>
      </c>
      <c r="C798" t="s">
        <v>1236</v>
      </c>
      <c r="D798" s="1">
        <v>0</v>
      </c>
      <c r="E798" s="3">
        <v>1</v>
      </c>
      <c r="F798" s="3">
        <v>1</v>
      </c>
      <c r="G798">
        <v>0</v>
      </c>
    </row>
    <row r="799" spans="1:7" x14ac:dyDescent="0.25">
      <c r="A799" s="111" t="str">
        <f t="shared" si="12"/>
        <v>JDH4-02-007-PR-2045</v>
      </c>
      <c r="B799" t="s">
        <v>1237</v>
      </c>
      <c r="C799" t="s">
        <v>1238</v>
      </c>
      <c r="D799" s="1">
        <v>0</v>
      </c>
      <c r="E799" s="3">
        <v>1</v>
      </c>
      <c r="F799" s="3">
        <v>1</v>
      </c>
      <c r="G799">
        <v>0</v>
      </c>
    </row>
    <row r="800" spans="1:7" x14ac:dyDescent="0.25">
      <c r="A800" s="111" t="str">
        <f t="shared" si="12"/>
        <v>JDH4-02-007-PR-2046</v>
      </c>
      <c r="B800" t="s">
        <v>1239</v>
      </c>
      <c r="C800" t="s">
        <v>1240</v>
      </c>
      <c r="D800" s="1">
        <v>0</v>
      </c>
      <c r="E800" s="3">
        <v>1</v>
      </c>
      <c r="F800" s="3">
        <v>1</v>
      </c>
      <c r="G800">
        <v>0</v>
      </c>
    </row>
    <row r="801" spans="1:7" x14ac:dyDescent="0.25">
      <c r="A801" s="111" t="str">
        <f t="shared" si="12"/>
        <v>JDH4-02-007-PR-2047</v>
      </c>
      <c r="B801" t="s">
        <v>1241</v>
      </c>
      <c r="C801" t="s">
        <v>1242</v>
      </c>
      <c r="D801">
        <v>0</v>
      </c>
      <c r="E801" s="3">
        <v>1</v>
      </c>
      <c r="F801" s="3">
        <v>1</v>
      </c>
      <c r="G801">
        <v>0</v>
      </c>
    </row>
    <row r="802" spans="1:7" x14ac:dyDescent="0.25">
      <c r="A802" s="111" t="str">
        <f t="shared" si="12"/>
        <v>JDH4-02-007-PR-2048</v>
      </c>
      <c r="B802" t="s">
        <v>1243</v>
      </c>
      <c r="C802" t="s">
        <v>1244</v>
      </c>
      <c r="D802" s="1">
        <v>0</v>
      </c>
      <c r="E802" s="3">
        <v>1</v>
      </c>
      <c r="F802" s="3">
        <v>1</v>
      </c>
      <c r="G802">
        <v>0</v>
      </c>
    </row>
    <row r="803" spans="1:7" x14ac:dyDescent="0.25">
      <c r="A803" s="111" t="str">
        <f t="shared" si="12"/>
        <v>JDH4-02-007-PR-2049</v>
      </c>
      <c r="B803" t="s">
        <v>1245</v>
      </c>
      <c r="C803" t="s">
        <v>1246</v>
      </c>
      <c r="D803" s="1">
        <v>0</v>
      </c>
      <c r="E803" s="3">
        <v>1</v>
      </c>
      <c r="F803" s="3">
        <v>1</v>
      </c>
      <c r="G803">
        <v>0</v>
      </c>
    </row>
    <row r="804" spans="1:7" x14ac:dyDescent="0.25">
      <c r="A804" s="111" t="str">
        <f t="shared" si="12"/>
        <v>JDH4-02-007-PR-2050</v>
      </c>
      <c r="B804" t="s">
        <v>1247</v>
      </c>
      <c r="C804" t="s">
        <v>1248</v>
      </c>
      <c r="D804" s="1">
        <v>0</v>
      </c>
      <c r="E804" s="3">
        <v>1</v>
      </c>
      <c r="F804" s="3">
        <v>1</v>
      </c>
      <c r="G804">
        <v>0</v>
      </c>
    </row>
    <row r="805" spans="1:7" x14ac:dyDescent="0.25">
      <c r="A805" s="111" t="str">
        <f t="shared" si="12"/>
        <v>JDH4-02-007-PR-2100</v>
      </c>
      <c r="B805" t="s">
        <v>1249</v>
      </c>
      <c r="C805" t="s">
        <v>1250</v>
      </c>
      <c r="D805" s="1">
        <v>179076.09</v>
      </c>
      <c r="E805" s="3">
        <v>1</v>
      </c>
      <c r="F805" s="3">
        <v>1</v>
      </c>
      <c r="G805" s="1">
        <v>179076.09</v>
      </c>
    </row>
    <row r="806" spans="1:7" x14ac:dyDescent="0.25">
      <c r="A806" s="111" t="str">
        <f t="shared" si="12"/>
        <v>JDH4-02-007-PR-2150</v>
      </c>
      <c r="B806" t="s">
        <v>1251</v>
      </c>
      <c r="C806" t="s">
        <v>1252</v>
      </c>
      <c r="D806" s="1">
        <v>0</v>
      </c>
      <c r="E806" s="3">
        <v>1</v>
      </c>
      <c r="F806" s="3">
        <v>1</v>
      </c>
      <c r="G806">
        <v>0</v>
      </c>
    </row>
    <row r="807" spans="1:7" x14ac:dyDescent="0.25">
      <c r="A807" s="111" t="str">
        <f t="shared" si="12"/>
        <v>Screening Container</v>
      </c>
      <c r="B807" t="s">
        <v>1253</v>
      </c>
      <c r="D807" s="1">
        <v>179076.09</v>
      </c>
      <c r="E807" s="3"/>
      <c r="F807" s="3">
        <v>1</v>
      </c>
      <c r="G807" s="1">
        <v>179076.09</v>
      </c>
    </row>
    <row r="808" spans="1:7" x14ac:dyDescent="0.25">
      <c r="A808" s="111" t="str">
        <f t="shared" si="12"/>
        <v>JDH4-02-007-PR-2220</v>
      </c>
      <c r="B808" t="s">
        <v>1254</v>
      </c>
      <c r="C808" t="s">
        <v>1255</v>
      </c>
      <c r="D808" s="1">
        <v>0</v>
      </c>
      <c r="E808" s="3">
        <v>1</v>
      </c>
      <c r="F808" s="3">
        <v>1</v>
      </c>
      <c r="G808" s="1">
        <v>0</v>
      </c>
    </row>
    <row r="809" spans="1:7" x14ac:dyDescent="0.25">
      <c r="A809" s="111" t="str">
        <f t="shared" si="12"/>
        <v>JDH4-02-007-PR-2225</v>
      </c>
      <c r="B809" t="s">
        <v>1256</v>
      </c>
      <c r="C809" t="s">
        <v>1257</v>
      </c>
      <c r="D809">
        <v>0</v>
      </c>
      <c r="E809" s="3">
        <v>1</v>
      </c>
      <c r="F809" s="3">
        <v>1</v>
      </c>
      <c r="G809">
        <v>0</v>
      </c>
    </row>
    <row r="810" spans="1:7" x14ac:dyDescent="0.25">
      <c r="A810" s="111" t="str">
        <f t="shared" si="12"/>
        <v>JDH4-02-007-PR-2226</v>
      </c>
      <c r="B810" t="s">
        <v>1258</v>
      </c>
      <c r="C810" t="s">
        <v>1259</v>
      </c>
      <c r="D810">
        <v>0</v>
      </c>
      <c r="E810" s="3">
        <v>1</v>
      </c>
      <c r="F810" s="3">
        <v>1</v>
      </c>
      <c r="G810">
        <v>0</v>
      </c>
    </row>
    <row r="811" spans="1:7" x14ac:dyDescent="0.25">
      <c r="A811" s="111" t="str">
        <f t="shared" si="12"/>
        <v>JDH4-02-007-PR-2227</v>
      </c>
      <c r="B811" t="s">
        <v>1260</v>
      </c>
      <c r="C811" t="s">
        <v>1261</v>
      </c>
      <c r="D811" s="1">
        <v>0</v>
      </c>
      <c r="E811" s="3">
        <v>1</v>
      </c>
      <c r="F811" s="3">
        <v>1</v>
      </c>
      <c r="G811">
        <v>0</v>
      </c>
    </row>
    <row r="812" spans="1:7" x14ac:dyDescent="0.25">
      <c r="A812" s="111" t="str">
        <f t="shared" si="12"/>
        <v>JDH4-02-007-PR-2230</v>
      </c>
      <c r="B812" t="s">
        <v>1266</v>
      </c>
      <c r="C812" t="s">
        <v>1267</v>
      </c>
      <c r="D812" s="1">
        <v>0</v>
      </c>
      <c r="E812" s="3">
        <v>1</v>
      </c>
      <c r="F812" s="2">
        <v>1</v>
      </c>
      <c r="G812">
        <v>0</v>
      </c>
    </row>
    <row r="813" spans="1:7" x14ac:dyDescent="0.25">
      <c r="A813" s="111" t="str">
        <f t="shared" si="12"/>
        <v>JDH4-02-007-PR-2229</v>
      </c>
      <c r="B813" t="s">
        <v>1264</v>
      </c>
      <c r="C813" t="s">
        <v>1265</v>
      </c>
      <c r="D813" s="1">
        <v>0</v>
      </c>
      <c r="E813" s="3">
        <v>1</v>
      </c>
      <c r="F813" s="2">
        <v>1</v>
      </c>
      <c r="G813">
        <v>0</v>
      </c>
    </row>
    <row r="814" spans="1:7" x14ac:dyDescent="0.25">
      <c r="A814" s="111" t="str">
        <f t="shared" si="12"/>
        <v>JDH4-02-007-PR-2228</v>
      </c>
      <c r="B814" t="s">
        <v>1262</v>
      </c>
      <c r="C814" t="s">
        <v>1263</v>
      </c>
      <c r="D814" s="1">
        <v>0</v>
      </c>
      <c r="E814" s="3">
        <v>1</v>
      </c>
      <c r="F814" s="2">
        <v>1</v>
      </c>
      <c r="G814">
        <v>0</v>
      </c>
    </row>
    <row r="815" spans="1:7" x14ac:dyDescent="0.25">
      <c r="A815" s="111" t="str">
        <f t="shared" si="12"/>
        <v>JDH4-02-007-PR-2240</v>
      </c>
      <c r="B815" t="s">
        <v>1268</v>
      </c>
      <c r="C815" t="s">
        <v>1269</v>
      </c>
      <c r="D815" s="1">
        <v>179076.09</v>
      </c>
      <c r="E815" s="3">
        <v>1</v>
      </c>
      <c r="F815" s="2">
        <v>1</v>
      </c>
      <c r="G815" s="1">
        <v>179076.09</v>
      </c>
    </row>
    <row r="816" spans="1:7" x14ac:dyDescent="0.25">
      <c r="A816" s="111" t="str">
        <f t="shared" si="12"/>
        <v>JDH4-02-007-PR-2250</v>
      </c>
      <c r="B816" t="s">
        <v>1270</v>
      </c>
      <c r="C816" t="s">
        <v>1271</v>
      </c>
      <c r="D816" s="1">
        <v>0</v>
      </c>
      <c r="E816" s="3">
        <v>1</v>
      </c>
      <c r="F816" s="2">
        <v>1</v>
      </c>
      <c r="G816" s="1">
        <v>0</v>
      </c>
    </row>
    <row r="817" spans="1:7" x14ac:dyDescent="0.25">
      <c r="A817" s="111" t="str">
        <f t="shared" si="12"/>
        <v>Baffle Plates</v>
      </c>
      <c r="B817" t="s">
        <v>1272</v>
      </c>
      <c r="D817" s="1">
        <v>179076.09</v>
      </c>
      <c r="E817" s="3"/>
      <c r="F817" s="2">
        <v>1</v>
      </c>
      <c r="G817" s="1">
        <v>179076.09</v>
      </c>
    </row>
    <row r="818" spans="1:7" x14ac:dyDescent="0.25">
      <c r="A818" s="111" t="str">
        <f t="shared" si="12"/>
        <v>JDH4-02-007-PR-2010</v>
      </c>
      <c r="B818" t="s">
        <v>1273</v>
      </c>
      <c r="C818" t="s">
        <v>1274</v>
      </c>
      <c r="D818" s="1">
        <v>0</v>
      </c>
      <c r="E818" s="3">
        <v>1</v>
      </c>
      <c r="F818" s="3">
        <v>1</v>
      </c>
      <c r="G818">
        <v>0</v>
      </c>
    </row>
    <row r="819" spans="1:7" x14ac:dyDescent="0.25">
      <c r="A819" s="111" t="str">
        <f t="shared" si="12"/>
        <v>JDH4-02-007-PR-2057</v>
      </c>
      <c r="B819" t="s">
        <v>1275</v>
      </c>
      <c r="C819" t="s">
        <v>1276</v>
      </c>
      <c r="D819" s="1">
        <v>0</v>
      </c>
      <c r="E819" s="3">
        <v>1</v>
      </c>
      <c r="F819" s="3">
        <v>1</v>
      </c>
      <c r="G819">
        <v>0</v>
      </c>
    </row>
    <row r="820" spans="1:7" x14ac:dyDescent="0.25">
      <c r="A820" s="111" t="str">
        <f t="shared" si="12"/>
        <v>JDH4-02-007-PR-2058</v>
      </c>
      <c r="B820" t="s">
        <v>1277</v>
      </c>
      <c r="C820" t="s">
        <v>1278</v>
      </c>
      <c r="D820" s="1">
        <v>0</v>
      </c>
      <c r="E820" s="3">
        <v>1</v>
      </c>
      <c r="F820" s="3">
        <v>1</v>
      </c>
      <c r="G820">
        <v>0</v>
      </c>
    </row>
    <row r="821" spans="1:7" x14ac:dyDescent="0.25">
      <c r="A821" s="111" t="str">
        <f t="shared" si="12"/>
        <v>JDH4-02-007-PR-2059</v>
      </c>
      <c r="B821" t="s">
        <v>1279</v>
      </c>
      <c r="C821" t="s">
        <v>1280</v>
      </c>
      <c r="D821" s="1">
        <v>0</v>
      </c>
      <c r="E821" s="3">
        <v>1</v>
      </c>
      <c r="F821" s="3">
        <v>1</v>
      </c>
      <c r="G821">
        <v>0</v>
      </c>
    </row>
    <row r="822" spans="1:7" x14ac:dyDescent="0.25">
      <c r="A822" s="111" t="str">
        <f t="shared" si="12"/>
        <v>JDH4-02-007-PR-2060</v>
      </c>
      <c r="B822" t="s">
        <v>1281</v>
      </c>
      <c r="C822" t="s">
        <v>1282</v>
      </c>
      <c r="D822" s="1">
        <v>0</v>
      </c>
      <c r="E822" s="3">
        <v>1</v>
      </c>
      <c r="F822" s="3">
        <v>1</v>
      </c>
      <c r="G822">
        <v>0</v>
      </c>
    </row>
    <row r="823" spans="1:7" x14ac:dyDescent="0.25">
      <c r="A823" s="111" t="str">
        <f t="shared" si="12"/>
        <v>JDH4-02-007-PR-2110</v>
      </c>
      <c r="B823" t="s">
        <v>1283</v>
      </c>
      <c r="C823" t="s">
        <v>1284</v>
      </c>
      <c r="D823" s="1">
        <v>179076.09</v>
      </c>
      <c r="E823" s="3">
        <v>1</v>
      </c>
      <c r="F823" s="3">
        <v>1</v>
      </c>
      <c r="G823" s="1">
        <v>179076.09</v>
      </c>
    </row>
    <row r="824" spans="1:7" x14ac:dyDescent="0.25">
      <c r="A824" s="111" t="str">
        <f t="shared" si="12"/>
        <v>JDH4-02-007-PR-2160</v>
      </c>
      <c r="B824" t="s">
        <v>1285</v>
      </c>
      <c r="C824" t="s">
        <v>1286</v>
      </c>
      <c r="D824" s="1">
        <v>0</v>
      </c>
      <c r="E824" s="3">
        <v>1</v>
      </c>
      <c r="F824" s="3">
        <v>1</v>
      </c>
      <c r="G824">
        <v>0</v>
      </c>
    </row>
    <row r="825" spans="1:7" x14ac:dyDescent="0.25">
      <c r="A825" s="111" t="str">
        <f t="shared" si="12"/>
        <v>Anti-Water Hammer Equipment</v>
      </c>
      <c r="B825" t="s">
        <v>1287</v>
      </c>
      <c r="D825" s="1">
        <v>179076.09</v>
      </c>
      <c r="E825" s="3"/>
      <c r="F825" s="3">
        <v>1</v>
      </c>
      <c r="G825" s="1">
        <v>179076.09</v>
      </c>
    </row>
    <row r="826" spans="1:7" x14ac:dyDescent="0.25">
      <c r="A826" s="111" t="str">
        <f t="shared" si="12"/>
        <v>JDH4-02-007-PR-2020</v>
      </c>
      <c r="B826" t="s">
        <v>1288</v>
      </c>
      <c r="C826" t="s">
        <v>1289</v>
      </c>
      <c r="D826" s="1">
        <v>0</v>
      </c>
      <c r="E826" s="3">
        <v>1</v>
      </c>
      <c r="F826" s="3">
        <v>1</v>
      </c>
      <c r="G826">
        <v>0</v>
      </c>
    </row>
    <row r="827" spans="1:7" x14ac:dyDescent="0.25">
      <c r="A827" s="111" t="str">
        <f t="shared" si="12"/>
        <v>JDH4-02-007-PR-2120</v>
      </c>
      <c r="B827" t="s">
        <v>1302</v>
      </c>
      <c r="C827" t="s">
        <v>1303</v>
      </c>
      <c r="D827" s="1">
        <v>179076.09</v>
      </c>
      <c r="E827" s="3">
        <v>1</v>
      </c>
      <c r="F827" s="3">
        <v>1</v>
      </c>
      <c r="G827" s="1">
        <v>179076.09</v>
      </c>
    </row>
    <row r="828" spans="1:7" x14ac:dyDescent="0.25">
      <c r="A828" s="111" t="str">
        <f t="shared" si="12"/>
        <v>JDH4-02-007-PR-2067</v>
      </c>
      <c r="B828" t="s">
        <v>1294</v>
      </c>
      <c r="C828" t="s">
        <v>1295</v>
      </c>
      <c r="D828" s="1">
        <v>0</v>
      </c>
      <c r="E828" s="3">
        <v>1</v>
      </c>
      <c r="F828" s="3">
        <v>1</v>
      </c>
      <c r="G828">
        <v>0</v>
      </c>
    </row>
    <row r="829" spans="1:7" x14ac:dyDescent="0.25">
      <c r="A829" s="111" t="str">
        <f t="shared" si="12"/>
        <v>JDH4-02-007-PR-2066</v>
      </c>
      <c r="B829" t="s">
        <v>1292</v>
      </c>
      <c r="C829" t="s">
        <v>1293</v>
      </c>
      <c r="D829" s="1">
        <v>0</v>
      </c>
      <c r="E829" s="3">
        <v>1</v>
      </c>
      <c r="F829" s="3">
        <v>1</v>
      </c>
      <c r="G829">
        <v>0</v>
      </c>
    </row>
    <row r="830" spans="1:7" x14ac:dyDescent="0.25">
      <c r="A830" s="111" t="str">
        <f t="shared" si="12"/>
        <v>JDH4-02-007-PR-2065</v>
      </c>
      <c r="B830" t="s">
        <v>1290</v>
      </c>
      <c r="C830" t="s">
        <v>1291</v>
      </c>
      <c r="D830" s="1">
        <v>0</v>
      </c>
      <c r="E830" s="3">
        <v>1</v>
      </c>
      <c r="F830" s="3">
        <v>1</v>
      </c>
      <c r="G830">
        <v>0</v>
      </c>
    </row>
    <row r="831" spans="1:7" x14ac:dyDescent="0.25">
      <c r="A831" s="111" t="str">
        <f t="shared" si="12"/>
        <v>JDH4-02-007-PR-2070</v>
      </c>
      <c r="B831" t="s">
        <v>1300</v>
      </c>
      <c r="C831" t="s">
        <v>1301</v>
      </c>
      <c r="D831" s="1">
        <v>0</v>
      </c>
      <c r="E831" s="3">
        <v>1</v>
      </c>
      <c r="F831" s="3">
        <v>1</v>
      </c>
      <c r="G831">
        <v>0</v>
      </c>
    </row>
    <row r="832" spans="1:7" x14ac:dyDescent="0.25">
      <c r="A832" s="111" t="str">
        <f t="shared" si="12"/>
        <v>JDH4-02-007-PR-2069</v>
      </c>
      <c r="B832" t="s">
        <v>1298</v>
      </c>
      <c r="C832" t="s">
        <v>1299</v>
      </c>
      <c r="D832" s="1">
        <v>0</v>
      </c>
      <c r="E832" s="3">
        <v>1</v>
      </c>
      <c r="F832" s="3">
        <v>1</v>
      </c>
      <c r="G832">
        <v>0</v>
      </c>
    </row>
    <row r="833" spans="1:7" x14ac:dyDescent="0.25">
      <c r="A833" s="111" t="str">
        <f t="shared" si="12"/>
        <v>JDH4-02-007-PR-2068</v>
      </c>
      <c r="B833" t="s">
        <v>1296</v>
      </c>
      <c r="C833" t="s">
        <v>1297</v>
      </c>
      <c r="D833" s="1">
        <v>0</v>
      </c>
      <c r="E833" s="3">
        <v>1</v>
      </c>
      <c r="F833" s="3">
        <v>1</v>
      </c>
      <c r="G833" s="1">
        <v>0</v>
      </c>
    </row>
    <row r="834" spans="1:7" x14ac:dyDescent="0.25">
      <c r="A834" s="111" t="str">
        <f t="shared" si="12"/>
        <v>JDH4-02-007-PR-2170</v>
      </c>
      <c r="B834" t="s">
        <v>1304</v>
      </c>
      <c r="C834" t="s">
        <v>1305</v>
      </c>
      <c r="D834" s="1">
        <v>0</v>
      </c>
      <c r="E834" s="3">
        <v>1</v>
      </c>
      <c r="F834" s="3">
        <v>1</v>
      </c>
      <c r="G834">
        <v>0</v>
      </c>
    </row>
    <row r="835" spans="1:7" x14ac:dyDescent="0.25">
      <c r="A835" s="111" t="str">
        <f t="shared" si="12"/>
        <v>Pumps</v>
      </c>
      <c r="B835" t="s">
        <v>1306</v>
      </c>
      <c r="D835" s="1">
        <v>179076.09</v>
      </c>
      <c r="E835" s="3"/>
      <c r="F835" s="3">
        <v>1</v>
      </c>
      <c r="G835" s="1">
        <v>179076.09</v>
      </c>
    </row>
    <row r="836" spans="1:7" x14ac:dyDescent="0.25">
      <c r="A836" s="111" t="str">
        <f t="shared" ref="A836:A899" si="13">TRIM(B836)</f>
        <v>JDH4-02-007-PR-1980</v>
      </c>
      <c r="B836" t="s">
        <v>1307</v>
      </c>
      <c r="C836" t="s">
        <v>1308</v>
      </c>
      <c r="D836" s="1">
        <v>0</v>
      </c>
      <c r="E836" s="3">
        <v>1</v>
      </c>
      <c r="F836" s="3">
        <v>1</v>
      </c>
      <c r="G836">
        <v>0</v>
      </c>
    </row>
    <row r="837" spans="1:7" x14ac:dyDescent="0.25">
      <c r="A837" s="111" t="str">
        <f t="shared" si="13"/>
        <v>JDH4-02-007-PR-2026</v>
      </c>
      <c r="B837" t="s">
        <v>1309</v>
      </c>
      <c r="C837" t="s">
        <v>1310</v>
      </c>
      <c r="D837" s="1">
        <v>0</v>
      </c>
      <c r="E837" s="3">
        <v>1</v>
      </c>
      <c r="F837" s="3">
        <v>1</v>
      </c>
      <c r="G837">
        <v>0</v>
      </c>
    </row>
    <row r="838" spans="1:7" x14ac:dyDescent="0.25">
      <c r="A838" s="111" t="str">
        <f t="shared" si="13"/>
        <v>JDH4-02-007-PR-2027</v>
      </c>
      <c r="B838" t="s">
        <v>1311</v>
      </c>
      <c r="C838" t="s">
        <v>1312</v>
      </c>
      <c r="D838" s="1">
        <v>0</v>
      </c>
      <c r="E838" s="3">
        <v>1</v>
      </c>
      <c r="F838" s="3">
        <v>1</v>
      </c>
      <c r="G838">
        <v>0</v>
      </c>
    </row>
    <row r="839" spans="1:7" x14ac:dyDescent="0.25">
      <c r="A839" s="111" t="str">
        <f t="shared" si="13"/>
        <v>JDH4-02-007-PR-2028</v>
      </c>
      <c r="B839" t="s">
        <v>1313</v>
      </c>
      <c r="C839" t="s">
        <v>1314</v>
      </c>
      <c r="D839" s="1">
        <v>0</v>
      </c>
      <c r="E839" s="3">
        <v>1</v>
      </c>
      <c r="F839" s="3">
        <v>1</v>
      </c>
      <c r="G839">
        <v>0</v>
      </c>
    </row>
    <row r="840" spans="1:7" x14ac:dyDescent="0.25">
      <c r="A840" s="111" t="str">
        <f t="shared" si="13"/>
        <v>JDH4-02-007-PR-2029</v>
      </c>
      <c r="B840" t="s">
        <v>1315</v>
      </c>
      <c r="C840" t="s">
        <v>1316</v>
      </c>
      <c r="D840" s="1">
        <v>0</v>
      </c>
      <c r="E840" s="3">
        <v>1</v>
      </c>
      <c r="F840" s="3">
        <v>1</v>
      </c>
      <c r="G840">
        <v>0</v>
      </c>
    </row>
    <row r="841" spans="1:7" x14ac:dyDescent="0.25">
      <c r="A841" s="111" t="str">
        <f t="shared" si="13"/>
        <v>JDH4-02-007-PR-2030</v>
      </c>
      <c r="B841" t="s">
        <v>1317</v>
      </c>
      <c r="C841" t="s">
        <v>1318</v>
      </c>
      <c r="D841" s="1">
        <v>0</v>
      </c>
      <c r="E841" s="3">
        <v>1</v>
      </c>
      <c r="F841" s="3">
        <v>1</v>
      </c>
      <c r="G841">
        <v>0</v>
      </c>
    </row>
    <row r="842" spans="1:7" x14ac:dyDescent="0.25">
      <c r="A842" s="111" t="str">
        <f t="shared" si="13"/>
        <v>JDH4-02-007-PR-2080</v>
      </c>
      <c r="B842" t="s">
        <v>1319</v>
      </c>
      <c r="C842" t="s">
        <v>1320</v>
      </c>
      <c r="D842" s="1">
        <v>179076.09</v>
      </c>
      <c r="E842" s="3">
        <v>1</v>
      </c>
      <c r="F842" s="3">
        <v>1</v>
      </c>
      <c r="G842" s="1">
        <v>179076.09</v>
      </c>
    </row>
    <row r="843" spans="1:7" x14ac:dyDescent="0.25">
      <c r="A843" s="111" t="str">
        <f t="shared" si="13"/>
        <v>JDH4-02-007-PR-2130</v>
      </c>
      <c r="B843" t="s">
        <v>1321</v>
      </c>
      <c r="C843" t="s">
        <v>1322</v>
      </c>
      <c r="D843" s="1">
        <v>0</v>
      </c>
      <c r="E843" s="3">
        <v>1</v>
      </c>
      <c r="F843" s="3">
        <v>1</v>
      </c>
      <c r="G843">
        <v>0</v>
      </c>
    </row>
    <row r="844" spans="1:7" x14ac:dyDescent="0.25">
      <c r="A844" s="111" t="str">
        <f t="shared" si="13"/>
        <v>Main Distribution Board /MCC panels</v>
      </c>
      <c r="B844" t="s">
        <v>1323</v>
      </c>
      <c r="D844" s="1">
        <v>179076.09</v>
      </c>
      <c r="E844" s="3"/>
      <c r="F844" s="3">
        <v>1</v>
      </c>
      <c r="G844" s="1">
        <v>179076.09</v>
      </c>
    </row>
    <row r="845" spans="1:7" x14ac:dyDescent="0.25">
      <c r="A845" s="111" t="str">
        <f t="shared" si="13"/>
        <v>JDH4-02-007-PR-2530</v>
      </c>
      <c r="B845" t="s">
        <v>1324</v>
      </c>
      <c r="C845" t="s">
        <v>1325</v>
      </c>
      <c r="D845" s="1">
        <v>0</v>
      </c>
      <c r="E845" s="3">
        <v>1</v>
      </c>
      <c r="F845" s="3">
        <v>1</v>
      </c>
      <c r="G845">
        <v>0</v>
      </c>
    </row>
    <row r="846" spans="1:7" x14ac:dyDescent="0.25">
      <c r="A846" s="111" t="str">
        <f t="shared" si="13"/>
        <v>JDH4-02-007-PR-2567</v>
      </c>
      <c r="B846" t="s">
        <v>1326</v>
      </c>
      <c r="C846" t="s">
        <v>1327</v>
      </c>
      <c r="D846" s="1">
        <v>0</v>
      </c>
      <c r="E846" s="3">
        <v>1</v>
      </c>
      <c r="F846" s="3">
        <v>1</v>
      </c>
      <c r="G846">
        <v>0</v>
      </c>
    </row>
    <row r="847" spans="1:7" x14ac:dyDescent="0.25">
      <c r="A847" s="111" t="str">
        <f t="shared" si="13"/>
        <v>JDH4-02-007-PR-2568</v>
      </c>
      <c r="B847" t="s">
        <v>1328</v>
      </c>
      <c r="C847" t="s">
        <v>1329</v>
      </c>
      <c r="D847" s="1">
        <v>0</v>
      </c>
      <c r="E847" s="3">
        <v>1</v>
      </c>
      <c r="F847" s="3">
        <v>1</v>
      </c>
      <c r="G847">
        <v>0</v>
      </c>
    </row>
    <row r="848" spans="1:7" x14ac:dyDescent="0.25">
      <c r="A848" s="111" t="str">
        <f t="shared" si="13"/>
        <v>JDH4-02-007-PR-2570</v>
      </c>
      <c r="B848" t="s">
        <v>1332</v>
      </c>
      <c r="C848" t="s">
        <v>1333</v>
      </c>
      <c r="D848" s="1">
        <v>0</v>
      </c>
      <c r="E848" s="3">
        <v>1</v>
      </c>
      <c r="F848" s="3">
        <v>1</v>
      </c>
      <c r="G848">
        <v>0</v>
      </c>
    </row>
    <row r="849" spans="1:7" x14ac:dyDescent="0.25">
      <c r="A849" s="111" t="str">
        <f t="shared" si="13"/>
        <v>JDH4-02-007-PR-2569</v>
      </c>
      <c r="B849" t="s">
        <v>1330</v>
      </c>
      <c r="C849" t="s">
        <v>1331</v>
      </c>
      <c r="D849" s="1">
        <v>0</v>
      </c>
      <c r="E849" s="3">
        <v>1</v>
      </c>
      <c r="F849" s="3">
        <v>1</v>
      </c>
      <c r="G849">
        <v>0</v>
      </c>
    </row>
    <row r="850" spans="1:7" x14ac:dyDescent="0.25">
      <c r="A850" s="111" t="str">
        <f t="shared" si="13"/>
        <v>JDH4-02-007-PR-2610</v>
      </c>
      <c r="B850" t="s">
        <v>1334</v>
      </c>
      <c r="C850" t="s">
        <v>1335</v>
      </c>
      <c r="D850" s="1">
        <v>179076.09</v>
      </c>
      <c r="E850" s="3">
        <v>1</v>
      </c>
      <c r="F850" s="3">
        <v>1</v>
      </c>
      <c r="G850" s="1">
        <v>179076.09</v>
      </c>
    </row>
    <row r="851" spans="1:7" x14ac:dyDescent="0.25">
      <c r="A851" s="111" t="str">
        <f t="shared" si="13"/>
        <v>JDH4-02-007-PR-2650</v>
      </c>
      <c r="B851" t="s">
        <v>1336</v>
      </c>
      <c r="C851" t="s">
        <v>1337</v>
      </c>
      <c r="D851" s="1">
        <v>0</v>
      </c>
      <c r="E851" s="3">
        <v>1</v>
      </c>
      <c r="F851" s="3">
        <v>1</v>
      </c>
      <c r="G851">
        <v>0</v>
      </c>
    </row>
    <row r="852" spans="1:7" x14ac:dyDescent="0.25">
      <c r="A852" s="111" t="str">
        <f t="shared" si="13"/>
        <v>Final Panel boards</v>
      </c>
      <c r="B852" t="s">
        <v>1338</v>
      </c>
      <c r="D852" s="1">
        <v>179076.09</v>
      </c>
      <c r="F852" s="3">
        <v>1</v>
      </c>
      <c r="G852" s="1">
        <v>179076.09</v>
      </c>
    </row>
    <row r="853" spans="1:7" x14ac:dyDescent="0.25">
      <c r="A853" s="111" t="str">
        <f t="shared" si="13"/>
        <v>JDH4-02-007-PR-2680</v>
      </c>
      <c r="B853" t="s">
        <v>1339</v>
      </c>
      <c r="C853" t="s">
        <v>1340</v>
      </c>
      <c r="D853" s="1">
        <v>0</v>
      </c>
      <c r="E853" s="3">
        <v>1</v>
      </c>
      <c r="F853" s="3">
        <v>1</v>
      </c>
      <c r="G853">
        <v>0</v>
      </c>
    </row>
    <row r="854" spans="1:7" x14ac:dyDescent="0.25">
      <c r="A854" s="111" t="str">
        <f t="shared" si="13"/>
        <v>JDH4-02-007-PR-2687</v>
      </c>
      <c r="B854" t="s">
        <v>1341</v>
      </c>
      <c r="C854" t="s">
        <v>1342</v>
      </c>
      <c r="D854" s="1">
        <v>0</v>
      </c>
      <c r="E854" s="3">
        <v>1</v>
      </c>
      <c r="F854" s="3">
        <v>1</v>
      </c>
      <c r="G854">
        <v>0</v>
      </c>
    </row>
    <row r="855" spans="1:7" x14ac:dyDescent="0.25">
      <c r="A855" s="111" t="str">
        <f t="shared" si="13"/>
        <v>JDH4-02-007-PR-2688</v>
      </c>
      <c r="B855" t="s">
        <v>1343</v>
      </c>
      <c r="C855" t="s">
        <v>1344</v>
      </c>
      <c r="D855" s="1">
        <v>0</v>
      </c>
      <c r="E855" s="3">
        <v>1</v>
      </c>
      <c r="F855" s="3">
        <v>1</v>
      </c>
      <c r="G855">
        <v>0</v>
      </c>
    </row>
    <row r="856" spans="1:7" x14ac:dyDescent="0.25">
      <c r="A856" s="111" t="str">
        <f t="shared" si="13"/>
        <v>JDH4-02-007-PR-2690</v>
      </c>
      <c r="B856" t="s">
        <v>1347</v>
      </c>
      <c r="C856" t="s">
        <v>1348</v>
      </c>
      <c r="D856" s="1">
        <v>0</v>
      </c>
      <c r="E856" s="3">
        <v>1</v>
      </c>
      <c r="F856" s="2">
        <v>1</v>
      </c>
      <c r="G856">
        <v>0</v>
      </c>
    </row>
    <row r="857" spans="1:7" x14ac:dyDescent="0.25">
      <c r="A857" s="111" t="str">
        <f t="shared" si="13"/>
        <v>JDH4-02-007-PR-2689</v>
      </c>
      <c r="B857" t="s">
        <v>1345</v>
      </c>
      <c r="C857" t="s">
        <v>1346</v>
      </c>
      <c r="D857" s="1">
        <v>0</v>
      </c>
      <c r="E857" s="3">
        <v>1</v>
      </c>
      <c r="F857" s="2">
        <v>1</v>
      </c>
      <c r="G857">
        <v>0</v>
      </c>
    </row>
    <row r="858" spans="1:7" x14ac:dyDescent="0.25">
      <c r="A858" s="111" t="str">
        <f t="shared" si="13"/>
        <v>JDH4-02-007-PR-2700</v>
      </c>
      <c r="B858" t="s">
        <v>1349</v>
      </c>
      <c r="C858" t="s">
        <v>1350</v>
      </c>
      <c r="D858" s="1">
        <v>179076.09</v>
      </c>
      <c r="E858" s="3">
        <v>1</v>
      </c>
      <c r="F858" s="3">
        <v>1</v>
      </c>
      <c r="G858" s="1">
        <v>179076.09</v>
      </c>
    </row>
    <row r="859" spans="1:7" x14ac:dyDescent="0.25">
      <c r="A859" s="111" t="str">
        <f t="shared" si="13"/>
        <v>JDH4-02-007-PR-2710</v>
      </c>
      <c r="B859" t="s">
        <v>1351</v>
      </c>
      <c r="C859" t="s">
        <v>1352</v>
      </c>
      <c r="D859" s="1">
        <v>0</v>
      </c>
      <c r="E859" s="3">
        <v>1</v>
      </c>
      <c r="F859" s="3">
        <v>1</v>
      </c>
      <c r="G859">
        <v>0</v>
      </c>
    </row>
    <row r="860" spans="1:7" x14ac:dyDescent="0.25">
      <c r="A860" s="111" t="str">
        <f t="shared" si="13"/>
        <v>Local Control Panel/ Monitoring Control Panel</v>
      </c>
      <c r="B860" t="s">
        <v>1353</v>
      </c>
      <c r="D860" s="1">
        <v>179076.09</v>
      </c>
      <c r="E860" s="3"/>
      <c r="F860" s="3">
        <v>1</v>
      </c>
      <c r="G860" s="1">
        <v>179076.09</v>
      </c>
    </row>
    <row r="861" spans="1:7" x14ac:dyDescent="0.25">
      <c r="A861" s="111" t="str">
        <f t="shared" si="13"/>
        <v>JDH4-02-007-PR-2540</v>
      </c>
      <c r="B861" t="s">
        <v>1354</v>
      </c>
      <c r="C861" t="s">
        <v>1355</v>
      </c>
      <c r="D861" s="1">
        <v>0</v>
      </c>
      <c r="E861" s="3">
        <v>1</v>
      </c>
      <c r="F861" s="3">
        <v>1</v>
      </c>
      <c r="G861">
        <v>0</v>
      </c>
    </row>
    <row r="862" spans="1:7" x14ac:dyDescent="0.25">
      <c r="A862" s="111" t="str">
        <f t="shared" si="13"/>
        <v>JDH4-02-007-PR-2576</v>
      </c>
      <c r="B862" t="s">
        <v>1356</v>
      </c>
      <c r="C862" t="s">
        <v>1357</v>
      </c>
      <c r="D862" s="1">
        <v>0</v>
      </c>
      <c r="E862" s="3">
        <v>1</v>
      </c>
      <c r="F862" s="2">
        <v>1</v>
      </c>
      <c r="G862">
        <v>0</v>
      </c>
    </row>
    <row r="863" spans="1:7" x14ac:dyDescent="0.25">
      <c r="A863" s="111" t="str">
        <f t="shared" si="13"/>
        <v>JDH4-02-007-PR-2577</v>
      </c>
      <c r="B863" t="s">
        <v>1358</v>
      </c>
      <c r="C863" t="s">
        <v>1359</v>
      </c>
      <c r="D863" s="1">
        <v>0</v>
      </c>
      <c r="E863" s="3">
        <v>1</v>
      </c>
      <c r="F863" s="3">
        <v>1</v>
      </c>
      <c r="G863">
        <v>0</v>
      </c>
    </row>
    <row r="864" spans="1:7" x14ac:dyDescent="0.25">
      <c r="A864" s="111" t="str">
        <f t="shared" si="13"/>
        <v>JDH4-02-007-PR-2578</v>
      </c>
      <c r="B864" t="s">
        <v>1360</v>
      </c>
      <c r="C864" t="s">
        <v>1361</v>
      </c>
      <c r="D864" s="1">
        <v>0</v>
      </c>
      <c r="E864" s="3">
        <v>1</v>
      </c>
      <c r="F864" s="3">
        <v>1</v>
      </c>
      <c r="G864">
        <v>0</v>
      </c>
    </row>
    <row r="865" spans="1:7" x14ac:dyDescent="0.25">
      <c r="A865" s="111" t="str">
        <f t="shared" si="13"/>
        <v>JDH4-02-007-PR-2580</v>
      </c>
      <c r="B865" t="s">
        <v>1364</v>
      </c>
      <c r="C865" t="s">
        <v>1365</v>
      </c>
      <c r="D865" s="1">
        <v>0</v>
      </c>
      <c r="E865" s="3">
        <v>1</v>
      </c>
      <c r="F865" s="3">
        <v>1</v>
      </c>
      <c r="G865">
        <v>0</v>
      </c>
    </row>
    <row r="866" spans="1:7" x14ac:dyDescent="0.25">
      <c r="A866" s="111" t="str">
        <f t="shared" si="13"/>
        <v>JDH4-02-007-PR-2579</v>
      </c>
      <c r="B866" t="s">
        <v>1362</v>
      </c>
      <c r="C866" t="s">
        <v>1363</v>
      </c>
      <c r="D866" s="1">
        <v>0</v>
      </c>
      <c r="E866" s="3">
        <v>1</v>
      </c>
      <c r="F866" s="3">
        <v>1</v>
      </c>
      <c r="G866">
        <v>0</v>
      </c>
    </row>
    <row r="867" spans="1:7" x14ac:dyDescent="0.25">
      <c r="A867" s="111" t="str">
        <f t="shared" si="13"/>
        <v>JDH4-02-007-PR-2620</v>
      </c>
      <c r="B867" t="s">
        <v>1366</v>
      </c>
      <c r="C867" t="s">
        <v>1367</v>
      </c>
      <c r="D867" s="1">
        <v>179076.09</v>
      </c>
      <c r="E867" s="3">
        <v>1</v>
      </c>
      <c r="F867" s="3">
        <v>1</v>
      </c>
      <c r="G867" s="1">
        <v>179076.09</v>
      </c>
    </row>
    <row r="868" spans="1:7" x14ac:dyDescent="0.25">
      <c r="A868" s="111" t="str">
        <f t="shared" si="13"/>
        <v>JDH4-02-007-PR-2660</v>
      </c>
      <c r="B868" t="s">
        <v>1368</v>
      </c>
      <c r="C868" t="s">
        <v>1369</v>
      </c>
      <c r="D868" s="1">
        <v>0</v>
      </c>
      <c r="E868" s="3">
        <v>1</v>
      </c>
      <c r="F868" s="3">
        <v>1</v>
      </c>
      <c r="G868">
        <v>0</v>
      </c>
    </row>
    <row r="869" spans="1:7" x14ac:dyDescent="0.25">
      <c r="A869" s="111" t="str">
        <f t="shared" si="13"/>
        <v>Engine Generators</v>
      </c>
      <c r="B869" t="s">
        <v>1370</v>
      </c>
      <c r="D869" s="1">
        <v>179076.09</v>
      </c>
      <c r="E869" s="3"/>
      <c r="F869" s="3">
        <v>1</v>
      </c>
      <c r="G869" s="1">
        <v>179076.09</v>
      </c>
    </row>
    <row r="870" spans="1:7" x14ac:dyDescent="0.25">
      <c r="A870" s="111" t="str">
        <f t="shared" si="13"/>
        <v>JDH4-02-007-PR-2720</v>
      </c>
      <c r="B870" t="s">
        <v>1371</v>
      </c>
      <c r="C870" t="s">
        <v>1372</v>
      </c>
      <c r="D870" s="1">
        <v>0</v>
      </c>
      <c r="E870" s="3">
        <v>1</v>
      </c>
      <c r="F870" s="3">
        <v>1</v>
      </c>
      <c r="G870">
        <v>0</v>
      </c>
    </row>
    <row r="871" spans="1:7" x14ac:dyDescent="0.25">
      <c r="A871" s="111" t="str">
        <f t="shared" si="13"/>
        <v>JDH4-02-007-PR-2726</v>
      </c>
      <c r="B871" t="s">
        <v>1373</v>
      </c>
      <c r="C871" t="s">
        <v>1374</v>
      </c>
      <c r="D871" s="1">
        <v>0</v>
      </c>
      <c r="E871" s="3">
        <v>1</v>
      </c>
      <c r="F871" s="2">
        <v>1</v>
      </c>
      <c r="G871">
        <v>0</v>
      </c>
    </row>
    <row r="872" spans="1:7" x14ac:dyDescent="0.25">
      <c r="A872" s="111" t="str">
        <f t="shared" si="13"/>
        <v>JDH4-02-007-PR-2727</v>
      </c>
      <c r="B872" t="s">
        <v>1375</v>
      </c>
      <c r="C872" t="s">
        <v>1376</v>
      </c>
      <c r="D872" s="1">
        <v>0</v>
      </c>
      <c r="E872" s="3">
        <v>1</v>
      </c>
      <c r="F872" s="2">
        <v>1</v>
      </c>
      <c r="G872">
        <v>0</v>
      </c>
    </row>
    <row r="873" spans="1:7" x14ac:dyDescent="0.25">
      <c r="A873" s="111" t="str">
        <f t="shared" si="13"/>
        <v>JDH4-02-007-PR-2728</v>
      </c>
      <c r="B873" t="s">
        <v>1377</v>
      </c>
      <c r="C873" t="s">
        <v>1378</v>
      </c>
      <c r="D873" s="1">
        <v>0</v>
      </c>
      <c r="E873" s="3">
        <v>1</v>
      </c>
      <c r="F873" s="3">
        <v>1</v>
      </c>
      <c r="G873">
        <v>0</v>
      </c>
    </row>
    <row r="874" spans="1:7" x14ac:dyDescent="0.25">
      <c r="A874" s="111" t="str">
        <f t="shared" si="13"/>
        <v>JDH4-02-007-PR-2729</v>
      </c>
      <c r="B874" t="s">
        <v>1379</v>
      </c>
      <c r="C874" t="s">
        <v>1380</v>
      </c>
      <c r="D874" s="1">
        <v>0</v>
      </c>
      <c r="E874" s="3">
        <v>1</v>
      </c>
      <c r="F874" s="3">
        <v>1</v>
      </c>
      <c r="G874">
        <v>0</v>
      </c>
    </row>
    <row r="875" spans="1:7" x14ac:dyDescent="0.25">
      <c r="A875" s="111" t="str">
        <f t="shared" si="13"/>
        <v>JDH4-02-007-PR-2730</v>
      </c>
      <c r="B875" t="s">
        <v>1381</v>
      </c>
      <c r="C875" t="s">
        <v>1382</v>
      </c>
      <c r="D875" s="1">
        <v>0</v>
      </c>
      <c r="E875" s="3">
        <v>1</v>
      </c>
      <c r="F875" s="3">
        <v>1</v>
      </c>
      <c r="G875">
        <v>0</v>
      </c>
    </row>
    <row r="876" spans="1:7" x14ac:dyDescent="0.25">
      <c r="A876" s="111" t="str">
        <f t="shared" si="13"/>
        <v>JDH4-02-007-PR-2740</v>
      </c>
      <c r="B876" t="s">
        <v>1383</v>
      </c>
      <c r="C876" t="s">
        <v>1384</v>
      </c>
      <c r="D876" s="1">
        <v>179076.09</v>
      </c>
      <c r="E876" s="3">
        <v>1</v>
      </c>
      <c r="F876" s="3">
        <v>1</v>
      </c>
      <c r="G876" s="1">
        <v>179076.09</v>
      </c>
    </row>
    <row r="877" spans="1:7" x14ac:dyDescent="0.25">
      <c r="A877" s="111" t="str">
        <f t="shared" si="13"/>
        <v>JDH4-02-007-PR-2750</v>
      </c>
      <c r="B877" t="s">
        <v>1385</v>
      </c>
      <c r="C877" t="s">
        <v>1386</v>
      </c>
      <c r="D877" s="1">
        <v>0</v>
      </c>
      <c r="E877" s="3">
        <v>1</v>
      </c>
      <c r="F877" s="2">
        <v>1</v>
      </c>
      <c r="G877">
        <v>0</v>
      </c>
    </row>
    <row r="878" spans="1:7" x14ac:dyDescent="0.25">
      <c r="A878" s="111" t="str">
        <f t="shared" si="13"/>
        <v>Standby Diesel Generator</v>
      </c>
      <c r="B878" t="s">
        <v>1387</v>
      </c>
      <c r="D878" s="1">
        <v>179076.09</v>
      </c>
      <c r="E878" s="3"/>
      <c r="F878" s="3">
        <v>1</v>
      </c>
      <c r="G878" s="1">
        <v>179076.09</v>
      </c>
    </row>
    <row r="879" spans="1:7" x14ac:dyDescent="0.25">
      <c r="A879" s="111" t="str">
        <f t="shared" si="13"/>
        <v>JDH4-02-007-PR-2550</v>
      </c>
      <c r="B879" t="s">
        <v>1388</v>
      </c>
      <c r="C879" t="s">
        <v>1389</v>
      </c>
      <c r="D879" s="1">
        <v>0</v>
      </c>
      <c r="E879" s="3">
        <v>1</v>
      </c>
      <c r="F879" s="3">
        <v>1</v>
      </c>
      <c r="G879">
        <v>0</v>
      </c>
    </row>
    <row r="880" spans="1:7" x14ac:dyDescent="0.25">
      <c r="A880" s="111" t="str">
        <f t="shared" si="13"/>
        <v>JDH4-02-007-PR-2587</v>
      </c>
      <c r="B880" t="s">
        <v>1390</v>
      </c>
      <c r="C880" t="s">
        <v>1391</v>
      </c>
      <c r="D880" s="1">
        <v>0</v>
      </c>
      <c r="E880" s="3">
        <v>1</v>
      </c>
      <c r="F880" s="3">
        <v>1</v>
      </c>
      <c r="G880">
        <v>0</v>
      </c>
    </row>
    <row r="881" spans="1:7" x14ac:dyDescent="0.25">
      <c r="A881" s="111" t="str">
        <f t="shared" si="13"/>
        <v>JDH4-02-007-PR-2588</v>
      </c>
      <c r="B881" t="s">
        <v>1392</v>
      </c>
      <c r="C881" t="s">
        <v>1393</v>
      </c>
      <c r="D881" s="1">
        <v>0</v>
      </c>
      <c r="E881" s="3">
        <v>1</v>
      </c>
      <c r="F881" s="3">
        <v>1</v>
      </c>
      <c r="G881">
        <v>0</v>
      </c>
    </row>
    <row r="882" spans="1:7" x14ac:dyDescent="0.25">
      <c r="A882" s="111" t="str">
        <f t="shared" si="13"/>
        <v>JDH4-02-007-PR-2589</v>
      </c>
      <c r="B882" t="s">
        <v>1394</v>
      </c>
      <c r="C882" t="s">
        <v>1395</v>
      </c>
      <c r="D882" s="1">
        <v>0</v>
      </c>
      <c r="E882" s="3">
        <v>1</v>
      </c>
      <c r="F882" s="3">
        <v>1</v>
      </c>
      <c r="G882">
        <v>0</v>
      </c>
    </row>
    <row r="883" spans="1:7" x14ac:dyDescent="0.25">
      <c r="A883" s="111" t="str">
        <f t="shared" si="13"/>
        <v>JDH4-02-007-PR-2590</v>
      </c>
      <c r="B883" t="s">
        <v>1396</v>
      </c>
      <c r="C883" t="s">
        <v>1397</v>
      </c>
      <c r="D883" s="1">
        <v>0</v>
      </c>
      <c r="E883" s="3">
        <v>1</v>
      </c>
      <c r="F883" s="3">
        <v>1</v>
      </c>
      <c r="G883">
        <v>0</v>
      </c>
    </row>
    <row r="884" spans="1:7" x14ac:dyDescent="0.25">
      <c r="A884" s="111" t="str">
        <f t="shared" si="13"/>
        <v>JDH4-02-007-PR-2630</v>
      </c>
      <c r="B884" t="s">
        <v>1398</v>
      </c>
      <c r="C884" t="s">
        <v>1399</v>
      </c>
      <c r="D884" s="1">
        <v>179076.09</v>
      </c>
      <c r="E884" s="3">
        <v>1</v>
      </c>
      <c r="F884" s="3">
        <v>1</v>
      </c>
      <c r="G884" s="1">
        <v>179076.09</v>
      </c>
    </row>
    <row r="885" spans="1:7" x14ac:dyDescent="0.25">
      <c r="A885" s="111" t="str">
        <f t="shared" si="13"/>
        <v>JDH4-02-007-PR-2670</v>
      </c>
      <c r="B885" t="s">
        <v>1400</v>
      </c>
      <c r="C885" t="s">
        <v>1401</v>
      </c>
      <c r="D885" s="1">
        <v>0</v>
      </c>
      <c r="E885" s="3">
        <v>1</v>
      </c>
      <c r="F885" s="3">
        <v>1</v>
      </c>
      <c r="G885">
        <v>0</v>
      </c>
    </row>
    <row r="886" spans="1:7" x14ac:dyDescent="0.25">
      <c r="A886" s="111" t="str">
        <f t="shared" si="13"/>
        <v>Power Factor Correction Capacitor Bank</v>
      </c>
      <c r="B886" t="s">
        <v>1402</v>
      </c>
      <c r="D886" s="1">
        <v>179076.09</v>
      </c>
      <c r="E886" s="3"/>
      <c r="F886" s="2">
        <v>1</v>
      </c>
      <c r="G886" s="1">
        <v>179076.09</v>
      </c>
    </row>
    <row r="887" spans="1:7" x14ac:dyDescent="0.25">
      <c r="A887" s="111" t="str">
        <f t="shared" si="13"/>
        <v>JDH4-02-007-PR-2760</v>
      </c>
      <c r="B887" t="s">
        <v>1403</v>
      </c>
      <c r="C887" t="s">
        <v>1404</v>
      </c>
      <c r="D887" s="1">
        <v>0</v>
      </c>
      <c r="E887" s="3">
        <v>1</v>
      </c>
      <c r="F887" s="3">
        <v>1</v>
      </c>
      <c r="G887">
        <v>0</v>
      </c>
    </row>
    <row r="888" spans="1:7" x14ac:dyDescent="0.25">
      <c r="A888" s="111" t="str">
        <f t="shared" si="13"/>
        <v>JDH4-02-007-PR-2795</v>
      </c>
      <c r="B888" t="s">
        <v>1405</v>
      </c>
      <c r="C888" t="s">
        <v>1406</v>
      </c>
      <c r="D888" s="1">
        <v>0</v>
      </c>
      <c r="E888" s="3">
        <v>1</v>
      </c>
      <c r="F888" s="3">
        <v>1</v>
      </c>
      <c r="G888">
        <v>0</v>
      </c>
    </row>
    <row r="889" spans="1:7" x14ac:dyDescent="0.25">
      <c r="A889" s="111" t="str">
        <f t="shared" si="13"/>
        <v>JDH4-02-007-PR-2796</v>
      </c>
      <c r="B889" t="s">
        <v>1407</v>
      </c>
      <c r="C889" t="s">
        <v>1408</v>
      </c>
      <c r="D889" s="1">
        <v>0</v>
      </c>
      <c r="E889" s="3">
        <v>1</v>
      </c>
      <c r="F889" s="3">
        <v>1</v>
      </c>
      <c r="G889">
        <v>0</v>
      </c>
    </row>
    <row r="890" spans="1:7" x14ac:dyDescent="0.25">
      <c r="A890" s="111" t="str">
        <f t="shared" si="13"/>
        <v>JDH4-02-007-PR-2797</v>
      </c>
      <c r="B890" t="s">
        <v>1409</v>
      </c>
      <c r="C890" t="s">
        <v>1410</v>
      </c>
      <c r="D890" s="1">
        <v>0</v>
      </c>
      <c r="E890" s="3">
        <v>1</v>
      </c>
      <c r="F890" s="3">
        <v>1</v>
      </c>
      <c r="G890">
        <v>0</v>
      </c>
    </row>
    <row r="891" spans="1:7" x14ac:dyDescent="0.25">
      <c r="A891" s="111" t="str">
        <f t="shared" si="13"/>
        <v>JDH4-02-007-PR-2798</v>
      </c>
      <c r="B891" t="s">
        <v>1411</v>
      </c>
      <c r="C891" t="s">
        <v>1412</v>
      </c>
      <c r="D891" s="1">
        <v>0</v>
      </c>
      <c r="E891" s="3">
        <v>1</v>
      </c>
      <c r="F891" s="3">
        <v>1</v>
      </c>
      <c r="G891">
        <v>0</v>
      </c>
    </row>
    <row r="892" spans="1:7" x14ac:dyDescent="0.25">
      <c r="A892" s="111" t="str">
        <f t="shared" si="13"/>
        <v>JDH4-02-007-PR-2800</v>
      </c>
      <c r="B892" t="s">
        <v>1415</v>
      </c>
      <c r="C892" t="s">
        <v>1416</v>
      </c>
      <c r="D892" s="1">
        <v>0</v>
      </c>
      <c r="E892" s="3">
        <v>1</v>
      </c>
      <c r="F892" s="3">
        <v>1</v>
      </c>
      <c r="G892">
        <v>0</v>
      </c>
    </row>
    <row r="893" spans="1:7" x14ac:dyDescent="0.25">
      <c r="A893" s="111" t="str">
        <f t="shared" si="13"/>
        <v>JDH4-02-007-PR-2799</v>
      </c>
      <c r="B893" t="s">
        <v>1413</v>
      </c>
      <c r="C893" t="s">
        <v>1414</v>
      </c>
      <c r="D893" s="1">
        <v>0</v>
      </c>
      <c r="E893" s="3">
        <v>1</v>
      </c>
      <c r="F893" s="3">
        <v>1</v>
      </c>
      <c r="G893">
        <v>0</v>
      </c>
    </row>
    <row r="894" spans="1:7" x14ac:dyDescent="0.25">
      <c r="A894" s="111" t="str">
        <f t="shared" si="13"/>
        <v>JDH4-02-007-PR-2840</v>
      </c>
      <c r="B894" t="s">
        <v>1417</v>
      </c>
      <c r="C894" t="s">
        <v>1418</v>
      </c>
      <c r="D894" s="1">
        <v>179076.09</v>
      </c>
      <c r="E894" s="3">
        <v>1</v>
      </c>
      <c r="F894" s="3">
        <v>1</v>
      </c>
      <c r="G894" s="1">
        <v>179076.09</v>
      </c>
    </row>
    <row r="895" spans="1:7" x14ac:dyDescent="0.25">
      <c r="A895" s="111" t="str">
        <f t="shared" si="13"/>
        <v>JDH4-02-007-PR-2880</v>
      </c>
      <c r="B895" t="s">
        <v>1419</v>
      </c>
      <c r="C895" t="s">
        <v>1420</v>
      </c>
      <c r="D895" s="1">
        <v>0</v>
      </c>
      <c r="E895" s="3">
        <v>1</v>
      </c>
      <c r="F895" s="3">
        <v>1</v>
      </c>
      <c r="G895">
        <v>0</v>
      </c>
    </row>
    <row r="896" spans="1:7" x14ac:dyDescent="0.25">
      <c r="A896" s="111" t="str">
        <f t="shared" si="13"/>
        <v>Low-Voltage Electrical Power Conductors and Cables</v>
      </c>
      <c r="B896" t="s">
        <v>1421</v>
      </c>
      <c r="D896" s="1">
        <v>179076.09</v>
      </c>
      <c r="E896" s="3"/>
      <c r="F896" s="3">
        <v>1</v>
      </c>
      <c r="G896" s="1">
        <v>179076.09</v>
      </c>
    </row>
    <row r="897" spans="1:7" x14ac:dyDescent="0.25">
      <c r="A897" s="111" t="str">
        <f t="shared" si="13"/>
        <v>JDH4-02-007-PR-2770</v>
      </c>
      <c r="B897" t="s">
        <v>1422</v>
      </c>
      <c r="C897" t="s">
        <v>1423</v>
      </c>
      <c r="D897" s="1">
        <v>0</v>
      </c>
      <c r="E897" s="3">
        <v>1</v>
      </c>
      <c r="F897" s="3">
        <v>1</v>
      </c>
      <c r="G897">
        <v>0</v>
      </c>
    </row>
    <row r="898" spans="1:7" x14ac:dyDescent="0.25">
      <c r="A898" s="111" t="str">
        <f t="shared" si="13"/>
        <v>JDH4-02-007-PR-2807</v>
      </c>
      <c r="B898" t="s">
        <v>1424</v>
      </c>
      <c r="C898" t="s">
        <v>1425</v>
      </c>
      <c r="D898" s="1">
        <v>0</v>
      </c>
      <c r="E898" s="3">
        <v>1</v>
      </c>
      <c r="F898" s="3">
        <v>1</v>
      </c>
      <c r="G898">
        <v>0</v>
      </c>
    </row>
    <row r="899" spans="1:7" x14ac:dyDescent="0.25">
      <c r="A899" s="111" t="str">
        <f t="shared" si="13"/>
        <v>JDH4-02-007-PR-2808</v>
      </c>
      <c r="B899" t="s">
        <v>1426</v>
      </c>
      <c r="C899" t="s">
        <v>1427</v>
      </c>
      <c r="D899" s="1">
        <v>0</v>
      </c>
      <c r="E899" s="3">
        <v>1</v>
      </c>
      <c r="F899" s="3">
        <v>1</v>
      </c>
      <c r="G899">
        <v>0</v>
      </c>
    </row>
    <row r="900" spans="1:7" x14ac:dyDescent="0.25">
      <c r="A900" s="111" t="str">
        <f t="shared" ref="A900:A963" si="14">TRIM(B900)</f>
        <v>JDH4-02-007-PR-2809</v>
      </c>
      <c r="B900" t="s">
        <v>1428</v>
      </c>
      <c r="C900" t="s">
        <v>1429</v>
      </c>
      <c r="D900" s="1">
        <v>0</v>
      </c>
      <c r="E900" s="3">
        <v>1</v>
      </c>
      <c r="F900" s="3">
        <v>1</v>
      </c>
      <c r="G900">
        <v>0</v>
      </c>
    </row>
    <row r="901" spans="1:7" x14ac:dyDescent="0.25">
      <c r="A901" s="111" t="str">
        <f t="shared" si="14"/>
        <v>JDH4-02-007-PR-2810</v>
      </c>
      <c r="B901" t="s">
        <v>1430</v>
      </c>
      <c r="C901" t="s">
        <v>1431</v>
      </c>
      <c r="D901" s="1">
        <v>0</v>
      </c>
      <c r="E901" s="3">
        <v>1</v>
      </c>
      <c r="F901" s="3">
        <v>1</v>
      </c>
      <c r="G901">
        <v>0</v>
      </c>
    </row>
    <row r="902" spans="1:7" x14ac:dyDescent="0.25">
      <c r="A902" s="111" t="str">
        <f t="shared" si="14"/>
        <v>JDH4-02-007-PR-2850</v>
      </c>
      <c r="B902" t="s">
        <v>1432</v>
      </c>
      <c r="C902" t="s">
        <v>1433</v>
      </c>
      <c r="D902" s="1">
        <v>179076.09</v>
      </c>
      <c r="E902" s="3">
        <v>1</v>
      </c>
      <c r="F902" s="3">
        <v>1</v>
      </c>
      <c r="G902" s="1">
        <v>179076.09</v>
      </c>
    </row>
    <row r="903" spans="1:7" x14ac:dyDescent="0.25">
      <c r="A903" s="111" t="str">
        <f t="shared" si="14"/>
        <v>JDH4-02-007-PR-2890</v>
      </c>
      <c r="B903" t="s">
        <v>1434</v>
      </c>
      <c r="C903" t="s">
        <v>1435</v>
      </c>
      <c r="D903" s="1">
        <v>0</v>
      </c>
      <c r="E903" s="3">
        <v>1</v>
      </c>
      <c r="F903" s="3">
        <v>1</v>
      </c>
      <c r="G903">
        <v>0</v>
      </c>
    </row>
    <row r="904" spans="1:7" x14ac:dyDescent="0.25">
      <c r="A904" s="111" t="str">
        <f t="shared" si="14"/>
        <v>Low Voltage Feeder Cable</v>
      </c>
      <c r="B904" t="s">
        <v>1436</v>
      </c>
      <c r="D904" s="1">
        <v>179076.09</v>
      </c>
      <c r="E904" s="3"/>
      <c r="F904" s="3">
        <v>1</v>
      </c>
      <c r="G904" s="1">
        <v>179076.09</v>
      </c>
    </row>
    <row r="905" spans="1:7" x14ac:dyDescent="0.25">
      <c r="A905" s="111" t="str">
        <f t="shared" si="14"/>
        <v>JDH4-02-007-PR-2920</v>
      </c>
      <c r="B905" t="s">
        <v>1437</v>
      </c>
      <c r="C905" t="s">
        <v>1438</v>
      </c>
      <c r="D905" s="1">
        <v>0</v>
      </c>
      <c r="E905" s="3">
        <v>1</v>
      </c>
      <c r="F905" s="3">
        <v>1</v>
      </c>
      <c r="G905">
        <v>0</v>
      </c>
    </row>
    <row r="906" spans="1:7" x14ac:dyDescent="0.25">
      <c r="A906" s="111" t="str">
        <f t="shared" si="14"/>
        <v>JDH4-02-007-PR-2927</v>
      </c>
      <c r="B906" t="s">
        <v>1439</v>
      </c>
      <c r="C906" t="s">
        <v>1440</v>
      </c>
      <c r="D906" s="1">
        <v>0</v>
      </c>
      <c r="E906" s="3">
        <v>1</v>
      </c>
      <c r="F906" s="3">
        <v>1</v>
      </c>
      <c r="G906">
        <v>0</v>
      </c>
    </row>
    <row r="907" spans="1:7" x14ac:dyDescent="0.25">
      <c r="A907" s="111" t="str">
        <f t="shared" si="14"/>
        <v>JDH4-02-007-PR-2928</v>
      </c>
      <c r="B907" t="s">
        <v>1441</v>
      </c>
      <c r="C907" t="s">
        <v>1442</v>
      </c>
      <c r="D907" s="1">
        <v>0</v>
      </c>
      <c r="E907" s="3">
        <v>1</v>
      </c>
      <c r="F907" s="3">
        <v>1</v>
      </c>
      <c r="G907">
        <v>0</v>
      </c>
    </row>
    <row r="908" spans="1:7" x14ac:dyDescent="0.25">
      <c r="A908" s="111" t="str">
        <f t="shared" si="14"/>
        <v>JDH4-02-007-PR-2929</v>
      </c>
      <c r="B908" t="s">
        <v>1443</v>
      </c>
      <c r="C908" t="s">
        <v>1444</v>
      </c>
      <c r="D908" s="1">
        <v>0</v>
      </c>
      <c r="E908" s="3">
        <v>1</v>
      </c>
      <c r="F908" s="3">
        <v>1</v>
      </c>
      <c r="G908">
        <v>0</v>
      </c>
    </row>
    <row r="909" spans="1:7" x14ac:dyDescent="0.25">
      <c r="A909" s="111" t="str">
        <f t="shared" si="14"/>
        <v>JDH4-02-007-PR-2930</v>
      </c>
      <c r="B909" t="s">
        <v>1445</v>
      </c>
      <c r="C909" t="s">
        <v>1446</v>
      </c>
      <c r="D909" s="1">
        <v>0</v>
      </c>
      <c r="E909" s="3">
        <v>1</v>
      </c>
      <c r="F909" s="3">
        <v>1</v>
      </c>
      <c r="G909">
        <v>0</v>
      </c>
    </row>
    <row r="910" spans="1:7" x14ac:dyDescent="0.25">
      <c r="A910" s="111" t="str">
        <f t="shared" si="14"/>
        <v>JDH4-02-007-PR-2940</v>
      </c>
      <c r="B910" t="s">
        <v>1447</v>
      </c>
      <c r="C910" t="s">
        <v>1448</v>
      </c>
      <c r="D910" s="1">
        <v>179076.09</v>
      </c>
      <c r="E910" s="3">
        <v>1</v>
      </c>
      <c r="F910" s="3">
        <v>1</v>
      </c>
      <c r="G910" s="1">
        <v>179076.09</v>
      </c>
    </row>
    <row r="911" spans="1:7" x14ac:dyDescent="0.25">
      <c r="A911" s="111" t="str">
        <f t="shared" si="14"/>
        <v>JDH4-02-007-PR-2950</v>
      </c>
      <c r="B911" t="s">
        <v>1449</v>
      </c>
      <c r="C911" t="s">
        <v>1450</v>
      </c>
      <c r="D911" s="1">
        <v>0</v>
      </c>
      <c r="E911" s="3">
        <v>1</v>
      </c>
      <c r="F911" s="3">
        <v>1</v>
      </c>
      <c r="G911">
        <v>0</v>
      </c>
    </row>
    <row r="912" spans="1:7" x14ac:dyDescent="0.25">
      <c r="A912" s="111" t="str">
        <f t="shared" si="14"/>
        <v>Wiring Devices</v>
      </c>
      <c r="B912" t="s">
        <v>1451</v>
      </c>
      <c r="D912" s="1">
        <v>179076.09</v>
      </c>
      <c r="E912" s="3"/>
      <c r="F912" s="3">
        <v>1</v>
      </c>
      <c r="G912" s="1">
        <v>179076.09</v>
      </c>
    </row>
    <row r="913" spans="1:7" x14ac:dyDescent="0.25">
      <c r="A913" s="111" t="str">
        <f t="shared" si="14"/>
        <v>JDH4-02-007-PR-2780</v>
      </c>
      <c r="B913" t="s">
        <v>1452</v>
      </c>
      <c r="C913" t="s">
        <v>1453</v>
      </c>
      <c r="D913" s="1">
        <v>0</v>
      </c>
      <c r="E913" s="3">
        <v>1</v>
      </c>
      <c r="F913" s="3">
        <v>1</v>
      </c>
      <c r="G913">
        <v>0</v>
      </c>
    </row>
    <row r="914" spans="1:7" x14ac:dyDescent="0.25">
      <c r="A914" s="111" t="str">
        <f t="shared" si="14"/>
        <v>JDH4-02-007-PR-2815</v>
      </c>
      <c r="B914" t="s">
        <v>1454</v>
      </c>
      <c r="C914" t="s">
        <v>1455</v>
      </c>
      <c r="D914" s="1">
        <v>0</v>
      </c>
      <c r="E914" s="3">
        <v>1</v>
      </c>
      <c r="F914" s="3">
        <v>1</v>
      </c>
      <c r="G914">
        <v>0</v>
      </c>
    </row>
    <row r="915" spans="1:7" x14ac:dyDescent="0.25">
      <c r="A915" s="111" t="str">
        <f t="shared" si="14"/>
        <v>JDH4-02-007-PR-2816</v>
      </c>
      <c r="B915" t="s">
        <v>1456</v>
      </c>
      <c r="C915" t="s">
        <v>1457</v>
      </c>
      <c r="D915" s="1">
        <v>0</v>
      </c>
      <c r="E915" s="3">
        <v>1</v>
      </c>
      <c r="F915" s="3">
        <v>1</v>
      </c>
      <c r="G915">
        <v>0</v>
      </c>
    </row>
    <row r="916" spans="1:7" x14ac:dyDescent="0.25">
      <c r="A916" s="111" t="str">
        <f t="shared" si="14"/>
        <v>JDH4-02-007-PR-2817</v>
      </c>
      <c r="B916" t="s">
        <v>1458</v>
      </c>
      <c r="C916" t="s">
        <v>1459</v>
      </c>
      <c r="D916" s="1">
        <v>0</v>
      </c>
      <c r="E916" s="3">
        <v>1</v>
      </c>
      <c r="F916" s="3">
        <v>1</v>
      </c>
      <c r="G916">
        <v>0</v>
      </c>
    </row>
    <row r="917" spans="1:7" x14ac:dyDescent="0.25">
      <c r="A917" s="111" t="str">
        <f t="shared" si="14"/>
        <v>JDH4-02-007-PR-2818</v>
      </c>
      <c r="B917" t="s">
        <v>1460</v>
      </c>
      <c r="C917" t="s">
        <v>1461</v>
      </c>
      <c r="D917" s="1">
        <v>0</v>
      </c>
      <c r="E917" s="3">
        <v>1</v>
      </c>
      <c r="F917" s="3">
        <v>1</v>
      </c>
      <c r="G917">
        <v>0</v>
      </c>
    </row>
    <row r="918" spans="1:7" x14ac:dyDescent="0.25">
      <c r="A918" s="111" t="str">
        <f t="shared" si="14"/>
        <v>JDH4-02-007-PR-2819</v>
      </c>
      <c r="B918" t="s">
        <v>1462</v>
      </c>
      <c r="C918" t="s">
        <v>1463</v>
      </c>
      <c r="D918" s="1">
        <v>0</v>
      </c>
      <c r="E918" s="3">
        <v>1</v>
      </c>
      <c r="F918" s="3">
        <v>1</v>
      </c>
      <c r="G918">
        <v>0</v>
      </c>
    </row>
    <row r="919" spans="1:7" x14ac:dyDescent="0.25">
      <c r="A919" s="111" t="str">
        <f t="shared" si="14"/>
        <v>JDH4-02-007-PR-2820</v>
      </c>
      <c r="B919" t="s">
        <v>1464</v>
      </c>
      <c r="C919" t="s">
        <v>1465</v>
      </c>
      <c r="D919" s="1">
        <v>0</v>
      </c>
      <c r="E919" s="3">
        <v>1</v>
      </c>
      <c r="F919" s="3">
        <v>1</v>
      </c>
      <c r="G919">
        <v>0</v>
      </c>
    </row>
    <row r="920" spans="1:7" x14ac:dyDescent="0.25">
      <c r="A920" s="111" t="str">
        <f t="shared" si="14"/>
        <v>JDH4-02-007-PR-2860</v>
      </c>
      <c r="B920" t="s">
        <v>1466</v>
      </c>
      <c r="C920" t="s">
        <v>1467</v>
      </c>
      <c r="D920" s="1">
        <v>179076.09</v>
      </c>
      <c r="E920" s="3">
        <v>1</v>
      </c>
      <c r="F920" s="3">
        <v>1</v>
      </c>
      <c r="G920" s="1">
        <v>179076.09</v>
      </c>
    </row>
    <row r="921" spans="1:7" x14ac:dyDescent="0.25">
      <c r="A921" s="111" t="str">
        <f t="shared" si="14"/>
        <v>JDH4-02-007-PR-2900</v>
      </c>
      <c r="B921" t="s">
        <v>1468</v>
      </c>
      <c r="C921" t="s">
        <v>1469</v>
      </c>
      <c r="D921" s="1">
        <v>0</v>
      </c>
      <c r="E921" s="3">
        <v>1</v>
      </c>
      <c r="F921" s="2">
        <v>1</v>
      </c>
      <c r="G921">
        <v>0</v>
      </c>
    </row>
    <row r="922" spans="1:7" x14ac:dyDescent="0.25">
      <c r="A922" s="111" t="str">
        <f t="shared" si="14"/>
        <v>Enclosed Switches and Circuit Breakers</v>
      </c>
      <c r="B922" t="s">
        <v>1470</v>
      </c>
      <c r="D922" s="1">
        <v>179076.09</v>
      </c>
      <c r="E922" s="3"/>
      <c r="F922" s="3">
        <v>1</v>
      </c>
      <c r="G922" s="1">
        <v>179076.09</v>
      </c>
    </row>
    <row r="923" spans="1:7" x14ac:dyDescent="0.25">
      <c r="A923" s="111" t="str">
        <f t="shared" si="14"/>
        <v>JDH4-02-007-PR-2960</v>
      </c>
      <c r="B923" t="s">
        <v>1471</v>
      </c>
      <c r="C923" t="s">
        <v>1472</v>
      </c>
      <c r="D923" s="1">
        <v>0</v>
      </c>
      <c r="E923" s="3">
        <v>1</v>
      </c>
      <c r="F923" s="3">
        <v>1</v>
      </c>
      <c r="G923">
        <v>0</v>
      </c>
    </row>
    <row r="924" spans="1:7" x14ac:dyDescent="0.25">
      <c r="A924" s="111" t="str">
        <f t="shared" si="14"/>
        <v>JDH4-02-007-PR-2965</v>
      </c>
      <c r="B924" t="s">
        <v>1473</v>
      </c>
      <c r="C924" t="s">
        <v>1474</v>
      </c>
      <c r="D924" s="1">
        <v>0</v>
      </c>
      <c r="E924" s="3">
        <v>1</v>
      </c>
      <c r="F924" s="3">
        <v>1</v>
      </c>
      <c r="G924">
        <v>0</v>
      </c>
    </row>
    <row r="925" spans="1:7" x14ac:dyDescent="0.25">
      <c r="A925" s="111" t="str">
        <f t="shared" si="14"/>
        <v>JDH4-02-007-PR-2966</v>
      </c>
      <c r="B925" t="s">
        <v>1475</v>
      </c>
      <c r="C925" t="s">
        <v>1476</v>
      </c>
      <c r="D925" s="1">
        <v>0</v>
      </c>
      <c r="E925" s="3">
        <v>1</v>
      </c>
      <c r="F925" s="3">
        <v>1</v>
      </c>
      <c r="G925">
        <v>0</v>
      </c>
    </row>
    <row r="926" spans="1:7" x14ac:dyDescent="0.25">
      <c r="A926" s="111" t="str">
        <f t="shared" si="14"/>
        <v>JDH4-02-007-PR-2967</v>
      </c>
      <c r="B926" t="s">
        <v>1477</v>
      </c>
      <c r="C926" t="s">
        <v>1478</v>
      </c>
      <c r="D926" s="1">
        <v>0</v>
      </c>
      <c r="E926" s="3">
        <v>1</v>
      </c>
      <c r="F926" s="3">
        <v>1</v>
      </c>
      <c r="G926">
        <v>0</v>
      </c>
    </row>
    <row r="927" spans="1:7" x14ac:dyDescent="0.25">
      <c r="A927" s="111" t="str">
        <f t="shared" si="14"/>
        <v>JDH4-02-007-PR-2970</v>
      </c>
      <c r="B927" t="s">
        <v>1483</v>
      </c>
      <c r="C927" t="s">
        <v>1484</v>
      </c>
      <c r="D927" s="1">
        <v>0</v>
      </c>
      <c r="E927" s="3">
        <v>1</v>
      </c>
      <c r="F927" s="3">
        <v>1</v>
      </c>
      <c r="G927">
        <v>0</v>
      </c>
    </row>
    <row r="928" spans="1:7" x14ac:dyDescent="0.25">
      <c r="A928" s="111" t="str">
        <f t="shared" si="14"/>
        <v>JDH4-02-007-PR-2969</v>
      </c>
      <c r="B928" t="s">
        <v>1481</v>
      </c>
      <c r="C928" t="s">
        <v>1482</v>
      </c>
      <c r="D928" s="1">
        <v>0</v>
      </c>
      <c r="E928" s="3">
        <v>1</v>
      </c>
      <c r="F928" s="3">
        <v>1</v>
      </c>
      <c r="G928">
        <v>0</v>
      </c>
    </row>
    <row r="929" spans="1:7" x14ac:dyDescent="0.25">
      <c r="A929" s="111" t="str">
        <f t="shared" si="14"/>
        <v>JDH4-02-007-PR-2968</v>
      </c>
      <c r="B929" t="s">
        <v>1479</v>
      </c>
      <c r="C929" t="s">
        <v>1480</v>
      </c>
      <c r="D929" s="1">
        <v>0</v>
      </c>
      <c r="E929" s="3">
        <v>1</v>
      </c>
      <c r="F929" s="3">
        <v>1</v>
      </c>
      <c r="G929">
        <v>0</v>
      </c>
    </row>
    <row r="930" spans="1:7" x14ac:dyDescent="0.25">
      <c r="A930" s="111" t="str">
        <f t="shared" si="14"/>
        <v>JDH4-02-007-PR-2980</v>
      </c>
      <c r="B930" t="s">
        <v>1485</v>
      </c>
      <c r="C930" t="s">
        <v>1486</v>
      </c>
      <c r="D930" s="1">
        <v>179076.09</v>
      </c>
      <c r="E930" s="3">
        <v>1</v>
      </c>
      <c r="F930" s="3">
        <v>1</v>
      </c>
      <c r="G930" s="1">
        <v>179076.09</v>
      </c>
    </row>
    <row r="931" spans="1:7" x14ac:dyDescent="0.25">
      <c r="A931" s="111" t="str">
        <f t="shared" si="14"/>
        <v>JDH4-02-007-PR-2990</v>
      </c>
      <c r="B931" t="s">
        <v>1487</v>
      </c>
      <c r="C931" t="s">
        <v>1488</v>
      </c>
      <c r="D931" s="1">
        <v>0</v>
      </c>
      <c r="E931" s="3">
        <v>1</v>
      </c>
      <c r="F931" s="3">
        <v>1</v>
      </c>
      <c r="G931">
        <v>0</v>
      </c>
    </row>
    <row r="932" spans="1:7" x14ac:dyDescent="0.25">
      <c r="A932" s="111" t="str">
        <f t="shared" si="14"/>
        <v>Raceways for Electrical Systems</v>
      </c>
      <c r="B932" t="s">
        <v>1489</v>
      </c>
      <c r="D932" s="1">
        <v>179076.09</v>
      </c>
      <c r="E932" s="3"/>
      <c r="F932" s="3">
        <v>1</v>
      </c>
      <c r="G932" s="1">
        <v>179076.09</v>
      </c>
    </row>
    <row r="933" spans="1:7" x14ac:dyDescent="0.25">
      <c r="A933" s="111" t="str">
        <f t="shared" si="14"/>
        <v>JDH4-02-007-PR-2790</v>
      </c>
      <c r="B933" t="s">
        <v>1490</v>
      </c>
      <c r="C933" t="s">
        <v>1491</v>
      </c>
      <c r="D933" s="1">
        <v>0</v>
      </c>
      <c r="E933" s="3">
        <v>1</v>
      </c>
      <c r="F933" s="3">
        <v>1</v>
      </c>
      <c r="G933">
        <v>0</v>
      </c>
    </row>
    <row r="934" spans="1:7" x14ac:dyDescent="0.25">
      <c r="A934" s="111" t="str">
        <f t="shared" si="14"/>
        <v>JDH4-02-007-PR-2827</v>
      </c>
      <c r="B934" t="s">
        <v>1492</v>
      </c>
      <c r="C934" t="s">
        <v>1493</v>
      </c>
      <c r="D934" s="1">
        <v>0</v>
      </c>
      <c r="E934" s="3">
        <v>1</v>
      </c>
      <c r="F934" s="3">
        <v>1</v>
      </c>
      <c r="G934">
        <v>0</v>
      </c>
    </row>
    <row r="935" spans="1:7" x14ac:dyDescent="0.25">
      <c r="A935" s="111" t="str">
        <f t="shared" si="14"/>
        <v>JDH4-02-007-PR-2828</v>
      </c>
      <c r="B935" t="s">
        <v>1494</v>
      </c>
      <c r="C935" t="s">
        <v>1495</v>
      </c>
      <c r="D935" s="1">
        <v>0</v>
      </c>
      <c r="E935" s="3">
        <v>1</v>
      </c>
      <c r="F935" s="3">
        <v>1</v>
      </c>
      <c r="G935">
        <v>0</v>
      </c>
    </row>
    <row r="936" spans="1:7" x14ac:dyDescent="0.25">
      <c r="A936" s="111" t="str">
        <f t="shared" si="14"/>
        <v>JDH4-02-007-PR-2829</v>
      </c>
      <c r="B936" t="s">
        <v>1496</v>
      </c>
      <c r="C936" t="s">
        <v>1497</v>
      </c>
      <c r="D936" s="1">
        <v>0</v>
      </c>
      <c r="E936" s="3">
        <v>1</v>
      </c>
      <c r="F936" s="3">
        <v>1</v>
      </c>
      <c r="G936">
        <v>0</v>
      </c>
    </row>
    <row r="937" spans="1:7" x14ac:dyDescent="0.25">
      <c r="A937" s="111" t="str">
        <f t="shared" si="14"/>
        <v>JDH4-02-007-PR-2830</v>
      </c>
      <c r="B937" t="s">
        <v>1498</v>
      </c>
      <c r="C937" t="s">
        <v>1499</v>
      </c>
      <c r="D937" s="1">
        <v>0</v>
      </c>
      <c r="E937" s="3">
        <v>1</v>
      </c>
      <c r="F937" s="3">
        <v>1</v>
      </c>
      <c r="G937">
        <v>0</v>
      </c>
    </row>
    <row r="938" spans="1:7" x14ac:dyDescent="0.25">
      <c r="A938" s="111" t="str">
        <f t="shared" si="14"/>
        <v>JDH4-02-007-PR-2870</v>
      </c>
      <c r="B938" t="s">
        <v>1500</v>
      </c>
      <c r="C938" t="s">
        <v>1501</v>
      </c>
      <c r="D938" s="1">
        <v>179076.09</v>
      </c>
      <c r="E938" s="3">
        <v>1</v>
      </c>
      <c r="F938" s="3">
        <v>1</v>
      </c>
      <c r="G938" s="1">
        <v>179076.09</v>
      </c>
    </row>
    <row r="939" spans="1:7" x14ac:dyDescent="0.25">
      <c r="A939" s="111" t="str">
        <f t="shared" si="14"/>
        <v>JDH4-02-007-PR-2910</v>
      </c>
      <c r="B939" t="s">
        <v>1502</v>
      </c>
      <c r="C939" t="s">
        <v>1503</v>
      </c>
      <c r="D939" s="1">
        <v>0</v>
      </c>
      <c r="E939" s="3">
        <v>1</v>
      </c>
      <c r="F939" s="3">
        <v>1</v>
      </c>
      <c r="G939">
        <v>0</v>
      </c>
    </row>
    <row r="940" spans="1:7" x14ac:dyDescent="0.25">
      <c r="A940" s="111" t="str">
        <f t="shared" si="14"/>
        <v>Electrical Manholes</v>
      </c>
      <c r="B940" t="s">
        <v>1504</v>
      </c>
      <c r="D940" s="1">
        <v>179076.09</v>
      </c>
      <c r="E940" s="3"/>
      <c r="F940" s="3">
        <v>1</v>
      </c>
      <c r="G940" s="1">
        <v>179076.09</v>
      </c>
    </row>
    <row r="941" spans="1:7" x14ac:dyDescent="0.25">
      <c r="A941" s="111" t="str">
        <f t="shared" si="14"/>
        <v>JDH4-02-007-PR-2520</v>
      </c>
      <c r="B941" t="s">
        <v>1505</v>
      </c>
      <c r="C941" t="s">
        <v>1506</v>
      </c>
      <c r="D941" s="1">
        <v>0</v>
      </c>
      <c r="E941" s="3">
        <v>1</v>
      </c>
      <c r="F941" s="3">
        <v>1</v>
      </c>
      <c r="G941">
        <v>0</v>
      </c>
    </row>
    <row r="942" spans="1:7" x14ac:dyDescent="0.25">
      <c r="A942" s="111" t="str">
        <f t="shared" si="14"/>
        <v>JDH4-02-007-PR-2555</v>
      </c>
      <c r="B942" t="s">
        <v>1507</v>
      </c>
      <c r="C942" t="s">
        <v>1508</v>
      </c>
      <c r="D942" s="1">
        <v>0</v>
      </c>
      <c r="E942" s="3">
        <v>1</v>
      </c>
      <c r="F942" s="3">
        <v>1</v>
      </c>
      <c r="G942">
        <v>0</v>
      </c>
    </row>
    <row r="943" spans="1:7" x14ac:dyDescent="0.25">
      <c r="A943" s="111" t="str">
        <f t="shared" si="14"/>
        <v>JDH4-02-007-PR-2557</v>
      </c>
      <c r="B943" t="s">
        <v>1511</v>
      </c>
      <c r="C943" t="s">
        <v>1512</v>
      </c>
      <c r="D943" s="1">
        <v>0</v>
      </c>
      <c r="E943" s="3">
        <v>1</v>
      </c>
      <c r="F943" s="3">
        <v>1</v>
      </c>
      <c r="G943">
        <v>0</v>
      </c>
    </row>
    <row r="944" spans="1:7" x14ac:dyDescent="0.25">
      <c r="A944" s="111" t="str">
        <f t="shared" si="14"/>
        <v>JDH4-02-007-PR-2556</v>
      </c>
      <c r="B944" t="s">
        <v>1509</v>
      </c>
      <c r="C944" t="s">
        <v>1510</v>
      </c>
      <c r="D944" s="1">
        <v>0</v>
      </c>
      <c r="E944" s="3">
        <v>1</v>
      </c>
      <c r="F944" s="3">
        <v>1</v>
      </c>
      <c r="G944">
        <v>0</v>
      </c>
    </row>
    <row r="945" spans="1:7" x14ac:dyDescent="0.25">
      <c r="A945" s="111" t="str">
        <f t="shared" si="14"/>
        <v>JDH4-02-007-PR-2558</v>
      </c>
      <c r="B945" t="s">
        <v>1513</v>
      </c>
      <c r="C945" t="s">
        <v>1514</v>
      </c>
      <c r="D945" s="1">
        <v>0</v>
      </c>
      <c r="E945" s="3">
        <v>1</v>
      </c>
      <c r="F945" s="2">
        <v>1</v>
      </c>
      <c r="G945">
        <v>0</v>
      </c>
    </row>
    <row r="946" spans="1:7" x14ac:dyDescent="0.25">
      <c r="A946" s="111" t="str">
        <f t="shared" si="14"/>
        <v>JDH4-02-007-PR-2559</v>
      </c>
      <c r="B946" t="s">
        <v>1515</v>
      </c>
      <c r="C946" t="s">
        <v>1516</v>
      </c>
      <c r="D946" s="1">
        <v>0</v>
      </c>
      <c r="E946" s="3">
        <v>1</v>
      </c>
      <c r="F946" s="3">
        <v>1</v>
      </c>
      <c r="G946">
        <v>0</v>
      </c>
    </row>
    <row r="947" spans="1:7" x14ac:dyDescent="0.25">
      <c r="A947" s="111" t="str">
        <f t="shared" si="14"/>
        <v>JDH4-02-007-PR-2560</v>
      </c>
      <c r="B947" t="s">
        <v>1517</v>
      </c>
      <c r="C947" t="s">
        <v>1518</v>
      </c>
      <c r="D947" s="1">
        <v>0</v>
      </c>
      <c r="E947" s="3">
        <v>1</v>
      </c>
      <c r="F947" s="3">
        <v>1</v>
      </c>
      <c r="G947">
        <v>0</v>
      </c>
    </row>
    <row r="948" spans="1:7" x14ac:dyDescent="0.25">
      <c r="A948" s="111" t="str">
        <f t="shared" si="14"/>
        <v>JDH4-02-007-PR-2600</v>
      </c>
      <c r="B948" t="s">
        <v>1519</v>
      </c>
      <c r="C948" t="s">
        <v>1520</v>
      </c>
      <c r="D948" s="1">
        <v>179076.09</v>
      </c>
      <c r="E948" s="3">
        <v>1</v>
      </c>
      <c r="F948" s="3">
        <v>1</v>
      </c>
      <c r="G948" s="1">
        <v>179076.09</v>
      </c>
    </row>
    <row r="949" spans="1:7" x14ac:dyDescent="0.25">
      <c r="A949" s="111" t="str">
        <f t="shared" si="14"/>
        <v>JDH4-02-007-PR-2640</v>
      </c>
      <c r="B949" t="s">
        <v>1521</v>
      </c>
      <c r="C949" t="s">
        <v>1522</v>
      </c>
      <c r="D949" s="1">
        <v>0</v>
      </c>
      <c r="E949" s="3">
        <v>1</v>
      </c>
      <c r="F949" s="3">
        <v>1</v>
      </c>
      <c r="G949">
        <v>0</v>
      </c>
    </row>
    <row r="950" spans="1:7" x14ac:dyDescent="0.25">
      <c r="A950" s="111" t="str">
        <f t="shared" si="14"/>
        <v>ICT (Data&amp; telephone System)</v>
      </c>
      <c r="B950" t="s">
        <v>1523</v>
      </c>
      <c r="D950" s="1">
        <v>179076.09</v>
      </c>
      <c r="E950" s="3"/>
      <c r="F950" s="3">
        <v>1</v>
      </c>
      <c r="G950" s="1">
        <v>179076.09</v>
      </c>
    </row>
    <row r="951" spans="1:7" x14ac:dyDescent="0.25">
      <c r="A951" s="111" t="str">
        <f t="shared" si="14"/>
        <v>JDH4-02-007-PR-3040</v>
      </c>
      <c r="B951" t="s">
        <v>1524</v>
      </c>
      <c r="C951" t="s">
        <v>1525</v>
      </c>
      <c r="D951" s="1">
        <v>0</v>
      </c>
      <c r="E951" s="3">
        <v>1</v>
      </c>
      <c r="F951" s="3">
        <v>1</v>
      </c>
      <c r="G951">
        <v>0</v>
      </c>
    </row>
    <row r="952" spans="1:7" x14ac:dyDescent="0.25">
      <c r="A952" s="111" t="str">
        <f t="shared" si="14"/>
        <v>JDH4-02-007-PR-3055</v>
      </c>
      <c r="B952" t="s">
        <v>1526</v>
      </c>
      <c r="C952" t="s">
        <v>1527</v>
      </c>
      <c r="D952" s="1">
        <v>0</v>
      </c>
      <c r="E952" s="3">
        <v>1</v>
      </c>
      <c r="F952" s="3">
        <v>1</v>
      </c>
      <c r="G952">
        <v>0</v>
      </c>
    </row>
    <row r="953" spans="1:7" x14ac:dyDescent="0.25">
      <c r="A953" s="111" t="str">
        <f t="shared" si="14"/>
        <v>JDH4-02-007-PR-3056</v>
      </c>
      <c r="B953" t="s">
        <v>1528</v>
      </c>
      <c r="C953" t="s">
        <v>1529</v>
      </c>
      <c r="D953" s="1">
        <v>0</v>
      </c>
      <c r="E953" s="3">
        <v>1</v>
      </c>
      <c r="F953" s="3">
        <v>1</v>
      </c>
      <c r="G953">
        <v>0</v>
      </c>
    </row>
    <row r="954" spans="1:7" x14ac:dyDescent="0.25">
      <c r="A954" s="111" t="str">
        <f t="shared" si="14"/>
        <v>JDH4-02-007-PR-3057</v>
      </c>
      <c r="B954" t="s">
        <v>1530</v>
      </c>
      <c r="C954" t="s">
        <v>1531</v>
      </c>
      <c r="D954" s="1">
        <v>0</v>
      </c>
      <c r="E954" s="3">
        <v>1</v>
      </c>
      <c r="F954" s="3">
        <v>1</v>
      </c>
      <c r="G954">
        <v>0</v>
      </c>
    </row>
    <row r="955" spans="1:7" x14ac:dyDescent="0.25">
      <c r="A955" s="111" t="str">
        <f t="shared" si="14"/>
        <v>JDH4-02-007-PR-3058</v>
      </c>
      <c r="B955" t="s">
        <v>1532</v>
      </c>
      <c r="C955" t="s">
        <v>1533</v>
      </c>
      <c r="D955" s="1">
        <v>0</v>
      </c>
      <c r="E955" s="3">
        <v>1</v>
      </c>
      <c r="F955" s="3">
        <v>1</v>
      </c>
      <c r="G955">
        <v>0</v>
      </c>
    </row>
    <row r="956" spans="1:7" x14ac:dyDescent="0.25">
      <c r="A956" s="111" t="str">
        <f t="shared" si="14"/>
        <v>JDH4-02-007-PR-3059</v>
      </c>
      <c r="B956" t="s">
        <v>1534</v>
      </c>
      <c r="C956" t="s">
        <v>1535</v>
      </c>
      <c r="D956" s="1">
        <v>0</v>
      </c>
      <c r="E956" s="3">
        <v>1</v>
      </c>
      <c r="F956" s="3">
        <v>1</v>
      </c>
      <c r="G956">
        <v>0</v>
      </c>
    </row>
    <row r="957" spans="1:7" x14ac:dyDescent="0.25">
      <c r="A957" s="111" t="str">
        <f t="shared" si="14"/>
        <v>JDH4-02-007-PR-3060</v>
      </c>
      <c r="B957" t="s">
        <v>1536</v>
      </c>
      <c r="C957" t="s">
        <v>1537</v>
      </c>
      <c r="D957" s="1">
        <v>0</v>
      </c>
      <c r="E957" s="3">
        <v>1</v>
      </c>
      <c r="F957" s="3">
        <v>1</v>
      </c>
      <c r="G957">
        <v>0</v>
      </c>
    </row>
    <row r="958" spans="1:7" x14ac:dyDescent="0.25">
      <c r="A958" s="111" t="str">
        <f t="shared" si="14"/>
        <v>JDH4-02-007-PR-3080</v>
      </c>
      <c r="B958" t="s">
        <v>1538</v>
      </c>
      <c r="C958" t="s">
        <v>1539</v>
      </c>
      <c r="D958" s="1">
        <v>179076.09</v>
      </c>
      <c r="E958" s="3">
        <v>1</v>
      </c>
      <c r="F958" s="3">
        <v>1</v>
      </c>
      <c r="G958" s="1">
        <v>179076.09</v>
      </c>
    </row>
    <row r="959" spans="1:7" x14ac:dyDescent="0.25">
      <c r="A959" s="111" t="str">
        <f t="shared" si="14"/>
        <v>JDH4-02-007-PR-3100</v>
      </c>
      <c r="B959" t="s">
        <v>1540</v>
      </c>
      <c r="C959" t="s">
        <v>1541</v>
      </c>
      <c r="D959" s="1">
        <v>0</v>
      </c>
      <c r="E959" s="3">
        <v>1</v>
      </c>
      <c r="F959" s="3">
        <v>1</v>
      </c>
      <c r="G959">
        <v>0</v>
      </c>
    </row>
    <row r="960" spans="1:7" x14ac:dyDescent="0.25">
      <c r="A960" s="111" t="str">
        <f t="shared" si="14"/>
        <v>Programmable Logic Controllers</v>
      </c>
      <c r="B960" t="s">
        <v>1542</v>
      </c>
      <c r="D960" s="1">
        <v>179076.09</v>
      </c>
      <c r="E960" s="3"/>
      <c r="F960" s="3">
        <v>1</v>
      </c>
      <c r="G960" s="1">
        <v>179076.09</v>
      </c>
    </row>
    <row r="961" spans="1:7" x14ac:dyDescent="0.25">
      <c r="A961" s="111" t="str">
        <f t="shared" si="14"/>
        <v>JDH4-02-007-PR-3120</v>
      </c>
      <c r="B961" t="s">
        <v>1543</v>
      </c>
      <c r="C961" t="s">
        <v>1544</v>
      </c>
      <c r="D961" s="1">
        <v>0</v>
      </c>
      <c r="E961" s="3">
        <v>1</v>
      </c>
      <c r="F961" s="3">
        <v>1</v>
      </c>
      <c r="G961">
        <v>0</v>
      </c>
    </row>
    <row r="962" spans="1:7" x14ac:dyDescent="0.25">
      <c r="A962" s="111" t="str">
        <f t="shared" si="14"/>
        <v>JDH4-02-007-PR-3125</v>
      </c>
      <c r="B962" t="s">
        <v>1545</v>
      </c>
      <c r="C962" t="s">
        <v>1546</v>
      </c>
      <c r="D962" s="1">
        <v>0</v>
      </c>
      <c r="E962" s="3">
        <v>1</v>
      </c>
      <c r="F962" s="3">
        <v>1</v>
      </c>
      <c r="G962">
        <v>0</v>
      </c>
    </row>
    <row r="963" spans="1:7" x14ac:dyDescent="0.25">
      <c r="A963" s="111" t="str">
        <f t="shared" si="14"/>
        <v>JDH4-02-007-PR-3126</v>
      </c>
      <c r="B963" t="s">
        <v>1547</v>
      </c>
      <c r="C963" t="s">
        <v>1548</v>
      </c>
      <c r="D963" s="1">
        <v>0</v>
      </c>
      <c r="E963" s="3">
        <v>1</v>
      </c>
      <c r="F963" s="3">
        <v>1</v>
      </c>
      <c r="G963">
        <v>0</v>
      </c>
    </row>
    <row r="964" spans="1:7" x14ac:dyDescent="0.25">
      <c r="A964" s="111" t="str">
        <f t="shared" ref="A964:A1027" si="15">TRIM(B964)</f>
        <v>JDH4-02-007-PR-3127</v>
      </c>
      <c r="B964" t="s">
        <v>1549</v>
      </c>
      <c r="C964" t="s">
        <v>1550</v>
      </c>
      <c r="D964" s="1">
        <v>0</v>
      </c>
      <c r="E964" s="3">
        <v>1</v>
      </c>
      <c r="F964" s="3">
        <v>1</v>
      </c>
      <c r="G964">
        <v>0</v>
      </c>
    </row>
    <row r="965" spans="1:7" x14ac:dyDescent="0.25">
      <c r="A965" s="111" t="str">
        <f t="shared" si="15"/>
        <v>JDH4-02-007-PR-3130</v>
      </c>
      <c r="B965" t="s">
        <v>1555</v>
      </c>
      <c r="C965" t="s">
        <v>1556</v>
      </c>
      <c r="D965" s="1">
        <v>0</v>
      </c>
      <c r="E965" s="3">
        <v>1</v>
      </c>
      <c r="F965" s="3">
        <v>1</v>
      </c>
      <c r="G965">
        <v>0</v>
      </c>
    </row>
    <row r="966" spans="1:7" x14ac:dyDescent="0.25">
      <c r="A966" s="111" t="str">
        <f t="shared" si="15"/>
        <v>JDH4-02-007-PR-3129</v>
      </c>
      <c r="B966" t="s">
        <v>1553</v>
      </c>
      <c r="C966" t="s">
        <v>1554</v>
      </c>
      <c r="D966" s="1">
        <v>0</v>
      </c>
      <c r="E966" s="3">
        <v>1</v>
      </c>
      <c r="F966" s="3">
        <v>1</v>
      </c>
      <c r="G966">
        <v>0</v>
      </c>
    </row>
    <row r="967" spans="1:7" x14ac:dyDescent="0.25">
      <c r="A967" s="111" t="str">
        <f t="shared" si="15"/>
        <v>JDH4-02-007-PR-3128</v>
      </c>
      <c r="B967" t="s">
        <v>1551</v>
      </c>
      <c r="C967" t="s">
        <v>1552</v>
      </c>
      <c r="D967" s="1">
        <v>0</v>
      </c>
      <c r="E967" s="3">
        <v>1</v>
      </c>
      <c r="F967" s="3">
        <v>1</v>
      </c>
      <c r="G967">
        <v>0</v>
      </c>
    </row>
    <row r="968" spans="1:7" x14ac:dyDescent="0.25">
      <c r="A968" s="111" t="str">
        <f t="shared" si="15"/>
        <v>JDH4-02-007-PR-3140</v>
      </c>
      <c r="B968" t="s">
        <v>1557</v>
      </c>
      <c r="C968" t="s">
        <v>1558</v>
      </c>
      <c r="D968" s="1">
        <v>179076.09</v>
      </c>
      <c r="E968" s="3">
        <v>1</v>
      </c>
      <c r="F968" s="3">
        <v>1</v>
      </c>
      <c r="G968" s="1">
        <v>179076.09</v>
      </c>
    </row>
    <row r="969" spans="1:7" x14ac:dyDescent="0.25">
      <c r="A969" s="111" t="str">
        <f t="shared" si="15"/>
        <v>JDH4-02-007-PR-3150</v>
      </c>
      <c r="B969" t="s">
        <v>1559</v>
      </c>
      <c r="C969" t="s">
        <v>1560</v>
      </c>
      <c r="D969" s="1">
        <v>0</v>
      </c>
      <c r="E969" s="3">
        <v>1</v>
      </c>
      <c r="F969" s="3">
        <v>1</v>
      </c>
      <c r="G969">
        <v>0</v>
      </c>
    </row>
    <row r="970" spans="1:7" x14ac:dyDescent="0.25">
      <c r="A970" s="111" t="str">
        <f t="shared" si="15"/>
        <v>Process Control Wiring</v>
      </c>
      <c r="B970" t="s">
        <v>1561</v>
      </c>
      <c r="D970" s="1">
        <v>179076.09</v>
      </c>
      <c r="E970" s="3"/>
      <c r="F970" s="3">
        <v>1</v>
      </c>
      <c r="G970" s="1">
        <v>179076.09</v>
      </c>
    </row>
    <row r="971" spans="1:7" x14ac:dyDescent="0.25">
      <c r="A971" s="111" t="str">
        <f t="shared" si="15"/>
        <v>JDH4-02-007-PR-3050</v>
      </c>
      <c r="B971" t="s">
        <v>1562</v>
      </c>
      <c r="C971" t="s">
        <v>1563</v>
      </c>
      <c r="D971" s="1">
        <v>0</v>
      </c>
      <c r="E971" s="3">
        <v>1</v>
      </c>
      <c r="F971" s="3">
        <v>1</v>
      </c>
      <c r="G971" s="1">
        <v>0</v>
      </c>
    </row>
    <row r="972" spans="1:7" x14ac:dyDescent="0.25">
      <c r="A972" s="111" t="str">
        <f t="shared" si="15"/>
        <v>JDH4-02-007-PR-3067</v>
      </c>
      <c r="B972" t="s">
        <v>1564</v>
      </c>
      <c r="C972" t="s">
        <v>1565</v>
      </c>
      <c r="D972" s="1">
        <v>0</v>
      </c>
      <c r="E972" s="3">
        <v>1</v>
      </c>
      <c r="F972" s="3">
        <v>1</v>
      </c>
      <c r="G972" s="1">
        <v>0</v>
      </c>
    </row>
    <row r="973" spans="1:7" x14ac:dyDescent="0.25">
      <c r="A973" s="111" t="str">
        <f t="shared" si="15"/>
        <v>JDH4-02-007-PR-3068</v>
      </c>
      <c r="B973" t="s">
        <v>1566</v>
      </c>
      <c r="C973" t="s">
        <v>1567</v>
      </c>
      <c r="D973" s="1">
        <v>0</v>
      </c>
      <c r="E973" s="3">
        <v>1</v>
      </c>
      <c r="F973" s="3">
        <v>1</v>
      </c>
      <c r="G973" s="1">
        <v>0</v>
      </c>
    </row>
    <row r="974" spans="1:7" x14ac:dyDescent="0.25">
      <c r="A974" s="111" t="str">
        <f t="shared" si="15"/>
        <v>JDH4-02-007-PR-3069</v>
      </c>
      <c r="B974" t="s">
        <v>1568</v>
      </c>
      <c r="C974" t="s">
        <v>1569</v>
      </c>
      <c r="D974" s="1">
        <v>0</v>
      </c>
      <c r="E974" s="3">
        <v>1</v>
      </c>
      <c r="F974" s="3">
        <v>1</v>
      </c>
      <c r="G974" s="1">
        <v>0</v>
      </c>
    </row>
    <row r="975" spans="1:7" x14ac:dyDescent="0.25">
      <c r="A975" s="111" t="str">
        <f t="shared" si="15"/>
        <v>JDH4-02-007-PR-3070</v>
      </c>
      <c r="B975" t="s">
        <v>1570</v>
      </c>
      <c r="C975" t="s">
        <v>1571</v>
      </c>
      <c r="D975" s="1">
        <v>0</v>
      </c>
      <c r="E975" s="3">
        <v>1</v>
      </c>
      <c r="F975" s="3">
        <v>1</v>
      </c>
      <c r="G975">
        <v>0</v>
      </c>
    </row>
    <row r="976" spans="1:7" x14ac:dyDescent="0.25">
      <c r="A976" s="111" t="str">
        <f t="shared" si="15"/>
        <v>JDH4-02-007-PR-3090</v>
      </c>
      <c r="B976" t="s">
        <v>1572</v>
      </c>
      <c r="C976" t="s">
        <v>1573</v>
      </c>
      <c r="D976" s="1">
        <v>179076.09</v>
      </c>
      <c r="E976" s="3">
        <v>1</v>
      </c>
      <c r="F976" s="3">
        <v>1</v>
      </c>
      <c r="G976" s="1">
        <v>179076.09</v>
      </c>
    </row>
    <row r="977" spans="1:7" x14ac:dyDescent="0.25">
      <c r="A977" s="111" t="str">
        <f t="shared" si="15"/>
        <v>JDH4-02-007-PR-3110</v>
      </c>
      <c r="B977" t="s">
        <v>1574</v>
      </c>
      <c r="C977" t="s">
        <v>1575</v>
      </c>
      <c r="D977" s="1">
        <v>0</v>
      </c>
      <c r="E977" s="3">
        <v>1</v>
      </c>
      <c r="F977" s="3">
        <v>1</v>
      </c>
      <c r="G977">
        <v>0</v>
      </c>
    </row>
    <row r="978" spans="1:7" x14ac:dyDescent="0.25">
      <c r="A978" s="111" t="str">
        <f t="shared" si="15"/>
        <v>Instrumentation for Process Systems</v>
      </c>
      <c r="B978" t="s">
        <v>1576</v>
      </c>
      <c r="D978" s="1">
        <v>179076.09</v>
      </c>
      <c r="E978" s="3"/>
      <c r="F978" s="3">
        <v>1</v>
      </c>
      <c r="G978" s="1">
        <v>179076.09</v>
      </c>
    </row>
    <row r="979" spans="1:7" x14ac:dyDescent="0.25">
      <c r="A979" s="111" t="str">
        <f t="shared" si="15"/>
        <v>JDH4-02-007-PR-3000</v>
      </c>
      <c r="B979" t="s">
        <v>1577</v>
      </c>
      <c r="C979" t="s">
        <v>1578</v>
      </c>
      <c r="D979" s="1">
        <v>0</v>
      </c>
      <c r="E979" s="3">
        <v>1</v>
      </c>
      <c r="F979" s="3">
        <v>1</v>
      </c>
      <c r="G979" s="1">
        <v>0</v>
      </c>
    </row>
    <row r="980" spans="1:7" x14ac:dyDescent="0.25">
      <c r="A980" s="111" t="str">
        <f t="shared" si="15"/>
        <v>JDH4-02-007-PR-3005</v>
      </c>
      <c r="B980" t="s">
        <v>1579</v>
      </c>
      <c r="C980" t="s">
        <v>1580</v>
      </c>
      <c r="D980" s="1">
        <v>0</v>
      </c>
      <c r="E980" s="3">
        <v>1</v>
      </c>
      <c r="F980" s="3">
        <v>1</v>
      </c>
      <c r="G980" s="1">
        <v>0</v>
      </c>
    </row>
    <row r="981" spans="1:7" x14ac:dyDescent="0.25">
      <c r="A981" s="111" t="str">
        <f t="shared" si="15"/>
        <v>JDH4-02-007-PR-3006</v>
      </c>
      <c r="B981" t="s">
        <v>1581</v>
      </c>
      <c r="C981" t="s">
        <v>1582</v>
      </c>
      <c r="D981" s="1">
        <v>0</v>
      </c>
      <c r="E981" s="3">
        <v>1</v>
      </c>
      <c r="F981" s="3">
        <v>1</v>
      </c>
      <c r="G981" s="1">
        <v>0</v>
      </c>
    </row>
    <row r="982" spans="1:7" x14ac:dyDescent="0.25">
      <c r="A982" s="111" t="str">
        <f t="shared" si="15"/>
        <v>JDH4-02-007-PR-3007</v>
      </c>
      <c r="B982" t="s">
        <v>1583</v>
      </c>
      <c r="C982" t="s">
        <v>1584</v>
      </c>
      <c r="D982" s="1">
        <v>0</v>
      </c>
      <c r="E982" s="3">
        <v>1</v>
      </c>
      <c r="F982" s="3">
        <v>1</v>
      </c>
      <c r="G982" s="1">
        <v>0</v>
      </c>
    </row>
    <row r="983" spans="1:7" x14ac:dyDescent="0.25">
      <c r="A983" s="111" t="str">
        <f t="shared" si="15"/>
        <v>JDH4-02-007-PR-3010</v>
      </c>
      <c r="B983" t="s">
        <v>1589</v>
      </c>
      <c r="C983" t="s">
        <v>1590</v>
      </c>
      <c r="D983" s="1">
        <v>0</v>
      </c>
      <c r="E983" s="3">
        <v>1</v>
      </c>
      <c r="F983" s="3">
        <v>1</v>
      </c>
      <c r="G983" s="1">
        <v>0</v>
      </c>
    </row>
    <row r="984" spans="1:7" x14ac:dyDescent="0.25">
      <c r="A984" s="111" t="str">
        <f t="shared" si="15"/>
        <v>JDH4-02-007-PR-3009</v>
      </c>
      <c r="B984" t="s">
        <v>1587</v>
      </c>
      <c r="C984" t="s">
        <v>1588</v>
      </c>
      <c r="D984" s="1">
        <v>0</v>
      </c>
      <c r="E984" s="3">
        <v>1</v>
      </c>
      <c r="F984" s="3">
        <v>1</v>
      </c>
      <c r="G984" s="1">
        <v>0</v>
      </c>
    </row>
    <row r="985" spans="1:7" x14ac:dyDescent="0.25">
      <c r="A985" s="111" t="str">
        <f t="shared" si="15"/>
        <v>JDH4-02-007-PR-3008</v>
      </c>
      <c r="B985" t="s">
        <v>1585</v>
      </c>
      <c r="C985" t="s">
        <v>1586</v>
      </c>
      <c r="D985" s="1">
        <v>0</v>
      </c>
      <c r="E985" s="3">
        <v>1</v>
      </c>
      <c r="F985" s="3">
        <v>1</v>
      </c>
      <c r="G985" s="1">
        <v>0</v>
      </c>
    </row>
    <row r="986" spans="1:7" x14ac:dyDescent="0.25">
      <c r="A986" s="111" t="str">
        <f t="shared" si="15"/>
        <v>JDH4-02-007-PR-3020</v>
      </c>
      <c r="B986" t="s">
        <v>1591</v>
      </c>
      <c r="C986" t="s">
        <v>1592</v>
      </c>
      <c r="D986" s="1">
        <v>179076.09</v>
      </c>
      <c r="E986" s="3">
        <v>1</v>
      </c>
      <c r="F986" s="3">
        <v>1</v>
      </c>
      <c r="G986" s="1">
        <v>179076.09</v>
      </c>
    </row>
    <row r="987" spans="1:7" x14ac:dyDescent="0.25">
      <c r="A987" s="111" t="str">
        <f t="shared" si="15"/>
        <v>JDH4-02-007-PR-3030</v>
      </c>
      <c r="B987" t="s">
        <v>1593</v>
      </c>
      <c r="C987" t="s">
        <v>1594</v>
      </c>
      <c r="D987" s="1">
        <v>0</v>
      </c>
      <c r="E987" s="3">
        <v>1</v>
      </c>
      <c r="F987" s="3">
        <v>1</v>
      </c>
      <c r="G987" s="1">
        <v>0</v>
      </c>
    </row>
    <row r="988" spans="1:7" x14ac:dyDescent="0.25">
      <c r="A988" s="111" t="str">
        <f t="shared" si="15"/>
        <v>Construction</v>
      </c>
      <c r="B988" t="s">
        <v>1595</v>
      </c>
      <c r="D988" s="1">
        <v>38393913.07</v>
      </c>
      <c r="E988" s="3"/>
      <c r="F988" s="3">
        <v>0.96409999999999996</v>
      </c>
      <c r="G988" s="1">
        <v>37015596.909999996</v>
      </c>
    </row>
    <row r="989" spans="1:7" x14ac:dyDescent="0.25">
      <c r="A989" s="111" t="str">
        <f t="shared" si="15"/>
        <v>Demolition Works</v>
      </c>
      <c r="B989" t="s">
        <v>1596</v>
      </c>
      <c r="D989" s="1">
        <v>505616.54</v>
      </c>
      <c r="E989" s="3"/>
      <c r="F989" s="3">
        <v>1</v>
      </c>
      <c r="G989" s="1">
        <v>505616.54</v>
      </c>
    </row>
    <row r="990" spans="1:7" x14ac:dyDescent="0.25">
      <c r="A990" s="111" t="str">
        <f t="shared" si="15"/>
        <v>Demolition in Road network</v>
      </c>
      <c r="B990" t="s">
        <v>1597</v>
      </c>
      <c r="D990" s="1">
        <v>127411.78</v>
      </c>
      <c r="E990" s="3"/>
      <c r="F990" s="3">
        <v>1</v>
      </c>
      <c r="G990" s="1">
        <v>127411.78</v>
      </c>
    </row>
    <row r="991" spans="1:7" x14ac:dyDescent="0.25">
      <c r="A991" s="111" t="str">
        <f t="shared" si="15"/>
        <v>JDH4-02-007-CN-1000</v>
      </c>
      <c r="B991" t="s">
        <v>1598</v>
      </c>
      <c r="C991" t="s">
        <v>1599</v>
      </c>
      <c r="D991" s="1">
        <v>26491.56</v>
      </c>
      <c r="E991" s="3">
        <v>1</v>
      </c>
      <c r="F991" s="3">
        <v>1</v>
      </c>
      <c r="G991" s="1">
        <v>26491.56</v>
      </c>
    </row>
    <row r="992" spans="1:7" x14ac:dyDescent="0.25">
      <c r="A992" s="111" t="str">
        <f t="shared" si="15"/>
        <v>JDH4-02-007-CN-1110</v>
      </c>
      <c r="B992" t="s">
        <v>1602</v>
      </c>
      <c r="C992" t="s">
        <v>1603</v>
      </c>
      <c r="D992" s="1">
        <v>25230.06</v>
      </c>
      <c r="E992" s="3">
        <v>1</v>
      </c>
      <c r="F992" s="3">
        <v>1</v>
      </c>
      <c r="G992" s="1">
        <v>25230.06</v>
      </c>
    </row>
    <row r="993" spans="1:7" x14ac:dyDescent="0.25">
      <c r="A993" s="111" t="str">
        <f t="shared" si="15"/>
        <v>JDH4-02-007-CN-1080</v>
      </c>
      <c r="B993" t="s">
        <v>1600</v>
      </c>
      <c r="C993" t="s">
        <v>1601</v>
      </c>
      <c r="D993" s="1">
        <v>37845.08</v>
      </c>
      <c r="E993" s="3">
        <v>1</v>
      </c>
      <c r="F993" s="3">
        <v>1</v>
      </c>
      <c r="G993" s="1">
        <v>37845.08</v>
      </c>
    </row>
    <row r="994" spans="1:7" x14ac:dyDescent="0.25">
      <c r="A994" s="111" t="str">
        <f t="shared" si="15"/>
        <v>JDH4-02-007-CN-1170</v>
      </c>
      <c r="B994" t="s">
        <v>1604</v>
      </c>
      <c r="C994" t="s">
        <v>1605</v>
      </c>
      <c r="D994" s="1">
        <v>37845.08</v>
      </c>
      <c r="E994" s="3">
        <v>1</v>
      </c>
      <c r="F994" s="3">
        <v>1</v>
      </c>
      <c r="G994" s="1">
        <v>37845.08</v>
      </c>
    </row>
    <row r="995" spans="1:7" x14ac:dyDescent="0.25">
      <c r="A995" s="111" t="str">
        <f t="shared" si="15"/>
        <v>Demolition in TSE network</v>
      </c>
      <c r="B995" t="s">
        <v>1606</v>
      </c>
      <c r="D995" s="1">
        <v>92720.45</v>
      </c>
      <c r="E995" s="3"/>
      <c r="F995" s="3">
        <v>1</v>
      </c>
      <c r="G995" s="1">
        <v>92720.45</v>
      </c>
    </row>
    <row r="996" spans="1:7" x14ac:dyDescent="0.25">
      <c r="A996" s="111" t="str">
        <f t="shared" si="15"/>
        <v>JDH4-02-007-CN-1480</v>
      </c>
      <c r="B996" t="s">
        <v>1607</v>
      </c>
      <c r="C996" t="s">
        <v>1608</v>
      </c>
      <c r="D996" s="1">
        <v>1892.25</v>
      </c>
      <c r="E996" s="3">
        <v>1</v>
      </c>
      <c r="F996" s="3">
        <v>1</v>
      </c>
      <c r="G996" s="1">
        <v>1892.25</v>
      </c>
    </row>
    <row r="997" spans="1:7" x14ac:dyDescent="0.25">
      <c r="A997" s="111" t="str">
        <f t="shared" si="15"/>
        <v>JDH4-02-007-CN-1560</v>
      </c>
      <c r="B997" t="s">
        <v>1609</v>
      </c>
      <c r="C997" t="s">
        <v>1610</v>
      </c>
      <c r="D997" s="1">
        <v>47937.11</v>
      </c>
      <c r="E997" s="3">
        <v>1</v>
      </c>
      <c r="F997" s="3">
        <v>1</v>
      </c>
      <c r="G997" s="1">
        <v>47937.11</v>
      </c>
    </row>
    <row r="998" spans="1:7" x14ac:dyDescent="0.25">
      <c r="A998" s="111" t="str">
        <f t="shared" si="15"/>
        <v>JDH4-02-007-CN-1610</v>
      </c>
      <c r="B998" t="s">
        <v>1613</v>
      </c>
      <c r="C998" t="s">
        <v>1614</v>
      </c>
      <c r="D998" s="1">
        <v>20184.04</v>
      </c>
      <c r="E998" s="3">
        <v>1</v>
      </c>
      <c r="F998" s="3">
        <v>1</v>
      </c>
      <c r="G998" s="1">
        <v>20184.04</v>
      </c>
    </row>
    <row r="999" spans="1:7" x14ac:dyDescent="0.25">
      <c r="A999" s="111" t="str">
        <f t="shared" si="15"/>
        <v>JDH4-02-007-CN-1620</v>
      </c>
      <c r="B999" t="s">
        <v>1615</v>
      </c>
      <c r="C999" t="s">
        <v>1616</v>
      </c>
      <c r="D999" s="1">
        <v>3784.51</v>
      </c>
      <c r="E999" s="3">
        <v>1</v>
      </c>
      <c r="F999" s="3">
        <v>1</v>
      </c>
      <c r="G999" s="1">
        <v>3784.51</v>
      </c>
    </row>
    <row r="1000" spans="1:7" x14ac:dyDescent="0.25">
      <c r="A1000" s="111" t="str">
        <f t="shared" si="15"/>
        <v>JDH4-02-007-CN-1590</v>
      </c>
      <c r="B1000" t="s">
        <v>1611</v>
      </c>
      <c r="C1000" t="s">
        <v>1612</v>
      </c>
      <c r="D1000" s="1">
        <v>18922.54</v>
      </c>
      <c r="E1000" s="3">
        <v>1</v>
      </c>
      <c r="F1000" s="3">
        <v>1</v>
      </c>
      <c r="G1000" s="1">
        <v>18922.54</v>
      </c>
    </row>
    <row r="1001" spans="1:7" x14ac:dyDescent="0.25">
      <c r="A1001" s="111" t="str">
        <f t="shared" si="15"/>
        <v>Demolition in Storm water network</v>
      </c>
      <c r="B1001" t="s">
        <v>1617</v>
      </c>
      <c r="D1001" s="1">
        <v>56073.8</v>
      </c>
      <c r="E1001" s="3"/>
      <c r="F1001" s="3">
        <v>1</v>
      </c>
      <c r="G1001" s="1">
        <v>56073.8</v>
      </c>
    </row>
    <row r="1002" spans="1:7" x14ac:dyDescent="0.25">
      <c r="A1002" s="111" t="str">
        <f t="shared" si="15"/>
        <v>JDH4-02-007-CN-1670</v>
      </c>
      <c r="B1002" t="s">
        <v>1618</v>
      </c>
      <c r="C1002" t="s">
        <v>1619</v>
      </c>
      <c r="D1002" s="1">
        <v>8830.52</v>
      </c>
      <c r="E1002" s="3">
        <v>1</v>
      </c>
      <c r="F1002" s="3">
        <v>1</v>
      </c>
      <c r="G1002" s="1">
        <v>8830.52</v>
      </c>
    </row>
    <row r="1003" spans="1:7" x14ac:dyDescent="0.25">
      <c r="A1003" s="111" t="str">
        <f t="shared" si="15"/>
        <v>JDH4-02-007-CN-1690</v>
      </c>
      <c r="B1003" t="s">
        <v>1622</v>
      </c>
      <c r="C1003" t="s">
        <v>1623</v>
      </c>
      <c r="D1003" s="1">
        <v>14128.83</v>
      </c>
      <c r="E1003" s="3">
        <v>1</v>
      </c>
      <c r="F1003" s="3">
        <v>1</v>
      </c>
      <c r="G1003" s="1">
        <v>14128.83</v>
      </c>
    </row>
    <row r="1004" spans="1:7" x14ac:dyDescent="0.25">
      <c r="A1004" s="111" t="str">
        <f t="shared" si="15"/>
        <v>JDH4-02-007-CN-1700</v>
      </c>
      <c r="B1004" t="s">
        <v>1624</v>
      </c>
      <c r="C1004" t="s">
        <v>1625</v>
      </c>
      <c r="D1004" s="1">
        <v>14191.91</v>
      </c>
      <c r="E1004" s="3">
        <v>1</v>
      </c>
      <c r="F1004" s="3">
        <v>1</v>
      </c>
      <c r="G1004" s="1">
        <v>14191.91</v>
      </c>
    </row>
    <row r="1005" spans="1:7" x14ac:dyDescent="0.25">
      <c r="A1005" s="111" t="str">
        <f t="shared" si="15"/>
        <v>JDH4-02-007-CN-1680</v>
      </c>
      <c r="B1005" t="s">
        <v>1620</v>
      </c>
      <c r="C1005" t="s">
        <v>1621</v>
      </c>
      <c r="D1005" s="1">
        <v>18922.54</v>
      </c>
      <c r="E1005" s="3">
        <v>1</v>
      </c>
      <c r="F1005" s="3">
        <v>1</v>
      </c>
      <c r="G1005" s="1">
        <v>18922.54</v>
      </c>
    </row>
    <row r="1006" spans="1:7" x14ac:dyDescent="0.25">
      <c r="A1006" s="111" t="str">
        <f t="shared" si="15"/>
        <v>Demolition in Sewerage network</v>
      </c>
      <c r="B1006" t="s">
        <v>1626</v>
      </c>
      <c r="D1006" s="1">
        <v>93225.07</v>
      </c>
      <c r="E1006" s="3"/>
      <c r="F1006" s="3">
        <v>1</v>
      </c>
      <c r="G1006" s="1">
        <v>93225.07</v>
      </c>
    </row>
    <row r="1007" spans="1:7" x14ac:dyDescent="0.25">
      <c r="A1007" s="111" t="str">
        <f t="shared" si="15"/>
        <v>JDH4-02-007-CN-1630</v>
      </c>
      <c r="B1007" t="s">
        <v>1627</v>
      </c>
      <c r="C1007" t="s">
        <v>1628</v>
      </c>
      <c r="D1007" s="1">
        <v>26491.56</v>
      </c>
      <c r="E1007" s="3">
        <v>1</v>
      </c>
      <c r="F1007" s="3">
        <v>1</v>
      </c>
      <c r="G1007" s="1">
        <v>26491.56</v>
      </c>
    </row>
    <row r="1008" spans="1:7" x14ac:dyDescent="0.25">
      <c r="A1008" s="111" t="str">
        <f t="shared" si="15"/>
        <v>JDH4-02-007-CN-1640</v>
      </c>
      <c r="B1008" t="s">
        <v>1629</v>
      </c>
      <c r="C1008" t="s">
        <v>1630</v>
      </c>
      <c r="D1008" s="1">
        <v>38349.69</v>
      </c>
      <c r="E1008" s="3">
        <v>1</v>
      </c>
      <c r="F1008" s="3">
        <v>1</v>
      </c>
      <c r="G1008" s="1">
        <v>38349.69</v>
      </c>
    </row>
    <row r="1009" spans="1:7" x14ac:dyDescent="0.25">
      <c r="A1009" s="111" t="str">
        <f t="shared" si="15"/>
        <v>JDH4-02-007-CN-1650</v>
      </c>
      <c r="B1009" t="s">
        <v>1631</v>
      </c>
      <c r="C1009" t="s">
        <v>1632</v>
      </c>
      <c r="D1009" s="1">
        <v>12615.03</v>
      </c>
      <c r="E1009" s="3">
        <v>1</v>
      </c>
      <c r="F1009" s="3">
        <v>1</v>
      </c>
      <c r="G1009" s="1">
        <v>12615.03</v>
      </c>
    </row>
    <row r="1010" spans="1:7" x14ac:dyDescent="0.25">
      <c r="A1010" s="111" t="str">
        <f t="shared" si="15"/>
        <v>JDH4-02-007-CN-1660</v>
      </c>
      <c r="B1010" t="s">
        <v>1633</v>
      </c>
      <c r="C1010" t="s">
        <v>1634</v>
      </c>
      <c r="D1010" s="1">
        <v>15768.79</v>
      </c>
      <c r="E1010" s="3">
        <v>1</v>
      </c>
      <c r="F1010" s="3">
        <v>1</v>
      </c>
      <c r="G1010" s="1">
        <v>15768.79</v>
      </c>
    </row>
    <row r="1011" spans="1:7" x14ac:dyDescent="0.25">
      <c r="A1011" s="111" t="str">
        <f t="shared" si="15"/>
        <v>Demolition in Potable water network</v>
      </c>
      <c r="B1011" t="s">
        <v>1635</v>
      </c>
      <c r="D1011" s="1">
        <v>46990.99</v>
      </c>
      <c r="E1011" s="3"/>
      <c r="F1011" s="3">
        <v>1</v>
      </c>
      <c r="G1011" s="1">
        <v>46990.99</v>
      </c>
    </row>
    <row r="1012" spans="1:7" x14ac:dyDescent="0.25">
      <c r="A1012" s="111" t="str">
        <f t="shared" si="15"/>
        <v>JDH4-02-007-CN-1340</v>
      </c>
      <c r="B1012" t="s">
        <v>1636</v>
      </c>
      <c r="C1012" t="s">
        <v>1637</v>
      </c>
      <c r="D1012" s="1">
        <v>15768.79</v>
      </c>
      <c r="E1012" s="3">
        <v>1</v>
      </c>
      <c r="F1012" s="3">
        <v>1</v>
      </c>
      <c r="G1012" s="1">
        <v>15768.79</v>
      </c>
    </row>
    <row r="1013" spans="1:7" x14ac:dyDescent="0.25">
      <c r="A1013" s="111" t="str">
        <f t="shared" si="15"/>
        <v>JDH4-02-007-CN-1400</v>
      </c>
      <c r="B1013" t="s">
        <v>1638</v>
      </c>
      <c r="C1013" t="s">
        <v>1639</v>
      </c>
      <c r="D1013" s="1">
        <v>15453.41</v>
      </c>
      <c r="E1013" s="3">
        <v>1</v>
      </c>
      <c r="F1013" s="3">
        <v>1</v>
      </c>
      <c r="G1013" s="1">
        <v>15453.41</v>
      </c>
    </row>
    <row r="1014" spans="1:7" x14ac:dyDescent="0.25">
      <c r="A1014" s="111" t="str">
        <f t="shared" si="15"/>
        <v>JDH4-02-007-CN-1430</v>
      </c>
      <c r="B1014" t="s">
        <v>1640</v>
      </c>
      <c r="C1014" t="s">
        <v>1641</v>
      </c>
      <c r="D1014" s="1">
        <v>15768.79</v>
      </c>
      <c r="E1014" s="3">
        <v>1</v>
      </c>
      <c r="F1014" s="3">
        <v>1</v>
      </c>
      <c r="G1014" s="1">
        <v>15768.79</v>
      </c>
    </row>
    <row r="1015" spans="1:7" x14ac:dyDescent="0.25">
      <c r="A1015" s="111" t="str">
        <f t="shared" si="15"/>
        <v>Demolition in Electrical works</v>
      </c>
      <c r="B1015" t="s">
        <v>1642</v>
      </c>
      <c r="D1015" s="1">
        <v>89194.45</v>
      </c>
      <c r="F1015" s="3">
        <v>1</v>
      </c>
      <c r="G1015" s="1">
        <v>89194.45</v>
      </c>
    </row>
    <row r="1016" spans="1:7" x14ac:dyDescent="0.25">
      <c r="A1016" s="111" t="str">
        <f t="shared" si="15"/>
        <v>JDH4-02-007-CN-1250</v>
      </c>
      <c r="B1016" t="s">
        <v>1643</v>
      </c>
      <c r="C1016" t="s">
        <v>4040</v>
      </c>
      <c r="D1016" s="1">
        <v>17002.05</v>
      </c>
      <c r="E1016" s="3">
        <v>1</v>
      </c>
      <c r="F1016" s="3">
        <v>1</v>
      </c>
      <c r="G1016" s="1">
        <v>17002.05</v>
      </c>
    </row>
    <row r="1017" spans="1:7" x14ac:dyDescent="0.25">
      <c r="A1017" s="111" t="str">
        <f t="shared" si="15"/>
        <v>JDH4-02-007-CN-3020</v>
      </c>
      <c r="B1017" t="s">
        <v>1645</v>
      </c>
      <c r="C1017" t="s">
        <v>4041</v>
      </c>
      <c r="D1017" s="1">
        <v>14036.17</v>
      </c>
      <c r="E1017" s="3">
        <v>1</v>
      </c>
      <c r="F1017" s="3">
        <v>1</v>
      </c>
      <c r="G1017" s="1">
        <v>14036.17</v>
      </c>
    </row>
    <row r="1018" spans="1:7" x14ac:dyDescent="0.25">
      <c r="A1018" s="111" t="str">
        <f t="shared" si="15"/>
        <v>JDH4-02-007-CN-3020R</v>
      </c>
      <c r="B1018" t="s">
        <v>4042</v>
      </c>
      <c r="C1018" t="s">
        <v>1646</v>
      </c>
      <c r="D1018" s="1">
        <v>27536.54</v>
      </c>
      <c r="E1018" s="3">
        <v>1</v>
      </c>
      <c r="F1018" s="3">
        <v>1</v>
      </c>
      <c r="G1018" s="1">
        <v>27536.54</v>
      </c>
    </row>
    <row r="1019" spans="1:7" x14ac:dyDescent="0.25">
      <c r="A1019" s="111" t="str">
        <f t="shared" si="15"/>
        <v>JDH4-02-007-CN-1250R</v>
      </c>
      <c r="B1019" t="s">
        <v>4043</v>
      </c>
      <c r="C1019" t="s">
        <v>1644</v>
      </c>
      <c r="D1019" s="1">
        <v>3812.75</v>
      </c>
      <c r="E1019" s="3">
        <v>1</v>
      </c>
      <c r="F1019" s="3">
        <v>1</v>
      </c>
      <c r="G1019" s="1">
        <v>3812.75</v>
      </c>
    </row>
    <row r="1020" spans="1:7" x14ac:dyDescent="0.25">
      <c r="A1020" s="111" t="str">
        <f t="shared" si="15"/>
        <v>JDH4-02-007-CN-3040</v>
      </c>
      <c r="B1020" t="s">
        <v>1649</v>
      </c>
      <c r="C1020" t="s">
        <v>1650</v>
      </c>
      <c r="D1020" s="1">
        <v>12615.03</v>
      </c>
      <c r="E1020" s="3">
        <v>1</v>
      </c>
      <c r="F1020" s="3">
        <v>1</v>
      </c>
      <c r="G1020" s="1">
        <v>12615.03</v>
      </c>
    </row>
    <row r="1021" spans="1:7" x14ac:dyDescent="0.25">
      <c r="A1021" s="111" t="str">
        <f t="shared" si="15"/>
        <v>JDH4-02-007-CN-3030</v>
      </c>
      <c r="B1021" t="s">
        <v>1647</v>
      </c>
      <c r="C1021" t="s">
        <v>1648</v>
      </c>
      <c r="D1021" s="1">
        <v>4730.6400000000003</v>
      </c>
      <c r="E1021" s="3">
        <v>1</v>
      </c>
      <c r="F1021" s="3">
        <v>1</v>
      </c>
      <c r="G1021" s="1">
        <v>4730.6400000000003</v>
      </c>
    </row>
    <row r="1022" spans="1:7" x14ac:dyDescent="0.25">
      <c r="A1022" s="111" t="str">
        <f t="shared" si="15"/>
        <v>JDH4-02-007-CN-3050</v>
      </c>
      <c r="B1022" t="s">
        <v>1651</v>
      </c>
      <c r="C1022" t="s">
        <v>1652</v>
      </c>
      <c r="D1022" s="1">
        <v>9461.27</v>
      </c>
      <c r="E1022" s="3">
        <v>1</v>
      </c>
      <c r="F1022" s="3">
        <v>1</v>
      </c>
      <c r="G1022" s="1">
        <v>9461.27</v>
      </c>
    </row>
    <row r="1023" spans="1:7" x14ac:dyDescent="0.25">
      <c r="A1023" s="111" t="str">
        <f t="shared" si="15"/>
        <v>Plots</v>
      </c>
      <c r="B1023" t="s">
        <v>1653</v>
      </c>
      <c r="D1023" s="1">
        <v>4337407.5199999996</v>
      </c>
      <c r="E1023" s="3"/>
      <c r="F1023" s="3">
        <v>1</v>
      </c>
      <c r="G1023" s="1">
        <v>4337407.5199999996</v>
      </c>
    </row>
    <row r="1024" spans="1:7" x14ac:dyDescent="0.25">
      <c r="A1024" s="111" t="str">
        <f t="shared" si="15"/>
        <v>Excavation</v>
      </c>
      <c r="B1024" t="s">
        <v>1654</v>
      </c>
      <c r="D1024" s="1">
        <v>282577.06</v>
      </c>
      <c r="E1024" s="3"/>
      <c r="F1024" s="3">
        <v>1</v>
      </c>
      <c r="G1024" s="1">
        <v>282577.06</v>
      </c>
    </row>
    <row r="1025" spans="1:7" x14ac:dyDescent="0.25">
      <c r="A1025" s="111" t="str">
        <f t="shared" si="15"/>
        <v>JDH4-02-007-CN-1760</v>
      </c>
      <c r="B1025" t="s">
        <v>1655</v>
      </c>
      <c r="C1025" t="s">
        <v>1656</v>
      </c>
      <c r="D1025" s="1">
        <v>282577.06</v>
      </c>
      <c r="E1025" s="3">
        <v>1</v>
      </c>
      <c r="F1025" s="3">
        <v>1</v>
      </c>
      <c r="G1025" s="1">
        <v>282577.06</v>
      </c>
    </row>
    <row r="1026" spans="1:7" x14ac:dyDescent="0.25">
      <c r="A1026" s="111" t="str">
        <f t="shared" si="15"/>
        <v>Backfilling</v>
      </c>
      <c r="B1026" t="s">
        <v>1657</v>
      </c>
      <c r="D1026" s="1">
        <v>4054830.46</v>
      </c>
      <c r="E1026" s="3"/>
      <c r="F1026" s="3">
        <v>1</v>
      </c>
      <c r="G1026" s="1">
        <v>4054830.46</v>
      </c>
    </row>
    <row r="1027" spans="1:7" x14ac:dyDescent="0.25">
      <c r="A1027" s="111" t="str">
        <f t="shared" si="15"/>
        <v>JDH4-02-007-CN-1820</v>
      </c>
      <c r="B1027" t="s">
        <v>1658</v>
      </c>
      <c r="C1027" t="s">
        <v>1659</v>
      </c>
      <c r="D1027" s="1">
        <v>1013707.62</v>
      </c>
      <c r="E1027" s="3">
        <v>1</v>
      </c>
      <c r="F1027" s="3">
        <v>1</v>
      </c>
      <c r="G1027" s="1">
        <v>1013707.62</v>
      </c>
    </row>
    <row r="1028" spans="1:7" x14ac:dyDescent="0.25">
      <c r="A1028" s="111" t="str">
        <f t="shared" ref="A1028:A1091" si="16">TRIM(B1028)</f>
        <v>JDH4-02-007-CN-1830</v>
      </c>
      <c r="B1028" t="s">
        <v>1660</v>
      </c>
      <c r="C1028" t="s">
        <v>4044</v>
      </c>
      <c r="D1028" s="1">
        <v>709608.44</v>
      </c>
      <c r="E1028" s="3">
        <v>1</v>
      </c>
      <c r="F1028" s="3">
        <v>1</v>
      </c>
      <c r="G1028" s="1">
        <v>709608.44</v>
      </c>
    </row>
    <row r="1029" spans="1:7" x14ac:dyDescent="0.25">
      <c r="A1029" s="111" t="str">
        <f t="shared" si="16"/>
        <v>JDH4-02-007-CN-1840</v>
      </c>
      <c r="B1029" t="s">
        <v>1662</v>
      </c>
      <c r="C1029" t="s">
        <v>4045</v>
      </c>
      <c r="D1029" s="1">
        <v>202739.5</v>
      </c>
      <c r="E1029" s="3">
        <v>1</v>
      </c>
      <c r="F1029" s="3">
        <v>1</v>
      </c>
      <c r="G1029" s="1">
        <v>202739.5</v>
      </c>
    </row>
    <row r="1030" spans="1:7" x14ac:dyDescent="0.25">
      <c r="A1030" s="111" t="str">
        <f t="shared" si="16"/>
        <v>JDH4-02-007-CN-1830R</v>
      </c>
      <c r="B1030" t="s">
        <v>4046</v>
      </c>
      <c r="C1030" t="s">
        <v>1661</v>
      </c>
      <c r="D1030" s="1">
        <v>304109.26</v>
      </c>
      <c r="E1030" s="3">
        <v>1</v>
      </c>
      <c r="F1030" s="3">
        <v>1</v>
      </c>
      <c r="G1030" s="1">
        <v>304109.26</v>
      </c>
    </row>
    <row r="1031" spans="1:7" x14ac:dyDescent="0.25">
      <c r="A1031" s="111" t="str">
        <f t="shared" si="16"/>
        <v>JDH4-02-007-CN-1840R</v>
      </c>
      <c r="B1031" t="s">
        <v>4047</v>
      </c>
      <c r="C1031" t="s">
        <v>1663</v>
      </c>
      <c r="D1031" s="1">
        <v>810958.02</v>
      </c>
      <c r="E1031" s="3">
        <v>1</v>
      </c>
      <c r="F1031" s="3">
        <v>1</v>
      </c>
      <c r="G1031" s="1">
        <v>810958.02</v>
      </c>
    </row>
    <row r="1032" spans="1:7" x14ac:dyDescent="0.25">
      <c r="A1032" s="111" t="str">
        <f t="shared" si="16"/>
        <v>JDH4-02-007-CN-1850</v>
      </c>
      <c r="B1032" t="s">
        <v>1664</v>
      </c>
      <c r="C1032" t="s">
        <v>1665</v>
      </c>
      <c r="D1032" s="1">
        <v>1013707.62</v>
      </c>
      <c r="E1032" s="3">
        <v>1</v>
      </c>
      <c r="F1032" s="3">
        <v>1</v>
      </c>
      <c r="G1032" s="1">
        <v>1013707.62</v>
      </c>
    </row>
    <row r="1033" spans="1:7" x14ac:dyDescent="0.25">
      <c r="A1033" s="111" t="str">
        <f t="shared" si="16"/>
        <v>Roads</v>
      </c>
      <c r="B1033" t="s">
        <v>1672</v>
      </c>
      <c r="D1033" s="1">
        <v>21997203.899999999</v>
      </c>
      <c r="F1033" s="3">
        <v>0.99919999999999998</v>
      </c>
      <c r="G1033" s="1">
        <v>21979076.649999999</v>
      </c>
    </row>
    <row r="1034" spans="1:7" x14ac:dyDescent="0.25">
      <c r="A1034" s="111" t="str">
        <f t="shared" si="16"/>
        <v>Road 04-R</v>
      </c>
      <c r="B1034" t="s">
        <v>1673</v>
      </c>
      <c r="D1034" s="1">
        <v>5772635.7199999997</v>
      </c>
      <c r="E1034" s="3"/>
      <c r="F1034" s="3">
        <v>1</v>
      </c>
      <c r="G1034" s="1">
        <v>5772635.7199999997</v>
      </c>
    </row>
    <row r="1035" spans="1:7" x14ac:dyDescent="0.25">
      <c r="A1035" s="111" t="str">
        <f t="shared" si="16"/>
        <v>Box Culvert</v>
      </c>
      <c r="B1035" t="s">
        <v>1674</v>
      </c>
      <c r="D1035" s="1">
        <v>499735.96</v>
      </c>
      <c r="E1035" s="3"/>
      <c r="F1035" s="3">
        <v>1</v>
      </c>
      <c r="G1035" s="1">
        <v>499735.96</v>
      </c>
    </row>
    <row r="1036" spans="1:7" x14ac:dyDescent="0.25">
      <c r="A1036" s="111" t="str">
        <f t="shared" si="16"/>
        <v>JDH4-02-007-CN-5580</v>
      </c>
      <c r="B1036" t="s">
        <v>1675</v>
      </c>
      <c r="C1036" t="s">
        <v>1676</v>
      </c>
      <c r="D1036" s="1">
        <v>47552.35</v>
      </c>
      <c r="E1036" s="3">
        <v>1</v>
      </c>
      <c r="F1036" s="3">
        <v>1</v>
      </c>
      <c r="G1036" s="1">
        <v>47552.35</v>
      </c>
    </row>
    <row r="1037" spans="1:7" x14ac:dyDescent="0.25">
      <c r="A1037" s="111" t="str">
        <f t="shared" si="16"/>
        <v>JDH4-02-007-CN-5590</v>
      </c>
      <c r="B1037" t="s">
        <v>1677</v>
      </c>
      <c r="C1037" t="s">
        <v>1678</v>
      </c>
      <c r="D1037" s="1">
        <v>30578.83</v>
      </c>
      <c r="E1037" s="3">
        <v>1</v>
      </c>
      <c r="F1037" s="3">
        <v>1</v>
      </c>
      <c r="G1037" s="1">
        <v>30578.83</v>
      </c>
    </row>
    <row r="1038" spans="1:7" x14ac:dyDescent="0.25">
      <c r="A1038" s="111" t="str">
        <f t="shared" si="16"/>
        <v>JDH4-02-007-CN-5600</v>
      </c>
      <c r="B1038" t="s">
        <v>1679</v>
      </c>
      <c r="C1038" t="s">
        <v>1680</v>
      </c>
      <c r="D1038" s="1">
        <v>19679.439999999999</v>
      </c>
      <c r="E1038" s="3">
        <v>1</v>
      </c>
      <c r="F1038" s="3">
        <v>1</v>
      </c>
      <c r="G1038" s="1">
        <v>19679.439999999999</v>
      </c>
    </row>
    <row r="1039" spans="1:7" x14ac:dyDescent="0.25">
      <c r="A1039" s="111" t="str">
        <f t="shared" si="16"/>
        <v>JDH4-02-007-CN-5610</v>
      </c>
      <c r="B1039" t="s">
        <v>1681</v>
      </c>
      <c r="C1039" t="s">
        <v>4048</v>
      </c>
      <c r="D1039" s="1">
        <v>33891.120000000003</v>
      </c>
      <c r="E1039" s="3">
        <v>1</v>
      </c>
      <c r="F1039" s="3">
        <v>1</v>
      </c>
      <c r="G1039" s="1">
        <v>33891.120000000003</v>
      </c>
    </row>
    <row r="1040" spans="1:7" x14ac:dyDescent="0.25">
      <c r="A1040" s="111" t="str">
        <f t="shared" si="16"/>
        <v>JDH4-02-007-CN-5610R</v>
      </c>
      <c r="B1040" t="s">
        <v>4049</v>
      </c>
      <c r="C1040" t="s">
        <v>1682</v>
      </c>
      <c r="D1040" s="1">
        <v>135564.48000000001</v>
      </c>
      <c r="E1040" s="3">
        <v>1</v>
      </c>
      <c r="F1040" s="3">
        <v>1</v>
      </c>
      <c r="G1040" s="1">
        <v>135564.48000000001</v>
      </c>
    </row>
    <row r="1041" spans="1:7" x14ac:dyDescent="0.25">
      <c r="A1041" s="111" t="str">
        <f t="shared" si="16"/>
        <v>JDH4-02-007-CN-5620</v>
      </c>
      <c r="B1041" t="s">
        <v>1683</v>
      </c>
      <c r="C1041" t="s">
        <v>1684</v>
      </c>
      <c r="D1041" s="1">
        <v>232469.74</v>
      </c>
      <c r="E1041" s="3">
        <v>1</v>
      </c>
      <c r="F1041" s="3">
        <v>1</v>
      </c>
      <c r="G1041" s="1">
        <v>232469.74</v>
      </c>
    </row>
    <row r="1042" spans="1:7" x14ac:dyDescent="0.25">
      <c r="A1042" s="111" t="str">
        <f t="shared" si="16"/>
        <v>Road Works + Roundabout</v>
      </c>
      <c r="B1042" t="s">
        <v>1685</v>
      </c>
      <c r="D1042" s="1">
        <v>3655865.47</v>
      </c>
      <c r="E1042" s="3"/>
      <c r="F1042" s="3">
        <v>1</v>
      </c>
      <c r="G1042" s="1">
        <v>3655865.47</v>
      </c>
    </row>
    <row r="1043" spans="1:7" x14ac:dyDescent="0.25">
      <c r="A1043" s="111" t="str">
        <f t="shared" si="16"/>
        <v>Eartworks &amp; Site grading</v>
      </c>
      <c r="B1043" t="s">
        <v>1686</v>
      </c>
      <c r="D1043" s="1">
        <v>1552916.51</v>
      </c>
      <c r="E1043" s="3"/>
      <c r="F1043" s="3">
        <v>1</v>
      </c>
      <c r="G1043" s="1">
        <v>1552916.51</v>
      </c>
    </row>
    <row r="1044" spans="1:7" x14ac:dyDescent="0.25">
      <c r="A1044" s="111" t="str">
        <f t="shared" si="16"/>
        <v>JDH4-02-007-CN-1810</v>
      </c>
      <c r="B1044" t="s">
        <v>1689</v>
      </c>
      <c r="C1044" t="s">
        <v>4050</v>
      </c>
      <c r="D1044" s="1">
        <v>551521.49</v>
      </c>
      <c r="E1044" s="3">
        <v>1</v>
      </c>
      <c r="F1044" s="3">
        <v>1</v>
      </c>
      <c r="G1044" s="1">
        <v>551521.49</v>
      </c>
    </row>
    <row r="1045" spans="1:7" x14ac:dyDescent="0.25">
      <c r="A1045" s="111" t="str">
        <f t="shared" si="16"/>
        <v>JDH4-02-007-CN-1750</v>
      </c>
      <c r="B1045" t="s">
        <v>1687</v>
      </c>
      <c r="C1045" t="s">
        <v>4051</v>
      </c>
      <c r="D1045" s="1">
        <v>14012.87</v>
      </c>
      <c r="E1045" s="3">
        <v>1</v>
      </c>
      <c r="F1045" s="3">
        <v>1</v>
      </c>
      <c r="G1045" s="1">
        <v>14012.87</v>
      </c>
    </row>
    <row r="1046" spans="1:7" x14ac:dyDescent="0.25">
      <c r="A1046" s="111" t="str">
        <f t="shared" si="16"/>
        <v>JDH4-02-007-CN-1810R</v>
      </c>
      <c r="B1046" t="s">
        <v>4052</v>
      </c>
      <c r="C1046" t="s">
        <v>1690</v>
      </c>
      <c r="D1046" s="1">
        <v>827282.24</v>
      </c>
      <c r="E1046" s="3">
        <v>1</v>
      </c>
      <c r="F1046" s="3">
        <v>1</v>
      </c>
      <c r="G1046" s="1">
        <v>827282.24</v>
      </c>
    </row>
    <row r="1047" spans="1:7" x14ac:dyDescent="0.25">
      <c r="A1047" s="111" t="str">
        <f t="shared" si="16"/>
        <v>JDH4-02-007-CN-1750R</v>
      </c>
      <c r="B1047" t="s">
        <v>4053</v>
      </c>
      <c r="C1047" t="s">
        <v>1688</v>
      </c>
      <c r="D1047" s="1">
        <v>21019.3</v>
      </c>
      <c r="E1047" s="2">
        <v>1</v>
      </c>
      <c r="F1047" s="3">
        <v>1</v>
      </c>
      <c r="G1047" s="1">
        <v>21019.3</v>
      </c>
    </row>
    <row r="1048" spans="1:7" x14ac:dyDescent="0.25">
      <c r="A1048" s="111" t="str">
        <f t="shared" si="16"/>
        <v>JDH4-02-007-CN-1930</v>
      </c>
      <c r="B1048" t="s">
        <v>1691</v>
      </c>
      <c r="C1048" t="s">
        <v>1692</v>
      </c>
      <c r="D1048" s="1">
        <v>139080.6</v>
      </c>
      <c r="E1048" s="3">
        <v>1</v>
      </c>
      <c r="F1048" s="3">
        <v>1</v>
      </c>
      <c r="G1048" s="1">
        <v>139080.6</v>
      </c>
    </row>
    <row r="1049" spans="1:7" x14ac:dyDescent="0.25">
      <c r="A1049" s="111" t="str">
        <f t="shared" si="16"/>
        <v>Asphalt Works</v>
      </c>
      <c r="B1049" t="s">
        <v>1693</v>
      </c>
      <c r="D1049" s="1">
        <v>931597.75</v>
      </c>
      <c r="E1049" s="3"/>
      <c r="F1049" s="3">
        <v>1</v>
      </c>
      <c r="G1049" s="1">
        <v>931597.75</v>
      </c>
    </row>
    <row r="1050" spans="1:7" x14ac:dyDescent="0.25">
      <c r="A1050" s="111" t="str">
        <f t="shared" si="16"/>
        <v>JDH4-02-007-CN-1990</v>
      </c>
      <c r="B1050" t="s">
        <v>1694</v>
      </c>
      <c r="C1050" t="s">
        <v>1695</v>
      </c>
      <c r="D1050" s="1">
        <v>141644.69</v>
      </c>
      <c r="E1050" s="3">
        <v>1</v>
      </c>
      <c r="F1050" s="3">
        <v>1</v>
      </c>
      <c r="G1050" s="1">
        <v>141644.69</v>
      </c>
    </row>
    <row r="1051" spans="1:7" x14ac:dyDescent="0.25">
      <c r="A1051" s="111" t="str">
        <f t="shared" si="16"/>
        <v>JDH4-02-007-CN-2040</v>
      </c>
      <c r="B1051" t="s">
        <v>1696</v>
      </c>
      <c r="C1051" t="s">
        <v>1697</v>
      </c>
      <c r="D1051" s="1">
        <v>78995.31</v>
      </c>
      <c r="E1051" s="3">
        <v>1</v>
      </c>
      <c r="F1051" s="3">
        <v>1</v>
      </c>
      <c r="G1051" s="1">
        <v>78995.31</v>
      </c>
    </row>
    <row r="1052" spans="1:7" x14ac:dyDescent="0.25">
      <c r="A1052" s="111" t="str">
        <f t="shared" si="16"/>
        <v>JDH4-02-007-CN-2090</v>
      </c>
      <c r="B1052" t="s">
        <v>1698</v>
      </c>
      <c r="C1052" t="s">
        <v>1699</v>
      </c>
      <c r="D1052" s="1">
        <v>710957.75</v>
      </c>
      <c r="E1052" s="3">
        <v>1</v>
      </c>
      <c r="F1052" s="3">
        <v>1</v>
      </c>
      <c r="G1052" s="1">
        <v>710957.75</v>
      </c>
    </row>
    <row r="1053" spans="1:7" x14ac:dyDescent="0.25">
      <c r="A1053" s="111" t="str">
        <f t="shared" si="16"/>
        <v>Finishing Works</v>
      </c>
      <c r="B1053" t="s">
        <v>1700</v>
      </c>
      <c r="D1053" s="1">
        <v>1171351.21</v>
      </c>
      <c r="E1053" s="3"/>
      <c r="F1053" s="3">
        <v>1</v>
      </c>
      <c r="G1053" s="1">
        <v>1171351.21</v>
      </c>
    </row>
    <row r="1054" spans="1:7" x14ac:dyDescent="0.25">
      <c r="A1054" s="111" t="str">
        <f t="shared" si="16"/>
        <v>Asphalt Wearing Course</v>
      </c>
      <c r="B1054" t="s">
        <v>1701</v>
      </c>
      <c r="D1054" s="1">
        <v>418188.18</v>
      </c>
      <c r="E1054" s="3"/>
      <c r="F1054" s="3">
        <v>1</v>
      </c>
      <c r="G1054" s="1">
        <v>418188.18</v>
      </c>
    </row>
    <row r="1055" spans="1:7" x14ac:dyDescent="0.25">
      <c r="A1055" s="111" t="str">
        <f t="shared" si="16"/>
        <v>JDH4-02-007-CN-2140</v>
      </c>
      <c r="B1055" t="s">
        <v>1702</v>
      </c>
      <c r="C1055" t="s">
        <v>1703</v>
      </c>
      <c r="D1055" s="1">
        <v>41818.82</v>
      </c>
      <c r="E1055" s="3">
        <v>1</v>
      </c>
      <c r="F1055" s="3">
        <v>1</v>
      </c>
      <c r="G1055" s="1">
        <v>41818.82</v>
      </c>
    </row>
    <row r="1056" spans="1:7" x14ac:dyDescent="0.25">
      <c r="A1056" s="111" t="str">
        <f t="shared" si="16"/>
        <v>JDH4-02-007-CN-2190</v>
      </c>
      <c r="B1056" t="s">
        <v>1704</v>
      </c>
      <c r="C1056" t="s">
        <v>1705</v>
      </c>
      <c r="D1056" s="1">
        <v>376369.36</v>
      </c>
      <c r="E1056" s="3">
        <v>1</v>
      </c>
      <c r="F1056" s="3">
        <v>1</v>
      </c>
      <c r="G1056" s="1">
        <v>376369.36</v>
      </c>
    </row>
    <row r="1057" spans="1:7" x14ac:dyDescent="0.25">
      <c r="A1057" s="111" t="str">
        <f t="shared" si="16"/>
        <v>Precast Concrete Curb</v>
      </c>
      <c r="B1057" t="s">
        <v>1706</v>
      </c>
      <c r="D1057" s="1">
        <v>260761.75</v>
      </c>
      <c r="F1057" s="3">
        <v>1</v>
      </c>
      <c r="G1057" s="1">
        <v>260761.75</v>
      </c>
    </row>
    <row r="1058" spans="1:7" x14ac:dyDescent="0.25">
      <c r="A1058" s="111" t="str">
        <f t="shared" si="16"/>
        <v>JDH4-02-007-CN-2240</v>
      </c>
      <c r="B1058" t="s">
        <v>1707</v>
      </c>
      <c r="C1058" t="s">
        <v>1708</v>
      </c>
      <c r="D1058" s="1">
        <v>260761.75</v>
      </c>
      <c r="E1058" s="3">
        <v>1</v>
      </c>
      <c r="F1058" s="3">
        <v>1</v>
      </c>
      <c r="G1058" s="1">
        <v>260761.75</v>
      </c>
    </row>
    <row r="1059" spans="1:7" x14ac:dyDescent="0.25">
      <c r="A1059" s="111" t="str">
        <f t="shared" si="16"/>
        <v>Precast Interlocking block pavers</v>
      </c>
      <c r="B1059" t="s">
        <v>1709</v>
      </c>
      <c r="D1059" s="1">
        <v>247979.91</v>
      </c>
      <c r="E1059" s="3"/>
      <c r="F1059" s="3">
        <v>1</v>
      </c>
      <c r="G1059" s="1">
        <v>247979.91</v>
      </c>
    </row>
    <row r="1060" spans="1:7" x14ac:dyDescent="0.25">
      <c r="A1060" s="111" t="str">
        <f t="shared" si="16"/>
        <v>JDH4-02-007-CN-2290</v>
      </c>
      <c r="B1060" t="s">
        <v>1710</v>
      </c>
      <c r="C1060" t="s">
        <v>1711</v>
      </c>
      <c r="D1060" s="1">
        <v>247979.91</v>
      </c>
      <c r="E1060" s="3">
        <v>1</v>
      </c>
      <c r="F1060" s="3">
        <v>1</v>
      </c>
      <c r="G1060" s="1">
        <v>247979.91</v>
      </c>
    </row>
    <row r="1061" spans="1:7" x14ac:dyDescent="0.25">
      <c r="A1061" s="111" t="str">
        <f t="shared" si="16"/>
        <v>Pavement Markings</v>
      </c>
      <c r="B1061" t="s">
        <v>1712</v>
      </c>
      <c r="D1061" s="1">
        <v>70108.710000000006</v>
      </c>
      <c r="E1061" s="3"/>
      <c r="F1061" s="3">
        <v>1</v>
      </c>
      <c r="G1061" s="1">
        <v>70108.710000000006</v>
      </c>
    </row>
    <row r="1062" spans="1:7" x14ac:dyDescent="0.25">
      <c r="A1062" s="111" t="str">
        <f t="shared" si="16"/>
        <v>JDH4-02-007-CN-2340</v>
      </c>
      <c r="B1062" t="s">
        <v>1713</v>
      </c>
      <c r="C1062" t="s">
        <v>1714</v>
      </c>
      <c r="D1062" s="1">
        <v>70108.710000000006</v>
      </c>
      <c r="E1062" s="3">
        <v>1</v>
      </c>
      <c r="F1062" s="3">
        <v>1</v>
      </c>
      <c r="G1062" s="1">
        <v>70108.710000000006</v>
      </c>
    </row>
    <row r="1063" spans="1:7" x14ac:dyDescent="0.25">
      <c r="A1063" s="111" t="str">
        <f t="shared" si="16"/>
        <v>Traffic Signage</v>
      </c>
      <c r="B1063" t="s">
        <v>1715</v>
      </c>
      <c r="D1063" s="1">
        <v>119121.91</v>
      </c>
      <c r="E1063" s="3"/>
      <c r="F1063" s="3">
        <v>1</v>
      </c>
      <c r="G1063" s="1">
        <v>119121.91</v>
      </c>
    </row>
    <row r="1064" spans="1:7" x14ac:dyDescent="0.25">
      <c r="A1064" s="111" t="str">
        <f t="shared" si="16"/>
        <v>JDH4-02-007-CN-2390</v>
      </c>
      <c r="B1064" t="s">
        <v>1716</v>
      </c>
      <c r="C1064" t="s">
        <v>1717</v>
      </c>
      <c r="D1064" s="1">
        <v>119121.91</v>
      </c>
      <c r="E1064" s="3">
        <v>1</v>
      </c>
      <c r="F1064" s="3">
        <v>1</v>
      </c>
      <c r="G1064" s="1">
        <v>119121.91</v>
      </c>
    </row>
    <row r="1065" spans="1:7" x14ac:dyDescent="0.25">
      <c r="A1065" s="111" t="str">
        <f t="shared" si="16"/>
        <v>Guardrail</v>
      </c>
      <c r="B1065" t="s">
        <v>1718</v>
      </c>
      <c r="D1065" s="1">
        <v>55190.75</v>
      </c>
      <c r="E1065" s="3"/>
      <c r="F1065" s="3">
        <v>1</v>
      </c>
      <c r="G1065" s="1">
        <v>55190.75</v>
      </c>
    </row>
    <row r="1066" spans="1:7" x14ac:dyDescent="0.25">
      <c r="A1066" s="111" t="str">
        <f t="shared" si="16"/>
        <v>JDH4-02-007-CN-2400</v>
      </c>
      <c r="B1066" t="s">
        <v>1719</v>
      </c>
      <c r="C1066" t="s">
        <v>1720</v>
      </c>
      <c r="D1066" s="1">
        <v>55190.75</v>
      </c>
      <c r="E1066" s="3">
        <v>1</v>
      </c>
      <c r="F1066" s="3">
        <v>1</v>
      </c>
      <c r="G1066" s="1">
        <v>55190.75</v>
      </c>
    </row>
    <row r="1067" spans="1:7" x14ac:dyDescent="0.25">
      <c r="A1067" s="111" t="str">
        <f t="shared" si="16"/>
        <v>Storm Water Drainage</v>
      </c>
      <c r="B1067" t="s">
        <v>1721</v>
      </c>
      <c r="D1067" s="1">
        <v>616227.34</v>
      </c>
      <c r="E1067" s="3"/>
      <c r="F1067" s="3">
        <v>1</v>
      </c>
      <c r="G1067" s="1">
        <v>616227.34</v>
      </c>
    </row>
    <row r="1068" spans="1:7" x14ac:dyDescent="0.25">
      <c r="A1068" s="111" t="str">
        <f t="shared" si="16"/>
        <v>Pipe Works</v>
      </c>
      <c r="B1068" t="s">
        <v>1722</v>
      </c>
      <c r="D1068" s="1">
        <v>372950.21</v>
      </c>
      <c r="E1068" s="3"/>
      <c r="F1068" s="3">
        <v>1</v>
      </c>
      <c r="G1068" s="1">
        <v>372950.21</v>
      </c>
    </row>
    <row r="1069" spans="1:7" x14ac:dyDescent="0.25">
      <c r="A1069" s="111" t="str">
        <f t="shared" si="16"/>
        <v>JDH4-02-007-CN-5370</v>
      </c>
      <c r="B1069" t="s">
        <v>1723</v>
      </c>
      <c r="C1069" t="s">
        <v>4054</v>
      </c>
      <c r="D1069" s="1">
        <v>13055.44</v>
      </c>
      <c r="E1069" s="3">
        <v>1</v>
      </c>
      <c r="F1069" s="3">
        <v>1</v>
      </c>
      <c r="G1069" s="1">
        <v>13055.44</v>
      </c>
    </row>
    <row r="1070" spans="1:7" x14ac:dyDescent="0.25">
      <c r="A1070" s="111" t="str">
        <f t="shared" si="16"/>
        <v>JDH4-02-007-CN-5420</v>
      </c>
      <c r="B1070" t="s">
        <v>1725</v>
      </c>
      <c r="C1070" t="s">
        <v>4055</v>
      </c>
      <c r="D1070" s="1">
        <v>6527.73</v>
      </c>
      <c r="E1070" s="3">
        <v>1</v>
      </c>
      <c r="F1070" s="3">
        <v>1</v>
      </c>
      <c r="G1070" s="1">
        <v>6527.73</v>
      </c>
    </row>
    <row r="1071" spans="1:7" x14ac:dyDescent="0.25">
      <c r="A1071" s="111" t="str">
        <f t="shared" si="16"/>
        <v>JDH4-02-007-CN-5470</v>
      </c>
      <c r="B1071" t="s">
        <v>1727</v>
      </c>
      <c r="C1071" t="s">
        <v>4056</v>
      </c>
      <c r="D1071" s="1">
        <v>91388.14</v>
      </c>
      <c r="E1071" s="3">
        <v>1</v>
      </c>
      <c r="F1071" s="3">
        <v>1</v>
      </c>
      <c r="G1071" s="1">
        <v>91388.14</v>
      </c>
    </row>
    <row r="1072" spans="1:7" x14ac:dyDescent="0.25">
      <c r="A1072" s="111" t="str">
        <f t="shared" si="16"/>
        <v>JDH4-02-007-CN-5520</v>
      </c>
      <c r="B1072" t="s">
        <v>1729</v>
      </c>
      <c r="C1072" t="s">
        <v>1730</v>
      </c>
      <c r="D1072" s="1">
        <v>18629.79</v>
      </c>
      <c r="E1072" s="3">
        <v>1</v>
      </c>
      <c r="F1072" s="3">
        <v>1</v>
      </c>
      <c r="G1072" s="1">
        <v>18629.79</v>
      </c>
    </row>
    <row r="1073" spans="1:7" x14ac:dyDescent="0.25">
      <c r="A1073" s="111" t="str">
        <f t="shared" si="16"/>
        <v>JDH4-02-007-CN-5570</v>
      </c>
      <c r="B1073" t="s">
        <v>1731</v>
      </c>
      <c r="C1073" t="s">
        <v>1732</v>
      </c>
      <c r="D1073" s="1">
        <v>37259.53</v>
      </c>
      <c r="E1073" s="3">
        <v>1</v>
      </c>
      <c r="F1073" s="3">
        <v>1</v>
      </c>
      <c r="G1073" s="1">
        <v>37259.53</v>
      </c>
    </row>
    <row r="1074" spans="1:7" x14ac:dyDescent="0.25">
      <c r="A1074" s="111" t="str">
        <f t="shared" si="16"/>
        <v>JDH4-02-007-CN-5370R</v>
      </c>
      <c r="B1074" t="s">
        <v>4057</v>
      </c>
      <c r="C1074" t="s">
        <v>1724</v>
      </c>
      <c r="D1074" s="1">
        <v>24245.82</v>
      </c>
      <c r="E1074" s="3">
        <v>1</v>
      </c>
      <c r="F1074" s="3">
        <v>1</v>
      </c>
      <c r="G1074" s="1">
        <v>24245.82</v>
      </c>
    </row>
    <row r="1075" spans="1:7" x14ac:dyDescent="0.25">
      <c r="A1075" s="111" t="str">
        <f t="shared" si="16"/>
        <v>JDH4-02-007-CN-5420R</v>
      </c>
      <c r="B1075" t="s">
        <v>4058</v>
      </c>
      <c r="C1075" t="s">
        <v>1726</v>
      </c>
      <c r="D1075" s="1">
        <v>12122.92</v>
      </c>
      <c r="E1075" s="2">
        <v>1</v>
      </c>
      <c r="F1075" s="3">
        <v>1</v>
      </c>
      <c r="G1075" s="1">
        <v>12122.92</v>
      </c>
    </row>
    <row r="1076" spans="1:7" x14ac:dyDescent="0.25">
      <c r="A1076" s="111" t="str">
        <f t="shared" si="16"/>
        <v>JDH4-02-007-CN-5470R</v>
      </c>
      <c r="B1076" t="s">
        <v>4059</v>
      </c>
      <c r="C1076" t="s">
        <v>1728</v>
      </c>
      <c r="D1076" s="1">
        <v>169720.83</v>
      </c>
      <c r="E1076" s="3">
        <v>1</v>
      </c>
      <c r="F1076" s="3">
        <v>1</v>
      </c>
      <c r="G1076" s="1">
        <v>169720.83</v>
      </c>
    </row>
    <row r="1077" spans="1:7" x14ac:dyDescent="0.25">
      <c r="A1077" s="111" t="str">
        <f t="shared" si="16"/>
        <v>Pipe Encasement</v>
      </c>
      <c r="B1077" t="s">
        <v>1733</v>
      </c>
      <c r="D1077" s="1">
        <v>13406.24</v>
      </c>
      <c r="E1077" s="3"/>
      <c r="F1077" s="3">
        <v>1</v>
      </c>
      <c r="G1077" s="1">
        <v>13406.24</v>
      </c>
    </row>
    <row r="1078" spans="1:7" x14ac:dyDescent="0.25">
      <c r="A1078" s="111" t="str">
        <f t="shared" si="16"/>
        <v>JDH4-02-007-CN-5840</v>
      </c>
      <c r="B1078" t="s">
        <v>1734</v>
      </c>
      <c r="C1078" t="s">
        <v>1735</v>
      </c>
      <c r="D1078" s="1">
        <v>13406.24</v>
      </c>
      <c r="E1078" s="3">
        <v>1</v>
      </c>
      <c r="F1078" s="3">
        <v>1</v>
      </c>
      <c r="G1078" s="1">
        <v>13406.24</v>
      </c>
    </row>
    <row r="1079" spans="1:7" x14ac:dyDescent="0.25">
      <c r="A1079" s="111" t="str">
        <f t="shared" si="16"/>
        <v>Manholes</v>
      </c>
      <c r="B1079" t="s">
        <v>486</v>
      </c>
      <c r="D1079" s="1">
        <v>130842.92</v>
      </c>
      <c r="E1079" s="3"/>
      <c r="F1079" s="3">
        <v>1</v>
      </c>
      <c r="G1079" s="1">
        <v>130842.92</v>
      </c>
    </row>
    <row r="1080" spans="1:7" x14ac:dyDescent="0.25">
      <c r="A1080" s="111" t="str">
        <f t="shared" si="16"/>
        <v>JDH4-02-007-CN-5670</v>
      </c>
      <c r="B1080" t="s">
        <v>1736</v>
      </c>
      <c r="C1080" t="s">
        <v>1737</v>
      </c>
      <c r="D1080" s="1">
        <v>130842.92</v>
      </c>
      <c r="E1080" s="3">
        <v>1</v>
      </c>
      <c r="F1080" s="3">
        <v>1</v>
      </c>
      <c r="G1080" s="1">
        <v>130842.92</v>
      </c>
    </row>
    <row r="1081" spans="1:7" x14ac:dyDescent="0.25">
      <c r="A1081" s="111" t="str">
        <f t="shared" si="16"/>
        <v>Precast Acces Openinig</v>
      </c>
      <c r="B1081" t="s">
        <v>1738</v>
      </c>
      <c r="D1081" s="1">
        <v>7569.02</v>
      </c>
      <c r="E1081" s="3"/>
      <c r="F1081" s="3">
        <v>1</v>
      </c>
      <c r="G1081" s="1">
        <v>7569.02</v>
      </c>
    </row>
    <row r="1082" spans="1:7" x14ac:dyDescent="0.25">
      <c r="A1082" s="111" t="str">
        <f t="shared" si="16"/>
        <v>JDH4-02-007-CN-5720</v>
      </c>
      <c r="B1082" t="s">
        <v>1739</v>
      </c>
      <c r="C1082" t="s">
        <v>1740</v>
      </c>
      <c r="D1082" s="1">
        <v>7569.02</v>
      </c>
      <c r="E1082" s="3">
        <v>1</v>
      </c>
      <c r="F1082" s="3">
        <v>1</v>
      </c>
      <c r="G1082" s="1">
        <v>7569.02</v>
      </c>
    </row>
    <row r="1083" spans="1:7" x14ac:dyDescent="0.25">
      <c r="A1083" s="111" t="str">
        <f t="shared" si="16"/>
        <v>Catch Basins</v>
      </c>
      <c r="B1083" t="s">
        <v>1741</v>
      </c>
      <c r="D1083" s="1">
        <v>40998.839999999997</v>
      </c>
      <c r="E1083" s="3"/>
      <c r="F1083" s="3">
        <v>1</v>
      </c>
      <c r="G1083" s="1">
        <v>40998.839999999997</v>
      </c>
    </row>
    <row r="1084" spans="1:7" x14ac:dyDescent="0.25">
      <c r="A1084" s="111" t="str">
        <f t="shared" si="16"/>
        <v>JDH4-02-007-CN-5760</v>
      </c>
      <c r="B1084" t="s">
        <v>1742</v>
      </c>
      <c r="C1084" t="s">
        <v>1743</v>
      </c>
      <c r="D1084" s="1">
        <v>40998.839999999997</v>
      </c>
      <c r="E1084" s="3">
        <v>1</v>
      </c>
      <c r="F1084" s="3">
        <v>1</v>
      </c>
      <c r="G1084" s="1">
        <v>40998.839999999997</v>
      </c>
    </row>
    <row r="1085" spans="1:7" x14ac:dyDescent="0.25">
      <c r="A1085" s="111" t="str">
        <f t="shared" si="16"/>
        <v>Concrete Outfalls</v>
      </c>
      <c r="B1085" t="s">
        <v>1744</v>
      </c>
      <c r="D1085" s="1">
        <v>50460.11</v>
      </c>
      <c r="E1085" s="3"/>
      <c r="F1085" s="3">
        <v>1</v>
      </c>
      <c r="G1085" s="1">
        <v>50460.11</v>
      </c>
    </row>
    <row r="1086" spans="1:7" x14ac:dyDescent="0.25">
      <c r="A1086" s="111" t="str">
        <f t="shared" si="16"/>
        <v>JDH4-02-007-CN-5790</v>
      </c>
      <c r="B1086" t="s">
        <v>1745</v>
      </c>
      <c r="C1086" t="s">
        <v>1746</v>
      </c>
      <c r="D1086" s="1">
        <v>50460.11</v>
      </c>
      <c r="E1086" s="3">
        <v>1</v>
      </c>
      <c r="F1086" s="3">
        <v>1</v>
      </c>
      <c r="G1086" s="1">
        <v>50460.11</v>
      </c>
    </row>
    <row r="1087" spans="1:7" x14ac:dyDescent="0.25">
      <c r="A1087" s="111" t="str">
        <f t="shared" si="16"/>
        <v>Sewerage Network</v>
      </c>
      <c r="B1087" t="s">
        <v>221</v>
      </c>
      <c r="D1087" s="1">
        <v>233847.07</v>
      </c>
      <c r="E1087" s="3"/>
      <c r="F1087" s="3">
        <v>1</v>
      </c>
      <c r="G1087" s="1">
        <v>233847.07</v>
      </c>
    </row>
    <row r="1088" spans="1:7" x14ac:dyDescent="0.25">
      <c r="A1088" s="111" t="str">
        <f t="shared" si="16"/>
        <v>Pipe Works</v>
      </c>
      <c r="B1088" t="s">
        <v>1722</v>
      </c>
      <c r="D1088" s="1">
        <v>151982.41</v>
      </c>
      <c r="E1088" s="3"/>
      <c r="F1088" s="3">
        <v>1</v>
      </c>
      <c r="G1088" s="1">
        <v>151982.41</v>
      </c>
    </row>
    <row r="1089" spans="1:7" x14ac:dyDescent="0.25">
      <c r="A1089" s="111" t="str">
        <f t="shared" si="16"/>
        <v>JDH4-02-007-CN-4820</v>
      </c>
      <c r="B1089" t="s">
        <v>1747</v>
      </c>
      <c r="C1089" t="s">
        <v>4060</v>
      </c>
      <c r="D1089" s="1">
        <v>759.81</v>
      </c>
      <c r="E1089" s="3">
        <v>1</v>
      </c>
      <c r="F1089" s="3">
        <v>1</v>
      </c>
      <c r="G1089">
        <v>759.81</v>
      </c>
    </row>
    <row r="1090" spans="1:7" x14ac:dyDescent="0.25">
      <c r="A1090" s="111" t="str">
        <f t="shared" si="16"/>
        <v>JDH4-02-007-CN-4820R</v>
      </c>
      <c r="B1090" t="s">
        <v>4061</v>
      </c>
      <c r="C1090" t="s">
        <v>1748</v>
      </c>
      <c r="D1090" s="1">
        <v>14436.45</v>
      </c>
      <c r="E1090" s="3">
        <v>1</v>
      </c>
      <c r="F1090" s="3">
        <v>1</v>
      </c>
      <c r="G1090" s="1">
        <v>14436.45</v>
      </c>
    </row>
    <row r="1091" spans="1:7" x14ac:dyDescent="0.25">
      <c r="A1091" s="111" t="str">
        <f t="shared" si="16"/>
        <v>JDH4-02-007-CN-4890</v>
      </c>
      <c r="B1091" t="s">
        <v>1749</v>
      </c>
      <c r="C1091" t="s">
        <v>1726</v>
      </c>
      <c r="D1091" s="1">
        <v>7599.22</v>
      </c>
      <c r="E1091" s="3">
        <v>1</v>
      </c>
      <c r="F1091" s="3">
        <v>1</v>
      </c>
      <c r="G1091" s="1">
        <v>7599.22</v>
      </c>
    </row>
    <row r="1092" spans="1:7" x14ac:dyDescent="0.25">
      <c r="A1092" s="111" t="str">
        <f t="shared" ref="A1092:A1155" si="17">TRIM(B1092)</f>
        <v>JDH4-02-007-CN-4960</v>
      </c>
      <c r="B1092" t="s">
        <v>1750</v>
      </c>
      <c r="C1092" t="s">
        <v>1751</v>
      </c>
      <c r="D1092" s="1">
        <v>75992.31</v>
      </c>
      <c r="E1092" s="3">
        <v>1</v>
      </c>
      <c r="F1092" s="3">
        <v>1</v>
      </c>
      <c r="G1092" s="1">
        <v>75992.31</v>
      </c>
    </row>
    <row r="1093" spans="1:7" x14ac:dyDescent="0.25">
      <c r="A1093" s="111" t="str">
        <f t="shared" si="17"/>
        <v>JDH4-02-007-CN-5030</v>
      </c>
      <c r="B1093" t="s">
        <v>1752</v>
      </c>
      <c r="C1093" t="s">
        <v>1753</v>
      </c>
      <c r="D1093" s="1">
        <v>30396.93</v>
      </c>
      <c r="E1093" s="3">
        <v>1</v>
      </c>
      <c r="F1093" s="3">
        <v>1</v>
      </c>
      <c r="G1093" s="1">
        <v>30396.93</v>
      </c>
    </row>
    <row r="1094" spans="1:7" x14ac:dyDescent="0.25">
      <c r="A1094" s="111" t="str">
        <f t="shared" si="17"/>
        <v>JDH4-02-007-CN-5100</v>
      </c>
      <c r="B1094" t="s">
        <v>1754</v>
      </c>
      <c r="C1094" t="s">
        <v>1730</v>
      </c>
      <c r="D1094" s="1">
        <v>7599.22</v>
      </c>
      <c r="E1094" s="3">
        <v>1</v>
      </c>
      <c r="F1094" s="3">
        <v>1</v>
      </c>
      <c r="G1094" s="1">
        <v>7599.22</v>
      </c>
    </row>
    <row r="1095" spans="1:7" x14ac:dyDescent="0.25">
      <c r="A1095" s="111" t="str">
        <f t="shared" si="17"/>
        <v>JDH4-02-007-CN-5170</v>
      </c>
      <c r="B1095" t="s">
        <v>1755</v>
      </c>
      <c r="C1095" t="s">
        <v>1732</v>
      </c>
      <c r="D1095" s="1">
        <v>15198.47</v>
      </c>
      <c r="E1095" s="3">
        <v>1</v>
      </c>
      <c r="F1095" s="3">
        <v>1</v>
      </c>
      <c r="G1095" s="1">
        <v>15198.47</v>
      </c>
    </row>
    <row r="1096" spans="1:7" x14ac:dyDescent="0.25">
      <c r="A1096" s="111" t="str">
        <f t="shared" si="17"/>
        <v>Pipe Encasement</v>
      </c>
      <c r="B1096" t="s">
        <v>1733</v>
      </c>
      <c r="D1096" s="1">
        <v>760.54</v>
      </c>
      <c r="E1096" s="3"/>
      <c r="F1096" s="3">
        <v>1</v>
      </c>
      <c r="G1096">
        <v>760.54</v>
      </c>
    </row>
    <row r="1097" spans="1:7" x14ac:dyDescent="0.25">
      <c r="A1097" s="111" t="str">
        <f t="shared" si="17"/>
        <v>JDH4-02-007-CN-5310</v>
      </c>
      <c r="B1097" t="s">
        <v>1756</v>
      </c>
      <c r="C1097" t="s">
        <v>1735</v>
      </c>
      <c r="D1097" s="1">
        <v>760.54</v>
      </c>
      <c r="E1097" s="3">
        <v>1</v>
      </c>
      <c r="F1097" s="3">
        <v>1</v>
      </c>
      <c r="G1097">
        <v>760.54</v>
      </c>
    </row>
    <row r="1098" spans="1:7" x14ac:dyDescent="0.25">
      <c r="A1098" s="111" t="str">
        <f t="shared" si="17"/>
        <v>Manholes</v>
      </c>
      <c r="B1098" t="s">
        <v>486</v>
      </c>
      <c r="D1098" s="1">
        <v>81104.12</v>
      </c>
      <c r="E1098" s="3"/>
      <c r="F1098" s="3">
        <v>1</v>
      </c>
      <c r="G1098" s="1">
        <v>81104.12</v>
      </c>
    </row>
    <row r="1099" spans="1:7" x14ac:dyDescent="0.25">
      <c r="A1099" s="111" t="str">
        <f t="shared" si="17"/>
        <v>JDH4-02-007-CN-5240</v>
      </c>
      <c r="B1099" t="s">
        <v>1757</v>
      </c>
      <c r="C1099" t="s">
        <v>1758</v>
      </c>
      <c r="D1099" s="1">
        <v>81104.12</v>
      </c>
      <c r="E1099" s="3">
        <v>1</v>
      </c>
      <c r="F1099" s="3">
        <v>1</v>
      </c>
      <c r="G1099" s="1">
        <v>81104.12</v>
      </c>
    </row>
    <row r="1100" spans="1:7" x14ac:dyDescent="0.25">
      <c r="A1100" s="111" t="str">
        <f t="shared" si="17"/>
        <v>TSE Network</v>
      </c>
      <c r="B1100" t="s">
        <v>491</v>
      </c>
      <c r="D1100" s="1">
        <v>186231.54</v>
      </c>
      <c r="E1100" s="3"/>
      <c r="F1100" s="3">
        <v>1</v>
      </c>
      <c r="G1100" s="1">
        <v>186231.54</v>
      </c>
    </row>
    <row r="1101" spans="1:7" x14ac:dyDescent="0.25">
      <c r="A1101" s="111" t="str">
        <f t="shared" si="17"/>
        <v>Pipe Works</v>
      </c>
      <c r="B1101" t="s">
        <v>1722</v>
      </c>
      <c r="D1101" s="1">
        <v>160003.07999999999</v>
      </c>
      <c r="E1101" s="3"/>
      <c r="F1101" s="3">
        <v>1</v>
      </c>
      <c r="G1101" s="1">
        <v>160003.07999999999</v>
      </c>
    </row>
    <row r="1102" spans="1:7" x14ac:dyDescent="0.25">
      <c r="A1102" s="111" t="str">
        <f t="shared" si="17"/>
        <v>JDH4-02-007-CN-4040</v>
      </c>
      <c r="B1102" t="s">
        <v>1759</v>
      </c>
      <c r="C1102" t="s">
        <v>1724</v>
      </c>
      <c r="D1102" s="1">
        <v>15169.19</v>
      </c>
      <c r="E1102" s="3">
        <v>1</v>
      </c>
      <c r="F1102" s="3">
        <v>1</v>
      </c>
      <c r="G1102" s="1">
        <v>15169.19</v>
      </c>
    </row>
    <row r="1103" spans="1:7" x14ac:dyDescent="0.25">
      <c r="A1103" s="111" t="str">
        <f t="shared" si="17"/>
        <v>JDH4-02-007-CN-4110</v>
      </c>
      <c r="B1103" t="s">
        <v>1760</v>
      </c>
      <c r="C1103" t="s">
        <v>1726</v>
      </c>
      <c r="D1103" s="1">
        <v>7584.62</v>
      </c>
      <c r="E1103" s="3">
        <v>1</v>
      </c>
      <c r="F1103" s="3">
        <v>1</v>
      </c>
      <c r="G1103" s="1">
        <v>7584.62</v>
      </c>
    </row>
    <row r="1104" spans="1:7" x14ac:dyDescent="0.25">
      <c r="A1104" s="111" t="str">
        <f t="shared" si="17"/>
        <v>JDH4-02-007-CN-4180</v>
      </c>
      <c r="B1104" t="s">
        <v>1761</v>
      </c>
      <c r="C1104" t="s">
        <v>1762</v>
      </c>
      <c r="D1104" s="1">
        <v>75846</v>
      </c>
      <c r="E1104" s="3">
        <v>1</v>
      </c>
      <c r="F1104" s="3">
        <v>1</v>
      </c>
      <c r="G1104" s="1">
        <v>75846</v>
      </c>
    </row>
    <row r="1105" spans="1:7" x14ac:dyDescent="0.25">
      <c r="A1105" s="111" t="str">
        <f t="shared" si="17"/>
        <v>JDH4-02-007-CN-4250</v>
      </c>
      <c r="B1105" t="s">
        <v>1763</v>
      </c>
      <c r="C1105" t="s">
        <v>1764</v>
      </c>
      <c r="D1105" s="1">
        <v>30338.38</v>
      </c>
      <c r="E1105" s="3">
        <v>1</v>
      </c>
      <c r="F1105" s="3">
        <v>1</v>
      </c>
      <c r="G1105" s="1">
        <v>30338.38</v>
      </c>
    </row>
    <row r="1106" spans="1:7" x14ac:dyDescent="0.25">
      <c r="A1106" s="111" t="str">
        <f t="shared" si="17"/>
        <v>JDH4-02-007-CN-4320</v>
      </c>
      <c r="B1106" t="s">
        <v>1767</v>
      </c>
      <c r="C1106" t="s">
        <v>1768</v>
      </c>
      <c r="D1106" s="1">
        <v>7584.62</v>
      </c>
      <c r="E1106" s="3">
        <v>1</v>
      </c>
      <c r="F1106" s="3">
        <v>1</v>
      </c>
      <c r="G1106" s="1">
        <v>7584.62</v>
      </c>
    </row>
    <row r="1107" spans="1:7" x14ac:dyDescent="0.25">
      <c r="A1107" s="111" t="str">
        <f t="shared" si="17"/>
        <v>JDH4-02-007-CN-4390</v>
      </c>
      <c r="B1107" t="s">
        <v>1769</v>
      </c>
      <c r="C1107" t="s">
        <v>1732</v>
      </c>
      <c r="D1107" s="1">
        <v>15169.19</v>
      </c>
      <c r="E1107" s="3">
        <v>1</v>
      </c>
      <c r="F1107" s="3">
        <v>1</v>
      </c>
      <c r="G1107" s="1">
        <v>15169.19</v>
      </c>
    </row>
    <row r="1108" spans="1:7" x14ac:dyDescent="0.25">
      <c r="A1108" s="111" t="str">
        <f t="shared" si="17"/>
        <v>JDH4-02-007-CN-4700</v>
      </c>
      <c r="B1108" t="s">
        <v>1765</v>
      </c>
      <c r="C1108" t="s">
        <v>1766</v>
      </c>
      <c r="D1108" s="1">
        <v>8311.08</v>
      </c>
      <c r="E1108" s="3">
        <v>1</v>
      </c>
      <c r="F1108" s="3">
        <v>1</v>
      </c>
      <c r="G1108" s="1">
        <v>8311.08</v>
      </c>
    </row>
    <row r="1109" spans="1:7" x14ac:dyDescent="0.25">
      <c r="A1109" s="111" t="str">
        <f t="shared" si="17"/>
        <v>Pipe Encasement</v>
      </c>
      <c r="B1109" t="s">
        <v>1733</v>
      </c>
      <c r="D1109" s="1">
        <v>7554.9</v>
      </c>
      <c r="E1109" s="3"/>
      <c r="F1109" s="3">
        <v>1</v>
      </c>
      <c r="G1109" s="1">
        <v>7554.9</v>
      </c>
    </row>
    <row r="1110" spans="1:7" x14ac:dyDescent="0.25">
      <c r="A1110" s="111" t="str">
        <f t="shared" si="17"/>
        <v>JDH4-02-007-CN-4460</v>
      </c>
      <c r="B1110" t="s">
        <v>1770</v>
      </c>
      <c r="C1110" t="s">
        <v>1771</v>
      </c>
      <c r="D1110" s="1">
        <v>7554.9</v>
      </c>
      <c r="E1110" s="3">
        <v>1</v>
      </c>
      <c r="F1110" s="3">
        <v>1</v>
      </c>
      <c r="G1110" s="1">
        <v>7554.9</v>
      </c>
    </row>
    <row r="1111" spans="1:7" x14ac:dyDescent="0.25">
      <c r="A1111" s="111" t="str">
        <f t="shared" si="17"/>
        <v>Valves</v>
      </c>
      <c r="B1111" t="s">
        <v>127</v>
      </c>
      <c r="D1111" s="1">
        <v>18673.560000000001</v>
      </c>
      <c r="E1111" s="3"/>
      <c r="F1111" s="3">
        <v>1</v>
      </c>
      <c r="G1111" s="1">
        <v>18673.560000000001</v>
      </c>
    </row>
    <row r="1112" spans="1:7" x14ac:dyDescent="0.25">
      <c r="A1112" s="111" t="str">
        <f t="shared" si="17"/>
        <v>JDH4-02-007-CN-4530</v>
      </c>
      <c r="B1112" t="s">
        <v>1772</v>
      </c>
      <c r="C1112" t="s">
        <v>1773</v>
      </c>
      <c r="D1112" s="1">
        <v>18673.560000000001</v>
      </c>
      <c r="E1112" s="3">
        <v>1</v>
      </c>
      <c r="F1112" s="3">
        <v>1</v>
      </c>
      <c r="G1112" s="1">
        <v>18673.560000000001</v>
      </c>
    </row>
    <row r="1113" spans="1:7" x14ac:dyDescent="0.25">
      <c r="A1113" s="111" t="str">
        <f t="shared" si="17"/>
        <v>Potable Network</v>
      </c>
      <c r="B1113" t="s">
        <v>120</v>
      </c>
      <c r="D1113" s="1">
        <v>193744.83</v>
      </c>
      <c r="E1113" s="3"/>
      <c r="F1113" s="3">
        <v>1</v>
      </c>
      <c r="G1113" s="1">
        <v>193744.83</v>
      </c>
    </row>
    <row r="1114" spans="1:7" x14ac:dyDescent="0.25">
      <c r="A1114" s="111" t="str">
        <f t="shared" si="17"/>
        <v>Pipe Works</v>
      </c>
      <c r="B1114" t="s">
        <v>1722</v>
      </c>
      <c r="D1114" s="1">
        <v>124027.28</v>
      </c>
      <c r="F1114" s="3">
        <v>1</v>
      </c>
      <c r="G1114" s="1">
        <v>124027.28</v>
      </c>
    </row>
    <row r="1115" spans="1:7" x14ac:dyDescent="0.25">
      <c r="A1115" s="111" t="str">
        <f t="shared" si="17"/>
        <v>JDH4-02-007-CN-3360</v>
      </c>
      <c r="B1115" t="s">
        <v>1774</v>
      </c>
      <c r="C1115" t="s">
        <v>1724</v>
      </c>
      <c r="D1115" s="1">
        <v>12402.74</v>
      </c>
      <c r="E1115" s="3">
        <v>1</v>
      </c>
      <c r="F1115" s="3">
        <v>1</v>
      </c>
      <c r="G1115" s="1">
        <v>12402.74</v>
      </c>
    </row>
    <row r="1116" spans="1:7" x14ac:dyDescent="0.25">
      <c r="A1116" s="111" t="str">
        <f t="shared" si="17"/>
        <v>JDH4-02-007-CN-3430</v>
      </c>
      <c r="B1116" t="s">
        <v>1775</v>
      </c>
      <c r="C1116" t="s">
        <v>1726</v>
      </c>
      <c r="D1116" s="1">
        <v>6201.37</v>
      </c>
      <c r="E1116" s="3">
        <v>1</v>
      </c>
      <c r="F1116" s="3">
        <v>1</v>
      </c>
      <c r="G1116" s="1">
        <v>6201.37</v>
      </c>
    </row>
    <row r="1117" spans="1:7" x14ac:dyDescent="0.25">
      <c r="A1117" s="111" t="str">
        <f t="shared" si="17"/>
        <v>JDH4-02-007-CN-3500</v>
      </c>
      <c r="B1117" t="s">
        <v>1776</v>
      </c>
      <c r="C1117" t="s">
        <v>1762</v>
      </c>
      <c r="D1117" s="1">
        <v>62013.62</v>
      </c>
      <c r="E1117" s="3">
        <v>1</v>
      </c>
      <c r="F1117" s="3">
        <v>1</v>
      </c>
      <c r="G1117" s="1">
        <v>62013.62</v>
      </c>
    </row>
    <row r="1118" spans="1:7" x14ac:dyDescent="0.25">
      <c r="A1118" s="111" t="str">
        <f t="shared" si="17"/>
        <v>JDH4-02-007-CN-3570</v>
      </c>
      <c r="B1118" t="s">
        <v>1777</v>
      </c>
      <c r="C1118" t="s">
        <v>1764</v>
      </c>
      <c r="D1118" s="1">
        <v>24805.439999999999</v>
      </c>
      <c r="E1118" s="3">
        <v>1</v>
      </c>
      <c r="F1118" s="3">
        <v>1</v>
      </c>
      <c r="G1118" s="1">
        <v>24805.439999999999</v>
      </c>
    </row>
    <row r="1119" spans="1:7" x14ac:dyDescent="0.25">
      <c r="A1119" s="111" t="str">
        <f t="shared" si="17"/>
        <v>JDH4-02-007-CN-3640</v>
      </c>
      <c r="B1119" t="s">
        <v>1778</v>
      </c>
      <c r="C1119" t="s">
        <v>1730</v>
      </c>
      <c r="D1119" s="1">
        <v>6201.37</v>
      </c>
      <c r="E1119" s="3">
        <v>1</v>
      </c>
      <c r="F1119" s="3">
        <v>1</v>
      </c>
      <c r="G1119" s="1">
        <v>6201.37</v>
      </c>
    </row>
    <row r="1120" spans="1:7" x14ac:dyDescent="0.25">
      <c r="A1120" s="111" t="str">
        <f t="shared" si="17"/>
        <v>JDH4-02-007-CN-3710</v>
      </c>
      <c r="B1120" t="s">
        <v>1779</v>
      </c>
      <c r="C1120" t="s">
        <v>1780</v>
      </c>
      <c r="D1120" s="1">
        <v>12402.74</v>
      </c>
      <c r="E1120" s="3">
        <v>1</v>
      </c>
      <c r="F1120" s="3">
        <v>1</v>
      </c>
      <c r="G1120" s="1">
        <v>12402.74</v>
      </c>
    </row>
    <row r="1121" spans="1:7" x14ac:dyDescent="0.25">
      <c r="A1121" s="111" t="str">
        <f t="shared" si="17"/>
        <v>Pipe Encasement</v>
      </c>
      <c r="B1121" t="s">
        <v>1733</v>
      </c>
      <c r="D1121" s="1">
        <v>9796.16</v>
      </c>
      <c r="E1121" s="3"/>
      <c r="F1121" s="3">
        <v>1</v>
      </c>
      <c r="G1121" s="1">
        <v>9796.16</v>
      </c>
    </row>
    <row r="1122" spans="1:7" x14ac:dyDescent="0.25">
      <c r="A1122" s="111" t="str">
        <f t="shared" si="17"/>
        <v>JDH4-02-007-CN-3780</v>
      </c>
      <c r="B1122" t="s">
        <v>1781</v>
      </c>
      <c r="C1122" t="s">
        <v>1771</v>
      </c>
      <c r="D1122" s="1">
        <v>9796.16</v>
      </c>
      <c r="E1122" s="3">
        <v>1</v>
      </c>
      <c r="F1122" s="3">
        <v>1</v>
      </c>
      <c r="G1122" s="1">
        <v>9796.16</v>
      </c>
    </row>
    <row r="1123" spans="1:7" x14ac:dyDescent="0.25">
      <c r="A1123" s="111" t="str">
        <f t="shared" si="17"/>
        <v>Valves</v>
      </c>
      <c r="B1123" t="s">
        <v>127</v>
      </c>
      <c r="D1123" s="1">
        <v>15768.79</v>
      </c>
      <c r="E1123" s="3"/>
      <c r="F1123" s="3">
        <v>1</v>
      </c>
      <c r="G1123" s="1">
        <v>15768.79</v>
      </c>
    </row>
    <row r="1124" spans="1:7" x14ac:dyDescent="0.25">
      <c r="A1124" s="111" t="str">
        <f t="shared" si="17"/>
        <v>JDH4-02-007-CN-3850</v>
      </c>
      <c r="B1124" t="s">
        <v>1782</v>
      </c>
      <c r="C1124" t="s">
        <v>1773</v>
      </c>
      <c r="D1124" s="1">
        <v>15768.79</v>
      </c>
      <c r="E1124" s="3">
        <v>1</v>
      </c>
      <c r="F1124" s="3">
        <v>1</v>
      </c>
      <c r="G1124" s="1">
        <v>15768.79</v>
      </c>
    </row>
    <row r="1125" spans="1:7" x14ac:dyDescent="0.25">
      <c r="A1125" s="111" t="str">
        <f t="shared" si="17"/>
        <v>Fire Hydrant</v>
      </c>
      <c r="B1125" t="s">
        <v>124</v>
      </c>
      <c r="D1125" s="1">
        <v>44152.6</v>
      </c>
      <c r="E1125" s="3"/>
      <c r="F1125" s="3">
        <v>1</v>
      </c>
      <c r="G1125" s="1">
        <v>44152.6</v>
      </c>
    </row>
    <row r="1126" spans="1:7" x14ac:dyDescent="0.25">
      <c r="A1126" s="111" t="str">
        <f t="shared" si="17"/>
        <v>JDH4-02-007-CN-3940</v>
      </c>
      <c r="B1126" t="s">
        <v>1783</v>
      </c>
      <c r="C1126" t="s">
        <v>1784</v>
      </c>
      <c r="D1126" s="1">
        <v>44152.6</v>
      </c>
      <c r="E1126" s="3">
        <v>1</v>
      </c>
      <c r="F1126" s="3">
        <v>1</v>
      </c>
      <c r="G1126" s="1">
        <v>44152.6</v>
      </c>
    </row>
    <row r="1127" spans="1:7" x14ac:dyDescent="0.25">
      <c r="A1127" s="111" t="str">
        <f t="shared" si="17"/>
        <v>Electrical Works</v>
      </c>
      <c r="B1127" t="s">
        <v>1785</v>
      </c>
      <c r="D1127" s="1">
        <v>386983.51</v>
      </c>
      <c r="E1127" s="3"/>
      <c r="F1127" s="3">
        <v>1</v>
      </c>
      <c r="G1127" s="1">
        <v>386983.51</v>
      </c>
    </row>
    <row r="1128" spans="1:7" x14ac:dyDescent="0.25">
      <c r="A1128" s="111" t="str">
        <f t="shared" si="17"/>
        <v>Street Lighting</v>
      </c>
      <c r="B1128" t="s">
        <v>1786</v>
      </c>
      <c r="D1128" s="1">
        <v>173158.79</v>
      </c>
      <c r="F1128" s="3">
        <v>1</v>
      </c>
      <c r="G1128" s="1">
        <v>173158.79</v>
      </c>
    </row>
    <row r="1129" spans="1:7" x14ac:dyDescent="0.25">
      <c r="A1129" s="111" t="str">
        <f t="shared" si="17"/>
        <v>JDH4-02-007-CN-2830</v>
      </c>
      <c r="B1129" t="s">
        <v>1789</v>
      </c>
      <c r="C1129" t="s">
        <v>1790</v>
      </c>
      <c r="D1129" s="1">
        <v>17941.62</v>
      </c>
      <c r="E1129" s="3">
        <v>1</v>
      </c>
      <c r="F1129" s="3">
        <v>1</v>
      </c>
      <c r="G1129" s="1">
        <v>17941.62</v>
      </c>
    </row>
    <row r="1130" spans="1:7" x14ac:dyDescent="0.25">
      <c r="A1130" s="111" t="str">
        <f t="shared" si="17"/>
        <v>JDH4-02-007-CN-2820</v>
      </c>
      <c r="B1130" t="s">
        <v>1787</v>
      </c>
      <c r="C1130" t="s">
        <v>1788</v>
      </c>
      <c r="D1130" s="1">
        <v>9991.1</v>
      </c>
      <c r="E1130" s="3">
        <v>1</v>
      </c>
      <c r="F1130" s="3">
        <v>1</v>
      </c>
      <c r="G1130" s="1">
        <v>9991.1</v>
      </c>
    </row>
    <row r="1131" spans="1:7" x14ac:dyDescent="0.25">
      <c r="A1131" s="111" t="str">
        <f t="shared" si="17"/>
        <v>JDH4-02-007-CN-2880</v>
      </c>
      <c r="B1131" t="s">
        <v>1791</v>
      </c>
      <c r="C1131" t="s">
        <v>1792</v>
      </c>
      <c r="D1131" s="1">
        <v>50825.95</v>
      </c>
      <c r="E1131" s="3">
        <v>1</v>
      </c>
      <c r="F1131" s="3">
        <v>1</v>
      </c>
      <c r="G1131" s="1">
        <v>50825.95</v>
      </c>
    </row>
    <row r="1132" spans="1:7" x14ac:dyDescent="0.25">
      <c r="A1132" s="111" t="str">
        <f t="shared" si="17"/>
        <v>JDH4-02-007-CN-2920</v>
      </c>
      <c r="B1132" t="s">
        <v>1793</v>
      </c>
      <c r="C1132" t="s">
        <v>1794</v>
      </c>
      <c r="D1132" s="1">
        <v>73193.61</v>
      </c>
      <c r="E1132" s="3">
        <v>1</v>
      </c>
      <c r="F1132" s="3">
        <v>1</v>
      </c>
      <c r="G1132" s="1">
        <v>73193.61</v>
      </c>
    </row>
    <row r="1133" spans="1:7" x14ac:dyDescent="0.25">
      <c r="A1133" s="111" t="str">
        <f t="shared" si="17"/>
        <v>JDH4-02-007-CN-2960</v>
      </c>
      <c r="B1133" t="s">
        <v>1795</v>
      </c>
      <c r="C1133" t="s">
        <v>1796</v>
      </c>
      <c r="D1133" s="1">
        <v>17422</v>
      </c>
      <c r="E1133" s="3">
        <v>1</v>
      </c>
      <c r="F1133" s="3">
        <v>1</v>
      </c>
      <c r="G1133" s="1">
        <v>17422</v>
      </c>
    </row>
    <row r="1134" spans="1:7" x14ac:dyDescent="0.25">
      <c r="A1134" s="111" t="str">
        <f t="shared" si="17"/>
        <v>JDH4-02-007-CN-2990</v>
      </c>
      <c r="B1134" t="s">
        <v>1797</v>
      </c>
      <c r="C1134" t="s">
        <v>1798</v>
      </c>
      <c r="D1134" s="1">
        <v>3784.51</v>
      </c>
      <c r="E1134" s="3">
        <v>1</v>
      </c>
      <c r="F1134" s="3">
        <v>1</v>
      </c>
      <c r="G1134" s="1">
        <v>3784.51</v>
      </c>
    </row>
    <row r="1135" spans="1:7" x14ac:dyDescent="0.25">
      <c r="A1135" s="111" t="str">
        <f t="shared" si="17"/>
        <v>Telecommunication</v>
      </c>
      <c r="B1135" t="s">
        <v>1799</v>
      </c>
      <c r="D1135" s="1">
        <v>213824.72</v>
      </c>
      <c r="E1135" s="3"/>
      <c r="F1135" s="2">
        <v>1</v>
      </c>
      <c r="G1135" s="1">
        <v>213824.72</v>
      </c>
    </row>
    <row r="1136" spans="1:7" x14ac:dyDescent="0.25">
      <c r="A1136" s="111" t="str">
        <f t="shared" si="17"/>
        <v>JDH4-02-007-CN-3110</v>
      </c>
      <c r="B1136" t="s">
        <v>1800</v>
      </c>
      <c r="C1136" t="s">
        <v>1801</v>
      </c>
      <c r="D1136" s="1">
        <v>182034.85</v>
      </c>
      <c r="E1136" s="3">
        <v>1</v>
      </c>
      <c r="F1136" s="2">
        <v>1</v>
      </c>
      <c r="G1136" s="1">
        <v>182034.85</v>
      </c>
    </row>
    <row r="1137" spans="1:7" x14ac:dyDescent="0.25">
      <c r="A1137" s="111" t="str">
        <f t="shared" si="17"/>
        <v>JDH4-02-007-CN-3180</v>
      </c>
      <c r="B1137" t="s">
        <v>1802</v>
      </c>
      <c r="C1137" t="s">
        <v>1803</v>
      </c>
      <c r="D1137" s="1">
        <v>3406.06</v>
      </c>
      <c r="E1137" s="3">
        <v>1</v>
      </c>
      <c r="F1137" s="3">
        <v>1</v>
      </c>
      <c r="G1137" s="1">
        <v>3406.06</v>
      </c>
    </row>
    <row r="1138" spans="1:7" x14ac:dyDescent="0.25">
      <c r="A1138" s="111" t="str">
        <f t="shared" si="17"/>
        <v>JDH4-02-007-CN-3290</v>
      </c>
      <c r="B1138" t="s">
        <v>1804</v>
      </c>
      <c r="C1138" t="s">
        <v>1758</v>
      </c>
      <c r="D1138" s="1">
        <v>28383.81</v>
      </c>
      <c r="E1138" s="3">
        <v>1</v>
      </c>
      <c r="F1138" s="3">
        <v>1</v>
      </c>
      <c r="G1138" s="1">
        <v>28383.81</v>
      </c>
    </row>
    <row r="1139" spans="1:7" x14ac:dyDescent="0.25">
      <c r="A1139" s="111" t="str">
        <f t="shared" si="17"/>
        <v>Road 08</v>
      </c>
      <c r="B1139" t="s">
        <v>1805</v>
      </c>
      <c r="D1139" s="1">
        <v>5696664.3600000003</v>
      </c>
      <c r="E1139" s="3"/>
      <c r="F1139" s="3">
        <v>1</v>
      </c>
      <c r="G1139" s="1">
        <v>5696664.3600000003</v>
      </c>
    </row>
    <row r="1140" spans="1:7" x14ac:dyDescent="0.25">
      <c r="A1140" s="111" t="str">
        <f t="shared" si="17"/>
        <v>Road Works + Roundabout</v>
      </c>
      <c r="B1140" t="s">
        <v>1685</v>
      </c>
      <c r="D1140" s="1">
        <v>3190850.42</v>
      </c>
      <c r="E1140" s="3"/>
      <c r="F1140" s="3">
        <v>1</v>
      </c>
      <c r="G1140" s="1">
        <v>3190850.42</v>
      </c>
    </row>
    <row r="1141" spans="1:7" x14ac:dyDescent="0.25">
      <c r="A1141" s="111" t="str">
        <f t="shared" si="17"/>
        <v>Eartworks &amp; Site grading</v>
      </c>
      <c r="B1141" t="s">
        <v>1686</v>
      </c>
      <c r="D1141" s="1">
        <v>1378559.54</v>
      </c>
      <c r="E1141" s="3"/>
      <c r="F1141" s="3">
        <v>1</v>
      </c>
      <c r="G1141" s="1">
        <v>1378559.54</v>
      </c>
    </row>
    <row r="1142" spans="1:7" x14ac:dyDescent="0.25">
      <c r="A1142" s="111" t="str">
        <f t="shared" si="17"/>
        <v>JDH4-02-007-CN-1710</v>
      </c>
      <c r="B1142" t="s">
        <v>1808</v>
      </c>
      <c r="C1142" t="s">
        <v>4062</v>
      </c>
      <c r="D1142" s="1">
        <v>21754.74</v>
      </c>
      <c r="E1142" s="3">
        <v>1</v>
      </c>
      <c r="F1142" s="3">
        <v>1</v>
      </c>
      <c r="G1142" s="1">
        <v>21754.74</v>
      </c>
    </row>
    <row r="1143" spans="1:7" x14ac:dyDescent="0.25">
      <c r="A1143" s="111" t="str">
        <f t="shared" si="17"/>
        <v>JDH4-02-007-CN-1770</v>
      </c>
      <c r="B1143" t="s">
        <v>1806</v>
      </c>
      <c r="C1143" t="s">
        <v>4063</v>
      </c>
      <c r="D1143" s="1">
        <v>673400.08</v>
      </c>
      <c r="E1143" s="3">
        <v>1</v>
      </c>
      <c r="F1143" s="3">
        <v>1</v>
      </c>
      <c r="G1143" s="1">
        <v>673400.08</v>
      </c>
    </row>
    <row r="1144" spans="1:7" x14ac:dyDescent="0.25">
      <c r="A1144" s="111" t="str">
        <f t="shared" si="17"/>
        <v>JDH4-02-007-CN-1770R</v>
      </c>
      <c r="B1144" t="s">
        <v>4064</v>
      </c>
      <c r="C1144" t="s">
        <v>1807</v>
      </c>
      <c r="D1144" s="1">
        <v>550963.69999999995</v>
      </c>
      <c r="E1144" s="3">
        <v>1</v>
      </c>
      <c r="F1144" s="3">
        <v>1</v>
      </c>
      <c r="G1144" s="1">
        <v>550963.69999999995</v>
      </c>
    </row>
    <row r="1145" spans="1:7" x14ac:dyDescent="0.25">
      <c r="A1145" s="111" t="str">
        <f t="shared" si="17"/>
        <v>JDH4-02-007-CN-1710R</v>
      </c>
      <c r="B1145" t="s">
        <v>4065</v>
      </c>
      <c r="C1145" t="s">
        <v>1809</v>
      </c>
      <c r="D1145" s="1">
        <v>9323.4599999999991</v>
      </c>
      <c r="E1145" s="3">
        <v>1</v>
      </c>
      <c r="F1145" s="2">
        <v>1</v>
      </c>
      <c r="G1145" s="1">
        <v>9323.4599999999991</v>
      </c>
    </row>
    <row r="1146" spans="1:7" x14ac:dyDescent="0.25">
      <c r="A1146" s="111" t="str">
        <f t="shared" si="17"/>
        <v>JDH4-02-007-CN-1890</v>
      </c>
      <c r="B1146" t="s">
        <v>1810</v>
      </c>
      <c r="C1146" t="s">
        <v>1811</v>
      </c>
      <c r="D1146" s="1">
        <v>123117.55</v>
      </c>
      <c r="E1146" s="3">
        <v>1</v>
      </c>
      <c r="F1146" s="3">
        <v>1</v>
      </c>
      <c r="G1146" s="1">
        <v>123117.55</v>
      </c>
    </row>
    <row r="1147" spans="1:7" x14ac:dyDescent="0.25">
      <c r="A1147" s="111" t="str">
        <f t="shared" si="17"/>
        <v>Asphalt Works</v>
      </c>
      <c r="B1147" t="s">
        <v>1693</v>
      </c>
      <c r="D1147" s="1">
        <v>825025.99</v>
      </c>
      <c r="E1147" s="3"/>
      <c r="F1147" s="3">
        <v>1</v>
      </c>
      <c r="G1147" s="1">
        <v>825025.99</v>
      </c>
    </row>
    <row r="1148" spans="1:7" x14ac:dyDescent="0.25">
      <c r="A1148" s="111" t="str">
        <f t="shared" si="17"/>
        <v>JDH4-02-007-CN-1950</v>
      </c>
      <c r="B1148" t="s">
        <v>1812</v>
      </c>
      <c r="C1148" t="s">
        <v>1813</v>
      </c>
      <c r="D1148" s="1">
        <v>125409.15</v>
      </c>
      <c r="E1148" s="3">
        <v>1</v>
      </c>
      <c r="F1148" s="3">
        <v>1</v>
      </c>
      <c r="G1148" s="1">
        <v>125409.15</v>
      </c>
    </row>
    <row r="1149" spans="1:7" x14ac:dyDescent="0.25">
      <c r="A1149" s="111" t="str">
        <f t="shared" si="17"/>
        <v>JDH4-02-007-CN-2000</v>
      </c>
      <c r="B1149" t="s">
        <v>1814</v>
      </c>
      <c r="C1149" t="s">
        <v>1815</v>
      </c>
      <c r="D1149" s="1">
        <v>70000.789999999994</v>
      </c>
      <c r="E1149" s="3">
        <v>1</v>
      </c>
      <c r="F1149" s="3">
        <v>1</v>
      </c>
      <c r="G1149" s="1">
        <v>70000.789999999994</v>
      </c>
    </row>
    <row r="1150" spans="1:7" x14ac:dyDescent="0.25">
      <c r="A1150" s="111" t="str">
        <f t="shared" si="17"/>
        <v>JDH4-02-007-CN-2050</v>
      </c>
      <c r="B1150" t="s">
        <v>1816</v>
      </c>
      <c r="C1150" t="s">
        <v>1817</v>
      </c>
      <c r="D1150" s="1">
        <v>629616.05000000005</v>
      </c>
      <c r="E1150" s="3">
        <v>1</v>
      </c>
      <c r="F1150" s="3">
        <v>1</v>
      </c>
      <c r="G1150" s="1">
        <v>629616.05000000005</v>
      </c>
    </row>
    <row r="1151" spans="1:7" x14ac:dyDescent="0.25">
      <c r="A1151" s="111" t="str">
        <f t="shared" si="17"/>
        <v>Finishing Works</v>
      </c>
      <c r="B1151" t="s">
        <v>1700</v>
      </c>
      <c r="D1151" s="1">
        <v>987264.89</v>
      </c>
      <c r="E1151" s="3"/>
      <c r="F1151" s="3">
        <v>1</v>
      </c>
      <c r="G1151" s="1">
        <v>987264.89</v>
      </c>
    </row>
    <row r="1152" spans="1:7" x14ac:dyDescent="0.25">
      <c r="A1152" s="111" t="str">
        <f t="shared" si="17"/>
        <v>Asphalt Wearing Course</v>
      </c>
      <c r="B1152" t="s">
        <v>1701</v>
      </c>
      <c r="D1152" s="1">
        <v>370629.53</v>
      </c>
      <c r="E1152" s="3"/>
      <c r="F1152" s="3">
        <v>1</v>
      </c>
      <c r="G1152" s="1">
        <v>370629.53</v>
      </c>
    </row>
    <row r="1153" spans="1:7" x14ac:dyDescent="0.25">
      <c r="A1153" s="111" t="str">
        <f t="shared" si="17"/>
        <v>JDH4-02-007-CN-2100</v>
      </c>
      <c r="B1153" t="s">
        <v>1818</v>
      </c>
      <c r="C1153" t="s">
        <v>1819</v>
      </c>
      <c r="D1153" s="1">
        <v>36898.959999999999</v>
      </c>
      <c r="E1153" s="3">
        <v>1</v>
      </c>
      <c r="F1153" s="3">
        <v>1</v>
      </c>
      <c r="G1153" s="1">
        <v>36898.959999999999</v>
      </c>
    </row>
    <row r="1154" spans="1:7" x14ac:dyDescent="0.25">
      <c r="A1154" s="111" t="str">
        <f t="shared" si="17"/>
        <v>JDH4-02-007-CN-2150</v>
      </c>
      <c r="B1154" t="s">
        <v>1820</v>
      </c>
      <c r="C1154" t="s">
        <v>1821</v>
      </c>
      <c r="D1154" s="1">
        <v>333730.57</v>
      </c>
      <c r="E1154" s="3">
        <v>1</v>
      </c>
      <c r="F1154" s="2">
        <v>1</v>
      </c>
      <c r="G1154" s="1">
        <v>333730.57</v>
      </c>
    </row>
    <row r="1155" spans="1:7" x14ac:dyDescent="0.25">
      <c r="A1155" s="111" t="str">
        <f t="shared" si="17"/>
        <v>Precast Concrete Curb</v>
      </c>
      <c r="B1155" t="s">
        <v>1706</v>
      </c>
      <c r="D1155" s="1">
        <v>231115.34</v>
      </c>
      <c r="E1155" s="3"/>
      <c r="F1155" s="3">
        <v>1</v>
      </c>
      <c r="G1155" s="1">
        <v>231115.34</v>
      </c>
    </row>
    <row r="1156" spans="1:7" x14ac:dyDescent="0.25">
      <c r="A1156" s="111" t="str">
        <f t="shared" ref="A1156:A1219" si="18">TRIM(B1156)</f>
        <v>JDH4-02-007-CN-2200</v>
      </c>
      <c r="B1156" t="s">
        <v>1822</v>
      </c>
      <c r="C1156" t="s">
        <v>1823</v>
      </c>
      <c r="D1156" s="1">
        <v>231115.34</v>
      </c>
      <c r="E1156" s="3">
        <v>1</v>
      </c>
      <c r="F1156" s="3">
        <v>1</v>
      </c>
      <c r="G1156" s="1">
        <v>231115.34</v>
      </c>
    </row>
    <row r="1157" spans="1:7" x14ac:dyDescent="0.25">
      <c r="A1157" s="111" t="str">
        <f t="shared" si="18"/>
        <v>Precast Interlocking block pavers</v>
      </c>
      <c r="B1157" t="s">
        <v>1709</v>
      </c>
      <c r="D1157" s="1">
        <v>219785.33</v>
      </c>
      <c r="E1157" s="3"/>
      <c r="F1157" s="3">
        <v>1</v>
      </c>
      <c r="G1157" s="1">
        <v>219785.33</v>
      </c>
    </row>
    <row r="1158" spans="1:7" x14ac:dyDescent="0.25">
      <c r="A1158" s="111" t="str">
        <f t="shared" si="18"/>
        <v>JDH4-02-007-CN-2250</v>
      </c>
      <c r="B1158" t="s">
        <v>1824</v>
      </c>
      <c r="C1158" t="s">
        <v>1825</v>
      </c>
      <c r="D1158" s="1">
        <v>219785.33</v>
      </c>
      <c r="E1158" s="3">
        <v>1</v>
      </c>
      <c r="F1158" s="3">
        <v>1</v>
      </c>
      <c r="G1158" s="1">
        <v>219785.33</v>
      </c>
    </row>
    <row r="1159" spans="1:7" x14ac:dyDescent="0.25">
      <c r="A1159" s="111" t="str">
        <f t="shared" si="18"/>
        <v>Pavement Markings</v>
      </c>
      <c r="B1159" t="s">
        <v>1712</v>
      </c>
      <c r="D1159" s="1">
        <v>62150.42</v>
      </c>
      <c r="E1159" s="3"/>
      <c r="F1159" s="3">
        <v>1</v>
      </c>
      <c r="G1159" s="1">
        <v>62150.42</v>
      </c>
    </row>
    <row r="1160" spans="1:7" x14ac:dyDescent="0.25">
      <c r="A1160" s="111" t="str">
        <f t="shared" si="18"/>
        <v>JDH4-02-007-CN-2300</v>
      </c>
      <c r="B1160" t="s">
        <v>1826</v>
      </c>
      <c r="C1160" t="s">
        <v>1827</v>
      </c>
      <c r="D1160" s="1">
        <v>62150.42</v>
      </c>
      <c r="E1160" s="3">
        <v>1</v>
      </c>
      <c r="F1160" s="3">
        <v>1</v>
      </c>
      <c r="G1160" s="1">
        <v>62150.42</v>
      </c>
    </row>
    <row r="1161" spans="1:7" x14ac:dyDescent="0.25">
      <c r="A1161" s="111" t="str">
        <f t="shared" si="18"/>
        <v>Traffic Signage</v>
      </c>
      <c r="B1161" t="s">
        <v>1715</v>
      </c>
      <c r="D1161" s="1">
        <v>103584.27</v>
      </c>
      <c r="E1161" s="3"/>
      <c r="F1161" s="3">
        <v>1</v>
      </c>
      <c r="G1161" s="1">
        <v>103584.27</v>
      </c>
    </row>
    <row r="1162" spans="1:7" x14ac:dyDescent="0.25">
      <c r="A1162" s="111" t="str">
        <f t="shared" si="18"/>
        <v>JDH4-02-007-CN-2350</v>
      </c>
      <c r="B1162" t="s">
        <v>1828</v>
      </c>
      <c r="C1162" t="s">
        <v>1829</v>
      </c>
      <c r="D1162" s="1">
        <v>103584.27</v>
      </c>
      <c r="E1162" s="3">
        <v>1</v>
      </c>
      <c r="F1162" s="3">
        <v>1</v>
      </c>
      <c r="G1162" s="1">
        <v>103584.27</v>
      </c>
    </row>
    <row r="1163" spans="1:7" x14ac:dyDescent="0.25">
      <c r="A1163" s="111" t="str">
        <f t="shared" si="18"/>
        <v>Storm Water Drainage</v>
      </c>
      <c r="B1163" t="s">
        <v>1721</v>
      </c>
      <c r="D1163" s="1">
        <v>873781.35</v>
      </c>
      <c r="F1163" s="2">
        <v>1</v>
      </c>
      <c r="G1163" s="1">
        <v>873781.35</v>
      </c>
    </row>
    <row r="1164" spans="1:7" x14ac:dyDescent="0.25">
      <c r="A1164" s="111" t="str">
        <f t="shared" si="18"/>
        <v>Pipe Works</v>
      </c>
      <c r="B1164" t="s">
        <v>1722</v>
      </c>
      <c r="D1164" s="1">
        <v>547596.42000000004</v>
      </c>
      <c r="E1164" s="3"/>
      <c r="F1164" s="3">
        <v>1</v>
      </c>
      <c r="G1164" s="1">
        <v>547596.42000000004</v>
      </c>
    </row>
    <row r="1165" spans="1:7" x14ac:dyDescent="0.25">
      <c r="A1165" s="111" t="str">
        <f t="shared" si="18"/>
        <v>JDH4-02-007-CN-5330</v>
      </c>
      <c r="B1165" t="s">
        <v>1830</v>
      </c>
      <c r="C1165" t="s">
        <v>4066</v>
      </c>
      <c r="D1165" s="1">
        <v>8213.94</v>
      </c>
      <c r="E1165" s="3">
        <v>1</v>
      </c>
      <c r="F1165" s="3">
        <v>1</v>
      </c>
      <c r="G1165" s="1">
        <v>8213.94</v>
      </c>
    </row>
    <row r="1166" spans="1:7" x14ac:dyDescent="0.25">
      <c r="A1166" s="111" t="str">
        <f t="shared" si="18"/>
        <v>JDH4-02-007-CN-5380</v>
      </c>
      <c r="B1166" t="s">
        <v>1832</v>
      </c>
      <c r="C1166" t="s">
        <v>4067</v>
      </c>
      <c r="D1166" s="1">
        <v>4106.9799999999996</v>
      </c>
      <c r="E1166" s="3">
        <v>1</v>
      </c>
      <c r="F1166" s="3">
        <v>1</v>
      </c>
      <c r="G1166" s="1">
        <v>4106.9799999999996</v>
      </c>
    </row>
    <row r="1167" spans="1:7" x14ac:dyDescent="0.25">
      <c r="A1167" s="111" t="str">
        <f t="shared" si="18"/>
        <v>JDH4-02-007-CN-5430</v>
      </c>
      <c r="B1167" t="s">
        <v>1834</v>
      </c>
      <c r="C1167" t="s">
        <v>4068</v>
      </c>
      <c r="D1167" s="1">
        <v>57497.63</v>
      </c>
      <c r="E1167" s="3">
        <v>1</v>
      </c>
      <c r="F1167" s="3">
        <v>1</v>
      </c>
      <c r="G1167" s="1">
        <v>57497.63</v>
      </c>
    </row>
    <row r="1168" spans="1:7" x14ac:dyDescent="0.25">
      <c r="A1168" s="111" t="str">
        <f t="shared" si="18"/>
        <v>JDH4-02-007-CN-5480</v>
      </c>
      <c r="B1168" t="s">
        <v>1836</v>
      </c>
      <c r="C1168" t="s">
        <v>4069</v>
      </c>
      <c r="D1168" s="1">
        <v>4106.9799999999996</v>
      </c>
      <c r="E1168" s="3">
        <v>1</v>
      </c>
      <c r="F1168" s="3">
        <v>1</v>
      </c>
      <c r="G1168" s="1">
        <v>4106.9799999999996</v>
      </c>
    </row>
    <row r="1169" spans="1:7" x14ac:dyDescent="0.25">
      <c r="A1169" s="111" t="str">
        <f t="shared" si="18"/>
        <v>JDH4-02-007-CN-5530</v>
      </c>
      <c r="B1169" t="s">
        <v>1838</v>
      </c>
      <c r="C1169" t="s">
        <v>4070</v>
      </c>
      <c r="D1169" s="1">
        <v>8213.94</v>
      </c>
      <c r="E1169" s="3">
        <v>1</v>
      </c>
      <c r="F1169" s="3">
        <v>1</v>
      </c>
      <c r="G1169" s="1">
        <v>8213.94</v>
      </c>
    </row>
    <row r="1170" spans="1:7" x14ac:dyDescent="0.25">
      <c r="A1170" s="111" t="str">
        <f t="shared" si="18"/>
        <v>JDH4-02-007-CN-5330R</v>
      </c>
      <c r="B1170" t="s">
        <v>4071</v>
      </c>
      <c r="C1170" t="s">
        <v>1831</v>
      </c>
      <c r="D1170" s="1">
        <v>46545.67</v>
      </c>
      <c r="E1170" s="3">
        <v>1</v>
      </c>
      <c r="F1170" s="3">
        <v>1</v>
      </c>
      <c r="G1170" s="1">
        <v>46545.67</v>
      </c>
    </row>
    <row r="1171" spans="1:7" x14ac:dyDescent="0.25">
      <c r="A1171" s="111" t="str">
        <f t="shared" si="18"/>
        <v>JDH4-02-007-CN-5380R</v>
      </c>
      <c r="B1171" t="s">
        <v>4072</v>
      </c>
      <c r="C1171" t="s">
        <v>1833</v>
      </c>
      <c r="D1171" s="1">
        <v>23272.86</v>
      </c>
      <c r="E1171" s="3">
        <v>1</v>
      </c>
      <c r="F1171" s="3">
        <v>1</v>
      </c>
      <c r="G1171" s="1">
        <v>23272.86</v>
      </c>
    </row>
    <row r="1172" spans="1:7" x14ac:dyDescent="0.25">
      <c r="A1172" s="111" t="str">
        <f t="shared" si="18"/>
        <v>JDH4-02-007-CN-5430R</v>
      </c>
      <c r="B1172" t="s">
        <v>4073</v>
      </c>
      <c r="C1172" t="s">
        <v>1835</v>
      </c>
      <c r="D1172" s="1">
        <v>325819.88</v>
      </c>
      <c r="E1172" s="2">
        <v>1</v>
      </c>
      <c r="F1172" s="3">
        <v>1</v>
      </c>
      <c r="G1172" s="1">
        <v>325819.88</v>
      </c>
    </row>
    <row r="1173" spans="1:7" x14ac:dyDescent="0.25">
      <c r="A1173" s="111" t="str">
        <f t="shared" si="18"/>
        <v>JDH4-02-007-CN-5530R</v>
      </c>
      <c r="B1173" t="s">
        <v>4074</v>
      </c>
      <c r="C1173" t="s">
        <v>1839</v>
      </c>
      <c r="D1173" s="1">
        <v>46545.67</v>
      </c>
      <c r="E1173" s="3">
        <v>1</v>
      </c>
      <c r="F1173" s="3">
        <v>1</v>
      </c>
      <c r="G1173" s="1">
        <v>46545.67</v>
      </c>
    </row>
    <row r="1174" spans="1:7" x14ac:dyDescent="0.25">
      <c r="A1174" s="111" t="str">
        <f t="shared" si="18"/>
        <v>JDH4-02-007-CN-5480R</v>
      </c>
      <c r="B1174" t="s">
        <v>4075</v>
      </c>
      <c r="C1174" t="s">
        <v>1837</v>
      </c>
      <c r="D1174" s="1">
        <v>23272.86</v>
      </c>
      <c r="E1174" s="3">
        <v>1</v>
      </c>
      <c r="F1174" s="3">
        <v>1</v>
      </c>
      <c r="G1174" s="1">
        <v>23272.86</v>
      </c>
    </row>
    <row r="1175" spans="1:7" x14ac:dyDescent="0.25">
      <c r="A1175" s="111" t="str">
        <f t="shared" si="18"/>
        <v>Pipe Encasement</v>
      </c>
      <c r="B1175" t="s">
        <v>1733</v>
      </c>
      <c r="D1175" s="1">
        <v>20926.82</v>
      </c>
      <c r="E1175" s="3"/>
      <c r="F1175" s="3">
        <v>1</v>
      </c>
      <c r="G1175" s="1">
        <v>20926.82</v>
      </c>
    </row>
    <row r="1176" spans="1:7" x14ac:dyDescent="0.25">
      <c r="A1176" s="111" t="str">
        <f t="shared" si="18"/>
        <v>JDH4-02-007-CN-5800</v>
      </c>
      <c r="B1176" t="s">
        <v>1840</v>
      </c>
      <c r="C1176" t="s">
        <v>1841</v>
      </c>
      <c r="D1176" s="1">
        <v>20926.82</v>
      </c>
      <c r="E1176" s="3">
        <v>1</v>
      </c>
      <c r="F1176" s="3">
        <v>1</v>
      </c>
      <c r="G1176" s="1">
        <v>20926.82</v>
      </c>
    </row>
    <row r="1177" spans="1:7" x14ac:dyDescent="0.25">
      <c r="A1177" s="111" t="str">
        <f t="shared" si="18"/>
        <v>Manholes</v>
      </c>
      <c r="B1177" t="s">
        <v>486</v>
      </c>
      <c r="D1177" s="1">
        <v>224206.55</v>
      </c>
      <c r="E1177" s="3"/>
      <c r="F1177" s="3">
        <v>1</v>
      </c>
      <c r="G1177" s="1">
        <v>224206.55</v>
      </c>
    </row>
    <row r="1178" spans="1:7" x14ac:dyDescent="0.25">
      <c r="A1178" s="111" t="str">
        <f t="shared" si="18"/>
        <v>JDH4-02-007-CN-5630</v>
      </c>
      <c r="B1178" t="s">
        <v>1842</v>
      </c>
      <c r="C1178" t="s">
        <v>1843</v>
      </c>
      <c r="D1178" s="1">
        <v>224206.55</v>
      </c>
      <c r="E1178" s="3">
        <v>1</v>
      </c>
      <c r="F1178" s="3">
        <v>1</v>
      </c>
      <c r="G1178" s="1">
        <v>224206.55</v>
      </c>
    </row>
    <row r="1179" spans="1:7" x14ac:dyDescent="0.25">
      <c r="A1179" s="111" t="str">
        <f t="shared" si="18"/>
        <v>Precast Acces Openinig</v>
      </c>
      <c r="B1179" t="s">
        <v>1738</v>
      </c>
      <c r="D1179" s="1">
        <v>11353.53</v>
      </c>
      <c r="E1179" s="3"/>
      <c r="F1179" s="3">
        <v>1</v>
      </c>
      <c r="G1179" s="1">
        <v>11353.53</v>
      </c>
    </row>
    <row r="1180" spans="1:7" x14ac:dyDescent="0.25">
      <c r="A1180" s="111" t="str">
        <f t="shared" si="18"/>
        <v>JDH4-02-007-CN-5680</v>
      </c>
      <c r="B1180" t="s">
        <v>1844</v>
      </c>
      <c r="C1180" t="s">
        <v>1845</v>
      </c>
      <c r="D1180" s="1">
        <v>11353.53</v>
      </c>
      <c r="E1180" s="3">
        <v>1</v>
      </c>
      <c r="F1180" s="3">
        <v>1</v>
      </c>
      <c r="G1180" s="1">
        <v>11353.53</v>
      </c>
    </row>
    <row r="1181" spans="1:7" x14ac:dyDescent="0.25">
      <c r="A1181" s="111" t="str">
        <f t="shared" si="18"/>
        <v>Catch Basins</v>
      </c>
      <c r="B1181" t="s">
        <v>1741</v>
      </c>
      <c r="D1181" s="1">
        <v>69698.03</v>
      </c>
      <c r="E1181" s="3"/>
      <c r="F1181" s="2">
        <v>1</v>
      </c>
      <c r="G1181" s="1">
        <v>69698.03</v>
      </c>
    </row>
    <row r="1182" spans="1:7" x14ac:dyDescent="0.25">
      <c r="A1182" s="111" t="str">
        <f t="shared" si="18"/>
        <v>JDH4-02-007-CN-5730</v>
      </c>
      <c r="B1182" t="s">
        <v>1846</v>
      </c>
      <c r="C1182" t="s">
        <v>1847</v>
      </c>
      <c r="D1182" s="1">
        <v>69698.03</v>
      </c>
      <c r="E1182" s="3">
        <v>1</v>
      </c>
      <c r="F1182" s="2">
        <v>1</v>
      </c>
      <c r="G1182" s="1">
        <v>69698.03</v>
      </c>
    </row>
    <row r="1183" spans="1:7" x14ac:dyDescent="0.25">
      <c r="A1183" s="111" t="str">
        <f t="shared" si="18"/>
        <v>Sewerage Network</v>
      </c>
      <c r="B1183" t="s">
        <v>221</v>
      </c>
      <c r="D1183" s="1">
        <v>558310.64</v>
      </c>
      <c r="E1183" s="3"/>
      <c r="F1183" s="2">
        <v>1</v>
      </c>
      <c r="G1183" s="1">
        <v>558310.64</v>
      </c>
    </row>
    <row r="1184" spans="1:7" x14ac:dyDescent="0.25">
      <c r="A1184" s="111" t="str">
        <f t="shared" si="18"/>
        <v>Pipe Works</v>
      </c>
      <c r="B1184" t="s">
        <v>1722</v>
      </c>
      <c r="D1184" s="1">
        <v>329545.92</v>
      </c>
      <c r="E1184" s="3"/>
      <c r="F1184" s="2">
        <v>1</v>
      </c>
      <c r="G1184" s="1">
        <v>329545.92</v>
      </c>
    </row>
    <row r="1185" spans="1:7" x14ac:dyDescent="0.25">
      <c r="A1185" s="111" t="str">
        <f t="shared" si="18"/>
        <v>JDH4-02-007-CN-4780</v>
      </c>
      <c r="B1185" t="s">
        <v>1848</v>
      </c>
      <c r="C1185" t="s">
        <v>1849</v>
      </c>
      <c r="D1185" s="1">
        <v>32954.6</v>
      </c>
      <c r="E1185" s="3">
        <v>1</v>
      </c>
      <c r="F1185" s="3">
        <v>1</v>
      </c>
      <c r="G1185" s="1">
        <v>32954.6</v>
      </c>
    </row>
    <row r="1186" spans="1:7" x14ac:dyDescent="0.25">
      <c r="A1186" s="111" t="str">
        <f t="shared" si="18"/>
        <v>JDH4-02-007-CN-4850</v>
      </c>
      <c r="B1186" t="s">
        <v>1850</v>
      </c>
      <c r="C1186" t="s">
        <v>1833</v>
      </c>
      <c r="D1186" s="1">
        <v>16477.28</v>
      </c>
      <c r="E1186" s="3">
        <v>1</v>
      </c>
      <c r="F1186" s="3">
        <v>1</v>
      </c>
      <c r="G1186" s="1">
        <v>16477.28</v>
      </c>
    </row>
    <row r="1187" spans="1:7" x14ac:dyDescent="0.25">
      <c r="A1187" s="111" t="str">
        <f t="shared" si="18"/>
        <v>JDH4-02-007-CN-4920</v>
      </c>
      <c r="B1187" t="s">
        <v>1851</v>
      </c>
      <c r="C1187" t="s">
        <v>1852</v>
      </c>
      <c r="D1187" s="1">
        <v>164772.96</v>
      </c>
      <c r="E1187" s="3">
        <v>1</v>
      </c>
      <c r="F1187" s="3">
        <v>1</v>
      </c>
      <c r="G1187" s="1">
        <v>164772.96</v>
      </c>
    </row>
    <row r="1188" spans="1:7" x14ac:dyDescent="0.25">
      <c r="A1188" s="111" t="str">
        <f t="shared" si="18"/>
        <v>JDH4-02-007-CN-4990</v>
      </c>
      <c r="B1188" t="s">
        <v>1853</v>
      </c>
      <c r="C1188" t="s">
        <v>1854</v>
      </c>
      <c r="D1188" s="1">
        <v>65909.2</v>
      </c>
      <c r="E1188" s="3">
        <v>1</v>
      </c>
      <c r="F1188" s="3">
        <v>1</v>
      </c>
      <c r="G1188" s="1">
        <v>65909.2</v>
      </c>
    </row>
    <row r="1189" spans="1:7" x14ac:dyDescent="0.25">
      <c r="A1189" s="111" t="str">
        <f t="shared" si="18"/>
        <v>JDH4-02-007-CN-5060</v>
      </c>
      <c r="B1189" t="s">
        <v>1855</v>
      </c>
      <c r="C1189" t="s">
        <v>1837</v>
      </c>
      <c r="D1189" s="1">
        <v>16477.28</v>
      </c>
      <c r="E1189" s="3">
        <v>1</v>
      </c>
      <c r="F1189" s="3">
        <v>1</v>
      </c>
      <c r="G1189" s="1">
        <v>16477.28</v>
      </c>
    </row>
    <row r="1190" spans="1:7" x14ac:dyDescent="0.25">
      <c r="A1190" s="111" t="str">
        <f t="shared" si="18"/>
        <v>JDH4-02-007-CN-5130</v>
      </c>
      <c r="B1190" t="s">
        <v>1856</v>
      </c>
      <c r="C1190" t="s">
        <v>1839</v>
      </c>
      <c r="D1190" s="1">
        <v>32954.6</v>
      </c>
      <c r="E1190" s="3">
        <v>1</v>
      </c>
      <c r="F1190" s="3">
        <v>1</v>
      </c>
      <c r="G1190" s="1">
        <v>32954.6</v>
      </c>
    </row>
    <row r="1191" spans="1:7" x14ac:dyDescent="0.25">
      <c r="A1191" s="111" t="str">
        <f t="shared" si="18"/>
        <v>Pipe Encasement</v>
      </c>
      <c r="B1191" t="s">
        <v>1733</v>
      </c>
      <c r="D1191" s="1">
        <v>1673.19</v>
      </c>
      <c r="E1191" s="3"/>
      <c r="F1191" s="3">
        <v>1</v>
      </c>
      <c r="G1191" s="1">
        <v>1673.19</v>
      </c>
    </row>
    <row r="1192" spans="1:7" x14ac:dyDescent="0.25">
      <c r="A1192" s="111" t="str">
        <f t="shared" si="18"/>
        <v>JDH4-02-007-CN-5270</v>
      </c>
      <c r="B1192" t="s">
        <v>1857</v>
      </c>
      <c r="C1192" t="s">
        <v>1841</v>
      </c>
      <c r="D1192" s="1">
        <v>1673.19</v>
      </c>
      <c r="E1192" s="3">
        <v>1</v>
      </c>
      <c r="F1192" s="3">
        <v>1</v>
      </c>
      <c r="G1192" s="1">
        <v>1673.19</v>
      </c>
    </row>
    <row r="1193" spans="1:7" x14ac:dyDescent="0.25">
      <c r="A1193" s="111" t="str">
        <f t="shared" si="18"/>
        <v>Manholes</v>
      </c>
      <c r="B1193" t="s">
        <v>486</v>
      </c>
      <c r="D1193" s="1">
        <v>227091.53</v>
      </c>
      <c r="F1193" s="3">
        <v>1</v>
      </c>
      <c r="G1193" s="1">
        <v>227091.53</v>
      </c>
    </row>
    <row r="1194" spans="1:7" x14ac:dyDescent="0.25">
      <c r="A1194" s="111" t="str">
        <f t="shared" si="18"/>
        <v>JDH4-02-007-CN-5200</v>
      </c>
      <c r="B1194" t="s">
        <v>1858</v>
      </c>
      <c r="C1194" t="s">
        <v>1859</v>
      </c>
      <c r="D1194" s="1">
        <v>227091.53</v>
      </c>
      <c r="E1194" s="3">
        <v>1</v>
      </c>
      <c r="F1194" s="3">
        <v>1</v>
      </c>
      <c r="G1194" s="1">
        <v>227091.53</v>
      </c>
    </row>
    <row r="1195" spans="1:7" x14ac:dyDescent="0.25">
      <c r="A1195" s="111" t="str">
        <f t="shared" si="18"/>
        <v>TSE Network</v>
      </c>
      <c r="B1195" t="s">
        <v>491</v>
      </c>
      <c r="D1195" s="1">
        <v>229231.81</v>
      </c>
      <c r="E1195" s="3"/>
      <c r="F1195" s="3">
        <v>1</v>
      </c>
      <c r="G1195" s="1">
        <v>229231.81</v>
      </c>
    </row>
    <row r="1196" spans="1:7" x14ac:dyDescent="0.25">
      <c r="A1196" s="111" t="str">
        <f t="shared" si="18"/>
        <v>Pipe Works</v>
      </c>
      <c r="B1196" t="s">
        <v>1722</v>
      </c>
      <c r="D1196" s="1">
        <v>195413.82</v>
      </c>
      <c r="E1196" s="3"/>
      <c r="F1196" s="3">
        <v>1</v>
      </c>
      <c r="G1196" s="1">
        <v>195413.82</v>
      </c>
    </row>
    <row r="1197" spans="1:7" x14ac:dyDescent="0.25">
      <c r="A1197" s="111" t="str">
        <f t="shared" si="18"/>
        <v>JDH4-02-007-CN-4000</v>
      </c>
      <c r="B1197" t="s">
        <v>1860</v>
      </c>
      <c r="C1197" t="s">
        <v>1831</v>
      </c>
      <c r="D1197" s="1">
        <v>18710.259999999998</v>
      </c>
      <c r="E1197" s="3">
        <v>1</v>
      </c>
      <c r="F1197" s="3">
        <v>1</v>
      </c>
      <c r="G1197" s="1">
        <v>18710.259999999998</v>
      </c>
    </row>
    <row r="1198" spans="1:7" x14ac:dyDescent="0.25">
      <c r="A1198" s="111" t="str">
        <f t="shared" si="18"/>
        <v>JDH4-02-007-CN-4070</v>
      </c>
      <c r="B1198" t="s">
        <v>1861</v>
      </c>
      <c r="C1198" t="s">
        <v>1833</v>
      </c>
      <c r="D1198" s="1">
        <v>9355.16</v>
      </c>
      <c r="E1198" s="3">
        <v>1</v>
      </c>
      <c r="F1198" s="3">
        <v>1</v>
      </c>
      <c r="G1198" s="1">
        <v>9355.16</v>
      </c>
    </row>
    <row r="1199" spans="1:7" x14ac:dyDescent="0.25">
      <c r="A1199" s="111" t="str">
        <f t="shared" si="18"/>
        <v>JDH4-02-007-CN-4140</v>
      </c>
      <c r="B1199" t="s">
        <v>1862</v>
      </c>
      <c r="C1199" t="s">
        <v>1863</v>
      </c>
      <c r="D1199" s="1">
        <v>93551.37</v>
      </c>
      <c r="E1199" s="3">
        <v>1</v>
      </c>
      <c r="F1199" s="3">
        <v>1</v>
      </c>
      <c r="G1199" s="1">
        <v>93551.37</v>
      </c>
    </row>
    <row r="1200" spans="1:7" x14ac:dyDescent="0.25">
      <c r="A1200" s="111" t="str">
        <f t="shared" si="18"/>
        <v>JDH4-02-007-CN-4210</v>
      </c>
      <c r="B1200" t="s">
        <v>1864</v>
      </c>
      <c r="C1200" t="s">
        <v>1865</v>
      </c>
      <c r="D1200" s="1">
        <v>37420.53</v>
      </c>
      <c r="E1200" s="3">
        <v>1</v>
      </c>
      <c r="F1200" s="3">
        <v>1</v>
      </c>
      <c r="G1200" s="1">
        <v>37420.53</v>
      </c>
    </row>
    <row r="1201" spans="1:7" x14ac:dyDescent="0.25">
      <c r="A1201" s="111" t="str">
        <f t="shared" si="18"/>
        <v>JDH4-02-007-CN-4280</v>
      </c>
      <c r="B1201" t="s">
        <v>1868</v>
      </c>
      <c r="C1201" t="s">
        <v>1869</v>
      </c>
      <c r="D1201" s="1">
        <v>9355.16</v>
      </c>
      <c r="E1201" s="3">
        <v>1</v>
      </c>
      <c r="F1201" s="3">
        <v>1</v>
      </c>
      <c r="G1201" s="1">
        <v>9355.16</v>
      </c>
    </row>
    <row r="1202" spans="1:7" x14ac:dyDescent="0.25">
      <c r="A1202" s="111" t="str">
        <f t="shared" si="18"/>
        <v>JDH4-02-007-CN-4350</v>
      </c>
      <c r="B1202" t="s">
        <v>1870</v>
      </c>
      <c r="C1202" t="s">
        <v>1839</v>
      </c>
      <c r="D1202" s="1">
        <v>18710.259999999998</v>
      </c>
      <c r="E1202" s="3">
        <v>1</v>
      </c>
      <c r="F1202" s="3">
        <v>1</v>
      </c>
      <c r="G1202" s="1">
        <v>18710.259999999998</v>
      </c>
    </row>
    <row r="1203" spans="1:7" x14ac:dyDescent="0.25">
      <c r="A1203" s="111" t="str">
        <f t="shared" si="18"/>
        <v>JDH4-02-007-CN-4660</v>
      </c>
      <c r="B1203" t="s">
        <v>1866</v>
      </c>
      <c r="C1203" t="s">
        <v>1867</v>
      </c>
      <c r="D1203" s="1">
        <v>8311.08</v>
      </c>
      <c r="E1203" s="3">
        <v>1</v>
      </c>
      <c r="F1203" s="3">
        <v>1</v>
      </c>
      <c r="G1203" s="1">
        <v>8311.08</v>
      </c>
    </row>
    <row r="1204" spans="1:7" x14ac:dyDescent="0.25">
      <c r="A1204" s="111" t="str">
        <f t="shared" si="18"/>
        <v>Pipe Encasement</v>
      </c>
      <c r="B1204" t="s">
        <v>1733</v>
      </c>
      <c r="D1204" s="1">
        <v>9368.07</v>
      </c>
      <c r="E1204" s="3"/>
      <c r="F1204" s="3">
        <v>1</v>
      </c>
      <c r="G1204" s="1">
        <v>9368.07</v>
      </c>
    </row>
    <row r="1205" spans="1:7" x14ac:dyDescent="0.25">
      <c r="A1205" s="111" t="str">
        <f t="shared" si="18"/>
        <v>JDH4-02-007-CN-4420</v>
      </c>
      <c r="B1205" t="s">
        <v>1871</v>
      </c>
      <c r="C1205" t="s">
        <v>1872</v>
      </c>
      <c r="D1205" s="1">
        <v>9368.07</v>
      </c>
      <c r="E1205" s="3">
        <v>1</v>
      </c>
      <c r="F1205" s="3">
        <v>1</v>
      </c>
      <c r="G1205" s="1">
        <v>9368.07</v>
      </c>
    </row>
    <row r="1206" spans="1:7" x14ac:dyDescent="0.25">
      <c r="A1206" s="111" t="str">
        <f t="shared" si="18"/>
        <v>Valves</v>
      </c>
      <c r="B1206" t="s">
        <v>127</v>
      </c>
      <c r="D1206" s="1">
        <v>11204.14</v>
      </c>
      <c r="E1206" s="3"/>
      <c r="F1206" s="3">
        <v>1</v>
      </c>
      <c r="G1206" s="1">
        <v>11204.14</v>
      </c>
    </row>
    <row r="1207" spans="1:7" x14ac:dyDescent="0.25">
      <c r="A1207" s="111" t="str">
        <f t="shared" si="18"/>
        <v>JDH4-02-007-CN-4490</v>
      </c>
      <c r="B1207" t="s">
        <v>1873</v>
      </c>
      <c r="C1207" t="s">
        <v>1874</v>
      </c>
      <c r="D1207" s="1">
        <v>11204.14</v>
      </c>
      <c r="E1207" s="3">
        <v>1</v>
      </c>
      <c r="F1207" s="3">
        <v>1</v>
      </c>
      <c r="G1207" s="1">
        <v>11204.14</v>
      </c>
    </row>
    <row r="1208" spans="1:7" x14ac:dyDescent="0.25">
      <c r="A1208" s="111" t="str">
        <f t="shared" si="18"/>
        <v>Risers</v>
      </c>
      <c r="B1208" t="s">
        <v>499</v>
      </c>
      <c r="D1208"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str">
        <f t="shared" si="18"/>
        <v>JDH4-02-007-CN-4730</v>
      </c>
      <c r="B1209" t="s">
        <v>1875</v>
      </c>
      <c r="C1209" t="s">
        <v>1876</v>
      </c>
      <c r="D1209" s="1">
        <v>13245.78</v>
      </c>
      <c r="E1209" s="3">
        <v>1</v>
      </c>
      <c r="F1209" s="3">
        <v>1</v>
      </c>
      <c r="G1209" s="1">
        <v>13245.78</v>
      </c>
    </row>
    <row r="1210" spans="1:7" x14ac:dyDescent="0.25">
      <c r="A1210" s="111" t="str">
        <f t="shared" si="18"/>
        <v>Potable Network</v>
      </c>
      <c r="B1210" t="s">
        <v>120</v>
      </c>
      <c r="D1210" s="1">
        <v>199289.73</v>
      </c>
      <c r="E1210" s="3"/>
      <c r="F1210" s="3">
        <v>1</v>
      </c>
      <c r="G1210" s="1">
        <v>199289.73</v>
      </c>
    </row>
    <row r="1211" spans="1:7" x14ac:dyDescent="0.25">
      <c r="A1211" s="111" t="str">
        <f t="shared" si="18"/>
        <v>Pipe Works</v>
      </c>
      <c r="B1211" t="s">
        <v>1722</v>
      </c>
      <c r="D1211" s="1">
        <v>125752.87</v>
      </c>
      <c r="F1211" s="3">
        <v>1</v>
      </c>
      <c r="G1211" s="1">
        <v>125752.87</v>
      </c>
    </row>
    <row r="1212" spans="1:7" x14ac:dyDescent="0.25">
      <c r="A1212" s="111" t="str">
        <f t="shared" si="18"/>
        <v>JDH4-02-007-CN-3320</v>
      </c>
      <c r="B1212" t="s">
        <v>1877</v>
      </c>
      <c r="C1212" t="s">
        <v>1831</v>
      </c>
      <c r="D1212" s="1">
        <v>12575.3</v>
      </c>
      <c r="E1212" s="3">
        <v>1</v>
      </c>
      <c r="F1212" s="3">
        <v>1</v>
      </c>
      <c r="G1212" s="1">
        <v>12575.3</v>
      </c>
    </row>
    <row r="1213" spans="1:7" x14ac:dyDescent="0.25">
      <c r="A1213" s="111" t="str">
        <f t="shared" si="18"/>
        <v>JDH4-02-007-CN-3390</v>
      </c>
      <c r="B1213" t="s">
        <v>1878</v>
      </c>
      <c r="C1213" t="s">
        <v>1833</v>
      </c>
      <c r="D1213" s="1">
        <v>6287.65</v>
      </c>
      <c r="E1213" s="3">
        <v>1</v>
      </c>
      <c r="F1213" s="3">
        <v>1</v>
      </c>
      <c r="G1213" s="1">
        <v>6287.65</v>
      </c>
    </row>
    <row r="1214" spans="1:7" x14ac:dyDescent="0.25">
      <c r="A1214" s="111" t="str">
        <f t="shared" si="18"/>
        <v>JDH4-02-007-CN-3460</v>
      </c>
      <c r="B1214" t="s">
        <v>1879</v>
      </c>
      <c r="C1214" t="s">
        <v>1863</v>
      </c>
      <c r="D1214" s="1">
        <v>62876.41</v>
      </c>
      <c r="E1214" s="3">
        <v>1</v>
      </c>
      <c r="F1214" s="3">
        <v>1</v>
      </c>
      <c r="G1214" s="1">
        <v>62876.41</v>
      </c>
    </row>
    <row r="1215" spans="1:7" x14ac:dyDescent="0.25">
      <c r="A1215" s="111" t="str">
        <f t="shared" si="18"/>
        <v>JDH4-02-007-CN-3530</v>
      </c>
      <c r="B1215" t="s">
        <v>1880</v>
      </c>
      <c r="C1215" t="s">
        <v>1865</v>
      </c>
      <c r="D1215" s="1">
        <v>25150.560000000001</v>
      </c>
      <c r="E1215" s="3">
        <v>1</v>
      </c>
      <c r="F1215" s="3">
        <v>1</v>
      </c>
      <c r="G1215" s="1">
        <v>25150.560000000001</v>
      </c>
    </row>
    <row r="1216" spans="1:7" x14ac:dyDescent="0.25">
      <c r="A1216" s="111" t="str">
        <f t="shared" si="18"/>
        <v>JDH4-02-007-CN-3600</v>
      </c>
      <c r="B1216" t="s">
        <v>1881</v>
      </c>
      <c r="C1216" t="s">
        <v>1837</v>
      </c>
      <c r="D1216" s="1">
        <v>6287.65</v>
      </c>
      <c r="E1216" s="3">
        <v>1</v>
      </c>
      <c r="F1216" s="3">
        <v>1</v>
      </c>
      <c r="G1216" s="1">
        <v>6287.65</v>
      </c>
    </row>
    <row r="1217" spans="1:7" x14ac:dyDescent="0.25">
      <c r="A1217" s="111" t="str">
        <f t="shared" si="18"/>
        <v>JDH4-02-007-CN-3670</v>
      </c>
      <c r="B1217" t="s">
        <v>1882</v>
      </c>
      <c r="C1217" t="s">
        <v>1883</v>
      </c>
      <c r="D1217" s="1">
        <v>12575.3</v>
      </c>
      <c r="E1217" s="3">
        <v>1</v>
      </c>
      <c r="F1217" s="3">
        <v>1</v>
      </c>
      <c r="G1217" s="1">
        <v>12575.3</v>
      </c>
    </row>
    <row r="1218" spans="1:7" x14ac:dyDescent="0.25">
      <c r="A1218" s="111" t="str">
        <f t="shared" si="18"/>
        <v>Pipe Encasement</v>
      </c>
      <c r="B1218" t="s">
        <v>1733</v>
      </c>
      <c r="D1218" s="1">
        <v>9936.1</v>
      </c>
      <c r="F1218" s="2">
        <v>1</v>
      </c>
      <c r="G1218" s="1">
        <v>9936.1</v>
      </c>
    </row>
    <row r="1219" spans="1:7" x14ac:dyDescent="0.25">
      <c r="A1219" s="111" t="str">
        <f t="shared" si="18"/>
        <v>JDH4-02-007-CN-3740</v>
      </c>
      <c r="B1219" t="s">
        <v>1884</v>
      </c>
      <c r="C1219" t="s">
        <v>1872</v>
      </c>
      <c r="D1219" s="1">
        <v>9936.1</v>
      </c>
      <c r="E1219" s="3">
        <v>1</v>
      </c>
      <c r="F1219" s="2">
        <v>1</v>
      </c>
      <c r="G1219" s="1">
        <v>9936.1</v>
      </c>
    </row>
    <row r="1220" spans="1:7" x14ac:dyDescent="0.25">
      <c r="A1220" s="111" t="str">
        <f t="shared" ref="A1220:A1283" si="19">TRIM(B1220)</f>
        <v>Valves</v>
      </c>
      <c r="B1220" t="s">
        <v>127</v>
      </c>
      <c r="D1220" s="1">
        <v>13140.65</v>
      </c>
      <c r="E1220" s="3"/>
      <c r="F1220" s="3">
        <v>1</v>
      </c>
      <c r="G1220" s="1">
        <v>13140.65</v>
      </c>
    </row>
    <row r="1221" spans="1:7" x14ac:dyDescent="0.25">
      <c r="A1221" s="111" t="str">
        <f t="shared" si="19"/>
        <v>JDH4-02-007-CN-3810</v>
      </c>
      <c r="B1221" t="s">
        <v>1885</v>
      </c>
      <c r="C1221" t="s">
        <v>1874</v>
      </c>
      <c r="D1221" s="1">
        <v>13140.65</v>
      </c>
      <c r="E1221" s="3">
        <v>1</v>
      </c>
      <c r="F1221" s="3">
        <v>1</v>
      </c>
      <c r="G1221" s="1">
        <v>13140.65</v>
      </c>
    </row>
    <row r="1222" spans="1:7" x14ac:dyDescent="0.25">
      <c r="A1222" s="111" t="str">
        <f t="shared" si="19"/>
        <v>Fire Hydrant</v>
      </c>
      <c r="B1222" t="s">
        <v>124</v>
      </c>
      <c r="D1222" s="1">
        <v>50460.11</v>
      </c>
      <c r="E1222" s="3"/>
      <c r="F1222" s="3">
        <v>1</v>
      </c>
      <c r="G1222" s="1">
        <v>50460.11</v>
      </c>
    </row>
    <row r="1223" spans="1:7" x14ac:dyDescent="0.25">
      <c r="A1223" s="111" t="str">
        <f t="shared" si="19"/>
        <v>JDH4-02-007-CN-3900</v>
      </c>
      <c r="B1223" t="s">
        <v>1886</v>
      </c>
      <c r="C1223" t="s">
        <v>1887</v>
      </c>
      <c r="D1223" s="1">
        <v>50460.11</v>
      </c>
      <c r="E1223" s="3">
        <v>1</v>
      </c>
      <c r="F1223" s="3">
        <v>1</v>
      </c>
      <c r="G1223" s="1">
        <v>50460.11</v>
      </c>
    </row>
    <row r="1224" spans="1:7" x14ac:dyDescent="0.25">
      <c r="A1224" s="111" t="str">
        <f t="shared" si="19"/>
        <v>Electrical Works</v>
      </c>
      <c r="B1224" t="s">
        <v>1785</v>
      </c>
      <c r="D1224" s="1">
        <v>645200.42000000004</v>
      </c>
      <c r="E1224" s="3"/>
      <c r="F1224" s="3">
        <v>1</v>
      </c>
      <c r="G1224" s="1">
        <v>645200.42000000004</v>
      </c>
    </row>
    <row r="1225" spans="1:7" x14ac:dyDescent="0.25">
      <c r="A1225" s="111" t="str">
        <f t="shared" si="19"/>
        <v>LV Cables</v>
      </c>
      <c r="B1225" t="s">
        <v>4076</v>
      </c>
      <c r="D1225" s="1">
        <v>195304.1</v>
      </c>
      <c r="E1225" s="3"/>
      <c r="F1225" s="3">
        <v>1</v>
      </c>
      <c r="G1225" s="1">
        <v>195304.1</v>
      </c>
    </row>
    <row r="1226" spans="1:7" x14ac:dyDescent="0.25">
      <c r="A1226" s="111" t="str">
        <f t="shared" si="19"/>
        <v>Low Voltage Cable</v>
      </c>
      <c r="B1226" t="s">
        <v>222</v>
      </c>
      <c r="D1226" s="1">
        <v>195304.1</v>
      </c>
      <c r="E1226" s="3"/>
      <c r="F1226" s="3">
        <v>1</v>
      </c>
      <c r="G1226" s="1">
        <v>195304.1</v>
      </c>
    </row>
    <row r="1227" spans="1:7" x14ac:dyDescent="0.25">
      <c r="A1227" s="111" t="str">
        <f t="shared" si="19"/>
        <v>JDH4-02-007-CN-2740</v>
      </c>
      <c r="B1227" t="s">
        <v>1904</v>
      </c>
      <c r="C1227" t="s">
        <v>1905</v>
      </c>
      <c r="D1227" s="1">
        <v>63075.14</v>
      </c>
      <c r="E1227" s="3">
        <v>1</v>
      </c>
      <c r="F1227" s="3">
        <v>1</v>
      </c>
      <c r="G1227" s="1">
        <v>63075.14</v>
      </c>
    </row>
    <row r="1228" spans="1:7" x14ac:dyDescent="0.25">
      <c r="A1228" s="111" t="str">
        <f t="shared" si="19"/>
        <v>JDH4-02-007-CN-2595</v>
      </c>
      <c r="B1228" t="s">
        <v>1896</v>
      </c>
      <c r="C1228" t="s">
        <v>1897</v>
      </c>
      <c r="D1228" s="1">
        <v>10823.69</v>
      </c>
      <c r="E1228" s="3">
        <v>1</v>
      </c>
      <c r="F1228" s="3">
        <v>1</v>
      </c>
      <c r="G1228" s="1">
        <v>10823.69</v>
      </c>
    </row>
    <row r="1229" spans="1:7" x14ac:dyDescent="0.25">
      <c r="A1229" s="111" t="str">
        <f t="shared" si="19"/>
        <v>JDH4-02-007-CN-2600</v>
      </c>
      <c r="B1229" t="s">
        <v>1898</v>
      </c>
      <c r="C1229" t="s">
        <v>1899</v>
      </c>
      <c r="D1229" s="1">
        <v>29946.31</v>
      </c>
      <c r="E1229" s="3">
        <v>1</v>
      </c>
      <c r="F1229" s="3">
        <v>1</v>
      </c>
      <c r="G1229" s="1">
        <v>29946.31</v>
      </c>
    </row>
    <row r="1230" spans="1:7" x14ac:dyDescent="0.25">
      <c r="A1230" s="111" t="str">
        <f t="shared" si="19"/>
        <v>JDH4-02-007-CN-2730</v>
      </c>
      <c r="B1230" t="s">
        <v>1902</v>
      </c>
      <c r="C1230" t="s">
        <v>1903</v>
      </c>
      <c r="D1230" s="1">
        <v>75690.17</v>
      </c>
      <c r="E1230" s="3">
        <v>1</v>
      </c>
      <c r="F1230" s="3">
        <v>1</v>
      </c>
      <c r="G1230" s="1">
        <v>75690.17</v>
      </c>
    </row>
    <row r="1231" spans="1:7" x14ac:dyDescent="0.25">
      <c r="A1231" s="111" t="str">
        <f t="shared" si="19"/>
        <v>JDH4-02-007-CN-2710</v>
      </c>
      <c r="B1231" t="s">
        <v>1900</v>
      </c>
      <c r="C1231" t="s">
        <v>1901</v>
      </c>
      <c r="D1231" s="1">
        <v>15768.79</v>
      </c>
      <c r="E1231" s="3">
        <v>1</v>
      </c>
      <c r="F1231" s="3">
        <v>1</v>
      </c>
      <c r="G1231" s="1">
        <v>15768.79</v>
      </c>
    </row>
    <row r="1232" spans="1:7" x14ac:dyDescent="0.25">
      <c r="A1232" s="111" t="str">
        <f t="shared" si="19"/>
        <v>Street Lighting</v>
      </c>
      <c r="B1232" t="s">
        <v>1786</v>
      </c>
      <c r="D1232" s="1">
        <v>175355.47</v>
      </c>
      <c r="E1232" s="3"/>
      <c r="F1232" s="3">
        <v>1</v>
      </c>
      <c r="G1232" s="1">
        <v>175355.47</v>
      </c>
    </row>
    <row r="1233" spans="1:7" x14ac:dyDescent="0.25">
      <c r="A1233" s="111" t="str">
        <f t="shared" si="19"/>
        <v>JDH4-02-007-CN-2760</v>
      </c>
      <c r="B1233" t="s">
        <v>1907</v>
      </c>
      <c r="C1233" t="s">
        <v>1908</v>
      </c>
      <c r="D1233" s="1">
        <v>17695.84</v>
      </c>
      <c r="E1233" s="3">
        <v>1</v>
      </c>
      <c r="F1233" s="3">
        <v>1</v>
      </c>
      <c r="G1233" s="1">
        <v>17695.84</v>
      </c>
    </row>
    <row r="1234" spans="1:7" x14ac:dyDescent="0.25">
      <c r="A1234" s="111" t="str">
        <f t="shared" si="19"/>
        <v>JDH4-02-007-CN-2890</v>
      </c>
      <c r="B1234" t="s">
        <v>1910</v>
      </c>
      <c r="C1234" t="s">
        <v>1911</v>
      </c>
      <c r="D1234" s="1">
        <v>79467.350000000006</v>
      </c>
      <c r="E1234" s="3">
        <v>1</v>
      </c>
      <c r="F1234" s="3">
        <v>1</v>
      </c>
      <c r="G1234" s="1">
        <v>79467.350000000006</v>
      </c>
    </row>
    <row r="1235" spans="1:7" x14ac:dyDescent="0.25">
      <c r="A1235" s="111" t="str">
        <f t="shared" si="19"/>
        <v>JDH4-02-007-CN-2750</v>
      </c>
      <c r="B1235" t="s">
        <v>1906</v>
      </c>
      <c r="C1235" t="s">
        <v>1897</v>
      </c>
      <c r="D1235" s="1">
        <v>8325.92</v>
      </c>
      <c r="E1235" s="3">
        <v>1</v>
      </c>
      <c r="F1235" s="3">
        <v>1</v>
      </c>
      <c r="G1235" s="1">
        <v>8325.92</v>
      </c>
    </row>
    <row r="1236" spans="1:7" x14ac:dyDescent="0.25">
      <c r="A1236" s="111" t="str">
        <f t="shared" si="19"/>
        <v>JDH4-02-007-CN-2930</v>
      </c>
      <c r="B1236" t="s">
        <v>1912</v>
      </c>
      <c r="C1236" t="s">
        <v>1913</v>
      </c>
      <c r="D1236" s="1">
        <v>19910.849999999999</v>
      </c>
      <c r="E1236" s="3">
        <v>1</v>
      </c>
      <c r="F1236" s="3">
        <v>1</v>
      </c>
      <c r="G1236" s="1">
        <v>19910.849999999999</v>
      </c>
    </row>
    <row r="1237" spans="1:7" x14ac:dyDescent="0.25">
      <c r="A1237" s="111" t="str">
        <f t="shared" si="19"/>
        <v>JDH4-02-007-CN-2840</v>
      </c>
      <c r="B1237" t="s">
        <v>1909</v>
      </c>
      <c r="C1237" t="s">
        <v>1899</v>
      </c>
      <c r="D1237" s="1">
        <v>42386.49</v>
      </c>
      <c r="E1237" s="3">
        <v>1</v>
      </c>
      <c r="F1237" s="3">
        <v>1</v>
      </c>
      <c r="G1237" s="1">
        <v>42386.49</v>
      </c>
    </row>
    <row r="1238" spans="1:7" x14ac:dyDescent="0.25">
      <c r="A1238" s="111" t="str">
        <f t="shared" si="19"/>
        <v>JDH4-02-007-CN-2970</v>
      </c>
      <c r="B1238" t="s">
        <v>1914</v>
      </c>
      <c r="C1238" t="s">
        <v>1915</v>
      </c>
      <c r="D1238" s="1">
        <v>7569.02</v>
      </c>
      <c r="E1238" s="3">
        <v>1</v>
      </c>
      <c r="F1238" s="3">
        <v>1</v>
      </c>
      <c r="G1238" s="1">
        <v>7569.02</v>
      </c>
    </row>
    <row r="1239" spans="1:7" x14ac:dyDescent="0.25">
      <c r="A1239" s="111" t="str">
        <f t="shared" si="19"/>
        <v>Telecommunication</v>
      </c>
      <c r="B1239" t="s">
        <v>1799</v>
      </c>
      <c r="D1239" s="1">
        <v>274540.84999999998</v>
      </c>
      <c r="E1239" s="3"/>
      <c r="F1239" s="3">
        <v>1</v>
      </c>
      <c r="G1239" s="1">
        <v>274540.84999999998</v>
      </c>
    </row>
    <row r="1240" spans="1:7" x14ac:dyDescent="0.25">
      <c r="A1240" s="111" t="str">
        <f t="shared" si="19"/>
        <v>JDH4-02-007-CN-3070</v>
      </c>
      <c r="B1240" t="s">
        <v>1916</v>
      </c>
      <c r="C1240" t="s">
        <v>1917</v>
      </c>
      <c r="D1240" s="1">
        <v>126781.03</v>
      </c>
      <c r="E1240" s="3">
        <v>1</v>
      </c>
      <c r="F1240" s="3">
        <v>1</v>
      </c>
      <c r="G1240" s="1">
        <v>126781.03</v>
      </c>
    </row>
    <row r="1241" spans="1:7" x14ac:dyDescent="0.25">
      <c r="A1241" s="111" t="str">
        <f t="shared" si="19"/>
        <v>JDH4-02-007-CN-3140</v>
      </c>
      <c r="B1241" t="s">
        <v>1918</v>
      </c>
      <c r="C1241" t="s">
        <v>1919</v>
      </c>
      <c r="D1241" s="1">
        <v>3973.73</v>
      </c>
      <c r="E1241" s="3">
        <v>1</v>
      </c>
      <c r="F1241" s="3">
        <v>1</v>
      </c>
      <c r="G1241" s="1">
        <v>3973.73</v>
      </c>
    </row>
    <row r="1242" spans="1:7" x14ac:dyDescent="0.25">
      <c r="A1242" s="111" t="str">
        <f t="shared" si="19"/>
        <v>JDH4-02-007-CN-3250</v>
      </c>
      <c r="B1242" t="s">
        <v>1922</v>
      </c>
      <c r="C1242" t="s">
        <v>1859</v>
      </c>
      <c r="D1242" s="1">
        <v>45414.1</v>
      </c>
      <c r="E1242" s="3">
        <v>1</v>
      </c>
      <c r="F1242" s="3">
        <v>1</v>
      </c>
      <c r="G1242" s="1">
        <v>45414.1</v>
      </c>
    </row>
    <row r="1243" spans="1:7" x14ac:dyDescent="0.25">
      <c r="A1243" s="111" t="str">
        <f t="shared" si="19"/>
        <v>JDH4-02-007-CN-3200</v>
      </c>
      <c r="B1243" t="s">
        <v>1920</v>
      </c>
      <c r="C1243" t="s">
        <v>1921</v>
      </c>
      <c r="D1243" s="1">
        <v>98371.99</v>
      </c>
      <c r="E1243" s="3">
        <v>1</v>
      </c>
      <c r="F1243" s="3">
        <v>1</v>
      </c>
      <c r="G1243" s="1">
        <v>98371.99</v>
      </c>
    </row>
    <row r="1244" spans="1:7" x14ac:dyDescent="0.25">
      <c r="A1244" s="111" t="str">
        <f t="shared" si="19"/>
        <v>Road 07-N</v>
      </c>
      <c r="B1244" t="s">
        <v>2117</v>
      </c>
      <c r="D1244" s="1">
        <v>5511432.4299999997</v>
      </c>
      <c r="E1244" s="3"/>
      <c r="F1244" s="3">
        <v>1</v>
      </c>
      <c r="G1244" s="1">
        <v>5511432.4299999997</v>
      </c>
    </row>
    <row r="1245" spans="1:7" x14ac:dyDescent="0.25">
      <c r="A1245" s="111" t="str">
        <f t="shared" si="19"/>
        <v>Road Works</v>
      </c>
      <c r="B1245" t="s">
        <v>2118</v>
      </c>
      <c r="D1245" s="1">
        <v>3118311.38</v>
      </c>
      <c r="F1245" s="3">
        <v>1</v>
      </c>
      <c r="G1245" s="1">
        <v>3118311.38</v>
      </c>
    </row>
    <row r="1246" spans="1:7" x14ac:dyDescent="0.25">
      <c r="A1246" s="111" t="str">
        <f t="shared" si="19"/>
        <v>Eartworks &amp; Site grading</v>
      </c>
      <c r="B1246" t="s">
        <v>1686</v>
      </c>
      <c r="D1246" s="1">
        <v>1345959.82</v>
      </c>
      <c r="E1246" s="3"/>
      <c r="F1246" s="3">
        <v>1</v>
      </c>
      <c r="G1246" s="1">
        <v>1345959.82</v>
      </c>
    </row>
    <row r="1247" spans="1:7" x14ac:dyDescent="0.25">
      <c r="A1247" s="111" t="str">
        <f t="shared" si="19"/>
        <v>JDH4-02-007-CN-1730</v>
      </c>
      <c r="B1247" t="s">
        <v>2121</v>
      </c>
      <c r="C1247" t="s">
        <v>4077</v>
      </c>
      <c r="D1247" s="1">
        <v>13629.33</v>
      </c>
      <c r="E1247" s="3">
        <v>1</v>
      </c>
      <c r="F1247" s="3">
        <v>1</v>
      </c>
      <c r="G1247" s="1">
        <v>13629.33</v>
      </c>
    </row>
    <row r="1248" spans="1:7" x14ac:dyDescent="0.25">
      <c r="A1248" s="111" t="str">
        <f t="shared" si="19"/>
        <v>JDH4-02-007-CN-1790</v>
      </c>
      <c r="B1248" t="s">
        <v>2119</v>
      </c>
      <c r="C1248" t="s">
        <v>4078</v>
      </c>
      <c r="D1248" s="1">
        <v>418403.53</v>
      </c>
      <c r="E1248" s="3">
        <v>1</v>
      </c>
      <c r="F1248" s="3">
        <v>1</v>
      </c>
      <c r="G1248" s="1">
        <v>418403.53</v>
      </c>
    </row>
    <row r="1249" spans="1:7" x14ac:dyDescent="0.25">
      <c r="A1249" s="111" t="str">
        <f t="shared" si="19"/>
        <v>JDH4-02-007-CN-1790R</v>
      </c>
      <c r="B1249" t="s">
        <v>4080</v>
      </c>
      <c r="C1249" t="s">
        <v>2120</v>
      </c>
      <c r="D1249" s="1">
        <v>777035.12</v>
      </c>
      <c r="E1249" s="3">
        <v>1</v>
      </c>
      <c r="F1249" s="3">
        <v>1</v>
      </c>
      <c r="G1249" s="1">
        <v>777035.12</v>
      </c>
    </row>
    <row r="1250" spans="1:7" x14ac:dyDescent="0.25">
      <c r="A1250" s="111" t="str">
        <f t="shared" si="19"/>
        <v>JDH4-02-007-CN-1730R</v>
      </c>
      <c r="B1250" t="s">
        <v>4079</v>
      </c>
      <c r="C1250" t="s">
        <v>2122</v>
      </c>
      <c r="D1250" s="1">
        <v>16658.080000000002</v>
      </c>
      <c r="E1250" s="3">
        <v>1</v>
      </c>
      <c r="F1250" s="3">
        <v>1</v>
      </c>
      <c r="G1250" s="1">
        <v>16658.080000000002</v>
      </c>
    </row>
    <row r="1251" spans="1:7" x14ac:dyDescent="0.25">
      <c r="A1251" s="111" t="str">
        <f t="shared" si="19"/>
        <v>JDH4-02-007-CN-1910</v>
      </c>
      <c r="B1251" t="s">
        <v>2123</v>
      </c>
      <c r="C1251" t="s">
        <v>2124</v>
      </c>
      <c r="D1251" s="1">
        <v>120233.76</v>
      </c>
      <c r="E1251" s="3">
        <v>1</v>
      </c>
      <c r="F1251" s="2">
        <v>1</v>
      </c>
      <c r="G1251" s="1">
        <v>120233.76</v>
      </c>
    </row>
    <row r="1252" spans="1:7" x14ac:dyDescent="0.25">
      <c r="A1252" s="111" t="str">
        <f t="shared" si="19"/>
        <v>Asphalt Works</v>
      </c>
      <c r="B1252" t="s">
        <v>1693</v>
      </c>
      <c r="D1252" s="1">
        <v>805652.45</v>
      </c>
      <c r="E1252" s="3"/>
      <c r="F1252" s="2">
        <v>1</v>
      </c>
      <c r="G1252" s="1">
        <v>805652.45</v>
      </c>
    </row>
    <row r="1253" spans="1:7" x14ac:dyDescent="0.25">
      <c r="A1253" s="111" t="str">
        <f t="shared" si="19"/>
        <v>JDH4-02-007-CN-1970</v>
      </c>
      <c r="B1253" t="s">
        <v>2125</v>
      </c>
      <c r="C1253" t="s">
        <v>2126</v>
      </c>
      <c r="D1253" s="1">
        <v>122460.38</v>
      </c>
      <c r="E1253" s="3">
        <v>1</v>
      </c>
      <c r="F1253" s="3">
        <v>1</v>
      </c>
      <c r="G1253" s="1">
        <v>122460.38</v>
      </c>
    </row>
    <row r="1254" spans="1:7" x14ac:dyDescent="0.25">
      <c r="A1254" s="111" t="str">
        <f t="shared" si="19"/>
        <v>JDH4-02-007-CN-2020</v>
      </c>
      <c r="B1254" t="s">
        <v>2127</v>
      </c>
      <c r="C1254" t="s">
        <v>2128</v>
      </c>
      <c r="D1254" s="1">
        <v>68436.53</v>
      </c>
      <c r="E1254" s="3">
        <v>1</v>
      </c>
      <c r="F1254" s="3">
        <v>1</v>
      </c>
      <c r="G1254" s="1">
        <v>68436.53</v>
      </c>
    </row>
    <row r="1255" spans="1:7" x14ac:dyDescent="0.25">
      <c r="A1255" s="111" t="str">
        <f t="shared" si="19"/>
        <v>JDH4-02-007-CN-2070</v>
      </c>
      <c r="B1255" t="s">
        <v>2129</v>
      </c>
      <c r="C1255" t="s">
        <v>2130</v>
      </c>
      <c r="D1255" s="1">
        <v>614755.54</v>
      </c>
      <c r="E1255" s="3">
        <v>1</v>
      </c>
      <c r="F1255" s="3">
        <v>1</v>
      </c>
      <c r="G1255" s="1">
        <v>614755.54</v>
      </c>
    </row>
    <row r="1256" spans="1:7" x14ac:dyDescent="0.25">
      <c r="A1256" s="111" t="str">
        <f t="shared" si="19"/>
        <v>Finishing Works</v>
      </c>
      <c r="B1256" t="s">
        <v>1700</v>
      </c>
      <c r="D1256" s="1">
        <v>966699.11</v>
      </c>
      <c r="E1256" s="3"/>
      <c r="F1256" s="3">
        <v>1</v>
      </c>
      <c r="G1256" s="1">
        <v>966699.11</v>
      </c>
    </row>
    <row r="1257" spans="1:7" x14ac:dyDescent="0.25">
      <c r="A1257" s="111" t="str">
        <f t="shared" si="19"/>
        <v>Asphalt Wearing Course</v>
      </c>
      <c r="B1257" t="s">
        <v>1701</v>
      </c>
      <c r="D1257" s="1">
        <v>362429.75</v>
      </c>
      <c r="E1257" s="3"/>
      <c r="F1257" s="3">
        <v>1</v>
      </c>
      <c r="G1257" s="1">
        <v>362429.75</v>
      </c>
    </row>
    <row r="1258" spans="1:7" x14ac:dyDescent="0.25">
      <c r="A1258" s="111" t="str">
        <f t="shared" si="19"/>
        <v>JDH4-02-007-CN-2120</v>
      </c>
      <c r="B1258" t="s">
        <v>2131</v>
      </c>
      <c r="C1258" t="s">
        <v>2132</v>
      </c>
      <c r="D1258" s="1">
        <v>36078.980000000003</v>
      </c>
      <c r="E1258" s="3">
        <v>1</v>
      </c>
      <c r="F1258" s="3">
        <v>1</v>
      </c>
      <c r="G1258" s="1">
        <v>36078.980000000003</v>
      </c>
    </row>
    <row r="1259" spans="1:7" x14ac:dyDescent="0.25">
      <c r="A1259" s="111" t="str">
        <f t="shared" si="19"/>
        <v>JDH4-02-007-CN-2170</v>
      </c>
      <c r="B1259" t="s">
        <v>2133</v>
      </c>
      <c r="C1259" t="s">
        <v>2134</v>
      </c>
      <c r="D1259" s="1">
        <v>326350.77</v>
      </c>
      <c r="E1259" s="3">
        <v>1</v>
      </c>
      <c r="F1259" s="3">
        <v>1</v>
      </c>
      <c r="G1259" s="1">
        <v>326350.77</v>
      </c>
    </row>
    <row r="1260" spans="1:7" x14ac:dyDescent="0.25">
      <c r="A1260" s="111" t="str">
        <f t="shared" si="19"/>
        <v>Precast Concrete Curb</v>
      </c>
      <c r="B1260" t="s">
        <v>1706</v>
      </c>
      <c r="D1260" s="1">
        <v>225534.37</v>
      </c>
      <c r="E1260" s="3"/>
      <c r="F1260" s="3">
        <v>1</v>
      </c>
      <c r="G1260" s="1">
        <v>225534.37</v>
      </c>
    </row>
    <row r="1261" spans="1:7" x14ac:dyDescent="0.25">
      <c r="A1261" s="111" t="str">
        <f t="shared" si="19"/>
        <v>JDH4-02-007-CN-2220</v>
      </c>
      <c r="B1261" t="s">
        <v>2135</v>
      </c>
      <c r="C1261" t="s">
        <v>2136</v>
      </c>
      <c r="D1261" s="1">
        <v>225534.37</v>
      </c>
      <c r="E1261" s="3">
        <v>1</v>
      </c>
      <c r="F1261" s="3">
        <v>1</v>
      </c>
      <c r="G1261" s="1">
        <v>225534.37</v>
      </c>
    </row>
    <row r="1262" spans="1:7" x14ac:dyDescent="0.25">
      <c r="A1262" s="111" t="str">
        <f t="shared" si="19"/>
        <v>Precast Interlocking block pavers</v>
      </c>
      <c r="B1262" t="s">
        <v>1709</v>
      </c>
      <c r="D1262" s="1">
        <v>214487.01</v>
      </c>
      <c r="E1262" s="3"/>
      <c r="F1262" s="3">
        <v>1</v>
      </c>
      <c r="G1262" s="1">
        <v>214487.01</v>
      </c>
    </row>
    <row r="1263" spans="1:7" x14ac:dyDescent="0.25">
      <c r="A1263" s="111" t="str">
        <f t="shared" si="19"/>
        <v>JDH4-02-007-CN-2270</v>
      </c>
      <c r="B1263" t="s">
        <v>2137</v>
      </c>
      <c r="C1263" t="s">
        <v>2138</v>
      </c>
      <c r="D1263" s="1">
        <v>214487.01</v>
      </c>
      <c r="E1263" s="3">
        <v>1</v>
      </c>
      <c r="F1263" s="3">
        <v>1</v>
      </c>
      <c r="G1263" s="1">
        <v>214487.01</v>
      </c>
    </row>
    <row r="1264" spans="1:7" x14ac:dyDescent="0.25">
      <c r="A1264" s="111" t="str">
        <f t="shared" si="19"/>
        <v>Pavement Markings</v>
      </c>
      <c r="B1264" t="s">
        <v>1712</v>
      </c>
      <c r="D1264" s="1">
        <v>60663.71</v>
      </c>
      <c r="E1264" s="3"/>
      <c r="F1264" s="3">
        <v>1</v>
      </c>
      <c r="G1264" s="1">
        <v>60663.71</v>
      </c>
    </row>
    <row r="1265" spans="1:7" x14ac:dyDescent="0.25">
      <c r="A1265" s="111" t="str">
        <f t="shared" si="19"/>
        <v>JDH4-02-007-CN-2320</v>
      </c>
      <c r="B1265" t="s">
        <v>2139</v>
      </c>
      <c r="C1265" t="s">
        <v>2140</v>
      </c>
      <c r="D1265" s="1">
        <v>60663.71</v>
      </c>
      <c r="E1265" s="3">
        <v>1</v>
      </c>
      <c r="F1265" s="3">
        <v>1</v>
      </c>
      <c r="G1265" s="1">
        <v>60663.71</v>
      </c>
    </row>
    <row r="1266" spans="1:7" x14ac:dyDescent="0.25">
      <c r="A1266" s="111" t="str">
        <f t="shared" si="19"/>
        <v>Traffic Signage</v>
      </c>
      <c r="B1266" t="s">
        <v>1715</v>
      </c>
      <c r="D1266" s="1">
        <v>103584.27</v>
      </c>
      <c r="F1266" s="3">
        <v>1</v>
      </c>
      <c r="G1266" s="1">
        <v>103584.27</v>
      </c>
    </row>
    <row r="1267" spans="1:7" x14ac:dyDescent="0.25">
      <c r="A1267" s="111" t="str">
        <f t="shared" si="19"/>
        <v>JDH4-02-007-CN-2370</v>
      </c>
      <c r="B1267" t="s">
        <v>2141</v>
      </c>
      <c r="C1267" t="s">
        <v>2142</v>
      </c>
      <c r="D1267" s="1">
        <v>103584.27</v>
      </c>
      <c r="E1267" s="3">
        <v>1</v>
      </c>
      <c r="F1267" s="3">
        <v>1</v>
      </c>
      <c r="G1267" s="1">
        <v>103584.27</v>
      </c>
    </row>
    <row r="1268" spans="1:7" x14ac:dyDescent="0.25">
      <c r="A1268" s="111" t="str">
        <f t="shared" si="19"/>
        <v>Storm Water Drainage</v>
      </c>
      <c r="B1268" t="s">
        <v>1721</v>
      </c>
      <c r="D1268" s="1">
        <v>936796.6</v>
      </c>
      <c r="E1268" s="3"/>
      <c r="F1268" s="3">
        <v>1</v>
      </c>
      <c r="G1268" s="1">
        <v>936796.6</v>
      </c>
    </row>
    <row r="1269" spans="1:7" x14ac:dyDescent="0.25">
      <c r="A1269" s="111" t="str">
        <f t="shared" si="19"/>
        <v>Pipe Works</v>
      </c>
      <c r="B1269" t="s">
        <v>1722</v>
      </c>
      <c r="D1269" s="1">
        <v>649331.81000000006</v>
      </c>
      <c r="E1269" s="3"/>
      <c r="F1269" s="3">
        <v>1</v>
      </c>
      <c r="G1269" s="1">
        <v>649331.81000000006</v>
      </c>
    </row>
    <row r="1270" spans="1:7" x14ac:dyDescent="0.25">
      <c r="A1270" s="111" t="str">
        <f t="shared" si="19"/>
        <v>JDH4-02-007-CN-5350</v>
      </c>
      <c r="B1270" t="s">
        <v>2143</v>
      </c>
      <c r="C1270" t="s">
        <v>2144</v>
      </c>
      <c r="D1270" s="1">
        <v>64933.15</v>
      </c>
      <c r="E1270" s="3">
        <v>1</v>
      </c>
      <c r="F1270" s="3">
        <v>1</v>
      </c>
      <c r="G1270" s="1">
        <v>64933.15</v>
      </c>
    </row>
    <row r="1271" spans="1:7" x14ac:dyDescent="0.25">
      <c r="A1271" s="111" t="str">
        <f t="shared" si="19"/>
        <v>JDH4-02-007-CN-5400</v>
      </c>
      <c r="B1271" t="s">
        <v>2145</v>
      </c>
      <c r="C1271" t="s">
        <v>2146</v>
      </c>
      <c r="D1271" s="1">
        <v>32466.61</v>
      </c>
      <c r="E1271" s="3">
        <v>1</v>
      </c>
      <c r="F1271" s="3">
        <v>1</v>
      </c>
      <c r="G1271" s="1">
        <v>32466.61</v>
      </c>
    </row>
    <row r="1272" spans="1:7" x14ac:dyDescent="0.25">
      <c r="A1272" s="111" t="str">
        <f t="shared" si="19"/>
        <v>JDH4-02-007-CN-5450</v>
      </c>
      <c r="B1272" t="s">
        <v>2147</v>
      </c>
      <c r="C1272" t="s">
        <v>2148</v>
      </c>
      <c r="D1272" s="1">
        <v>454532.29</v>
      </c>
      <c r="E1272" s="3">
        <v>1</v>
      </c>
      <c r="F1272" s="3">
        <v>1</v>
      </c>
      <c r="G1272" s="1">
        <v>454532.29</v>
      </c>
    </row>
    <row r="1273" spans="1:7" x14ac:dyDescent="0.25">
      <c r="A1273" s="111" t="str">
        <f t="shared" si="19"/>
        <v>JDH4-02-007-CN-5500</v>
      </c>
      <c r="B1273" t="s">
        <v>2149</v>
      </c>
      <c r="C1273" t="s">
        <v>2150</v>
      </c>
      <c r="D1273" s="1">
        <v>32466.61</v>
      </c>
      <c r="E1273" s="3">
        <v>1</v>
      </c>
      <c r="F1273" s="3">
        <v>1</v>
      </c>
      <c r="G1273" s="1">
        <v>32466.61</v>
      </c>
    </row>
    <row r="1274" spans="1:7" x14ac:dyDescent="0.25">
      <c r="A1274" s="111" t="str">
        <f t="shared" si="19"/>
        <v>JDH4-02-007-CN-5550</v>
      </c>
      <c r="B1274" t="s">
        <v>2151</v>
      </c>
      <c r="C1274" t="s">
        <v>2152</v>
      </c>
      <c r="D1274" s="1">
        <v>64933.15</v>
      </c>
      <c r="E1274" s="3">
        <v>1</v>
      </c>
      <c r="F1274" s="3">
        <v>1</v>
      </c>
      <c r="G1274" s="1">
        <v>64933.15</v>
      </c>
    </row>
    <row r="1275" spans="1:7" x14ac:dyDescent="0.25">
      <c r="A1275" s="111" t="str">
        <f t="shared" si="19"/>
        <v>Pipe Encasement</v>
      </c>
      <c r="B1275" t="s">
        <v>1733</v>
      </c>
      <c r="D1275" s="1">
        <v>24850.59</v>
      </c>
      <c r="E1275" s="3"/>
      <c r="F1275" s="3">
        <v>1</v>
      </c>
      <c r="G1275" s="1">
        <v>24850.59</v>
      </c>
    </row>
    <row r="1276" spans="1:7" x14ac:dyDescent="0.25">
      <c r="A1276" s="111" t="str">
        <f t="shared" si="19"/>
        <v>JDH4-02-007-CN-5820</v>
      </c>
      <c r="B1276" t="s">
        <v>2153</v>
      </c>
      <c r="C1276" t="s">
        <v>2154</v>
      </c>
      <c r="D1276" s="1">
        <v>24850.59</v>
      </c>
      <c r="E1276" s="3">
        <v>1</v>
      </c>
      <c r="F1276" s="3">
        <v>1</v>
      </c>
      <c r="G1276" s="1">
        <v>24850.59</v>
      </c>
    </row>
    <row r="1277" spans="1:7" x14ac:dyDescent="0.25">
      <c r="A1277" s="111" t="str">
        <f t="shared" si="19"/>
        <v>Manholes</v>
      </c>
      <c r="B1277" t="s">
        <v>486</v>
      </c>
      <c r="D1277" s="1">
        <v>130787.16</v>
      </c>
      <c r="E1277" s="3"/>
      <c r="F1277" s="3">
        <v>1</v>
      </c>
      <c r="G1277" s="1">
        <v>130787.16</v>
      </c>
    </row>
    <row r="1278" spans="1:7" x14ac:dyDescent="0.25">
      <c r="A1278" s="111" t="str">
        <f t="shared" si="19"/>
        <v>JDH4-02-007-CN-5650</v>
      </c>
      <c r="B1278" t="s">
        <v>2155</v>
      </c>
      <c r="C1278" t="s">
        <v>2156</v>
      </c>
      <c r="D1278" s="1">
        <v>130787.16</v>
      </c>
      <c r="E1278" s="3">
        <v>1</v>
      </c>
      <c r="F1278" s="3">
        <v>1</v>
      </c>
      <c r="G1278" s="1">
        <v>130787.16</v>
      </c>
    </row>
    <row r="1279" spans="1:7" x14ac:dyDescent="0.25">
      <c r="A1279" s="111" t="str">
        <f t="shared" si="19"/>
        <v>Precast Acces Openinig</v>
      </c>
      <c r="B1279" t="s">
        <v>1738</v>
      </c>
      <c r="D1279" s="1">
        <v>7569.02</v>
      </c>
      <c r="E1279" s="3"/>
      <c r="F1279" s="3">
        <v>1</v>
      </c>
      <c r="G1279" s="1">
        <v>7569.02</v>
      </c>
    </row>
    <row r="1280" spans="1:7" x14ac:dyDescent="0.25">
      <c r="A1280" s="111" t="str">
        <f t="shared" si="19"/>
        <v>JDH4-02-007-CN-5700</v>
      </c>
      <c r="B1280" t="s">
        <v>2157</v>
      </c>
      <c r="C1280" t="s">
        <v>2158</v>
      </c>
      <c r="D1280" s="1">
        <v>7569.02</v>
      </c>
      <c r="E1280" s="3">
        <v>1</v>
      </c>
      <c r="F1280" s="3">
        <v>1</v>
      </c>
      <c r="G1280" s="1">
        <v>7569.02</v>
      </c>
    </row>
    <row r="1281" spans="1:7" x14ac:dyDescent="0.25">
      <c r="A1281" s="111" t="str">
        <f t="shared" si="19"/>
        <v>Catch Basins</v>
      </c>
      <c r="B1281" t="s">
        <v>1741</v>
      </c>
      <c r="D1281" s="1">
        <v>73797.91</v>
      </c>
      <c r="E1281" s="3"/>
      <c r="F1281" s="3">
        <v>1</v>
      </c>
      <c r="G1281" s="1">
        <v>73797.91</v>
      </c>
    </row>
    <row r="1282" spans="1:7" x14ac:dyDescent="0.25">
      <c r="A1282" s="111" t="str">
        <f t="shared" si="19"/>
        <v>JDH4-02-007-CN-5740</v>
      </c>
      <c r="B1282" t="s">
        <v>2159</v>
      </c>
      <c r="C1282" t="s">
        <v>2160</v>
      </c>
      <c r="D1282" s="1">
        <v>73797.91</v>
      </c>
      <c r="E1282" s="3">
        <v>1</v>
      </c>
      <c r="F1282" s="3">
        <v>1</v>
      </c>
      <c r="G1282" s="1">
        <v>73797.91</v>
      </c>
    </row>
    <row r="1283" spans="1:7" x14ac:dyDescent="0.25">
      <c r="A1283" s="111" t="str">
        <f t="shared" si="19"/>
        <v>Concrete Outfalls</v>
      </c>
      <c r="B1283" t="s">
        <v>1744</v>
      </c>
      <c r="D1283" s="1">
        <v>50460.11</v>
      </c>
      <c r="E1283" s="3"/>
      <c r="F1283" s="3">
        <v>1</v>
      </c>
      <c r="G1283" s="1">
        <v>50460.11</v>
      </c>
    </row>
    <row r="1284" spans="1:7" x14ac:dyDescent="0.25">
      <c r="A1284" s="111" t="str">
        <f t="shared" ref="A1284:A1347" si="20">TRIM(B1284)</f>
        <v>JDH4-02-007-CN-5770</v>
      </c>
      <c r="B1284" t="s">
        <v>2161</v>
      </c>
      <c r="C1284" t="s">
        <v>2162</v>
      </c>
      <c r="D1284" s="1">
        <v>50460.11</v>
      </c>
      <c r="E1284" s="3">
        <v>1</v>
      </c>
      <c r="F1284" s="2">
        <v>1</v>
      </c>
      <c r="G1284" s="1">
        <v>50460.11</v>
      </c>
    </row>
    <row r="1285" spans="1:7" x14ac:dyDescent="0.25">
      <c r="A1285" s="111" t="str">
        <f t="shared" si="20"/>
        <v>Sewerage Network</v>
      </c>
      <c r="B1285" t="s">
        <v>221</v>
      </c>
      <c r="D1285" s="1">
        <v>489984.35</v>
      </c>
      <c r="E1285" s="3"/>
      <c r="F1285" s="2">
        <v>1</v>
      </c>
      <c r="G1285" s="1">
        <v>489984.35</v>
      </c>
    </row>
    <row r="1286" spans="1:7" x14ac:dyDescent="0.25">
      <c r="A1286" s="111" t="str">
        <f t="shared" si="20"/>
        <v>Pipe Works</v>
      </c>
      <c r="B1286" t="s">
        <v>1722</v>
      </c>
      <c r="D1286" s="1">
        <v>326102.92</v>
      </c>
      <c r="E1286" s="3"/>
      <c r="F1286" s="3">
        <v>1</v>
      </c>
      <c r="G1286" s="1">
        <v>326102.92</v>
      </c>
    </row>
    <row r="1287" spans="1:7" x14ac:dyDescent="0.25">
      <c r="A1287" s="111" t="str">
        <f t="shared" si="20"/>
        <v>JDH4-02-007-CN-4800</v>
      </c>
      <c r="B1287" t="s">
        <v>2163</v>
      </c>
      <c r="C1287" t="s">
        <v>2164</v>
      </c>
      <c r="D1287" s="1">
        <v>32610.3</v>
      </c>
      <c r="E1287" s="3">
        <v>1</v>
      </c>
      <c r="F1287" s="3">
        <v>1</v>
      </c>
      <c r="G1287" s="1">
        <v>32610.3</v>
      </c>
    </row>
    <row r="1288" spans="1:7" x14ac:dyDescent="0.25">
      <c r="A1288" s="111" t="str">
        <f t="shared" si="20"/>
        <v>JDH4-02-007-CN-4870</v>
      </c>
      <c r="B1288" t="s">
        <v>2165</v>
      </c>
      <c r="C1288" t="s">
        <v>2146</v>
      </c>
      <c r="D1288" s="1">
        <v>16305.13</v>
      </c>
      <c r="E1288" s="3">
        <v>1</v>
      </c>
      <c r="F1288" s="3">
        <v>1</v>
      </c>
      <c r="G1288" s="1">
        <v>16305.13</v>
      </c>
    </row>
    <row r="1289" spans="1:7" x14ac:dyDescent="0.25">
      <c r="A1289" s="111" t="str">
        <f t="shared" si="20"/>
        <v>JDH4-02-007-CN-4940</v>
      </c>
      <c r="B1289" t="s">
        <v>2166</v>
      </c>
      <c r="C1289" t="s">
        <v>2167</v>
      </c>
      <c r="D1289" s="1">
        <v>163051.46</v>
      </c>
      <c r="E1289" s="3">
        <v>1</v>
      </c>
      <c r="F1289" s="3">
        <v>1</v>
      </c>
      <c r="G1289" s="1">
        <v>163051.46</v>
      </c>
    </row>
    <row r="1290" spans="1:7" x14ac:dyDescent="0.25">
      <c r="A1290" s="111" t="str">
        <f t="shared" si="20"/>
        <v>JDH4-02-007-CN-5010</v>
      </c>
      <c r="B1290" t="s">
        <v>2168</v>
      </c>
      <c r="C1290" t="s">
        <v>2169</v>
      </c>
      <c r="D1290" s="1">
        <v>65220.6</v>
      </c>
      <c r="E1290" s="3">
        <v>1</v>
      </c>
      <c r="F1290" s="3">
        <v>1</v>
      </c>
      <c r="G1290" s="1">
        <v>65220.6</v>
      </c>
    </row>
    <row r="1291" spans="1:7" x14ac:dyDescent="0.25">
      <c r="A1291" s="111" t="str">
        <f t="shared" si="20"/>
        <v>JDH4-02-007-CN-5080</v>
      </c>
      <c r="B1291" t="s">
        <v>2170</v>
      </c>
      <c r="C1291" t="s">
        <v>2150</v>
      </c>
      <c r="D1291" s="1">
        <v>16305.13</v>
      </c>
      <c r="E1291" s="3">
        <v>1</v>
      </c>
      <c r="F1291" s="3">
        <v>1</v>
      </c>
      <c r="G1291" s="1">
        <v>16305.13</v>
      </c>
    </row>
    <row r="1292" spans="1:7" x14ac:dyDescent="0.25">
      <c r="A1292" s="111" t="str">
        <f t="shared" si="20"/>
        <v>JDH4-02-007-CN-5150</v>
      </c>
      <c r="B1292" t="s">
        <v>2171</v>
      </c>
      <c r="C1292" t="s">
        <v>2152</v>
      </c>
      <c r="D1292" s="1">
        <v>32610.3</v>
      </c>
      <c r="E1292" s="3">
        <v>1</v>
      </c>
      <c r="F1292" s="3">
        <v>1</v>
      </c>
      <c r="G1292" s="1">
        <v>32610.3</v>
      </c>
    </row>
    <row r="1293" spans="1:7" x14ac:dyDescent="0.25">
      <c r="A1293" s="111" t="str">
        <f t="shared" si="20"/>
        <v>Pipe Encasement</v>
      </c>
      <c r="B1293" t="s">
        <v>1733</v>
      </c>
      <c r="D1293" s="1">
        <v>1673.19</v>
      </c>
      <c r="E1293" s="3"/>
      <c r="F1293" s="3">
        <v>1</v>
      </c>
      <c r="G1293" s="1">
        <v>1673.19</v>
      </c>
    </row>
    <row r="1294" spans="1:7" x14ac:dyDescent="0.25">
      <c r="A1294" s="111" t="str">
        <f t="shared" si="20"/>
        <v>JDH4-02-007-CN-5290</v>
      </c>
      <c r="B1294" t="s">
        <v>2172</v>
      </c>
      <c r="C1294" t="s">
        <v>2154</v>
      </c>
      <c r="D1294" s="1">
        <v>1673.19</v>
      </c>
      <c r="E1294" s="3">
        <v>1</v>
      </c>
      <c r="F1294" s="3">
        <v>1</v>
      </c>
      <c r="G1294" s="1">
        <v>1673.19</v>
      </c>
    </row>
    <row r="1295" spans="1:7" x14ac:dyDescent="0.25">
      <c r="A1295" s="111" t="str">
        <f t="shared" si="20"/>
        <v>Manholes</v>
      </c>
      <c r="B1295" t="s">
        <v>486</v>
      </c>
      <c r="D1295" s="1">
        <v>162208.24</v>
      </c>
      <c r="E1295" s="3"/>
      <c r="F1295" s="3">
        <v>1</v>
      </c>
      <c r="G1295" s="1">
        <v>162208.24</v>
      </c>
    </row>
    <row r="1296" spans="1:7" x14ac:dyDescent="0.25">
      <c r="A1296" s="111" t="str">
        <f t="shared" si="20"/>
        <v>JDH4-02-007-CN-5220</v>
      </c>
      <c r="B1296" t="s">
        <v>2173</v>
      </c>
      <c r="C1296" t="s">
        <v>2174</v>
      </c>
      <c r="D1296" s="1">
        <v>162208.24</v>
      </c>
      <c r="E1296" s="3">
        <v>1</v>
      </c>
      <c r="F1296" s="3">
        <v>1</v>
      </c>
      <c r="G1296" s="1">
        <v>162208.24</v>
      </c>
    </row>
    <row r="1297" spans="1:7" x14ac:dyDescent="0.25">
      <c r="A1297" s="111" t="str">
        <f t="shared" si="20"/>
        <v>TSE Network</v>
      </c>
      <c r="B1297" t="s">
        <v>491</v>
      </c>
      <c r="D1297" s="1">
        <v>244612.82</v>
      </c>
      <c r="E1297" s="3"/>
      <c r="F1297" s="3">
        <v>1</v>
      </c>
      <c r="G1297" s="1">
        <v>244612.82</v>
      </c>
    </row>
    <row r="1298" spans="1:7" x14ac:dyDescent="0.25">
      <c r="A1298" s="111" t="str">
        <f t="shared" si="20"/>
        <v>Pipe Works</v>
      </c>
      <c r="B1298" t="s">
        <v>1722</v>
      </c>
      <c r="D1298" s="1">
        <v>214076.25</v>
      </c>
      <c r="E1298" s="3"/>
      <c r="F1298" s="3">
        <v>1</v>
      </c>
      <c r="G1298" s="1">
        <v>214076.25</v>
      </c>
    </row>
    <row r="1299" spans="1:7" x14ac:dyDescent="0.25">
      <c r="A1299" s="111" t="str">
        <f t="shared" si="20"/>
        <v>JDH4-02-007-CN-4020</v>
      </c>
      <c r="B1299" t="s">
        <v>2175</v>
      </c>
      <c r="C1299" t="s">
        <v>2144</v>
      </c>
      <c r="D1299" s="1">
        <v>20576.509999999998</v>
      </c>
      <c r="E1299" s="3">
        <v>1</v>
      </c>
      <c r="F1299" s="3">
        <v>1</v>
      </c>
      <c r="G1299" s="1">
        <v>20576.509999999998</v>
      </c>
    </row>
    <row r="1300" spans="1:7" x14ac:dyDescent="0.25">
      <c r="A1300" s="111" t="str">
        <f t="shared" si="20"/>
        <v>JDH4-02-007-CN-4090</v>
      </c>
      <c r="B1300" t="s">
        <v>2176</v>
      </c>
      <c r="C1300" t="s">
        <v>2146</v>
      </c>
      <c r="D1300" s="1">
        <v>10288.280000000001</v>
      </c>
      <c r="E1300" s="3">
        <v>1</v>
      </c>
      <c r="F1300" s="3">
        <v>1</v>
      </c>
      <c r="G1300" s="1">
        <v>10288.280000000001</v>
      </c>
    </row>
    <row r="1301" spans="1:7" x14ac:dyDescent="0.25">
      <c r="A1301" s="111" t="str">
        <f t="shared" si="20"/>
        <v>JDH4-02-007-CN-4160</v>
      </c>
      <c r="B1301" t="s">
        <v>2177</v>
      </c>
      <c r="C1301" t="s">
        <v>2178</v>
      </c>
      <c r="D1301" s="1">
        <v>102882.58</v>
      </c>
      <c r="E1301" s="3">
        <v>1</v>
      </c>
      <c r="F1301" s="3">
        <v>1</v>
      </c>
      <c r="G1301" s="1">
        <v>102882.58</v>
      </c>
    </row>
    <row r="1302" spans="1:7" x14ac:dyDescent="0.25">
      <c r="A1302" s="111" t="str">
        <f t="shared" si="20"/>
        <v>JDH4-02-007-CN-4230</v>
      </c>
      <c r="B1302" t="s">
        <v>2179</v>
      </c>
      <c r="C1302" t="s">
        <v>2180</v>
      </c>
      <c r="D1302" s="1">
        <v>41153.01</v>
      </c>
      <c r="E1302" s="3">
        <v>1</v>
      </c>
      <c r="F1302" s="3">
        <v>1</v>
      </c>
      <c r="G1302" s="1">
        <v>41153.01</v>
      </c>
    </row>
    <row r="1303" spans="1:7" x14ac:dyDescent="0.25">
      <c r="A1303" s="111" t="str">
        <f t="shared" si="20"/>
        <v>JDH4-02-007-CN-4370</v>
      </c>
      <c r="B1303" t="s">
        <v>2183</v>
      </c>
      <c r="C1303" t="s">
        <v>2152</v>
      </c>
      <c r="D1303" s="1">
        <v>20576.509999999998</v>
      </c>
      <c r="E1303" s="3">
        <v>1</v>
      </c>
      <c r="F1303" s="3">
        <v>1</v>
      </c>
      <c r="G1303" s="1">
        <v>20576.509999999998</v>
      </c>
    </row>
    <row r="1304" spans="1:7" x14ac:dyDescent="0.25">
      <c r="A1304" s="111" t="str">
        <f t="shared" si="20"/>
        <v>JDH4-02-007-CN-4300</v>
      </c>
      <c r="B1304" t="s">
        <v>2181</v>
      </c>
      <c r="C1304" t="s">
        <v>2182</v>
      </c>
      <c r="D1304" s="1">
        <v>10288.280000000001</v>
      </c>
      <c r="E1304" s="3">
        <v>1</v>
      </c>
      <c r="F1304" s="3">
        <v>1</v>
      </c>
      <c r="G1304" s="1">
        <v>10288.280000000001</v>
      </c>
    </row>
    <row r="1305" spans="1:7" x14ac:dyDescent="0.25">
      <c r="A1305" s="111" t="str">
        <f t="shared" si="20"/>
        <v>JDH4-02-007-CN-4680</v>
      </c>
      <c r="B1305" t="s">
        <v>2184</v>
      </c>
      <c r="C1305" t="s">
        <v>2185</v>
      </c>
      <c r="D1305" s="1">
        <v>8311.08</v>
      </c>
      <c r="E1305" s="3">
        <v>1</v>
      </c>
      <c r="F1305" s="3">
        <v>1</v>
      </c>
      <c r="G1305" s="1">
        <v>8311.08</v>
      </c>
    </row>
    <row r="1306" spans="1:7" x14ac:dyDescent="0.25">
      <c r="A1306" s="111" t="str">
        <f t="shared" si="20"/>
        <v>Pipe Encasement</v>
      </c>
      <c r="B1306" t="s">
        <v>1733</v>
      </c>
      <c r="D1306" s="1">
        <v>9821.3700000000008</v>
      </c>
      <c r="E1306" s="3"/>
      <c r="F1306" s="3">
        <v>1</v>
      </c>
      <c r="G1306" s="1">
        <v>9821.3700000000008</v>
      </c>
    </row>
    <row r="1307" spans="1:7" x14ac:dyDescent="0.25">
      <c r="A1307" s="111" t="str">
        <f t="shared" si="20"/>
        <v>JDH4-02-007-CN-4440</v>
      </c>
      <c r="B1307" t="s">
        <v>2186</v>
      </c>
      <c r="C1307" t="s">
        <v>2187</v>
      </c>
      <c r="D1307" s="1">
        <v>9821.3700000000008</v>
      </c>
      <c r="E1307" s="3">
        <v>1</v>
      </c>
      <c r="F1307" s="3">
        <v>1</v>
      </c>
      <c r="G1307" s="1">
        <v>9821.3700000000008</v>
      </c>
    </row>
    <row r="1308" spans="1:7" x14ac:dyDescent="0.25">
      <c r="A1308" s="111" t="str">
        <f t="shared" si="20"/>
        <v>Valves</v>
      </c>
      <c r="B1308" t="s">
        <v>127</v>
      </c>
      <c r="D1308" s="1">
        <v>7469.42</v>
      </c>
      <c r="E1308" s="3"/>
      <c r="F1308" s="3">
        <v>1</v>
      </c>
      <c r="G1308" s="1">
        <v>7469.42</v>
      </c>
    </row>
    <row r="1309" spans="1:7" x14ac:dyDescent="0.25">
      <c r="A1309" s="111" t="str">
        <f t="shared" si="20"/>
        <v>JDH4-02-007-CN-4510</v>
      </c>
      <c r="B1309" t="s">
        <v>2188</v>
      </c>
      <c r="C1309" t="s">
        <v>2189</v>
      </c>
      <c r="D1309" s="1">
        <v>7469.42</v>
      </c>
      <c r="E1309" s="3">
        <v>1</v>
      </c>
      <c r="F1309" s="3">
        <v>1</v>
      </c>
      <c r="G1309" s="1">
        <v>7469.42</v>
      </c>
    </row>
    <row r="1310" spans="1:7" x14ac:dyDescent="0.25">
      <c r="A1310" s="111" t="str">
        <f t="shared" si="20"/>
        <v>Risers</v>
      </c>
      <c r="B1310" t="s">
        <v>499</v>
      </c>
      <c r="D1310" s="1">
        <v>13245.78</v>
      </c>
      <c r="E1310" s="3"/>
      <c r="F1310" s="3">
        <v>1</v>
      </c>
      <c r="G1310" s="1">
        <v>13245.78</v>
      </c>
    </row>
    <row r="1311" spans="1:7" x14ac:dyDescent="0.25">
      <c r="A1311" s="111" t="str">
        <f t="shared" si="20"/>
        <v>JDH4-02-007-CN-4750</v>
      </c>
      <c r="B1311" t="s">
        <v>2190</v>
      </c>
      <c r="C1311" t="s">
        <v>2191</v>
      </c>
      <c r="D1311" s="1">
        <v>13245.78</v>
      </c>
      <c r="E1311" s="3">
        <v>1</v>
      </c>
      <c r="F1311" s="3">
        <v>1</v>
      </c>
      <c r="G1311" s="1">
        <v>13245.78</v>
      </c>
    </row>
    <row r="1312" spans="1:7" x14ac:dyDescent="0.25">
      <c r="A1312" s="111" t="str">
        <f t="shared" si="20"/>
        <v>Potable Network</v>
      </c>
      <c r="B1312" t="s">
        <v>120</v>
      </c>
      <c r="D1312" s="1">
        <v>167864.18</v>
      </c>
      <c r="E1312" s="3"/>
      <c r="F1312" s="3">
        <v>1</v>
      </c>
      <c r="G1312" s="1">
        <v>167864.18</v>
      </c>
    </row>
    <row r="1313" spans="1:7" x14ac:dyDescent="0.25">
      <c r="A1313" s="111" t="str">
        <f t="shared" si="20"/>
        <v>Pipe Works</v>
      </c>
      <c r="B1313" t="s">
        <v>1722</v>
      </c>
      <c r="D1313" s="1">
        <v>98143.31</v>
      </c>
      <c r="E1313" s="3"/>
      <c r="F1313" s="3">
        <v>1</v>
      </c>
      <c r="G1313" s="1">
        <v>98143.31</v>
      </c>
    </row>
    <row r="1314" spans="1:7" x14ac:dyDescent="0.25">
      <c r="A1314" s="111" t="str">
        <f t="shared" si="20"/>
        <v>JDH4-02-007-CN-3340</v>
      </c>
      <c r="B1314" t="s">
        <v>2192</v>
      </c>
      <c r="C1314" t="s">
        <v>2144</v>
      </c>
      <c r="D1314" s="1">
        <v>9814.34</v>
      </c>
      <c r="E1314" s="3">
        <v>1</v>
      </c>
      <c r="F1314" s="3">
        <v>1</v>
      </c>
      <c r="G1314" s="1">
        <v>9814.34</v>
      </c>
    </row>
    <row r="1315" spans="1:7" x14ac:dyDescent="0.25">
      <c r="A1315" s="111" t="str">
        <f t="shared" si="20"/>
        <v>JDH4-02-007-CN-3410</v>
      </c>
      <c r="B1315" t="s">
        <v>2193</v>
      </c>
      <c r="C1315" t="s">
        <v>2146</v>
      </c>
      <c r="D1315" s="1">
        <v>4907.17</v>
      </c>
      <c r="E1315" s="3">
        <v>1</v>
      </c>
      <c r="F1315" s="3">
        <v>1</v>
      </c>
      <c r="G1315" s="1">
        <v>4907.17</v>
      </c>
    </row>
    <row r="1316" spans="1:7" x14ac:dyDescent="0.25">
      <c r="A1316" s="111" t="str">
        <f t="shared" si="20"/>
        <v>JDH4-02-007-CN-3480</v>
      </c>
      <c r="B1316" t="s">
        <v>2194</v>
      </c>
      <c r="C1316" t="s">
        <v>2178</v>
      </c>
      <c r="D1316" s="1">
        <v>49071.64</v>
      </c>
      <c r="E1316" s="3">
        <v>1</v>
      </c>
      <c r="F1316" s="3">
        <v>1</v>
      </c>
      <c r="G1316" s="1">
        <v>49071.64</v>
      </c>
    </row>
    <row r="1317" spans="1:7" x14ac:dyDescent="0.25">
      <c r="A1317" s="111" t="str">
        <f t="shared" si="20"/>
        <v>JDH4-02-007-CN-3550</v>
      </c>
      <c r="B1317" t="s">
        <v>2195</v>
      </c>
      <c r="C1317" t="s">
        <v>2180</v>
      </c>
      <c r="D1317" s="1">
        <v>19628.650000000001</v>
      </c>
      <c r="E1317" s="3">
        <v>1</v>
      </c>
      <c r="F1317" s="2">
        <v>1</v>
      </c>
      <c r="G1317" s="1">
        <v>19628.650000000001</v>
      </c>
    </row>
    <row r="1318" spans="1:7" x14ac:dyDescent="0.25">
      <c r="A1318" s="111" t="str">
        <f t="shared" si="20"/>
        <v>JDH4-02-007-CN-3620</v>
      </c>
      <c r="B1318" t="s">
        <v>2196</v>
      </c>
      <c r="C1318" t="s">
        <v>2150</v>
      </c>
      <c r="D1318" s="1">
        <v>4907.17</v>
      </c>
      <c r="E1318" s="3">
        <v>1</v>
      </c>
      <c r="F1318" s="2">
        <v>1</v>
      </c>
      <c r="G1318" s="1">
        <v>4907.17</v>
      </c>
    </row>
    <row r="1319" spans="1:7" x14ac:dyDescent="0.25">
      <c r="A1319" s="111" t="str">
        <f t="shared" si="20"/>
        <v>JDH4-02-007-CN-3690</v>
      </c>
      <c r="B1319" t="s">
        <v>2197</v>
      </c>
      <c r="C1319" t="s">
        <v>2198</v>
      </c>
      <c r="D1319" s="1">
        <v>9814.34</v>
      </c>
      <c r="E1319" s="3">
        <v>1</v>
      </c>
      <c r="F1319" s="3">
        <v>1</v>
      </c>
      <c r="G1319" s="1">
        <v>9814.34</v>
      </c>
    </row>
    <row r="1320" spans="1:7" x14ac:dyDescent="0.25">
      <c r="A1320" s="111" t="str">
        <f t="shared" si="20"/>
        <v>Pipe Encasement</v>
      </c>
      <c r="B1320" t="s">
        <v>1733</v>
      </c>
      <c r="D1320" s="1">
        <v>7696.98</v>
      </c>
      <c r="E1320" s="3"/>
      <c r="F1320" s="3">
        <v>1</v>
      </c>
      <c r="G1320" s="1">
        <v>7696.98</v>
      </c>
    </row>
    <row r="1321" spans="1:7" x14ac:dyDescent="0.25">
      <c r="A1321" s="111" t="str">
        <f t="shared" si="20"/>
        <v>JDH4-02-007-CN-3760</v>
      </c>
      <c r="B1321" t="s">
        <v>2199</v>
      </c>
      <c r="C1321" t="s">
        <v>2187</v>
      </c>
      <c r="D1321" s="1">
        <v>7696.98</v>
      </c>
      <c r="E1321" s="3">
        <v>1</v>
      </c>
      <c r="F1321" s="3">
        <v>1</v>
      </c>
      <c r="G1321" s="1">
        <v>7696.98</v>
      </c>
    </row>
    <row r="1322" spans="1:7" x14ac:dyDescent="0.25">
      <c r="A1322" s="111" t="str">
        <f t="shared" si="20"/>
        <v>Valves</v>
      </c>
      <c r="B1322" t="s">
        <v>127</v>
      </c>
      <c r="D1322" s="1">
        <v>5256.26</v>
      </c>
      <c r="E1322" s="3"/>
      <c r="F1322" s="3">
        <v>1</v>
      </c>
      <c r="G1322" s="1">
        <v>5256.26</v>
      </c>
    </row>
    <row r="1323" spans="1:7" x14ac:dyDescent="0.25">
      <c r="A1323" s="111" t="str">
        <f t="shared" si="20"/>
        <v>JDH4-02-007-CN-3830</v>
      </c>
      <c r="B1323" t="s">
        <v>2200</v>
      </c>
      <c r="C1323" t="s">
        <v>2189</v>
      </c>
      <c r="D1323" s="1">
        <v>5256.26</v>
      </c>
      <c r="E1323" s="3">
        <v>1</v>
      </c>
      <c r="F1323" s="3">
        <v>1</v>
      </c>
      <c r="G1323" s="1">
        <v>5256.26</v>
      </c>
    </row>
    <row r="1324" spans="1:7" x14ac:dyDescent="0.25">
      <c r="A1324" s="111" t="str">
        <f t="shared" si="20"/>
        <v>Fire Hydrant</v>
      </c>
      <c r="B1324" t="s">
        <v>124</v>
      </c>
      <c r="D1324" s="1">
        <v>56767.63</v>
      </c>
      <c r="E1324" s="3"/>
      <c r="F1324" s="3">
        <v>1</v>
      </c>
      <c r="G1324" s="1">
        <v>56767.63</v>
      </c>
    </row>
    <row r="1325" spans="1:7" x14ac:dyDescent="0.25">
      <c r="A1325" s="111" t="str">
        <f t="shared" si="20"/>
        <v>JDH4-02-007-CN-3920</v>
      </c>
      <c r="B1325" t="s">
        <v>2201</v>
      </c>
      <c r="C1325" t="s">
        <v>2202</v>
      </c>
      <c r="D1325" s="1">
        <v>56767.63</v>
      </c>
      <c r="E1325" s="3">
        <v>1</v>
      </c>
      <c r="F1325" s="3">
        <v>1</v>
      </c>
      <c r="G1325" s="1">
        <v>56767.63</v>
      </c>
    </row>
    <row r="1326" spans="1:7" x14ac:dyDescent="0.25">
      <c r="A1326" s="111" t="str">
        <f t="shared" si="20"/>
        <v>Electrical Works</v>
      </c>
      <c r="B1326" t="s">
        <v>1785</v>
      </c>
      <c r="D1326" s="1">
        <v>553863.1</v>
      </c>
      <c r="E1326" s="3"/>
      <c r="F1326" s="3">
        <v>1</v>
      </c>
      <c r="G1326" s="1">
        <v>553863.1</v>
      </c>
    </row>
    <row r="1327" spans="1:7" x14ac:dyDescent="0.25">
      <c r="A1327" s="111" t="str">
        <f t="shared" si="20"/>
        <v>LV Cables</v>
      </c>
      <c r="B1327" t="s">
        <v>4076</v>
      </c>
      <c r="D1327" s="1">
        <v>35076.36</v>
      </c>
      <c r="E1327" s="3"/>
      <c r="F1327" s="3">
        <v>1</v>
      </c>
      <c r="G1327" s="1">
        <v>35076.36</v>
      </c>
    </row>
    <row r="1328" spans="1:7" x14ac:dyDescent="0.25">
      <c r="A1328" s="111" t="str">
        <f t="shared" si="20"/>
        <v>Low Voltage Cable</v>
      </c>
      <c r="B1328" t="s">
        <v>222</v>
      </c>
      <c r="D1328" s="1">
        <v>35076.36</v>
      </c>
      <c r="E1328" s="3"/>
      <c r="F1328" s="3">
        <v>1</v>
      </c>
      <c r="G1328" s="1">
        <v>35076.36</v>
      </c>
    </row>
    <row r="1329" spans="1:7" x14ac:dyDescent="0.25">
      <c r="A1329" s="111" t="str">
        <f t="shared" si="20"/>
        <v>JDH4-02-007-CN-2630</v>
      </c>
      <c r="B1329" t="s">
        <v>2209</v>
      </c>
      <c r="C1329" t="s">
        <v>2210</v>
      </c>
      <c r="D1329" s="1">
        <v>9385.58</v>
      </c>
      <c r="E1329" s="3">
        <v>1</v>
      </c>
      <c r="F1329" s="3">
        <v>1</v>
      </c>
      <c r="G1329" s="1">
        <v>9385.58</v>
      </c>
    </row>
    <row r="1330" spans="1:7" x14ac:dyDescent="0.25">
      <c r="A1330" s="111" t="str">
        <f t="shared" si="20"/>
        <v>JDH4-02-007-CN-2640</v>
      </c>
      <c r="B1330" t="s">
        <v>2211</v>
      </c>
      <c r="C1330" t="s">
        <v>2212</v>
      </c>
      <c r="D1330" s="1">
        <v>25690.78</v>
      </c>
      <c r="E1330" s="3">
        <v>1</v>
      </c>
      <c r="F1330" s="3">
        <v>1</v>
      </c>
      <c r="G1330" s="1">
        <v>25690.78</v>
      </c>
    </row>
    <row r="1331" spans="1:7" x14ac:dyDescent="0.25">
      <c r="A1331" s="111" t="str">
        <f t="shared" si="20"/>
        <v>Street Lighting</v>
      </c>
      <c r="B1331" t="s">
        <v>1786</v>
      </c>
      <c r="D1331" s="1">
        <v>267583.69</v>
      </c>
      <c r="E1331" s="3"/>
      <c r="F1331" s="3">
        <v>1</v>
      </c>
      <c r="G1331" s="1">
        <v>267583.69</v>
      </c>
    </row>
    <row r="1332" spans="1:7" x14ac:dyDescent="0.25">
      <c r="A1332" s="111" t="str">
        <f t="shared" si="20"/>
        <v>JDH4-02-007-CN-2790</v>
      </c>
      <c r="B1332" t="s">
        <v>2214</v>
      </c>
      <c r="C1332" t="s">
        <v>2215</v>
      </c>
      <c r="D1332" s="1">
        <v>17204.29</v>
      </c>
      <c r="E1332" s="3">
        <v>1</v>
      </c>
      <c r="F1332" s="3">
        <v>1</v>
      </c>
      <c r="G1332" s="1">
        <v>17204.29</v>
      </c>
    </row>
    <row r="1333" spans="1:7" x14ac:dyDescent="0.25">
      <c r="A1333" s="111" t="str">
        <f t="shared" si="20"/>
        <v>JDH4-02-007-CN-2940</v>
      </c>
      <c r="B1333" t="s">
        <v>2219</v>
      </c>
      <c r="C1333" t="s">
        <v>2220</v>
      </c>
      <c r="D1333" s="1">
        <v>22897.48</v>
      </c>
      <c r="E1333" s="3">
        <v>1</v>
      </c>
      <c r="F1333" s="3">
        <v>1</v>
      </c>
      <c r="G1333" s="1">
        <v>22897.48</v>
      </c>
    </row>
    <row r="1334" spans="1:7" x14ac:dyDescent="0.25">
      <c r="A1334" s="111" t="str">
        <f t="shared" si="20"/>
        <v>JDH4-02-007-CN-2900</v>
      </c>
      <c r="B1334" t="s">
        <v>2217</v>
      </c>
      <c r="C1334" t="s">
        <v>2218</v>
      </c>
      <c r="D1334" s="1">
        <v>96197.32</v>
      </c>
      <c r="E1334" s="3">
        <v>1</v>
      </c>
      <c r="F1334" s="3">
        <v>1</v>
      </c>
      <c r="G1334" s="1">
        <v>96197.32</v>
      </c>
    </row>
    <row r="1335" spans="1:7" x14ac:dyDescent="0.25">
      <c r="A1335" s="111" t="str">
        <f t="shared" si="20"/>
        <v>JDH4-02-007-CN-2780</v>
      </c>
      <c r="B1335" t="s">
        <v>2213</v>
      </c>
      <c r="C1335" t="s">
        <v>2210</v>
      </c>
      <c r="D1335" s="1">
        <v>17282.59</v>
      </c>
      <c r="E1335" s="3">
        <v>1</v>
      </c>
      <c r="F1335" s="3">
        <v>1</v>
      </c>
      <c r="G1335" s="1">
        <v>17282.59</v>
      </c>
    </row>
    <row r="1336" spans="1:7" x14ac:dyDescent="0.25">
      <c r="A1336" s="111" t="str">
        <f t="shared" si="20"/>
        <v>JDH4-02-007-CN-2860</v>
      </c>
      <c r="B1336" t="s">
        <v>2216</v>
      </c>
      <c r="C1336" t="s">
        <v>2212</v>
      </c>
      <c r="D1336" s="1">
        <v>88141.2</v>
      </c>
      <c r="E1336" s="3">
        <v>1</v>
      </c>
      <c r="F1336" s="3">
        <v>1</v>
      </c>
      <c r="G1336" s="1">
        <v>88141.2</v>
      </c>
    </row>
    <row r="1337" spans="1:7" x14ac:dyDescent="0.25">
      <c r="A1337" s="111" t="str">
        <f t="shared" si="20"/>
        <v>JDH4-02-007-CN-3000</v>
      </c>
      <c r="B1337" t="s">
        <v>2221</v>
      </c>
      <c r="C1337" t="s">
        <v>2222</v>
      </c>
      <c r="D1337" s="1">
        <v>22076.3</v>
      </c>
      <c r="E1337" s="3">
        <v>1</v>
      </c>
      <c r="F1337" s="3">
        <v>1</v>
      </c>
      <c r="G1337" s="1">
        <v>22076.3</v>
      </c>
    </row>
    <row r="1338" spans="1:7" x14ac:dyDescent="0.25">
      <c r="A1338" s="111" t="str">
        <f t="shared" si="20"/>
        <v>JDH4-02-007-CN-3010</v>
      </c>
      <c r="B1338" t="s">
        <v>2223</v>
      </c>
      <c r="C1338" t="s">
        <v>2224</v>
      </c>
      <c r="D1338" s="1">
        <v>3784.51</v>
      </c>
      <c r="E1338" s="3">
        <v>1</v>
      </c>
      <c r="F1338" s="3">
        <v>1</v>
      </c>
      <c r="G1338" s="1">
        <v>3784.51</v>
      </c>
    </row>
    <row r="1339" spans="1:7" x14ac:dyDescent="0.25">
      <c r="A1339" s="111" t="str">
        <f t="shared" si="20"/>
        <v>Telecommunication</v>
      </c>
      <c r="B1339" t="s">
        <v>1799</v>
      </c>
      <c r="D1339" s="1">
        <v>251203.05</v>
      </c>
      <c r="E1339" s="3"/>
      <c r="F1339" s="3">
        <v>1</v>
      </c>
      <c r="G1339" s="1">
        <v>251203.05</v>
      </c>
    </row>
    <row r="1340" spans="1:7" x14ac:dyDescent="0.25">
      <c r="A1340" s="111" t="str">
        <f t="shared" si="20"/>
        <v>JDH4-02-007-CN-3090</v>
      </c>
      <c r="B1340" t="s">
        <v>2225</v>
      </c>
      <c r="C1340" t="s">
        <v>2226</v>
      </c>
      <c r="D1340" s="1">
        <v>145325.12</v>
      </c>
      <c r="E1340" s="3">
        <v>1</v>
      </c>
      <c r="F1340" s="3">
        <v>1</v>
      </c>
      <c r="G1340" s="1">
        <v>145325.12</v>
      </c>
    </row>
    <row r="1341" spans="1:7" x14ac:dyDescent="0.25">
      <c r="A1341" s="111" t="str">
        <f t="shared" si="20"/>
        <v>JDH4-02-007-CN-3160</v>
      </c>
      <c r="B1341" t="s">
        <v>2227</v>
      </c>
      <c r="C1341" t="s">
        <v>2228</v>
      </c>
      <c r="D1341" s="1">
        <v>3973.73</v>
      </c>
      <c r="E1341" s="3">
        <v>1</v>
      </c>
      <c r="F1341" s="3">
        <v>1</v>
      </c>
      <c r="G1341" s="1">
        <v>3973.73</v>
      </c>
    </row>
    <row r="1342" spans="1:7" x14ac:dyDescent="0.25">
      <c r="A1342" s="111" t="str">
        <f t="shared" si="20"/>
        <v>JDH4-02-007-CN-3270</v>
      </c>
      <c r="B1342" t="s">
        <v>2231</v>
      </c>
      <c r="C1342" t="s">
        <v>2174</v>
      </c>
      <c r="D1342" s="1">
        <v>39737.339999999997</v>
      </c>
      <c r="E1342" s="3">
        <v>1</v>
      </c>
      <c r="F1342" s="3">
        <v>1</v>
      </c>
      <c r="G1342" s="1">
        <v>39737.339999999997</v>
      </c>
    </row>
    <row r="1343" spans="1:7" x14ac:dyDescent="0.25">
      <c r="A1343" s="111" t="str">
        <f t="shared" si="20"/>
        <v>JDH4-02-007-CN-3210</v>
      </c>
      <c r="B1343" t="s">
        <v>2229</v>
      </c>
      <c r="C1343" t="s">
        <v>2230</v>
      </c>
      <c r="D1343" s="1">
        <v>62166.86</v>
      </c>
      <c r="E1343" s="3">
        <v>1</v>
      </c>
      <c r="F1343" s="3">
        <v>1</v>
      </c>
      <c r="G1343" s="1">
        <v>62166.86</v>
      </c>
    </row>
    <row r="1344" spans="1:7" x14ac:dyDescent="0.25">
      <c r="A1344" s="111" t="str">
        <f t="shared" si="20"/>
        <v>Road 01</v>
      </c>
      <c r="B1344" t="s">
        <v>1923</v>
      </c>
      <c r="D1344" s="1">
        <v>3400633.43</v>
      </c>
      <c r="F1344" s="3">
        <v>0.99470000000000003</v>
      </c>
      <c r="G1344" s="1">
        <v>3382506.18</v>
      </c>
    </row>
    <row r="1345" spans="1:7" x14ac:dyDescent="0.25">
      <c r="A1345" s="111" t="str">
        <f t="shared" si="20"/>
        <v>Road Works (Roundabout)</v>
      </c>
      <c r="B1345" t="s">
        <v>1924</v>
      </c>
      <c r="D1345" s="1">
        <v>826699</v>
      </c>
      <c r="E1345" s="3"/>
      <c r="F1345" s="3">
        <v>0.97809999999999997</v>
      </c>
      <c r="G1345" s="1">
        <v>808571.75</v>
      </c>
    </row>
    <row r="1346" spans="1:7" x14ac:dyDescent="0.25">
      <c r="A1346" s="111" t="str">
        <f t="shared" si="20"/>
        <v>Eartworks &amp; Site grading</v>
      </c>
      <c r="B1346" t="s">
        <v>1686</v>
      </c>
      <c r="D1346" s="1">
        <v>357790.57</v>
      </c>
      <c r="F1346" s="3">
        <v>1</v>
      </c>
      <c r="G1346" s="1">
        <v>357790.57</v>
      </c>
    </row>
    <row r="1347" spans="1:7" x14ac:dyDescent="0.25">
      <c r="A1347" s="111" t="str">
        <f t="shared" si="20"/>
        <v>JDH4-02-007-CN-1720</v>
      </c>
      <c r="B1347" t="s">
        <v>1925</v>
      </c>
      <c r="C1347" t="s">
        <v>1926</v>
      </c>
      <c r="D1347" s="1">
        <v>8053.45</v>
      </c>
      <c r="E1347" s="3">
        <v>1</v>
      </c>
      <c r="F1347" s="3">
        <v>1</v>
      </c>
      <c r="G1347" s="1">
        <v>8053.45</v>
      </c>
    </row>
    <row r="1348" spans="1:7" x14ac:dyDescent="0.25">
      <c r="A1348" s="111" t="str">
        <f t="shared" ref="A1348:A1411" si="21">TRIM(B1348)</f>
        <v>JDH4-02-007-CN-1780</v>
      </c>
      <c r="B1348" t="s">
        <v>1927</v>
      </c>
      <c r="C1348" t="s">
        <v>1928</v>
      </c>
      <c r="D1348" s="1">
        <v>317788.32</v>
      </c>
      <c r="E1348" s="3">
        <v>1</v>
      </c>
      <c r="F1348" s="3">
        <v>1</v>
      </c>
      <c r="G1348" s="1">
        <v>317788.32</v>
      </c>
    </row>
    <row r="1349" spans="1:7" x14ac:dyDescent="0.25">
      <c r="A1349" s="111" t="str">
        <f t="shared" si="21"/>
        <v>JDH4-02-007-CN-1900</v>
      </c>
      <c r="B1349" t="s">
        <v>1929</v>
      </c>
      <c r="C1349" t="s">
        <v>1930</v>
      </c>
      <c r="D1349" s="1">
        <v>31948.799999999999</v>
      </c>
      <c r="E1349" s="3">
        <v>1</v>
      </c>
      <c r="F1349" s="3">
        <v>1</v>
      </c>
      <c r="G1349" s="1">
        <v>31948.799999999999</v>
      </c>
    </row>
    <row r="1350" spans="1:7" x14ac:dyDescent="0.25">
      <c r="A1350" s="111" t="str">
        <f t="shared" si="21"/>
        <v>Asphalt Works</v>
      </c>
      <c r="B1350" t="s">
        <v>1693</v>
      </c>
      <c r="D1350" s="1">
        <v>213995.02</v>
      </c>
      <c r="E1350" s="3"/>
      <c r="F1350" s="3">
        <v>1</v>
      </c>
      <c r="G1350" s="1">
        <v>213995.02</v>
      </c>
    </row>
    <row r="1351" spans="1:7" x14ac:dyDescent="0.25">
      <c r="A1351" s="111" t="str">
        <f t="shared" si="21"/>
        <v>JDH4-02-007-CN-1960</v>
      </c>
      <c r="B1351" t="s">
        <v>1931</v>
      </c>
      <c r="C1351" t="s">
        <v>1932</v>
      </c>
      <c r="D1351" s="1">
        <v>32540.46</v>
      </c>
      <c r="E1351" s="3">
        <v>1</v>
      </c>
      <c r="F1351" s="3">
        <v>1</v>
      </c>
      <c r="G1351" s="1">
        <v>32540.46</v>
      </c>
    </row>
    <row r="1352" spans="1:7" x14ac:dyDescent="0.25">
      <c r="A1352" s="111" t="str">
        <f t="shared" si="21"/>
        <v>JDH4-02-007-CN-2010</v>
      </c>
      <c r="B1352" t="s">
        <v>1933</v>
      </c>
      <c r="C1352" t="s">
        <v>1934</v>
      </c>
      <c r="D1352" s="1">
        <v>17989.03</v>
      </c>
      <c r="E1352" s="3">
        <v>1</v>
      </c>
      <c r="F1352" s="3">
        <v>1</v>
      </c>
      <c r="G1352" s="1">
        <v>17989.03</v>
      </c>
    </row>
    <row r="1353" spans="1:7" x14ac:dyDescent="0.25">
      <c r="A1353" s="111" t="str">
        <f t="shared" si="21"/>
        <v>JDH4-02-007-CN-2060</v>
      </c>
      <c r="B1353" t="s">
        <v>1935</v>
      </c>
      <c r="C1353" t="s">
        <v>1936</v>
      </c>
      <c r="D1353" s="1">
        <v>163465.53</v>
      </c>
      <c r="E1353" s="3">
        <v>1</v>
      </c>
      <c r="F1353" s="3">
        <v>1</v>
      </c>
      <c r="G1353" s="1">
        <v>163465.53</v>
      </c>
    </row>
    <row r="1354" spans="1:7" x14ac:dyDescent="0.25">
      <c r="A1354" s="111" t="str">
        <f t="shared" si="21"/>
        <v>Finishing Works</v>
      </c>
      <c r="B1354" t="s">
        <v>1700</v>
      </c>
      <c r="D1354" s="1">
        <v>254913.41</v>
      </c>
      <c r="E1354" s="3"/>
      <c r="F1354" s="3">
        <v>0.92889999999999995</v>
      </c>
      <c r="G1354" s="1">
        <v>236786.16</v>
      </c>
    </row>
    <row r="1355" spans="1:7" x14ac:dyDescent="0.25">
      <c r="A1355" s="111" t="str">
        <f t="shared" si="21"/>
        <v>Asphalt Wearing Course</v>
      </c>
      <c r="B1355" t="s">
        <v>1701</v>
      </c>
      <c r="D1355" s="1">
        <v>95937.279999999999</v>
      </c>
      <c r="E1355" s="3"/>
      <c r="F1355" s="3">
        <v>1</v>
      </c>
      <c r="G1355" s="1">
        <v>95937.279999999999</v>
      </c>
    </row>
    <row r="1356" spans="1:7" x14ac:dyDescent="0.25">
      <c r="A1356" s="111" t="str">
        <f t="shared" si="21"/>
        <v>JDH4-02-007-CN-2110</v>
      </c>
      <c r="B1356" t="s">
        <v>1937</v>
      </c>
      <c r="C1356" t="s">
        <v>1938</v>
      </c>
      <c r="D1356" s="1">
        <v>9429.73</v>
      </c>
      <c r="E1356" s="3">
        <v>1</v>
      </c>
      <c r="F1356" s="3">
        <v>1</v>
      </c>
      <c r="G1356" s="1">
        <v>9429.73</v>
      </c>
    </row>
    <row r="1357" spans="1:7" x14ac:dyDescent="0.25">
      <c r="A1357" s="111" t="str">
        <f t="shared" si="21"/>
        <v>JDH4-02-007-CN-2160</v>
      </c>
      <c r="B1357" t="s">
        <v>1939</v>
      </c>
      <c r="C1357" t="s">
        <v>1940</v>
      </c>
      <c r="D1357" s="1">
        <v>86507.55</v>
      </c>
      <c r="E1357" s="3">
        <v>1</v>
      </c>
      <c r="F1357" s="3">
        <v>1</v>
      </c>
      <c r="G1357" s="1">
        <v>86507.55</v>
      </c>
    </row>
    <row r="1358" spans="1:7" x14ac:dyDescent="0.25">
      <c r="A1358" s="111" t="str">
        <f t="shared" si="21"/>
        <v>Precast Concrete Curb</v>
      </c>
      <c r="B1358" t="s">
        <v>1706</v>
      </c>
      <c r="D1358" s="1">
        <v>59926.12</v>
      </c>
      <c r="E1358" s="3"/>
      <c r="F1358" s="3">
        <v>1</v>
      </c>
      <c r="G1358" s="1">
        <v>59926.12</v>
      </c>
    </row>
    <row r="1359" spans="1:7" x14ac:dyDescent="0.25">
      <c r="A1359" s="111" t="str">
        <f t="shared" si="21"/>
        <v>JDH4-02-007-CN-2210</v>
      </c>
      <c r="B1359" t="s">
        <v>1941</v>
      </c>
      <c r="C1359" t="s">
        <v>1942</v>
      </c>
      <c r="D1359" s="1">
        <v>59926.12</v>
      </c>
      <c r="E1359" s="3">
        <v>1</v>
      </c>
      <c r="F1359" s="3">
        <v>1</v>
      </c>
      <c r="G1359" s="1">
        <v>59926.12</v>
      </c>
    </row>
    <row r="1360" spans="1:7" x14ac:dyDescent="0.25">
      <c r="A1360" s="111" t="str">
        <f t="shared" si="21"/>
        <v>Precast Interlocking block pavers</v>
      </c>
      <c r="B1360" t="s">
        <v>1709</v>
      </c>
      <c r="D1360" s="1">
        <v>57004.160000000003</v>
      </c>
      <c r="E1360" s="3"/>
      <c r="F1360" s="3">
        <v>1</v>
      </c>
      <c r="G1360" s="1">
        <v>57004.160000000003</v>
      </c>
    </row>
    <row r="1361" spans="1:7" x14ac:dyDescent="0.25">
      <c r="A1361" s="111" t="str">
        <f t="shared" si="21"/>
        <v>JDH4-02-007-CN-2260</v>
      </c>
      <c r="B1361" t="s">
        <v>1943</v>
      </c>
      <c r="C1361" t="s">
        <v>1944</v>
      </c>
      <c r="D1361" s="1">
        <v>57004.160000000003</v>
      </c>
      <c r="E1361" s="3">
        <v>1</v>
      </c>
      <c r="F1361" s="3">
        <v>1</v>
      </c>
      <c r="G1361" s="1">
        <v>57004.160000000003</v>
      </c>
    </row>
    <row r="1362" spans="1:7" x14ac:dyDescent="0.25">
      <c r="A1362" s="111" t="str">
        <f t="shared" si="21"/>
        <v>Pavement Markings</v>
      </c>
      <c r="B1362" t="s">
        <v>1712</v>
      </c>
      <c r="D1362" s="1">
        <v>16149.78</v>
      </c>
      <c r="E1362" s="3"/>
      <c r="F1362" s="3">
        <v>1</v>
      </c>
      <c r="G1362" s="1">
        <v>16149.78</v>
      </c>
    </row>
    <row r="1363" spans="1:7" x14ac:dyDescent="0.25">
      <c r="A1363" s="111" t="str">
        <f t="shared" si="21"/>
        <v>JDH4-02-007-CN-2310</v>
      </c>
      <c r="B1363" t="s">
        <v>1945</v>
      </c>
      <c r="C1363" t="s">
        <v>1946</v>
      </c>
      <c r="D1363" s="1">
        <v>16149.78</v>
      </c>
      <c r="E1363" s="3">
        <v>1</v>
      </c>
      <c r="F1363" s="3">
        <v>1</v>
      </c>
      <c r="G1363" s="1">
        <v>16149.78</v>
      </c>
    </row>
    <row r="1364" spans="1:7" x14ac:dyDescent="0.25">
      <c r="A1364" s="111" t="str">
        <f t="shared" si="21"/>
        <v>Traffic Signage</v>
      </c>
      <c r="B1364" t="s">
        <v>1715</v>
      </c>
      <c r="D1364" s="1">
        <v>25896.07</v>
      </c>
      <c r="E1364" s="3"/>
      <c r="F1364" s="3">
        <v>0.3</v>
      </c>
      <c r="G1364" s="1">
        <v>7768.82</v>
      </c>
    </row>
    <row r="1365" spans="1:7" x14ac:dyDescent="0.25">
      <c r="A1365" s="111" t="str">
        <f t="shared" si="21"/>
        <v>JDH4-02-007-CN-2360</v>
      </c>
      <c r="B1365" t="s">
        <v>1947</v>
      </c>
      <c r="C1365" t="s">
        <v>1948</v>
      </c>
      <c r="D1365" s="1">
        <v>25896.07</v>
      </c>
      <c r="E1365" s="3">
        <v>0.3</v>
      </c>
      <c r="F1365" s="3">
        <v>0.3</v>
      </c>
      <c r="G1365" s="1">
        <v>7768.82</v>
      </c>
    </row>
    <row r="1366" spans="1:7" x14ac:dyDescent="0.25">
      <c r="A1366" s="111" t="str">
        <f t="shared" si="21"/>
        <v>Storm Water Drainage</v>
      </c>
      <c r="B1366" t="s">
        <v>1721</v>
      </c>
      <c r="D1366" s="1">
        <v>131305.17000000001</v>
      </c>
      <c r="E1366" s="3"/>
      <c r="F1366" s="3">
        <v>1</v>
      </c>
      <c r="G1366" s="1">
        <v>131305.17000000001</v>
      </c>
    </row>
    <row r="1367" spans="1:7" x14ac:dyDescent="0.25">
      <c r="A1367" s="111" t="str">
        <f t="shared" si="21"/>
        <v>Pipe Works</v>
      </c>
      <c r="B1367" t="s">
        <v>1722</v>
      </c>
      <c r="D1367" s="1">
        <v>26247.15</v>
      </c>
      <c r="E1367" s="3"/>
      <c r="F1367" s="3">
        <v>1</v>
      </c>
      <c r="G1367" s="1">
        <v>26247.15</v>
      </c>
    </row>
    <row r="1368" spans="1:7" x14ac:dyDescent="0.25">
      <c r="A1368" s="111" t="str">
        <f t="shared" si="21"/>
        <v>JDH4-02-007-CN-5340</v>
      </c>
      <c r="B1368" t="s">
        <v>1949</v>
      </c>
      <c r="C1368" t="s">
        <v>1950</v>
      </c>
      <c r="D1368" s="1">
        <v>2624.71</v>
      </c>
      <c r="E1368" s="3">
        <v>1</v>
      </c>
      <c r="F1368" s="3">
        <v>1</v>
      </c>
      <c r="G1368" s="1">
        <v>2624.71</v>
      </c>
    </row>
    <row r="1369" spans="1:7" x14ac:dyDescent="0.25">
      <c r="A1369" s="111" t="str">
        <f t="shared" si="21"/>
        <v>JDH4-02-007-CN-5390</v>
      </c>
      <c r="B1369" t="s">
        <v>1951</v>
      </c>
      <c r="C1369" t="s">
        <v>1952</v>
      </c>
      <c r="D1369" s="1">
        <v>1312.36</v>
      </c>
      <c r="E1369" s="3">
        <v>1</v>
      </c>
      <c r="F1369" s="3">
        <v>1</v>
      </c>
      <c r="G1369" s="1">
        <v>1312.36</v>
      </c>
    </row>
    <row r="1370" spans="1:7" x14ac:dyDescent="0.25">
      <c r="A1370" s="111" t="str">
        <f t="shared" si="21"/>
        <v>JDH4-02-007-CN-5440</v>
      </c>
      <c r="B1370" t="s">
        <v>1953</v>
      </c>
      <c r="C1370" t="s">
        <v>1954</v>
      </c>
      <c r="D1370" s="1">
        <v>18373.009999999998</v>
      </c>
      <c r="E1370" s="3">
        <v>1</v>
      </c>
      <c r="F1370" s="3">
        <v>1</v>
      </c>
      <c r="G1370" s="1">
        <v>18373.009999999998</v>
      </c>
    </row>
    <row r="1371" spans="1:7" x14ac:dyDescent="0.25">
      <c r="A1371" s="111" t="str">
        <f t="shared" si="21"/>
        <v>JDH4-02-007-CN-5490</v>
      </c>
      <c r="B1371" t="s">
        <v>1955</v>
      </c>
      <c r="C1371" t="s">
        <v>1956</v>
      </c>
      <c r="D1371" s="1">
        <v>1312.36</v>
      </c>
      <c r="E1371" s="3">
        <v>1</v>
      </c>
      <c r="F1371" s="3">
        <v>1</v>
      </c>
      <c r="G1371" s="1">
        <v>1312.36</v>
      </c>
    </row>
    <row r="1372" spans="1:7" x14ac:dyDescent="0.25">
      <c r="A1372" s="111" t="str">
        <f t="shared" si="21"/>
        <v>JDH4-02-007-CN-5540</v>
      </c>
      <c r="B1372" t="s">
        <v>1957</v>
      </c>
      <c r="C1372" t="s">
        <v>1958</v>
      </c>
      <c r="D1372" s="1">
        <v>2624.71</v>
      </c>
      <c r="E1372" s="3">
        <v>1</v>
      </c>
      <c r="F1372" s="3">
        <v>1</v>
      </c>
      <c r="G1372" s="1">
        <v>2624.71</v>
      </c>
    </row>
    <row r="1373" spans="1:7" x14ac:dyDescent="0.25">
      <c r="A1373" s="111" t="str">
        <f t="shared" si="21"/>
        <v>Pipe Encasement</v>
      </c>
      <c r="B1373" t="s">
        <v>1733</v>
      </c>
      <c r="D1373" s="1">
        <v>1307.93</v>
      </c>
      <c r="E1373" s="3"/>
      <c r="F1373" s="3">
        <v>1</v>
      </c>
      <c r="G1373" s="1">
        <v>1307.93</v>
      </c>
    </row>
    <row r="1374" spans="1:7" x14ac:dyDescent="0.25">
      <c r="A1374" s="111" t="str">
        <f t="shared" si="21"/>
        <v>JDH4-02-007-CN-5810</v>
      </c>
      <c r="B1374" t="s">
        <v>1959</v>
      </c>
      <c r="C1374" t="s">
        <v>1960</v>
      </c>
      <c r="D1374" s="1">
        <v>1307.93</v>
      </c>
      <c r="E1374" s="3">
        <v>1</v>
      </c>
      <c r="F1374" s="3">
        <v>1</v>
      </c>
      <c r="G1374" s="1">
        <v>1307.93</v>
      </c>
    </row>
    <row r="1375" spans="1:7" x14ac:dyDescent="0.25">
      <c r="A1375" s="111" t="str">
        <f t="shared" si="21"/>
        <v>Manholes</v>
      </c>
      <c r="B1375" t="s">
        <v>486</v>
      </c>
      <c r="D1375" s="1">
        <v>74735.520000000004</v>
      </c>
      <c r="E1375" s="3"/>
      <c r="F1375" s="3">
        <v>1</v>
      </c>
      <c r="G1375" s="1">
        <v>74735.520000000004</v>
      </c>
    </row>
    <row r="1376" spans="1:7" x14ac:dyDescent="0.25">
      <c r="A1376" s="111" t="str">
        <f t="shared" si="21"/>
        <v>JDH4-02-007-CN-5640</v>
      </c>
      <c r="B1376" t="s">
        <v>1961</v>
      </c>
      <c r="C1376" t="s">
        <v>1962</v>
      </c>
      <c r="D1376" s="1">
        <v>74735.520000000004</v>
      </c>
      <c r="E1376" s="3">
        <v>1</v>
      </c>
      <c r="F1376" s="3">
        <v>1</v>
      </c>
      <c r="G1376" s="1">
        <v>74735.520000000004</v>
      </c>
    </row>
    <row r="1377" spans="1:7" x14ac:dyDescent="0.25">
      <c r="A1377" s="111" t="str">
        <f t="shared" si="21"/>
        <v>Precast Acces Openinig</v>
      </c>
      <c r="B1377" t="s">
        <v>1738</v>
      </c>
      <c r="D1377" s="1">
        <v>3784.51</v>
      </c>
      <c r="E1377" s="3"/>
      <c r="F1377" s="3">
        <v>1</v>
      </c>
      <c r="G1377" s="1">
        <v>3784.51</v>
      </c>
    </row>
    <row r="1378" spans="1:7" x14ac:dyDescent="0.25">
      <c r="A1378" s="111" t="str">
        <f t="shared" si="21"/>
        <v>JDH4-02-007-CN-5690</v>
      </c>
      <c r="B1378" t="s">
        <v>1963</v>
      </c>
      <c r="C1378" t="s">
        <v>1964</v>
      </c>
      <c r="D1378" s="1">
        <v>3784.51</v>
      </c>
      <c r="E1378" s="3">
        <v>1</v>
      </c>
      <c r="F1378" s="3">
        <v>1</v>
      </c>
      <c r="G1378" s="1">
        <v>3784.51</v>
      </c>
    </row>
    <row r="1379" spans="1:7" x14ac:dyDescent="0.25">
      <c r="A1379" s="111" t="str">
        <f t="shared" si="21"/>
        <v>Concrete Outfalls</v>
      </c>
      <c r="B1379" t="s">
        <v>1744</v>
      </c>
      <c r="D1379" s="1">
        <v>25230.06</v>
      </c>
      <c r="E1379" s="3"/>
      <c r="F1379" s="3">
        <v>1</v>
      </c>
      <c r="G1379" s="1">
        <v>25230.06</v>
      </c>
    </row>
    <row r="1380" spans="1:7" x14ac:dyDescent="0.25">
      <c r="A1380" s="111" t="str">
        <f t="shared" si="21"/>
        <v>JDH4-02-007-CN-5780</v>
      </c>
      <c r="B1380" t="s">
        <v>1965</v>
      </c>
      <c r="C1380" t="s">
        <v>1966</v>
      </c>
      <c r="D1380" s="1">
        <v>25230.06</v>
      </c>
      <c r="E1380" s="3">
        <v>1</v>
      </c>
      <c r="F1380" s="3">
        <v>1</v>
      </c>
      <c r="G1380" s="1">
        <v>25230.06</v>
      </c>
    </row>
    <row r="1381" spans="1:7" x14ac:dyDescent="0.25">
      <c r="A1381" s="111" t="str">
        <f t="shared" si="21"/>
        <v>Sewerage Network</v>
      </c>
      <c r="B1381" t="s">
        <v>221</v>
      </c>
      <c r="D1381" s="1">
        <v>134037.32999999999</v>
      </c>
      <c r="E1381" s="3"/>
      <c r="F1381" s="3">
        <v>1</v>
      </c>
      <c r="G1381" s="1">
        <v>134037.32999999999</v>
      </c>
    </row>
    <row r="1382" spans="1:7" x14ac:dyDescent="0.25">
      <c r="A1382" s="111" t="str">
        <f t="shared" si="21"/>
        <v>Pipe Works</v>
      </c>
      <c r="B1382" t="s">
        <v>1722</v>
      </c>
      <c r="D1382" s="1">
        <v>52628.99</v>
      </c>
      <c r="E1382" s="3"/>
      <c r="F1382" s="3">
        <v>1</v>
      </c>
      <c r="G1382" s="1">
        <v>52628.99</v>
      </c>
    </row>
    <row r="1383" spans="1:7" x14ac:dyDescent="0.25">
      <c r="A1383" s="111" t="str">
        <f t="shared" si="21"/>
        <v>JDH4-02-007-CN-4790</v>
      </c>
      <c r="B1383" t="s">
        <v>1967</v>
      </c>
      <c r="C1383" t="s">
        <v>1968</v>
      </c>
      <c r="D1383" s="1">
        <v>5262.9</v>
      </c>
      <c r="E1383" s="3">
        <v>1</v>
      </c>
      <c r="F1383" s="3">
        <v>1</v>
      </c>
      <c r="G1383" s="1">
        <v>5262.9</v>
      </c>
    </row>
    <row r="1384" spans="1:7" x14ac:dyDescent="0.25">
      <c r="A1384" s="111" t="str">
        <f t="shared" si="21"/>
        <v>JDH4-02-007-CN-4860</v>
      </c>
      <c r="B1384" t="s">
        <v>1969</v>
      </c>
      <c r="C1384" t="s">
        <v>1952</v>
      </c>
      <c r="D1384" s="1">
        <v>2631.45</v>
      </c>
      <c r="E1384" s="3">
        <v>1</v>
      </c>
      <c r="F1384" s="3">
        <v>1</v>
      </c>
      <c r="G1384" s="1">
        <v>2631.45</v>
      </c>
    </row>
    <row r="1385" spans="1:7" x14ac:dyDescent="0.25">
      <c r="A1385" s="111" t="str">
        <f t="shared" si="21"/>
        <v>JDH4-02-007-CN-4930</v>
      </c>
      <c r="B1385" t="s">
        <v>1970</v>
      </c>
      <c r="C1385" t="s">
        <v>1971</v>
      </c>
      <c r="D1385" s="1">
        <v>26314.49</v>
      </c>
      <c r="E1385" s="3">
        <v>1</v>
      </c>
      <c r="F1385" s="3">
        <v>1</v>
      </c>
      <c r="G1385" s="1">
        <v>26314.49</v>
      </c>
    </row>
    <row r="1386" spans="1:7" x14ac:dyDescent="0.25">
      <c r="A1386" s="111" t="str">
        <f t="shared" si="21"/>
        <v>JDH4-02-007-CN-5000</v>
      </c>
      <c r="B1386" t="s">
        <v>1972</v>
      </c>
      <c r="C1386" t="s">
        <v>1973</v>
      </c>
      <c r="D1386" s="1">
        <v>10525.8</v>
      </c>
      <c r="E1386" s="3">
        <v>1</v>
      </c>
      <c r="F1386" s="3">
        <v>1</v>
      </c>
      <c r="G1386" s="1">
        <v>10525.8</v>
      </c>
    </row>
    <row r="1387" spans="1:7" x14ac:dyDescent="0.25">
      <c r="A1387" s="111" t="str">
        <f t="shared" si="21"/>
        <v>JDH4-02-007-CN-5070</v>
      </c>
      <c r="B1387" t="s">
        <v>1974</v>
      </c>
      <c r="C1387" t="s">
        <v>1956</v>
      </c>
      <c r="D1387" s="1">
        <v>2631.45</v>
      </c>
      <c r="E1387" s="3">
        <v>1</v>
      </c>
      <c r="F1387" s="3">
        <v>1</v>
      </c>
      <c r="G1387" s="1">
        <v>2631.45</v>
      </c>
    </row>
    <row r="1388" spans="1:7" x14ac:dyDescent="0.25">
      <c r="A1388" s="111" t="str">
        <f t="shared" si="21"/>
        <v>JDH4-02-007-CN-5140</v>
      </c>
      <c r="B1388" t="s">
        <v>1975</v>
      </c>
      <c r="C1388" t="s">
        <v>1958</v>
      </c>
      <c r="D1388" s="1">
        <v>5262.9</v>
      </c>
      <c r="E1388" s="3">
        <v>1</v>
      </c>
      <c r="F1388" s="3">
        <v>1</v>
      </c>
      <c r="G1388" s="1">
        <v>5262.9</v>
      </c>
    </row>
    <row r="1389" spans="1:7" x14ac:dyDescent="0.25">
      <c r="A1389" s="111" t="str">
        <f t="shared" si="21"/>
        <v>Pipe Encasement</v>
      </c>
      <c r="B1389" t="s">
        <v>1733</v>
      </c>
      <c r="D1389" s="1">
        <v>304.22000000000003</v>
      </c>
      <c r="E1389" s="3"/>
      <c r="F1389" s="3">
        <v>1</v>
      </c>
      <c r="G1389">
        <v>304.22000000000003</v>
      </c>
    </row>
    <row r="1390" spans="1:7" x14ac:dyDescent="0.25">
      <c r="A1390" s="111" t="str">
        <f t="shared" si="21"/>
        <v>JDH4-02-007-CN-5280</v>
      </c>
      <c r="B1390" t="s">
        <v>1976</v>
      </c>
      <c r="C1390" t="s">
        <v>1960</v>
      </c>
      <c r="D1390" s="1">
        <v>304.22000000000003</v>
      </c>
      <c r="E1390" s="3">
        <v>1</v>
      </c>
      <c r="F1390" s="3">
        <v>1</v>
      </c>
      <c r="G1390">
        <v>304.22000000000003</v>
      </c>
    </row>
    <row r="1391" spans="1:7" x14ac:dyDescent="0.25">
      <c r="A1391" s="111" t="str">
        <f t="shared" si="21"/>
        <v>Manholes</v>
      </c>
      <c r="B1391" t="s">
        <v>486</v>
      </c>
      <c r="D1391" s="1">
        <v>81104.12</v>
      </c>
      <c r="E1391" s="3"/>
      <c r="F1391" s="3">
        <v>1</v>
      </c>
      <c r="G1391" s="1">
        <v>81104.12</v>
      </c>
    </row>
    <row r="1392" spans="1:7" x14ac:dyDescent="0.25">
      <c r="A1392" s="111" t="str">
        <f t="shared" si="21"/>
        <v>JDH4-02-007-CN-5210</v>
      </c>
      <c r="B1392" t="s">
        <v>1977</v>
      </c>
      <c r="C1392" t="s">
        <v>1978</v>
      </c>
      <c r="D1392" s="1">
        <v>81104.12</v>
      </c>
      <c r="E1392" s="3">
        <v>1</v>
      </c>
      <c r="F1392" s="3">
        <v>1</v>
      </c>
      <c r="G1392" s="1">
        <v>81104.12</v>
      </c>
    </row>
    <row r="1393" spans="1:7" x14ac:dyDescent="0.25">
      <c r="A1393" s="111" t="str">
        <f t="shared" si="21"/>
        <v>TSE Network</v>
      </c>
      <c r="B1393" t="s">
        <v>491</v>
      </c>
      <c r="D1393" s="1">
        <v>315346.48</v>
      </c>
      <c r="E1393" s="3"/>
      <c r="F1393" s="3">
        <v>1</v>
      </c>
      <c r="G1393" s="1">
        <v>315346.48</v>
      </c>
    </row>
    <row r="1394" spans="1:7" x14ac:dyDescent="0.25">
      <c r="A1394" s="111" t="str">
        <f t="shared" si="21"/>
        <v>Pipe Works</v>
      </c>
      <c r="B1394" t="s">
        <v>1722</v>
      </c>
      <c r="D1394" s="1">
        <v>199841.72</v>
      </c>
      <c r="E1394" s="3"/>
      <c r="F1394" s="3">
        <v>1</v>
      </c>
      <c r="G1394" s="1">
        <v>199841.72</v>
      </c>
    </row>
    <row r="1395" spans="1:7" x14ac:dyDescent="0.25">
      <c r="A1395" s="111" t="str">
        <f t="shared" si="21"/>
        <v>JDH4-02-007-CN-4010</v>
      </c>
      <c r="B1395" t="s">
        <v>1979</v>
      </c>
      <c r="C1395" t="s">
        <v>4081</v>
      </c>
      <c r="D1395" s="1">
        <v>4579.8999999999996</v>
      </c>
      <c r="E1395" s="3">
        <v>1</v>
      </c>
      <c r="F1395" s="3">
        <v>1</v>
      </c>
      <c r="G1395" s="1">
        <v>4579.8999999999996</v>
      </c>
    </row>
    <row r="1396" spans="1:7" x14ac:dyDescent="0.25">
      <c r="A1396" s="111" t="str">
        <f t="shared" si="21"/>
        <v>JDH4-02-007-CN-4150</v>
      </c>
      <c r="B1396" t="s">
        <v>1981</v>
      </c>
      <c r="C1396" t="s">
        <v>4082</v>
      </c>
      <c r="D1396" s="1">
        <v>22899.5</v>
      </c>
      <c r="E1396" s="3">
        <v>1</v>
      </c>
      <c r="F1396" s="3">
        <v>1</v>
      </c>
      <c r="G1396" s="1">
        <v>22899.5</v>
      </c>
    </row>
    <row r="1397" spans="1:7" x14ac:dyDescent="0.25">
      <c r="A1397" s="111" t="str">
        <f t="shared" si="21"/>
        <v>JDH4-02-007-CN-4080</v>
      </c>
      <c r="B1397" t="s">
        <v>1980</v>
      </c>
      <c r="C1397" t="s">
        <v>4083</v>
      </c>
      <c r="D1397" s="1">
        <v>2289.96</v>
      </c>
      <c r="E1397" s="3">
        <v>1</v>
      </c>
      <c r="F1397" s="3">
        <v>1</v>
      </c>
      <c r="G1397" s="1">
        <v>2289.96</v>
      </c>
    </row>
    <row r="1398" spans="1:7" x14ac:dyDescent="0.25">
      <c r="A1398" s="111" t="str">
        <f t="shared" si="21"/>
        <v>JDH4-02-007-CN-4290</v>
      </c>
      <c r="B1398" t="s">
        <v>1985</v>
      </c>
      <c r="C1398" t="s">
        <v>4084</v>
      </c>
      <c r="D1398" s="1">
        <v>2106.7600000000002</v>
      </c>
      <c r="E1398" s="3">
        <v>1</v>
      </c>
      <c r="F1398" s="3">
        <v>1</v>
      </c>
      <c r="G1398" s="1">
        <v>2106.7600000000002</v>
      </c>
    </row>
    <row r="1399" spans="1:7" x14ac:dyDescent="0.25">
      <c r="A1399" s="111" t="str">
        <f t="shared" si="21"/>
        <v>JDH4-02-007-CN-4010R</v>
      </c>
      <c r="B1399" t="s">
        <v>4085</v>
      </c>
      <c r="C1399" t="s">
        <v>1950</v>
      </c>
      <c r="D1399" s="1">
        <v>13739.69</v>
      </c>
      <c r="E1399" s="3">
        <v>1</v>
      </c>
      <c r="F1399" s="3">
        <v>1</v>
      </c>
      <c r="G1399" s="1">
        <v>13739.69</v>
      </c>
    </row>
    <row r="1400" spans="1:7" x14ac:dyDescent="0.25">
      <c r="A1400" s="111" t="str">
        <f t="shared" si="21"/>
        <v>JDH4-02-007-CN-4080R</v>
      </c>
      <c r="B1400" t="s">
        <v>4086</v>
      </c>
      <c r="C1400" t="s">
        <v>1952</v>
      </c>
      <c r="D1400" s="1">
        <v>6869.87</v>
      </c>
      <c r="E1400" s="3">
        <v>1</v>
      </c>
      <c r="F1400" s="3">
        <v>1</v>
      </c>
      <c r="G1400" s="1">
        <v>6869.87</v>
      </c>
    </row>
    <row r="1401" spans="1:7" x14ac:dyDescent="0.25">
      <c r="A1401" s="111" t="str">
        <f t="shared" si="21"/>
        <v>JDH4-02-007-CN-4150R</v>
      </c>
      <c r="B1401" t="s">
        <v>4087</v>
      </c>
      <c r="C1401" t="s">
        <v>1982</v>
      </c>
      <c r="D1401" s="1">
        <v>68698.5</v>
      </c>
      <c r="E1401" s="3">
        <v>1</v>
      </c>
      <c r="F1401" s="3">
        <v>1</v>
      </c>
      <c r="G1401" s="1">
        <v>68698.5</v>
      </c>
    </row>
    <row r="1402" spans="1:7" x14ac:dyDescent="0.25">
      <c r="A1402" s="111" t="str">
        <f t="shared" si="21"/>
        <v>JDH4-02-007-CN-4220</v>
      </c>
      <c r="B1402" t="s">
        <v>1983</v>
      </c>
      <c r="C1402" t="s">
        <v>1984</v>
      </c>
      <c r="D1402" s="1">
        <v>36654.89</v>
      </c>
      <c r="E1402" s="3">
        <v>1</v>
      </c>
      <c r="F1402" s="3">
        <v>1</v>
      </c>
      <c r="G1402" s="1">
        <v>36654.89</v>
      </c>
    </row>
    <row r="1403" spans="1:7" x14ac:dyDescent="0.25">
      <c r="A1403" s="111" t="str">
        <f t="shared" si="21"/>
        <v>JDH4-02-007-CN-4360</v>
      </c>
      <c r="B1403" t="s">
        <v>1987</v>
      </c>
      <c r="C1403" t="s">
        <v>1958</v>
      </c>
      <c r="D1403" s="1">
        <v>18327.45</v>
      </c>
      <c r="E1403" s="3">
        <v>1</v>
      </c>
      <c r="F1403" s="3">
        <v>1</v>
      </c>
      <c r="G1403" s="1">
        <v>18327.45</v>
      </c>
    </row>
    <row r="1404" spans="1:7" x14ac:dyDescent="0.25">
      <c r="A1404" s="111" t="str">
        <f t="shared" si="21"/>
        <v>JDH4-02-007-CN-4290R</v>
      </c>
      <c r="B1404" t="s">
        <v>4088</v>
      </c>
      <c r="C1404" t="s">
        <v>1986</v>
      </c>
      <c r="D1404" s="1">
        <v>7053.06</v>
      </c>
      <c r="E1404" s="3">
        <v>1</v>
      </c>
      <c r="F1404" s="3">
        <v>1</v>
      </c>
      <c r="G1404" s="1">
        <v>7053.06</v>
      </c>
    </row>
    <row r="1405" spans="1:7" x14ac:dyDescent="0.25">
      <c r="A1405" s="111" t="str">
        <f t="shared" si="21"/>
        <v>JDH4-02-007-CN-4670</v>
      </c>
      <c r="B1405" t="s">
        <v>1988</v>
      </c>
      <c r="C1405" t="s">
        <v>1989</v>
      </c>
      <c r="D1405" s="1">
        <v>16622.150000000001</v>
      </c>
      <c r="E1405" s="3">
        <v>1</v>
      </c>
      <c r="F1405" s="3">
        <v>1</v>
      </c>
      <c r="G1405" s="1">
        <v>16622.150000000001</v>
      </c>
    </row>
    <row r="1406" spans="1:7" x14ac:dyDescent="0.25">
      <c r="A1406" s="111" t="str">
        <f t="shared" si="21"/>
        <v>Pipe Encasement</v>
      </c>
      <c r="B1406" t="s">
        <v>1733</v>
      </c>
      <c r="D1406" s="1">
        <v>9065.8799999999992</v>
      </c>
      <c r="E1406" s="3"/>
      <c r="F1406" s="3">
        <v>1</v>
      </c>
      <c r="G1406" s="1">
        <v>9065.8799999999992</v>
      </c>
    </row>
    <row r="1407" spans="1:7" x14ac:dyDescent="0.25">
      <c r="A1407" s="111" t="str">
        <f t="shared" si="21"/>
        <v>JDH4-02-007-CN-4430</v>
      </c>
      <c r="B1407" t="s">
        <v>1990</v>
      </c>
      <c r="C1407" t="s">
        <v>1991</v>
      </c>
      <c r="D1407" s="1">
        <v>9065.8799999999992</v>
      </c>
      <c r="E1407" s="3">
        <v>1</v>
      </c>
      <c r="F1407" s="3">
        <v>1</v>
      </c>
      <c r="G1407" s="1">
        <v>9065.8799999999992</v>
      </c>
    </row>
    <row r="1408" spans="1:7" x14ac:dyDescent="0.25">
      <c r="A1408" s="111" t="str">
        <f t="shared" si="21"/>
        <v>Valves</v>
      </c>
      <c r="B1408" t="s">
        <v>127</v>
      </c>
      <c r="D1408" s="1">
        <v>93193.1</v>
      </c>
      <c r="E1408" s="3"/>
      <c r="F1408" s="3">
        <v>1</v>
      </c>
      <c r="G1408" s="1">
        <v>93193.1</v>
      </c>
    </row>
    <row r="1409" spans="1:7" x14ac:dyDescent="0.25">
      <c r="A1409" s="111" t="str">
        <f t="shared" si="21"/>
        <v>JDH4-02-007-CN-4500</v>
      </c>
      <c r="B1409" t="s">
        <v>1992</v>
      </c>
      <c r="C1409" t="s">
        <v>1993</v>
      </c>
      <c r="D1409" s="1">
        <v>11204.14</v>
      </c>
      <c r="E1409" s="3">
        <v>1</v>
      </c>
      <c r="F1409" s="3">
        <v>1</v>
      </c>
      <c r="G1409" s="1">
        <v>11204.14</v>
      </c>
    </row>
    <row r="1410" spans="1:7" x14ac:dyDescent="0.25">
      <c r="A1410" s="111" t="str">
        <f t="shared" si="21"/>
        <v>JDH4-02-007-CN-4550</v>
      </c>
      <c r="B1410" t="s">
        <v>1994</v>
      </c>
      <c r="C1410" t="s">
        <v>1995</v>
      </c>
      <c r="D1410" s="1">
        <v>44152.6</v>
      </c>
      <c r="E1410" s="3">
        <v>1</v>
      </c>
      <c r="F1410" s="3">
        <v>1</v>
      </c>
      <c r="G1410" s="1">
        <v>44152.6</v>
      </c>
    </row>
    <row r="1411" spans="1:7" x14ac:dyDescent="0.25">
      <c r="A1411" s="111" t="str">
        <f t="shared" si="21"/>
        <v>JDH4-02-007-CN-4560</v>
      </c>
      <c r="B1411" t="s">
        <v>1996</v>
      </c>
      <c r="C1411" t="s">
        <v>1997</v>
      </c>
      <c r="D1411" s="1">
        <v>23329.08</v>
      </c>
      <c r="E1411" s="3">
        <v>1</v>
      </c>
      <c r="F1411" s="3">
        <v>1</v>
      </c>
      <c r="G1411" s="1">
        <v>23329.08</v>
      </c>
    </row>
    <row r="1412" spans="1:7" x14ac:dyDescent="0.25">
      <c r="A1412" s="111" t="str">
        <f t="shared" ref="A1412:A1475" si="22">TRIM(B1412)</f>
        <v>JDH4-02-007-CN-4580</v>
      </c>
      <c r="B1412" t="s">
        <v>1998</v>
      </c>
      <c r="C1412" t="s">
        <v>1999</v>
      </c>
      <c r="D1412" s="1">
        <v>14507.28</v>
      </c>
      <c r="E1412" s="3">
        <v>1</v>
      </c>
      <c r="F1412" s="3">
        <v>1</v>
      </c>
      <c r="G1412" s="1">
        <v>14507.28</v>
      </c>
    </row>
    <row r="1413" spans="1:7" x14ac:dyDescent="0.25">
      <c r="A1413" s="111" t="str">
        <f t="shared" si="22"/>
        <v>Risers</v>
      </c>
      <c r="B1413" t="s">
        <v>499</v>
      </c>
      <c r="D1413" s="1">
        <v>13245.78</v>
      </c>
      <c r="E1413" s="3"/>
      <c r="F1413" s="3">
        <v>1</v>
      </c>
      <c r="G1413" s="1">
        <v>13245.78</v>
      </c>
    </row>
    <row r="1414" spans="1:7" x14ac:dyDescent="0.25">
      <c r="A1414" s="111" t="str">
        <f t="shared" si="22"/>
        <v>JDH4-02-007-CN-4740</v>
      </c>
      <c r="B1414" t="s">
        <v>2000</v>
      </c>
      <c r="C1414" t="s">
        <v>2001</v>
      </c>
      <c r="D1414" s="1">
        <v>13245.78</v>
      </c>
      <c r="E1414" s="3">
        <v>1</v>
      </c>
      <c r="F1414" s="3">
        <v>1</v>
      </c>
      <c r="G1414" s="1">
        <v>13245.78</v>
      </c>
    </row>
    <row r="1415" spans="1:7" x14ac:dyDescent="0.25">
      <c r="A1415" s="111" t="str">
        <f t="shared" si="22"/>
        <v>Potable Network</v>
      </c>
      <c r="B1415" t="s">
        <v>120</v>
      </c>
      <c r="D1415" s="1">
        <v>1242732.96</v>
      </c>
      <c r="E1415" s="3"/>
      <c r="F1415" s="3">
        <v>1</v>
      </c>
      <c r="G1415" s="1">
        <v>1242732.96</v>
      </c>
    </row>
    <row r="1416" spans="1:7" x14ac:dyDescent="0.25">
      <c r="A1416" s="111" t="str">
        <f t="shared" si="22"/>
        <v>Pipe Works</v>
      </c>
      <c r="B1416" t="s">
        <v>1722</v>
      </c>
      <c r="D1416" s="1">
        <v>176873.66</v>
      </c>
      <c r="E1416" s="3"/>
      <c r="F1416" s="3">
        <v>1</v>
      </c>
      <c r="G1416" s="1">
        <v>176873.66</v>
      </c>
    </row>
    <row r="1417" spans="1:7" x14ac:dyDescent="0.25">
      <c r="A1417" s="111" t="str">
        <f t="shared" si="22"/>
        <v>JDH4-02-007-CN-3330</v>
      </c>
      <c r="B1417" t="s">
        <v>2002</v>
      </c>
      <c r="C1417" t="s">
        <v>1950</v>
      </c>
      <c r="D1417" s="1">
        <v>17687.38</v>
      </c>
      <c r="E1417" s="3">
        <v>1</v>
      </c>
      <c r="F1417" s="2">
        <v>1</v>
      </c>
      <c r="G1417" s="1">
        <v>17687.38</v>
      </c>
    </row>
    <row r="1418" spans="1:7" x14ac:dyDescent="0.25">
      <c r="A1418" s="111" t="str">
        <f t="shared" si="22"/>
        <v>JDH4-02-007-CN-3470</v>
      </c>
      <c r="B1418" t="s">
        <v>2004</v>
      </c>
      <c r="C1418" t="s">
        <v>1982</v>
      </c>
      <c r="D1418" s="1">
        <v>88436.81</v>
      </c>
      <c r="E1418" s="3">
        <v>1</v>
      </c>
      <c r="F1418" s="2">
        <v>1</v>
      </c>
      <c r="G1418" s="1">
        <v>88436.81</v>
      </c>
    </row>
    <row r="1419" spans="1:7" x14ac:dyDescent="0.25">
      <c r="A1419" s="111" t="str">
        <f t="shared" si="22"/>
        <v>JDH4-02-007-CN-3540</v>
      </c>
      <c r="B1419" t="s">
        <v>2005</v>
      </c>
      <c r="C1419" t="s">
        <v>1984</v>
      </c>
      <c r="D1419" s="1">
        <v>35374.71</v>
      </c>
      <c r="E1419" s="3">
        <v>1</v>
      </c>
      <c r="F1419" s="3">
        <v>1</v>
      </c>
      <c r="G1419" s="1">
        <v>35374.71</v>
      </c>
    </row>
    <row r="1420" spans="1:7" x14ac:dyDescent="0.25">
      <c r="A1420" s="111" t="str">
        <f t="shared" si="22"/>
        <v>JDH4-02-007-CN-3610</v>
      </c>
      <c r="B1420" t="s">
        <v>2006</v>
      </c>
      <c r="C1420" t="s">
        <v>1956</v>
      </c>
      <c r="D1420" s="1">
        <v>8843.69</v>
      </c>
      <c r="E1420" s="3">
        <v>1</v>
      </c>
      <c r="F1420" s="3">
        <v>1</v>
      </c>
      <c r="G1420" s="1">
        <v>8843.69</v>
      </c>
    </row>
    <row r="1421" spans="1:7" x14ac:dyDescent="0.25">
      <c r="A1421" s="111" t="str">
        <f t="shared" si="22"/>
        <v>JDH4-02-007-CN-3680</v>
      </c>
      <c r="B1421" t="s">
        <v>2007</v>
      </c>
      <c r="C1421" t="s">
        <v>2008</v>
      </c>
      <c r="D1421" s="1">
        <v>17687.38</v>
      </c>
      <c r="E1421" s="3">
        <v>1</v>
      </c>
      <c r="F1421" s="3">
        <v>1</v>
      </c>
      <c r="G1421" s="1">
        <v>17687.38</v>
      </c>
    </row>
    <row r="1422" spans="1:7" x14ac:dyDescent="0.25">
      <c r="A1422" s="111" t="str">
        <f t="shared" si="22"/>
        <v>JDH4-02-007-CN-3400</v>
      </c>
      <c r="B1422" t="s">
        <v>2003</v>
      </c>
      <c r="C1422" t="s">
        <v>1952</v>
      </c>
      <c r="D1422" s="1">
        <v>8843.69</v>
      </c>
      <c r="E1422" s="3">
        <v>1</v>
      </c>
      <c r="F1422" s="3">
        <v>1</v>
      </c>
      <c r="G1422" s="1">
        <v>8843.69</v>
      </c>
    </row>
    <row r="1423" spans="1:7" x14ac:dyDescent="0.25">
      <c r="A1423" s="111" t="str">
        <f t="shared" si="22"/>
        <v>Pipe Encasement</v>
      </c>
      <c r="B1423" t="s">
        <v>1733</v>
      </c>
      <c r="D1423" s="1">
        <v>13294.79</v>
      </c>
      <c r="E1423" s="3"/>
      <c r="F1423" s="3">
        <v>1</v>
      </c>
      <c r="G1423" s="1">
        <v>13294.79</v>
      </c>
    </row>
    <row r="1424" spans="1:7" x14ac:dyDescent="0.25">
      <c r="A1424" s="111" t="str">
        <f t="shared" si="22"/>
        <v>JDH4-02-007-CN-3750</v>
      </c>
      <c r="B1424" t="s">
        <v>2009</v>
      </c>
      <c r="C1424" t="s">
        <v>1991</v>
      </c>
      <c r="D1424" s="1">
        <v>13294.79</v>
      </c>
      <c r="E1424" s="3">
        <v>1</v>
      </c>
      <c r="F1424" s="3">
        <v>1</v>
      </c>
      <c r="G1424" s="1">
        <v>13294.79</v>
      </c>
    </row>
    <row r="1425" spans="1:7" x14ac:dyDescent="0.25">
      <c r="A1425" s="111" t="str">
        <f t="shared" si="22"/>
        <v>Valves</v>
      </c>
      <c r="B1425" t="s">
        <v>127</v>
      </c>
      <c r="D1425" s="1">
        <v>141183.18</v>
      </c>
      <c r="E1425" s="3"/>
      <c r="F1425" s="3">
        <v>1</v>
      </c>
      <c r="G1425" s="1">
        <v>141183.18</v>
      </c>
    </row>
    <row r="1426" spans="1:7" x14ac:dyDescent="0.25">
      <c r="A1426" s="111" t="str">
        <f t="shared" si="22"/>
        <v>JDH4-02-007-CN-3820</v>
      </c>
      <c r="B1426" t="s">
        <v>2010</v>
      </c>
      <c r="C1426" t="s">
        <v>1993</v>
      </c>
      <c r="D1426" s="1">
        <v>13140.65</v>
      </c>
      <c r="E1426" s="3">
        <v>1</v>
      </c>
      <c r="F1426" s="3">
        <v>1</v>
      </c>
      <c r="G1426" s="1">
        <v>13140.65</v>
      </c>
    </row>
    <row r="1427" spans="1:7" x14ac:dyDescent="0.25">
      <c r="A1427" s="111" t="str">
        <f t="shared" si="22"/>
        <v>JDH4-02-007-CN-3870</v>
      </c>
      <c r="B1427" t="s">
        <v>2011</v>
      </c>
      <c r="C1427" t="s">
        <v>2012</v>
      </c>
      <c r="D1427" s="1">
        <v>37845.08</v>
      </c>
      <c r="E1427" s="3">
        <v>1</v>
      </c>
      <c r="F1427" s="3">
        <v>1</v>
      </c>
      <c r="G1427" s="1">
        <v>37845.08</v>
      </c>
    </row>
    <row r="1428" spans="1:7" x14ac:dyDescent="0.25">
      <c r="A1428" s="111" t="str">
        <f t="shared" si="22"/>
        <v>JDH4-02-007-CN-3880</v>
      </c>
      <c r="B1428" t="s">
        <v>2013</v>
      </c>
      <c r="C1428" t="s">
        <v>2014</v>
      </c>
      <c r="D1428" s="1">
        <v>29645.31</v>
      </c>
      <c r="E1428" s="3">
        <v>1</v>
      </c>
      <c r="F1428" s="3">
        <v>1</v>
      </c>
      <c r="G1428" s="1">
        <v>29645.31</v>
      </c>
    </row>
    <row r="1429" spans="1:7" x14ac:dyDescent="0.25">
      <c r="A1429" s="111" t="str">
        <f t="shared" si="22"/>
        <v>JDH4-02-007-CN-3890</v>
      </c>
      <c r="B1429" t="s">
        <v>2015</v>
      </c>
      <c r="C1429" t="s">
        <v>2016</v>
      </c>
      <c r="D1429" s="1">
        <v>60552.14</v>
      </c>
      <c r="E1429" s="3">
        <v>1</v>
      </c>
      <c r="F1429" s="3">
        <v>1</v>
      </c>
      <c r="G1429" s="1">
        <v>60552.14</v>
      </c>
    </row>
    <row r="1430" spans="1:7" x14ac:dyDescent="0.25">
      <c r="A1430" s="111" t="str">
        <f t="shared" si="22"/>
        <v>Fire Hydrant</v>
      </c>
      <c r="B1430" t="s">
        <v>124</v>
      </c>
      <c r="D1430" s="1">
        <v>75690.17</v>
      </c>
      <c r="E1430" s="3"/>
      <c r="F1430" s="3">
        <v>1</v>
      </c>
      <c r="G1430" s="1">
        <v>75690.17</v>
      </c>
    </row>
    <row r="1431" spans="1:7" x14ac:dyDescent="0.25">
      <c r="A1431" s="111" t="str">
        <f t="shared" si="22"/>
        <v>JDH4-02-007-CN-3910</v>
      </c>
      <c r="B1431" t="s">
        <v>2017</v>
      </c>
      <c r="C1431" t="s">
        <v>2018</v>
      </c>
      <c r="D1431" s="1">
        <v>75690.17</v>
      </c>
      <c r="E1431" s="3">
        <v>1</v>
      </c>
      <c r="F1431" s="3">
        <v>1</v>
      </c>
      <c r="G1431" s="1">
        <v>75690.17</v>
      </c>
    </row>
    <row r="1432" spans="1:7" x14ac:dyDescent="0.25">
      <c r="A1432" s="111" t="str">
        <f t="shared" si="22"/>
        <v>Valve Chambers</v>
      </c>
      <c r="B1432" t="s">
        <v>2019</v>
      </c>
      <c r="D1432" s="1">
        <v>829383.65</v>
      </c>
      <c r="F1432" s="2">
        <v>1</v>
      </c>
      <c r="G1432" s="1">
        <v>829383.65</v>
      </c>
    </row>
    <row r="1433" spans="1:7" x14ac:dyDescent="0.25">
      <c r="A1433" s="111" t="str">
        <f t="shared" si="22"/>
        <v>JDH4-02-007-CN-3950</v>
      </c>
      <c r="B1433" t="s">
        <v>2020</v>
      </c>
      <c r="C1433" t="s">
        <v>2021</v>
      </c>
      <c r="D1433" s="1">
        <v>104035.14</v>
      </c>
      <c r="E1433" s="3">
        <v>1</v>
      </c>
      <c r="F1433" s="2">
        <v>1</v>
      </c>
      <c r="G1433" s="1">
        <v>104035.14</v>
      </c>
    </row>
    <row r="1434" spans="1:7" x14ac:dyDescent="0.25">
      <c r="A1434" s="111" t="str">
        <f t="shared" si="22"/>
        <v>JDH4-02-007-CN-3960</v>
      </c>
      <c r="B1434" t="s">
        <v>2022</v>
      </c>
      <c r="C1434" t="s">
        <v>2023</v>
      </c>
      <c r="D1434" s="1">
        <v>261848.64</v>
      </c>
      <c r="E1434" s="3">
        <v>1</v>
      </c>
      <c r="F1434" s="3">
        <v>1</v>
      </c>
      <c r="G1434" s="1">
        <v>261848.64</v>
      </c>
    </row>
    <row r="1435" spans="1:7" x14ac:dyDescent="0.25">
      <c r="A1435" s="111" t="str">
        <f t="shared" si="22"/>
        <v>JDH4-02-007-CN-3970</v>
      </c>
      <c r="B1435" t="s">
        <v>2024</v>
      </c>
      <c r="C1435" t="s">
        <v>2025</v>
      </c>
      <c r="D1435" s="1">
        <v>274274.46000000002</v>
      </c>
      <c r="E1435" s="3">
        <v>1</v>
      </c>
      <c r="F1435" s="3">
        <v>1</v>
      </c>
      <c r="G1435" s="1">
        <v>274274.46000000002</v>
      </c>
    </row>
    <row r="1436" spans="1:7" x14ac:dyDescent="0.25">
      <c r="A1436" s="111" t="str">
        <f t="shared" si="22"/>
        <v>JDH4-02-007-CN-4600</v>
      </c>
      <c r="B1436" t="s">
        <v>2026</v>
      </c>
      <c r="C1436" t="s">
        <v>2021</v>
      </c>
      <c r="D1436" s="1">
        <v>75690.16</v>
      </c>
      <c r="E1436" s="3">
        <v>1</v>
      </c>
      <c r="F1436" s="3">
        <v>1</v>
      </c>
      <c r="G1436" s="1">
        <v>75690.16</v>
      </c>
    </row>
    <row r="1437" spans="1:7" x14ac:dyDescent="0.25">
      <c r="A1437" s="111" t="str">
        <f t="shared" si="22"/>
        <v>JDH4-02-007-CN-4630</v>
      </c>
      <c r="B1437" t="s">
        <v>2029</v>
      </c>
      <c r="C1437" t="s">
        <v>2025</v>
      </c>
      <c r="D1437" s="1">
        <v>75690.17</v>
      </c>
      <c r="E1437" s="3">
        <v>1</v>
      </c>
      <c r="F1437" s="3">
        <v>1</v>
      </c>
      <c r="G1437" s="1">
        <v>75690.17</v>
      </c>
    </row>
    <row r="1438" spans="1:7" x14ac:dyDescent="0.25">
      <c r="A1438" s="111" t="str">
        <f t="shared" si="22"/>
        <v>JDH4-02-007-CN-4610</v>
      </c>
      <c r="B1438" t="s">
        <v>2027</v>
      </c>
      <c r="C1438" t="s">
        <v>2028</v>
      </c>
      <c r="D1438" s="1">
        <v>37845.08</v>
      </c>
      <c r="E1438" s="3">
        <v>1</v>
      </c>
      <c r="F1438" s="3">
        <v>1</v>
      </c>
      <c r="G1438" s="1">
        <v>37845.08</v>
      </c>
    </row>
    <row r="1439" spans="1:7" x14ac:dyDescent="0.25">
      <c r="A1439" s="111" t="str">
        <f t="shared" si="22"/>
        <v>Road Crossings</v>
      </c>
      <c r="B1439" t="s">
        <v>2030</v>
      </c>
      <c r="D1439" s="1">
        <v>6307.51</v>
      </c>
      <c r="E1439" s="3"/>
      <c r="F1439" s="3">
        <v>1</v>
      </c>
      <c r="G1439" s="1">
        <v>6307.51</v>
      </c>
    </row>
    <row r="1440" spans="1:7" x14ac:dyDescent="0.25">
      <c r="A1440" s="111" t="str">
        <f t="shared" si="22"/>
        <v>JDH4-02-007-CN-3980</v>
      </c>
      <c r="B1440" t="s">
        <v>2031</v>
      </c>
      <c r="C1440" t="s">
        <v>2032</v>
      </c>
      <c r="D1440" s="1">
        <v>6307.51</v>
      </c>
      <c r="E1440" s="3">
        <v>1</v>
      </c>
      <c r="F1440" s="3">
        <v>1</v>
      </c>
      <c r="G1440" s="1">
        <v>6307.51</v>
      </c>
    </row>
    <row r="1441" spans="1:7" x14ac:dyDescent="0.25">
      <c r="A1441" s="111" t="str">
        <f t="shared" si="22"/>
        <v>Electrical Works</v>
      </c>
      <c r="B1441" t="s">
        <v>1785</v>
      </c>
      <c r="D1441" s="1">
        <v>360707.74</v>
      </c>
      <c r="E1441" s="3"/>
      <c r="F1441" s="3">
        <v>1</v>
      </c>
      <c r="G1441" s="1">
        <v>360707.74</v>
      </c>
    </row>
    <row r="1442" spans="1:7" x14ac:dyDescent="0.25">
      <c r="A1442" s="111" t="str">
        <f t="shared" si="22"/>
        <v>LV Cables</v>
      </c>
      <c r="B1442" t="s">
        <v>4076</v>
      </c>
      <c r="D1442" s="1">
        <v>71867.75</v>
      </c>
      <c r="E1442" s="3"/>
      <c r="F1442" s="3">
        <v>1</v>
      </c>
      <c r="G1442" s="1">
        <v>71867.75</v>
      </c>
    </row>
    <row r="1443" spans="1:7" x14ac:dyDescent="0.25">
      <c r="A1443" s="111" t="str">
        <f t="shared" si="22"/>
        <v>Low Voltage Cable</v>
      </c>
      <c r="B1443" t="s">
        <v>222</v>
      </c>
      <c r="D1443" s="1">
        <v>71867.75</v>
      </c>
      <c r="E1443" s="3"/>
      <c r="F1443" s="3">
        <v>1</v>
      </c>
      <c r="G1443" s="1">
        <v>71867.75</v>
      </c>
    </row>
    <row r="1444" spans="1:7" x14ac:dyDescent="0.25">
      <c r="A1444" s="111" t="str">
        <f t="shared" si="22"/>
        <v>JDH4-02-007-CN-2610</v>
      </c>
      <c r="B1444" t="s">
        <v>2039</v>
      </c>
      <c r="C1444" t="s">
        <v>2040</v>
      </c>
      <c r="D1444" s="1">
        <v>19225.3</v>
      </c>
      <c r="E1444" s="3">
        <v>1</v>
      </c>
      <c r="F1444" s="3">
        <v>1</v>
      </c>
      <c r="G1444" s="1">
        <v>19225.3</v>
      </c>
    </row>
    <row r="1445" spans="1:7" x14ac:dyDescent="0.25">
      <c r="A1445" s="111" t="str">
        <f t="shared" si="22"/>
        <v>JDH4-02-007-CN-2620</v>
      </c>
      <c r="B1445" t="s">
        <v>2041</v>
      </c>
      <c r="C1445" t="s">
        <v>2042</v>
      </c>
      <c r="D1445" s="1">
        <v>52642.45</v>
      </c>
      <c r="E1445" s="3">
        <v>1</v>
      </c>
      <c r="F1445" s="3">
        <v>1</v>
      </c>
      <c r="G1445" s="1">
        <v>52642.45</v>
      </c>
    </row>
    <row r="1446" spans="1:7" x14ac:dyDescent="0.25">
      <c r="A1446" s="111" t="str">
        <f t="shared" si="22"/>
        <v>Street Lighting</v>
      </c>
      <c r="B1446" t="s">
        <v>1786</v>
      </c>
      <c r="D1446" s="1">
        <v>20045.28</v>
      </c>
      <c r="E1446" s="3"/>
      <c r="F1446" s="3">
        <v>1</v>
      </c>
      <c r="G1446" s="1">
        <v>20045.28</v>
      </c>
    </row>
    <row r="1447" spans="1:7" x14ac:dyDescent="0.25">
      <c r="A1447" s="111" t="str">
        <f t="shared" si="22"/>
        <v>JDH4-02-007-CN-2770</v>
      </c>
      <c r="B1447" t="s">
        <v>2043</v>
      </c>
      <c r="C1447" t="s">
        <v>2040</v>
      </c>
      <c r="D1447" s="1">
        <v>3279.91</v>
      </c>
      <c r="E1447" s="3">
        <v>1</v>
      </c>
      <c r="F1447" s="3">
        <v>1</v>
      </c>
      <c r="G1447" s="1">
        <v>3279.91</v>
      </c>
    </row>
    <row r="1448" spans="1:7" x14ac:dyDescent="0.25">
      <c r="A1448" s="111" t="str">
        <f t="shared" si="22"/>
        <v>JDH4-02-007-CN-2850</v>
      </c>
      <c r="B1448" t="s">
        <v>2044</v>
      </c>
      <c r="C1448" t="s">
        <v>2042</v>
      </c>
      <c r="D1448" s="1">
        <v>16765.37</v>
      </c>
      <c r="E1448" s="3">
        <v>1</v>
      </c>
      <c r="F1448" s="3">
        <v>1</v>
      </c>
      <c r="G1448" s="1">
        <v>16765.37</v>
      </c>
    </row>
    <row r="1449" spans="1:7" x14ac:dyDescent="0.25">
      <c r="A1449" s="111" t="str">
        <f t="shared" si="22"/>
        <v>Telecommunication</v>
      </c>
      <c r="B1449" t="s">
        <v>1799</v>
      </c>
      <c r="D1449" s="1">
        <v>268794.71000000002</v>
      </c>
      <c r="E1449" s="3"/>
      <c r="F1449" s="3">
        <v>1</v>
      </c>
      <c r="G1449" s="1">
        <v>268794.71000000002</v>
      </c>
    </row>
    <row r="1450" spans="1:7" x14ac:dyDescent="0.25">
      <c r="A1450" s="111" t="str">
        <f t="shared" si="22"/>
        <v>JDH4-02-007-CN-3150</v>
      </c>
      <c r="B1450" t="s">
        <v>2047</v>
      </c>
      <c r="C1450" t="s">
        <v>2048</v>
      </c>
      <c r="D1450" s="1">
        <v>5392.92</v>
      </c>
      <c r="E1450" s="3">
        <v>1</v>
      </c>
      <c r="F1450" s="3">
        <v>1</v>
      </c>
      <c r="G1450" s="1">
        <v>5392.92</v>
      </c>
    </row>
    <row r="1451" spans="1:7" x14ac:dyDescent="0.25">
      <c r="A1451" s="111" t="str">
        <f t="shared" si="22"/>
        <v>JDH4-02-007-CN-3260</v>
      </c>
      <c r="B1451" t="s">
        <v>2049</v>
      </c>
      <c r="C1451" t="s">
        <v>1978</v>
      </c>
      <c r="D1451" s="1">
        <v>56767.63</v>
      </c>
      <c r="E1451" s="3">
        <v>1</v>
      </c>
      <c r="F1451" s="3">
        <v>1</v>
      </c>
      <c r="G1451" s="1">
        <v>56767.63</v>
      </c>
    </row>
    <row r="1452" spans="1:7" x14ac:dyDescent="0.25">
      <c r="A1452" s="111" t="str">
        <f t="shared" si="22"/>
        <v>JDH4-02-007-CN-3080</v>
      </c>
      <c r="B1452" t="s">
        <v>2045</v>
      </c>
      <c r="C1452" t="s">
        <v>2046</v>
      </c>
      <c r="D1452" s="1">
        <v>206634.16</v>
      </c>
      <c r="E1452" s="3">
        <v>1</v>
      </c>
      <c r="F1452" s="3">
        <v>1</v>
      </c>
      <c r="G1452" s="1">
        <v>206634.16</v>
      </c>
    </row>
    <row r="1453" spans="1:7" x14ac:dyDescent="0.25">
      <c r="A1453" s="111" t="str">
        <f t="shared" si="22"/>
        <v>Open Drain Channel</v>
      </c>
      <c r="B1453" t="s">
        <v>2050</v>
      </c>
      <c r="D1453" s="1">
        <v>389804.76</v>
      </c>
      <c r="E1453" s="3"/>
      <c r="F1453" s="3">
        <v>1</v>
      </c>
      <c r="G1453" s="1">
        <v>389804.76</v>
      </c>
    </row>
    <row r="1454" spans="1:7" x14ac:dyDescent="0.25">
      <c r="A1454" s="111" t="str">
        <f t="shared" si="22"/>
        <v>JDH4-02-007-CN-5850</v>
      </c>
      <c r="B1454" t="s">
        <v>2051</v>
      </c>
      <c r="C1454" t="s">
        <v>4089</v>
      </c>
      <c r="D1454" s="1">
        <v>65850.600000000006</v>
      </c>
      <c r="E1454" s="3">
        <v>1</v>
      </c>
      <c r="F1454" s="3">
        <v>1</v>
      </c>
      <c r="G1454" s="1">
        <v>65850.600000000006</v>
      </c>
    </row>
    <row r="1455" spans="1:7" x14ac:dyDescent="0.25">
      <c r="A1455" s="111" t="str">
        <f t="shared" si="22"/>
        <v>JDH4-02-007-CN-5860</v>
      </c>
      <c r="B1455" t="s">
        <v>2053</v>
      </c>
      <c r="C1455" t="s">
        <v>4090</v>
      </c>
      <c r="D1455" s="1">
        <v>30276.07</v>
      </c>
      <c r="E1455" s="3">
        <v>1</v>
      </c>
      <c r="F1455" s="3">
        <v>1</v>
      </c>
      <c r="G1455" s="1">
        <v>30276.07</v>
      </c>
    </row>
    <row r="1456" spans="1:7" x14ac:dyDescent="0.25">
      <c r="A1456" s="111" t="str">
        <f t="shared" si="22"/>
        <v>JDH4-02-007-CN-5870</v>
      </c>
      <c r="B1456" t="s">
        <v>2055</v>
      </c>
      <c r="C1456" t="s">
        <v>2056</v>
      </c>
      <c r="D1456" s="1">
        <v>18922.54</v>
      </c>
      <c r="E1456" s="3">
        <v>1</v>
      </c>
      <c r="F1456" s="3">
        <v>1</v>
      </c>
      <c r="G1456" s="1">
        <v>18922.54</v>
      </c>
    </row>
    <row r="1457" spans="1:7" x14ac:dyDescent="0.25">
      <c r="A1457" s="111" t="str">
        <f t="shared" si="22"/>
        <v>JDH4-02-007-CN-5850R</v>
      </c>
      <c r="B1457" t="s">
        <v>4091</v>
      </c>
      <c r="C1457" t="s">
        <v>2052</v>
      </c>
      <c r="D1457" s="1">
        <v>98775.9</v>
      </c>
      <c r="E1457" s="3">
        <v>1</v>
      </c>
      <c r="F1457" s="3">
        <v>1</v>
      </c>
      <c r="G1457" s="1">
        <v>98775.9</v>
      </c>
    </row>
    <row r="1458" spans="1:7" x14ac:dyDescent="0.25">
      <c r="A1458" s="111" t="str">
        <f t="shared" si="22"/>
        <v>JDH4-02-007-CN-5860R</v>
      </c>
      <c r="B1458" t="s">
        <v>4092</v>
      </c>
      <c r="C1458" t="s">
        <v>2054</v>
      </c>
      <c r="D1458" s="1">
        <v>20184.04</v>
      </c>
      <c r="E1458" s="3">
        <v>1</v>
      </c>
      <c r="F1458" s="3">
        <v>1</v>
      </c>
      <c r="G1458" s="1">
        <v>20184.04</v>
      </c>
    </row>
    <row r="1459" spans="1:7" x14ac:dyDescent="0.25">
      <c r="A1459" s="111" t="str">
        <f t="shared" si="22"/>
        <v>JDH4-02-007-CN-5880</v>
      </c>
      <c r="B1459" t="s">
        <v>2057</v>
      </c>
      <c r="C1459" t="s">
        <v>2058</v>
      </c>
      <c r="D1459" s="1">
        <v>155795.6</v>
      </c>
      <c r="E1459" s="3">
        <v>1</v>
      </c>
      <c r="F1459" s="3">
        <v>1</v>
      </c>
      <c r="G1459" s="1">
        <v>155795.6</v>
      </c>
    </row>
    <row r="1460" spans="1:7" x14ac:dyDescent="0.25">
      <c r="A1460" s="111" t="str">
        <f t="shared" si="22"/>
        <v>Road 02</v>
      </c>
      <c r="B1460" t="s">
        <v>2059</v>
      </c>
      <c r="D1460" s="1">
        <v>658204</v>
      </c>
      <c r="E1460" s="3"/>
      <c r="F1460" s="3">
        <v>1</v>
      </c>
      <c r="G1460" s="1">
        <v>658204</v>
      </c>
    </row>
    <row r="1461" spans="1:7" x14ac:dyDescent="0.25">
      <c r="A1461" s="111" t="str">
        <f t="shared" si="22"/>
        <v>Under Pass</v>
      </c>
      <c r="B1461" t="s">
        <v>2060</v>
      </c>
      <c r="D1461" s="1">
        <v>112526.05</v>
      </c>
      <c r="F1461" s="3">
        <v>1</v>
      </c>
      <c r="G1461" s="1">
        <v>112526.05</v>
      </c>
    </row>
    <row r="1462" spans="1:7" x14ac:dyDescent="0.25">
      <c r="A1462" s="111" t="str">
        <f t="shared" si="22"/>
        <v>JDH4-02-007-CN-1940</v>
      </c>
      <c r="B1462" t="s">
        <v>2061</v>
      </c>
      <c r="C1462" t="s">
        <v>2062</v>
      </c>
      <c r="D1462" s="1">
        <v>16651.84</v>
      </c>
      <c r="E1462" s="3">
        <v>1</v>
      </c>
      <c r="F1462" s="3">
        <v>1</v>
      </c>
      <c r="G1462" s="1">
        <v>16651.84</v>
      </c>
    </row>
    <row r="1463" spans="1:7" x14ac:dyDescent="0.25">
      <c r="A1463" s="111" t="str">
        <f t="shared" si="22"/>
        <v>JDH4-02-007-CN-2410</v>
      </c>
      <c r="B1463" t="s">
        <v>2063</v>
      </c>
      <c r="C1463" t="s">
        <v>2064</v>
      </c>
      <c r="D1463" s="1">
        <v>95874.21</v>
      </c>
      <c r="E1463" s="3">
        <v>1</v>
      </c>
      <c r="F1463" s="3">
        <v>1</v>
      </c>
      <c r="G1463" s="1">
        <v>95874.21</v>
      </c>
    </row>
    <row r="1464" spans="1:7" x14ac:dyDescent="0.25">
      <c r="A1464" s="111" t="str">
        <f t="shared" si="22"/>
        <v>Sewerage Network</v>
      </c>
      <c r="B1464" t="s">
        <v>221</v>
      </c>
      <c r="D1464" s="1">
        <v>89801.58</v>
      </c>
      <c r="E1464" s="3"/>
      <c r="F1464" s="3">
        <v>1</v>
      </c>
      <c r="G1464" s="1">
        <v>89801.58</v>
      </c>
    </row>
    <row r="1465" spans="1:7" x14ac:dyDescent="0.25">
      <c r="A1465" s="111" t="str">
        <f t=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
        <v>57055.71</v>
      </c>
    </row>
    <row r="1466" spans="1:7" x14ac:dyDescent="0.25">
      <c r="A1466" s="111" t="str">
        <f t="shared" si="22"/>
        <v>JDH4-02-007-CN-4770</v>
      </c>
      <c r="B1466" t="s">
        <v>2065</v>
      </c>
      <c r="C1466" t="s">
        <v>2066</v>
      </c>
      <c r="D1466" s="1">
        <v>5705.57</v>
      </c>
      <c r="E1466" s="3">
        <v>1</v>
      </c>
      <c r="F1466" s="3">
        <v>1</v>
      </c>
      <c r="G1466" s="1">
        <v>5705.57</v>
      </c>
    </row>
    <row r="1467" spans="1:7" x14ac:dyDescent="0.25">
      <c r="A1467" s="111" t="str">
        <f t="shared" si="22"/>
        <v>JDH4-02-007-CN-5050</v>
      </c>
      <c r="B1467" t="s">
        <v>2073</v>
      </c>
      <c r="C1467" t="s">
        <v>2074</v>
      </c>
      <c r="D1467" s="1">
        <v>2852.78</v>
      </c>
      <c r="E1467" s="3">
        <v>1</v>
      </c>
      <c r="F1467" s="3">
        <v>1</v>
      </c>
      <c r="G1467" s="1">
        <v>2852.78</v>
      </c>
    </row>
    <row r="1468" spans="1:7" x14ac:dyDescent="0.25">
      <c r="A1468" s="111" t="str">
        <f t="shared" si="22"/>
        <v>JDH4-02-007-CN-4840</v>
      </c>
      <c r="B1468" t="s">
        <v>2067</v>
      </c>
      <c r="C1468" t="s">
        <v>2068</v>
      </c>
      <c r="D1468" s="1">
        <v>2852.78</v>
      </c>
      <c r="E1468" s="3">
        <v>1</v>
      </c>
      <c r="F1468" s="3">
        <v>1</v>
      </c>
      <c r="G1468" s="1">
        <v>2852.78</v>
      </c>
    </row>
    <row r="1469" spans="1:7" x14ac:dyDescent="0.25">
      <c r="A1469" s="111" t="str">
        <f t="shared" si="22"/>
        <v>JDH4-02-007-CN-4910</v>
      </c>
      <c r="B1469" t="s">
        <v>2069</v>
      </c>
      <c r="C1469" t="s">
        <v>2070</v>
      </c>
      <c r="D1469" s="1">
        <v>28527.86</v>
      </c>
      <c r="E1469" s="3">
        <v>1</v>
      </c>
      <c r="F1469" s="3">
        <v>1</v>
      </c>
      <c r="G1469" s="1">
        <v>28527.86</v>
      </c>
    </row>
    <row r="1470" spans="1:7" x14ac:dyDescent="0.25">
      <c r="A1470" s="111" t="str">
        <f t="shared" si="22"/>
        <v>JDH4-02-007-CN-4980</v>
      </c>
      <c r="B1470" t="s">
        <v>2071</v>
      </c>
      <c r="C1470" t="s">
        <v>2072</v>
      </c>
      <c r="D1470" s="1">
        <v>11411.15</v>
      </c>
      <c r="E1470" s="3">
        <v>1</v>
      </c>
      <c r="F1470" s="3">
        <v>1</v>
      </c>
      <c r="G1470" s="1">
        <v>11411.15</v>
      </c>
    </row>
    <row r="1471" spans="1:7" x14ac:dyDescent="0.25">
      <c r="A1471" s="111" t="str">
        <f t="shared" si="22"/>
        <v>JDH4-02-007-CN-5120</v>
      </c>
      <c r="B1471" t="s">
        <v>2075</v>
      </c>
      <c r="C1471" t="s">
        <v>2076</v>
      </c>
      <c r="D1471" s="1">
        <v>5705.57</v>
      </c>
      <c r="E1471" s="3">
        <v>1</v>
      </c>
      <c r="F1471" s="3">
        <v>1</v>
      </c>
      <c r="G1471" s="1">
        <v>5705.57</v>
      </c>
    </row>
    <row r="1472" spans="1:7" x14ac:dyDescent="0.25">
      <c r="A1472" s="111" t="str">
        <f t="shared" si="22"/>
        <v>Pipe Encasement</v>
      </c>
      <c r="B1472" t="s">
        <v>1733</v>
      </c>
      <c r="D1472" s="1">
        <v>304.22000000000003</v>
      </c>
      <c r="E1472" s="3"/>
      <c r="F1472" s="3">
        <v>1</v>
      </c>
      <c r="G1472">
        <v>304.22000000000003</v>
      </c>
    </row>
    <row r="1473" spans="1:7" x14ac:dyDescent="0.25">
      <c r="A1473" s="111" t="str">
        <f t="shared" si="22"/>
        <v>JDH4-02-007-CN-5260</v>
      </c>
      <c r="B1473" t="s">
        <v>2077</v>
      </c>
      <c r="C1473" t="s">
        <v>2078</v>
      </c>
      <c r="D1473" s="1">
        <v>304.22000000000003</v>
      </c>
      <c r="E1473" s="3">
        <v>1</v>
      </c>
      <c r="F1473" s="3">
        <v>1</v>
      </c>
      <c r="G1473">
        <v>304.22000000000003</v>
      </c>
    </row>
    <row r="1474" spans="1:7" x14ac:dyDescent="0.25">
      <c r="A1474" s="111" t="str">
        <f t="shared" si="22"/>
        <v>Manholes</v>
      </c>
      <c r="B1474" t="s">
        <v>486</v>
      </c>
      <c r="D1474" s="1">
        <v>32441.65</v>
      </c>
      <c r="E1474" s="3"/>
      <c r="F1474" s="3">
        <v>1</v>
      </c>
      <c r="G1474" s="1">
        <v>32441.65</v>
      </c>
    </row>
    <row r="1475" spans="1:7" x14ac:dyDescent="0.25">
      <c r="A1475" s="111" t="str">
        <f t="shared" si="22"/>
        <v>JDH4-02-007-CN-5190</v>
      </c>
      <c r="B1475" t="s">
        <v>2079</v>
      </c>
      <c r="C1475" t="s">
        <v>2080</v>
      </c>
      <c r="D1475" s="1">
        <v>32441.65</v>
      </c>
      <c r="E1475" s="3">
        <v>1</v>
      </c>
      <c r="F1475" s="3">
        <v>1</v>
      </c>
      <c r="G1475" s="1">
        <v>32441.65</v>
      </c>
    </row>
    <row r="1476" spans="1:7" x14ac:dyDescent="0.25">
      <c r="A1476" s="111" t="str">
        <f t="shared" ref="A1476:A1539" si="23">TRIM(B1476)</f>
        <v>TSE Network</v>
      </c>
      <c r="B1476" t="s">
        <v>491</v>
      </c>
      <c r="D1476" s="1">
        <v>145569.49</v>
      </c>
      <c r="E1476" s="3"/>
      <c r="F1476" s="3">
        <v>1</v>
      </c>
      <c r="G1476" s="1">
        <v>145569.49</v>
      </c>
    </row>
    <row r="1477" spans="1:7" x14ac:dyDescent="0.25">
      <c r="A1477" s="111" t="str">
        <f t="shared" si="23"/>
        <v>Pipe Works</v>
      </c>
      <c r="B1477" t="s">
        <v>1722</v>
      </c>
      <c r="D1477" s="1">
        <v>112992.76</v>
      </c>
      <c r="E1477" s="3"/>
      <c r="F1477" s="3">
        <v>1</v>
      </c>
      <c r="G1477" s="1">
        <v>112992.76</v>
      </c>
    </row>
    <row r="1478" spans="1:7" x14ac:dyDescent="0.25">
      <c r="A1478" s="111" t="str">
        <f t="shared" si="23"/>
        <v>JDH4-02-007-CN-3990</v>
      </c>
      <c r="B1478" t="s">
        <v>2081</v>
      </c>
      <c r="C1478" t="s">
        <v>4093</v>
      </c>
      <c r="D1478" s="1">
        <v>5754.78</v>
      </c>
      <c r="E1478" s="3">
        <v>1</v>
      </c>
      <c r="F1478" s="3">
        <v>1</v>
      </c>
      <c r="G1478" s="1">
        <v>5754.78</v>
      </c>
    </row>
    <row r="1479" spans="1:7" x14ac:dyDescent="0.25">
      <c r="A1479" s="111" t="str">
        <f t="shared" si="23"/>
        <v>JDH4-02-007-CN-4060</v>
      </c>
      <c r="B1479" t="s">
        <v>2083</v>
      </c>
      <c r="C1479" t="s">
        <v>4094</v>
      </c>
      <c r="D1479" s="1">
        <v>2877.4</v>
      </c>
      <c r="E1479" s="3">
        <v>1</v>
      </c>
      <c r="F1479" s="3">
        <v>1</v>
      </c>
      <c r="G1479" s="1">
        <v>2877.4</v>
      </c>
    </row>
    <row r="1480" spans="1:7" x14ac:dyDescent="0.25">
      <c r="A1480" s="111" t="str">
        <f t="shared" si="23"/>
        <v>JDH4-02-007-CN-4130</v>
      </c>
      <c r="B1480" t="s">
        <v>2084</v>
      </c>
      <c r="C1480" t="s">
        <v>4095</v>
      </c>
      <c r="D1480" s="1">
        <v>23542.29</v>
      </c>
      <c r="E1480" s="3">
        <v>1</v>
      </c>
      <c r="F1480" s="3">
        <v>1</v>
      </c>
      <c r="G1480" s="1">
        <v>23542.29</v>
      </c>
    </row>
    <row r="1481" spans="1:7" x14ac:dyDescent="0.25">
      <c r="A1481" s="111" t="str">
        <f t="shared" si="23"/>
        <v>JDH4-02-007-CN-4270</v>
      </c>
      <c r="B1481" t="s">
        <v>2088</v>
      </c>
      <c r="C1481" t="s">
        <v>4096</v>
      </c>
      <c r="D1481" s="1">
        <v>2354.23</v>
      </c>
      <c r="E1481" s="3">
        <v>1</v>
      </c>
      <c r="F1481" s="3">
        <v>1</v>
      </c>
      <c r="G1481" s="1">
        <v>2354.23</v>
      </c>
    </row>
    <row r="1482" spans="1:7" x14ac:dyDescent="0.25">
      <c r="A1482" s="111" t="str">
        <f t="shared" si="23"/>
        <v>JDH4-02-007-CN-3990R</v>
      </c>
      <c r="B1482" t="s">
        <v>4097</v>
      </c>
      <c r="C1482" t="s">
        <v>2082</v>
      </c>
      <c r="D1482" s="1">
        <v>4708.46</v>
      </c>
      <c r="E1482" s="3">
        <v>1</v>
      </c>
      <c r="F1482" s="3">
        <v>1</v>
      </c>
      <c r="G1482" s="1">
        <v>4708.46</v>
      </c>
    </row>
    <row r="1483" spans="1:7" x14ac:dyDescent="0.25">
      <c r="A1483" s="111" t="str">
        <f t="shared" si="23"/>
        <v>JDH4-02-007-CN-4060R</v>
      </c>
      <c r="B1483" t="s">
        <v>4098</v>
      </c>
      <c r="C1483" t="s">
        <v>2068</v>
      </c>
      <c r="D1483" s="1">
        <v>2354.23</v>
      </c>
      <c r="E1483" s="3">
        <v>1</v>
      </c>
      <c r="F1483" s="3">
        <v>1</v>
      </c>
      <c r="G1483" s="1">
        <v>2354.23</v>
      </c>
    </row>
    <row r="1484" spans="1:7" x14ac:dyDescent="0.25">
      <c r="A1484" s="111" t="str">
        <f t="shared" si="23"/>
        <v>JDH4-02-007-CN-4130R</v>
      </c>
      <c r="B1484" t="s">
        <v>4099</v>
      </c>
      <c r="C1484" t="s">
        <v>2085</v>
      </c>
      <c r="D1484" s="1">
        <v>28773.91</v>
      </c>
      <c r="E1484" s="3">
        <v>1</v>
      </c>
      <c r="F1484" s="3">
        <v>1</v>
      </c>
      <c r="G1484" s="1">
        <v>28773.91</v>
      </c>
    </row>
    <row r="1485" spans="1:7" x14ac:dyDescent="0.25">
      <c r="A1485" s="111" t="str">
        <f t="shared" si="23"/>
        <v>JDH4-02-007-CN-4200</v>
      </c>
      <c r="B1485" t="s">
        <v>2086</v>
      </c>
      <c r="C1485" t="s">
        <v>2087</v>
      </c>
      <c r="D1485" s="1">
        <v>20959.32</v>
      </c>
      <c r="E1485" s="3">
        <v>1</v>
      </c>
      <c r="F1485" s="3">
        <v>1</v>
      </c>
      <c r="G1485" s="1">
        <v>20959.32</v>
      </c>
    </row>
    <row r="1486" spans="1:7" x14ac:dyDescent="0.25">
      <c r="A1486" s="111" t="str">
        <f t="shared" si="23"/>
        <v>JDH4-02-007-CN-4270R</v>
      </c>
      <c r="B1486" t="s">
        <v>4100</v>
      </c>
      <c r="C1486" t="s">
        <v>2089</v>
      </c>
      <c r="D1486" s="1">
        <v>2877.4</v>
      </c>
      <c r="E1486" s="3">
        <v>1</v>
      </c>
      <c r="F1486" s="3">
        <v>1</v>
      </c>
      <c r="G1486" s="1">
        <v>2877.4</v>
      </c>
    </row>
    <row r="1487" spans="1:7" x14ac:dyDescent="0.25">
      <c r="A1487" s="111" t="str">
        <f t="shared" si="23"/>
        <v>JDH4-02-007-CN-4340</v>
      </c>
      <c r="B1487" t="s">
        <v>2090</v>
      </c>
      <c r="C1487" t="s">
        <v>2076</v>
      </c>
      <c r="D1487" s="1">
        <v>10479.66</v>
      </c>
      <c r="E1487" s="3">
        <v>1</v>
      </c>
      <c r="F1487" s="3">
        <v>1</v>
      </c>
      <c r="G1487" s="1">
        <v>10479.66</v>
      </c>
    </row>
    <row r="1488" spans="1:7" x14ac:dyDescent="0.25">
      <c r="A1488" s="111" t="str">
        <f t="shared" si="23"/>
        <v>JDH4-02-007-CN-4650</v>
      </c>
      <c r="B1488" t="s">
        <v>2091</v>
      </c>
      <c r="C1488" t="s">
        <v>2092</v>
      </c>
      <c r="D1488" s="1">
        <v>8311.08</v>
      </c>
      <c r="E1488" s="3">
        <v>1</v>
      </c>
      <c r="F1488" s="3">
        <v>1</v>
      </c>
      <c r="G1488" s="1">
        <v>8311.08</v>
      </c>
    </row>
    <row r="1489" spans="1:7" x14ac:dyDescent="0.25">
      <c r="A1489" s="111" t="str">
        <f t="shared" si="23"/>
        <v>Pipe Encasement</v>
      </c>
      <c r="B1489" t="s">
        <v>1733</v>
      </c>
      <c r="D1489" s="1">
        <v>5288.43</v>
      </c>
      <c r="E1489" s="3"/>
      <c r="F1489" s="3">
        <v>1</v>
      </c>
      <c r="G1489" s="1">
        <v>5288.43</v>
      </c>
    </row>
    <row r="1490" spans="1:7" x14ac:dyDescent="0.25">
      <c r="A1490" s="111" t="str">
        <f t="shared" si="23"/>
        <v>JDH4-02-007-CN-4410</v>
      </c>
      <c r="B1490" t="s">
        <v>2093</v>
      </c>
      <c r="C1490" t="s">
        <v>2094</v>
      </c>
      <c r="D1490" s="1">
        <v>5288.43</v>
      </c>
      <c r="E1490" s="3">
        <v>1</v>
      </c>
      <c r="F1490" s="3">
        <v>1</v>
      </c>
      <c r="G1490" s="1">
        <v>5288.43</v>
      </c>
    </row>
    <row r="1491" spans="1:7" x14ac:dyDescent="0.25">
      <c r="A1491" s="111" t="str">
        <f t="shared" si="23"/>
        <v>Valves</v>
      </c>
      <c r="B1491" t="s">
        <v>127</v>
      </c>
      <c r="D1491" s="1">
        <v>18457.78</v>
      </c>
      <c r="E1491" s="3"/>
      <c r="F1491" s="3">
        <v>1</v>
      </c>
      <c r="G1491" s="1">
        <v>18457.78</v>
      </c>
    </row>
    <row r="1492" spans="1:7" x14ac:dyDescent="0.25">
      <c r="A1492" s="111" t="str">
        <f t="shared" si="23"/>
        <v>JDH4-02-007-CN-4480</v>
      </c>
      <c r="B1492" t="s">
        <v>2095</v>
      </c>
      <c r="C1492" t="s">
        <v>2096</v>
      </c>
      <c r="D1492" s="1">
        <v>11204.14</v>
      </c>
      <c r="E1492" s="3">
        <v>1</v>
      </c>
      <c r="F1492" s="3">
        <v>1</v>
      </c>
      <c r="G1492" s="1">
        <v>11204.14</v>
      </c>
    </row>
    <row r="1493" spans="1:7" x14ac:dyDescent="0.25">
      <c r="A1493" s="111" t="str">
        <f t="shared" si="23"/>
        <v>JDH4-02-007-CN-4570</v>
      </c>
      <c r="B1493" t="s">
        <v>2097</v>
      </c>
      <c r="C1493" t="s">
        <v>2098</v>
      </c>
      <c r="D1493" s="1">
        <v>7253.64</v>
      </c>
      <c r="E1493" s="3">
        <v>1</v>
      </c>
      <c r="F1493" s="3">
        <v>1</v>
      </c>
      <c r="G1493" s="1">
        <v>7253.64</v>
      </c>
    </row>
    <row r="1494" spans="1:7" x14ac:dyDescent="0.25">
      <c r="A1494" s="111" t="str">
        <f t="shared" si="23"/>
        <v>Risers</v>
      </c>
      <c r="B1494" t="s">
        <v>499</v>
      </c>
      <c r="D1494" s="1">
        <v>8830.52</v>
      </c>
      <c r="E1494" s="3"/>
      <c r="F1494" s="3">
        <v>1</v>
      </c>
      <c r="G1494" s="1">
        <v>8830.52</v>
      </c>
    </row>
    <row r="1495" spans="1:7" x14ac:dyDescent="0.25">
      <c r="A1495" s="111" t="str">
        <f t="shared" si="23"/>
        <v>JDH4-02-007-CN-4720</v>
      </c>
      <c r="B1495" t="s">
        <v>2099</v>
      </c>
      <c r="C1495" t="s">
        <v>2100</v>
      </c>
      <c r="D1495" s="1">
        <v>8830.52</v>
      </c>
      <c r="E1495" s="3">
        <v>1</v>
      </c>
      <c r="F1495" s="3">
        <v>1</v>
      </c>
      <c r="G1495" s="1">
        <v>8830.52</v>
      </c>
    </row>
    <row r="1496" spans="1:7" x14ac:dyDescent="0.25">
      <c r="A1496" s="111" t="str">
        <f t="shared" si="23"/>
        <v>Potable Network</v>
      </c>
      <c r="B1496" t="s">
        <v>120</v>
      </c>
      <c r="D1496" s="1">
        <v>139057.87</v>
      </c>
      <c r="E1496" s="3"/>
      <c r="F1496" s="3">
        <v>1</v>
      </c>
      <c r="G1496" s="1">
        <v>139057.87</v>
      </c>
    </row>
    <row r="1497" spans="1:7" x14ac:dyDescent="0.25">
      <c r="A1497" s="111" t="str">
        <f t="shared" si="23"/>
        <v>Pipe Works</v>
      </c>
      <c r="B1497" t="s">
        <v>1722</v>
      </c>
      <c r="D1497" s="1">
        <v>84122.85</v>
      </c>
      <c r="E1497" s="3"/>
      <c r="F1497" s="3">
        <v>1</v>
      </c>
      <c r="G1497" s="1">
        <v>84122.85</v>
      </c>
    </row>
    <row r="1498" spans="1:7" x14ac:dyDescent="0.25">
      <c r="A1498" s="111" t="str">
        <f t="shared" si="23"/>
        <v>JDH4-02-007-CN-3310</v>
      </c>
      <c r="B1498" t="s">
        <v>2101</v>
      </c>
      <c r="C1498" t="s">
        <v>2082</v>
      </c>
      <c r="D1498" s="1">
        <v>8412.2900000000009</v>
      </c>
      <c r="E1498" s="3">
        <v>1</v>
      </c>
      <c r="F1498" s="3">
        <v>1</v>
      </c>
      <c r="G1498" s="1">
        <v>8412.2900000000009</v>
      </c>
    </row>
    <row r="1499" spans="1:7" x14ac:dyDescent="0.25">
      <c r="A1499" s="111" t="str">
        <f t="shared" si="23"/>
        <v>JDH4-02-007-CN-3380</v>
      </c>
      <c r="B1499" t="s">
        <v>2102</v>
      </c>
      <c r="C1499" t="s">
        <v>2068</v>
      </c>
      <c r="D1499" s="1">
        <v>4206.1499999999996</v>
      </c>
      <c r="E1499" s="3">
        <v>1</v>
      </c>
      <c r="F1499" s="3">
        <v>1</v>
      </c>
      <c r="G1499" s="1">
        <v>4206.1499999999996</v>
      </c>
    </row>
    <row r="1500" spans="1:7" x14ac:dyDescent="0.25">
      <c r="A1500" s="111" t="str">
        <f t="shared" si="23"/>
        <v>JDH4-02-007-CN-3450</v>
      </c>
      <c r="B1500" t="s">
        <v>2103</v>
      </c>
      <c r="C1500" t="s">
        <v>2085</v>
      </c>
      <c r="D1500" s="1">
        <v>42061.41</v>
      </c>
      <c r="E1500" s="3">
        <v>1</v>
      </c>
      <c r="F1500" s="3">
        <v>1</v>
      </c>
      <c r="G1500" s="1">
        <v>42061.41</v>
      </c>
    </row>
    <row r="1501" spans="1:7" x14ac:dyDescent="0.25">
      <c r="A1501" s="111" t="str">
        <f t="shared" si="23"/>
        <v>JDH4-02-007-CN-3520</v>
      </c>
      <c r="B1501" t="s">
        <v>2104</v>
      </c>
      <c r="C1501" t="s">
        <v>2087</v>
      </c>
      <c r="D1501" s="1">
        <v>16824.560000000001</v>
      </c>
      <c r="E1501" s="3">
        <v>1</v>
      </c>
      <c r="F1501" s="3">
        <v>1</v>
      </c>
      <c r="G1501" s="1">
        <v>16824.560000000001</v>
      </c>
    </row>
    <row r="1502" spans="1:7" x14ac:dyDescent="0.25">
      <c r="A1502" s="111" t="str">
        <f t="shared" si="23"/>
        <v>JDH4-02-007-CN-3590</v>
      </c>
      <c r="B1502" t="s">
        <v>2105</v>
      </c>
      <c r="C1502" t="s">
        <v>2074</v>
      </c>
      <c r="D1502" s="1">
        <v>4206.1499999999996</v>
      </c>
      <c r="E1502" s="3">
        <v>1</v>
      </c>
      <c r="F1502" s="3">
        <v>1</v>
      </c>
      <c r="G1502" s="1">
        <v>4206.1499999999996</v>
      </c>
    </row>
    <row r="1503" spans="1:7" x14ac:dyDescent="0.25">
      <c r="A1503" s="111" t="str">
        <f t="shared" si="23"/>
        <v>JDH4-02-007-CN-3660</v>
      </c>
      <c r="B1503" t="s">
        <v>2106</v>
      </c>
      <c r="C1503" t="s">
        <v>2107</v>
      </c>
      <c r="D1503" s="1">
        <v>8412.2900000000009</v>
      </c>
      <c r="E1503" s="3">
        <v>1</v>
      </c>
      <c r="F1503" s="3">
        <v>1</v>
      </c>
      <c r="G1503" s="1">
        <v>8412.2900000000009</v>
      </c>
    </row>
    <row r="1504" spans="1:7" x14ac:dyDescent="0.25">
      <c r="A1504" s="111" t="str">
        <f t="shared" si="23"/>
        <v>Pipe Encasement</v>
      </c>
      <c r="B1504" t="s">
        <v>1733</v>
      </c>
      <c r="D1504" s="1">
        <v>6577.42</v>
      </c>
      <c r="E1504" s="3"/>
      <c r="F1504" s="3">
        <v>1</v>
      </c>
      <c r="G1504" s="1">
        <v>6577.42</v>
      </c>
    </row>
    <row r="1505" spans="1:7" x14ac:dyDescent="0.25">
      <c r="A1505" s="111" t="str">
        <f t="shared" si="23"/>
        <v>JDH4-02-007-CN-3730</v>
      </c>
      <c r="B1505" t="s">
        <v>2108</v>
      </c>
      <c r="C1505" t="s">
        <v>2094</v>
      </c>
      <c r="D1505" s="1">
        <v>6577.42</v>
      </c>
      <c r="E1505" s="3">
        <v>1</v>
      </c>
      <c r="F1505" s="3">
        <v>1</v>
      </c>
      <c r="G1505" s="1">
        <v>6577.42</v>
      </c>
    </row>
    <row r="1506" spans="1:7" x14ac:dyDescent="0.25">
      <c r="A1506" s="111" t="str">
        <f t="shared" si="23"/>
        <v>Valves</v>
      </c>
      <c r="B1506" t="s">
        <v>127</v>
      </c>
      <c r="D1506" s="1">
        <v>10512.52</v>
      </c>
      <c r="E1506" s="3"/>
      <c r="F1506" s="3">
        <v>1</v>
      </c>
      <c r="G1506" s="1">
        <v>10512.52</v>
      </c>
    </row>
    <row r="1507" spans="1:7" x14ac:dyDescent="0.25">
      <c r="A1507" s="111" t="str">
        <f t="shared" si="23"/>
        <v>JDH4-02-007-CN-3800</v>
      </c>
      <c r="B1507" t="s">
        <v>2109</v>
      </c>
      <c r="C1507" t="s">
        <v>2096</v>
      </c>
      <c r="D1507" s="1">
        <v>10512.52</v>
      </c>
      <c r="E1507" s="3">
        <v>1</v>
      </c>
      <c r="F1507" s="3">
        <v>1</v>
      </c>
      <c r="G1507" s="1">
        <v>10512.52</v>
      </c>
    </row>
    <row r="1508" spans="1:7" x14ac:dyDescent="0.25">
      <c r="A1508" s="111" t="str">
        <f t="shared" si="23"/>
        <v>Valve Chambers</v>
      </c>
      <c r="B1508" t="s">
        <v>2019</v>
      </c>
      <c r="D1508" s="1">
        <v>37845.08</v>
      </c>
      <c r="E1508" s="3"/>
      <c r="F1508" s="3">
        <v>1</v>
      </c>
      <c r="G1508" s="1">
        <v>37845.08</v>
      </c>
    </row>
    <row r="1509" spans="1:7" x14ac:dyDescent="0.25">
      <c r="A1509" s="111" t="str">
        <f t="shared" si="23"/>
        <v>JDH4-02-007-CN-4620</v>
      </c>
      <c r="B1509" t="s">
        <v>2110</v>
      </c>
      <c r="C1509" t="s">
        <v>2111</v>
      </c>
      <c r="D1509" s="1">
        <v>37845.08</v>
      </c>
      <c r="E1509" s="3">
        <v>1</v>
      </c>
      <c r="F1509" s="3">
        <v>1</v>
      </c>
      <c r="G1509" s="1">
        <v>37845.08</v>
      </c>
    </row>
    <row r="1510" spans="1:7" x14ac:dyDescent="0.25">
      <c r="A1510" s="111" t="str">
        <f t="shared" si="23"/>
        <v>Electrical Works</v>
      </c>
      <c r="B1510" t="s">
        <v>1785</v>
      </c>
      <c r="D1510" s="1">
        <v>171249.01</v>
      </c>
      <c r="E1510" s="3"/>
      <c r="F1510" s="3">
        <v>1</v>
      </c>
      <c r="G1510" s="1">
        <v>171249.01</v>
      </c>
    </row>
    <row r="1511" spans="1:7" x14ac:dyDescent="0.25">
      <c r="A1511" s="111" t="str">
        <f t="shared" si="23"/>
        <v>Telecommunication</v>
      </c>
      <c r="B1511" t="s">
        <v>1799</v>
      </c>
      <c r="D1511" s="1">
        <v>171249.01</v>
      </c>
      <c r="E1511" s="3"/>
      <c r="F1511" s="3">
        <v>1</v>
      </c>
      <c r="G1511" s="1">
        <v>171249.01</v>
      </c>
    </row>
    <row r="1512" spans="1:7" x14ac:dyDescent="0.25">
      <c r="A1512" s="111" t="str">
        <f t="shared" si="23"/>
        <v>JDH4-02-007-CN-3130</v>
      </c>
      <c r="B1512" t="s">
        <v>2114</v>
      </c>
      <c r="C1512" t="s">
        <v>2115</v>
      </c>
      <c r="D1512" s="1">
        <v>3973.73</v>
      </c>
      <c r="E1512" s="3">
        <v>1</v>
      </c>
      <c r="F1512" s="3">
        <v>1</v>
      </c>
      <c r="G1512" s="1">
        <v>3973.73</v>
      </c>
    </row>
    <row r="1513" spans="1:7" x14ac:dyDescent="0.25">
      <c r="A1513" s="111" t="str">
        <f t="shared" si="23"/>
        <v>JDH4-02-007-CN-3240</v>
      </c>
      <c r="B1513" t="s">
        <v>2116</v>
      </c>
      <c r="C1513" t="s">
        <v>2080</v>
      </c>
      <c r="D1513" s="1">
        <v>34060.58</v>
      </c>
      <c r="E1513" s="3">
        <v>1</v>
      </c>
      <c r="F1513" s="3">
        <v>1</v>
      </c>
      <c r="G1513" s="1">
        <v>34060.58</v>
      </c>
    </row>
    <row r="1514" spans="1:7" x14ac:dyDescent="0.25">
      <c r="A1514" s="111" t="str">
        <f t="shared" si="23"/>
        <v>JDH4-02-007-CN-3060</v>
      </c>
      <c r="B1514" t="s">
        <v>2112</v>
      </c>
      <c r="C1514" t="s">
        <v>2113</v>
      </c>
      <c r="D1514" s="1">
        <v>133214.70000000001</v>
      </c>
      <c r="E1514" s="3">
        <v>1</v>
      </c>
      <c r="F1514" s="3">
        <v>1</v>
      </c>
      <c r="G1514" s="1">
        <v>133214.70000000001</v>
      </c>
    </row>
    <row r="1515" spans="1:7" x14ac:dyDescent="0.25">
      <c r="A1515" s="111" t="str">
        <f t="shared" si="23"/>
        <v>Road 10</v>
      </c>
      <c r="B1515" t="s">
        <v>2342</v>
      </c>
      <c r="D1515" s="1">
        <v>908137.39</v>
      </c>
      <c r="E1515" s="3"/>
      <c r="F1515" s="3">
        <v>1</v>
      </c>
      <c r="G1515" s="1">
        <v>908137.39</v>
      </c>
    </row>
    <row r="1516" spans="1:7" x14ac:dyDescent="0.25">
      <c r="A1516" s="111" t="str">
        <f t="shared" si="23"/>
        <v>Sewerage Network</v>
      </c>
      <c r="B1516" t="s">
        <v>221</v>
      </c>
      <c r="D1516" s="1">
        <v>419517.38</v>
      </c>
      <c r="E1516" s="3"/>
      <c r="F1516" s="3">
        <v>1</v>
      </c>
      <c r="G1516" s="1">
        <v>419517.38</v>
      </c>
    </row>
    <row r="1517" spans="1:7" x14ac:dyDescent="0.25">
      <c r="A1517" s="111" t="str">
        <f t="shared" si="23"/>
        <v>Pipe Works</v>
      </c>
      <c r="B1517" t="s">
        <v>1722</v>
      </c>
      <c r="D1517" s="1">
        <v>288229.71999999997</v>
      </c>
      <c r="E1517" s="3"/>
      <c r="F1517" s="3">
        <v>1</v>
      </c>
      <c r="G1517" s="1">
        <v>288229.71999999997</v>
      </c>
    </row>
    <row r="1518" spans="1:7" x14ac:dyDescent="0.25">
      <c r="A1518" s="111" t="str">
        <f t="shared" si="23"/>
        <v>JDH4-02-007-CN-4830</v>
      </c>
      <c r="B1518" t="s">
        <v>2343</v>
      </c>
      <c r="C1518" t="s">
        <v>2344</v>
      </c>
      <c r="D1518" s="1">
        <v>28822.98</v>
      </c>
      <c r="E1518" s="3">
        <v>1</v>
      </c>
      <c r="F1518" s="3">
        <v>1</v>
      </c>
      <c r="G1518" s="1">
        <v>28822.98</v>
      </c>
    </row>
    <row r="1519" spans="1:7" x14ac:dyDescent="0.25">
      <c r="A1519" s="111" t="str">
        <f t="shared" si="23"/>
        <v>JDH4-02-007-CN-4900</v>
      </c>
      <c r="B1519" t="s">
        <v>2345</v>
      </c>
      <c r="C1519" t="s">
        <v>2346</v>
      </c>
      <c r="D1519" s="1">
        <v>14411.47</v>
      </c>
      <c r="E1519" s="3">
        <v>1</v>
      </c>
      <c r="F1519" s="3">
        <v>1</v>
      </c>
      <c r="G1519" s="1">
        <v>14411.47</v>
      </c>
    </row>
    <row r="1520" spans="1:7" x14ac:dyDescent="0.25">
      <c r="A1520" s="111" t="str">
        <f t="shared" si="23"/>
        <v>JDH4-02-007-CN-4970</v>
      </c>
      <c r="B1520" t="s">
        <v>2347</v>
      </c>
      <c r="C1520" t="s">
        <v>2348</v>
      </c>
      <c r="D1520" s="1">
        <v>144114.85999999999</v>
      </c>
      <c r="E1520" s="3">
        <v>1</v>
      </c>
      <c r="F1520" s="3">
        <v>1</v>
      </c>
      <c r="G1520" s="1">
        <v>144114.85999999999</v>
      </c>
    </row>
    <row r="1521" spans="1:7" x14ac:dyDescent="0.25">
      <c r="A1521" s="111" t="str">
        <f t="shared" si="23"/>
        <v>JDH4-02-007-CN-5040</v>
      </c>
      <c r="B1521" t="s">
        <v>2349</v>
      </c>
      <c r="C1521" t="s">
        <v>2350</v>
      </c>
      <c r="D1521" s="1">
        <v>57645.96</v>
      </c>
      <c r="E1521" s="3">
        <v>1</v>
      </c>
      <c r="F1521" s="3">
        <v>1</v>
      </c>
      <c r="G1521" s="1">
        <v>57645.96</v>
      </c>
    </row>
    <row r="1522" spans="1:7" x14ac:dyDescent="0.25">
      <c r="A1522" s="111" t="str">
        <f t="shared" si="23"/>
        <v>JDH4-02-007-CN-5110</v>
      </c>
      <c r="B1522" t="s">
        <v>2351</v>
      </c>
      <c r="C1522" t="s">
        <v>2352</v>
      </c>
      <c r="D1522" s="1">
        <v>14411.47</v>
      </c>
      <c r="E1522" s="3">
        <v>1</v>
      </c>
      <c r="F1522" s="3">
        <v>1</v>
      </c>
      <c r="G1522" s="1">
        <v>14411.47</v>
      </c>
    </row>
    <row r="1523" spans="1:7" x14ac:dyDescent="0.25">
      <c r="A1523" s="111" t="str">
        <f t="shared" si="23"/>
        <v>JDH4-02-007-CN-5180</v>
      </c>
      <c r="B1523" t="s">
        <v>2353</v>
      </c>
      <c r="C1523" t="s">
        <v>2354</v>
      </c>
      <c r="D1523" s="1">
        <v>28822.98</v>
      </c>
      <c r="E1523" s="3">
        <v>1</v>
      </c>
      <c r="F1523" s="3">
        <v>1</v>
      </c>
      <c r="G1523" s="1">
        <v>28822.98</v>
      </c>
    </row>
    <row r="1524" spans="1:7" x14ac:dyDescent="0.25">
      <c r="A1524" s="111" t="str">
        <f t="shared" si="23"/>
        <v>Pipe Encasement</v>
      </c>
      <c r="B1524" t="s">
        <v>1733</v>
      </c>
      <c r="D1524" s="1">
        <v>1521.08</v>
      </c>
      <c r="E1524" s="3"/>
      <c r="F1524" s="3">
        <v>1</v>
      </c>
      <c r="G1524" s="1">
        <v>1521.08</v>
      </c>
    </row>
    <row r="1525" spans="1:7" x14ac:dyDescent="0.25">
      <c r="A1525" s="111" t="str">
        <f t="shared" si="23"/>
        <v>JDH4-02-007-CN-5320</v>
      </c>
      <c r="B1525" t="s">
        <v>2355</v>
      </c>
      <c r="C1525" t="s">
        <v>2356</v>
      </c>
      <c r="D1525" s="1">
        <v>1521.08</v>
      </c>
      <c r="E1525" s="3">
        <v>1</v>
      </c>
      <c r="F1525" s="3">
        <v>1</v>
      </c>
      <c r="G1525" s="1">
        <v>1521.08</v>
      </c>
    </row>
    <row r="1526" spans="1:7" x14ac:dyDescent="0.25">
      <c r="A1526" s="111" t="str">
        <f t="shared" si="23"/>
        <v>Manholes</v>
      </c>
      <c r="B1526" t="s">
        <v>486</v>
      </c>
      <c r="D1526" s="1">
        <v>129766.58</v>
      </c>
      <c r="E1526" s="3"/>
      <c r="F1526" s="3">
        <v>1</v>
      </c>
      <c r="G1526" s="1">
        <v>129766.58</v>
      </c>
    </row>
    <row r="1527" spans="1:7" x14ac:dyDescent="0.25">
      <c r="A1527" s="111" t="str">
        <f t="shared" si="23"/>
        <v>JDH4-02-007-CN-5250</v>
      </c>
      <c r="B1527" t="s">
        <v>2357</v>
      </c>
      <c r="C1527" t="s">
        <v>2358</v>
      </c>
      <c r="D1527" s="1">
        <v>129766.58</v>
      </c>
      <c r="E1527" s="3">
        <v>1</v>
      </c>
      <c r="F1527" s="3">
        <v>1</v>
      </c>
      <c r="G1527" s="1">
        <v>129766.58</v>
      </c>
    </row>
    <row r="1528" spans="1:7" x14ac:dyDescent="0.25">
      <c r="A1528" s="111" t="str">
        <f t="shared" si="23"/>
        <v>TSE Network</v>
      </c>
      <c r="B1528" t="s">
        <v>491</v>
      </c>
      <c r="D1528" s="1">
        <v>221839.87</v>
      </c>
      <c r="E1528" s="3"/>
      <c r="F1528" s="3">
        <v>1</v>
      </c>
      <c r="G1528" s="1">
        <v>221839.87</v>
      </c>
    </row>
    <row r="1529" spans="1:7" x14ac:dyDescent="0.25">
      <c r="A1529" s="111" t="str">
        <f t="shared" si="23"/>
        <v>Pipe Works</v>
      </c>
      <c r="B1529" t="s">
        <v>1722</v>
      </c>
      <c r="D1529" s="1">
        <v>201483.45</v>
      </c>
      <c r="E1529" s="3"/>
      <c r="F1529" s="3">
        <v>1</v>
      </c>
      <c r="G1529" s="1">
        <v>201483.45</v>
      </c>
    </row>
    <row r="1530" spans="1:7" x14ac:dyDescent="0.25">
      <c r="A1530" s="111" t="str">
        <f t="shared" si="23"/>
        <v>JDH4-02-007-CN-4050</v>
      </c>
      <c r="B1530" t="s">
        <v>2359</v>
      </c>
      <c r="C1530" t="s">
        <v>2360</v>
      </c>
      <c r="D1530" s="1">
        <v>18901.669999999998</v>
      </c>
      <c r="E1530" s="3">
        <v>1</v>
      </c>
      <c r="F1530" s="3">
        <v>1</v>
      </c>
      <c r="G1530" s="1">
        <v>18901.669999999998</v>
      </c>
    </row>
    <row r="1531" spans="1:7" x14ac:dyDescent="0.25">
      <c r="A1531" s="111" t="str">
        <f t="shared" si="23"/>
        <v>JDH4-02-007-CN-4120</v>
      </c>
      <c r="B1531" t="s">
        <v>2361</v>
      </c>
      <c r="C1531" t="s">
        <v>2346</v>
      </c>
      <c r="D1531" s="1">
        <v>9450.86</v>
      </c>
      <c r="E1531" s="3">
        <v>1</v>
      </c>
      <c r="F1531" s="3">
        <v>1</v>
      </c>
      <c r="G1531" s="1">
        <v>9450.86</v>
      </c>
    </row>
    <row r="1532" spans="1:7" x14ac:dyDescent="0.25">
      <c r="A1532" s="111" t="str">
        <f t="shared" si="23"/>
        <v>JDH4-02-007-CN-4190</v>
      </c>
      <c r="B1532" t="s">
        <v>2362</v>
      </c>
      <c r="C1532" t="s">
        <v>2363</v>
      </c>
      <c r="D1532" s="1">
        <v>94508.42</v>
      </c>
      <c r="E1532" s="3">
        <v>1</v>
      </c>
      <c r="F1532" s="3">
        <v>1</v>
      </c>
      <c r="G1532" s="1">
        <v>94508.42</v>
      </c>
    </row>
    <row r="1533" spans="1:7" x14ac:dyDescent="0.25">
      <c r="A1533" s="111" t="str">
        <f t="shared" si="23"/>
        <v>JDH4-02-007-CN-4260</v>
      </c>
      <c r="B1533" t="s">
        <v>2364</v>
      </c>
      <c r="C1533" t="s">
        <v>2365</v>
      </c>
      <c r="D1533" s="1">
        <v>37803.35</v>
      </c>
      <c r="E1533" s="3">
        <v>1</v>
      </c>
      <c r="F1533" s="3">
        <v>1</v>
      </c>
      <c r="G1533" s="1">
        <v>37803.35</v>
      </c>
    </row>
    <row r="1534" spans="1:7" x14ac:dyDescent="0.25">
      <c r="A1534" s="111" t="str">
        <f t="shared" si="23"/>
        <v>JDH4-02-007-CN-4710</v>
      </c>
      <c r="B1534" t="s">
        <v>2366</v>
      </c>
      <c r="C1534" t="s">
        <v>2367</v>
      </c>
      <c r="D1534" s="1">
        <v>12466.62</v>
      </c>
      <c r="E1534" s="3">
        <v>1</v>
      </c>
      <c r="F1534" s="2">
        <v>1</v>
      </c>
      <c r="G1534" s="1">
        <v>12466.62</v>
      </c>
    </row>
    <row r="1535" spans="1:7" x14ac:dyDescent="0.25">
      <c r="A1535" s="111" t="str">
        <f t="shared" si="23"/>
        <v>JDH4-02-007-CN-4330</v>
      </c>
      <c r="B1535" t="s">
        <v>2368</v>
      </c>
      <c r="C1535" t="s">
        <v>2369</v>
      </c>
      <c r="D1535" s="1">
        <v>9450.86</v>
      </c>
      <c r="E1535" s="3">
        <v>1</v>
      </c>
      <c r="F1535" s="2">
        <v>1</v>
      </c>
      <c r="G1535" s="1">
        <v>9450.86</v>
      </c>
    </row>
    <row r="1536" spans="1:7" x14ac:dyDescent="0.25">
      <c r="A1536" s="111" t="str">
        <f t="shared" si="23"/>
        <v>JDH4-02-007-CN-4400</v>
      </c>
      <c r="B1536" t="s">
        <v>2370</v>
      </c>
      <c r="C1536" t="s">
        <v>2354</v>
      </c>
      <c r="D1536" s="1">
        <v>18901.669999999998</v>
      </c>
      <c r="E1536" s="3">
        <v>1</v>
      </c>
      <c r="F1536" s="3">
        <v>1</v>
      </c>
      <c r="G1536" s="1">
        <v>18901.669999999998</v>
      </c>
    </row>
    <row r="1537" spans="1:7" x14ac:dyDescent="0.25">
      <c r="A1537" s="111" t="str">
        <f t="shared" si="23"/>
        <v>Pipe Encasement</v>
      </c>
      <c r="B1537" t="s">
        <v>1733</v>
      </c>
      <c r="D1537" s="1">
        <v>9368.07</v>
      </c>
      <c r="E1537" s="3"/>
      <c r="F1537" s="3">
        <v>1</v>
      </c>
      <c r="G1537" s="1">
        <v>9368.07</v>
      </c>
    </row>
    <row r="1538" spans="1:7" x14ac:dyDescent="0.25">
      <c r="A1538" s="111" t="str">
        <f t="shared" si="23"/>
        <v>JDH4-02-007-CN-4470</v>
      </c>
      <c r="B1538" t="s">
        <v>2371</v>
      </c>
      <c r="C1538" t="s">
        <v>2372</v>
      </c>
      <c r="D1538" s="1">
        <v>9368.07</v>
      </c>
      <c r="E1538" s="3">
        <v>1</v>
      </c>
      <c r="F1538" s="3">
        <v>1</v>
      </c>
      <c r="G1538" s="1">
        <v>9368.07</v>
      </c>
    </row>
    <row r="1539" spans="1:7" x14ac:dyDescent="0.25">
      <c r="A1539" s="111" t="str">
        <f t="shared" si="23"/>
        <v>Valves</v>
      </c>
      <c r="B1539" t="s">
        <v>127</v>
      </c>
      <c r="D1539" s="1">
        <v>10988.35</v>
      </c>
      <c r="E1539" s="3"/>
      <c r="F1539" s="3">
        <v>1</v>
      </c>
      <c r="G1539" s="1">
        <v>10988.35</v>
      </c>
    </row>
    <row r="1540" spans="1:7" x14ac:dyDescent="0.25">
      <c r="A1540" s="111" t="str">
        <f t="shared" ref="A1540:A1603" si="24">TRIM(B1540)</f>
        <v>JDH4-02-007-CN-4540</v>
      </c>
      <c r="B1540" t="s">
        <v>2373</v>
      </c>
      <c r="C1540" t="s">
        <v>2374</v>
      </c>
      <c r="D1540" s="1">
        <v>3734.71</v>
      </c>
      <c r="E1540" s="3">
        <v>1</v>
      </c>
      <c r="F1540" s="3">
        <v>1</v>
      </c>
      <c r="G1540" s="1">
        <v>3734.71</v>
      </c>
    </row>
    <row r="1541" spans="1:7" x14ac:dyDescent="0.25">
      <c r="A1541" s="111" t="str">
        <f t="shared" si="24"/>
        <v>JDH4-02-007-CN-4590</v>
      </c>
      <c r="B1541" t="s">
        <v>2375</v>
      </c>
      <c r="C1541" t="s">
        <v>2376</v>
      </c>
      <c r="D1541" s="1">
        <v>7253.64</v>
      </c>
      <c r="E1541" s="3">
        <v>1</v>
      </c>
      <c r="F1541" s="3">
        <v>1</v>
      </c>
      <c r="G1541" s="1">
        <v>7253.64</v>
      </c>
    </row>
    <row r="1542" spans="1:7" x14ac:dyDescent="0.25">
      <c r="A1542" s="111" t="str">
        <f t="shared" si="24"/>
        <v>Potable Network</v>
      </c>
      <c r="B1542" t="s">
        <v>120</v>
      </c>
      <c r="D1542" s="1">
        <v>62644.01</v>
      </c>
      <c r="E1542" s="3"/>
      <c r="F1542" s="3">
        <v>1</v>
      </c>
      <c r="G1542" s="1">
        <v>62644.01</v>
      </c>
    </row>
    <row r="1543" spans="1:7" x14ac:dyDescent="0.25">
      <c r="A1543" s="111" t="str">
        <f t="shared" si="24"/>
        <v>Pipe Works</v>
      </c>
      <c r="B1543" t="s">
        <v>1722</v>
      </c>
      <c r="D1543" s="1">
        <v>20491.46</v>
      </c>
      <c r="F1543" s="2">
        <v>1</v>
      </c>
      <c r="G1543" s="1">
        <v>20491.46</v>
      </c>
    </row>
    <row r="1544" spans="1:7" x14ac:dyDescent="0.25">
      <c r="A1544" s="111" t="str">
        <f t="shared" si="24"/>
        <v>JDH4-02-007-CN-3370</v>
      </c>
      <c r="B1544" t="s">
        <v>2377</v>
      </c>
      <c r="C1544" t="s">
        <v>2360</v>
      </c>
      <c r="D1544" s="1">
        <v>2049.15</v>
      </c>
      <c r="E1544" s="3">
        <v>1</v>
      </c>
      <c r="F1544" s="3">
        <v>1</v>
      </c>
      <c r="G1544" s="1">
        <v>2049.15</v>
      </c>
    </row>
    <row r="1545" spans="1:7" x14ac:dyDescent="0.25">
      <c r="A1545" s="111" t="str">
        <f t="shared" si="24"/>
        <v>JDH4-02-007-CN-3440</v>
      </c>
      <c r="B1545" t="s">
        <v>2378</v>
      </c>
      <c r="C1545" t="s">
        <v>2346</v>
      </c>
      <c r="D1545" s="1">
        <v>1024.57</v>
      </c>
      <c r="E1545" s="3">
        <v>1</v>
      </c>
      <c r="F1545" s="3">
        <v>1</v>
      </c>
      <c r="G1545" s="1">
        <v>1024.57</v>
      </c>
    </row>
    <row r="1546" spans="1:7" x14ac:dyDescent="0.25">
      <c r="A1546" s="111" t="str">
        <f t="shared" si="24"/>
        <v>JDH4-02-007-CN-3510</v>
      </c>
      <c r="B1546" t="s">
        <v>2379</v>
      </c>
      <c r="C1546" t="s">
        <v>2363</v>
      </c>
      <c r="D1546" s="1">
        <v>10245.73</v>
      </c>
      <c r="E1546" s="3">
        <v>1</v>
      </c>
      <c r="F1546" s="3">
        <v>1</v>
      </c>
      <c r="G1546" s="1">
        <v>10245.73</v>
      </c>
    </row>
    <row r="1547" spans="1:7" x14ac:dyDescent="0.25">
      <c r="A1547" s="111" t="str">
        <f t="shared" si="24"/>
        <v>JDH4-02-007-CN-3580</v>
      </c>
      <c r="B1547" t="s">
        <v>2380</v>
      </c>
      <c r="C1547" t="s">
        <v>2365</v>
      </c>
      <c r="D1547" s="1">
        <v>4098.29</v>
      </c>
      <c r="E1547" s="3">
        <v>1</v>
      </c>
      <c r="F1547" s="3">
        <v>1</v>
      </c>
      <c r="G1547" s="1">
        <v>4098.29</v>
      </c>
    </row>
    <row r="1548" spans="1:7" x14ac:dyDescent="0.25">
      <c r="A1548" s="111" t="str">
        <f t="shared" si="24"/>
        <v>JDH4-02-007-CN-3650</v>
      </c>
      <c r="B1548" t="s">
        <v>2381</v>
      </c>
      <c r="C1548" t="s">
        <v>2352</v>
      </c>
      <c r="D1548" s="1">
        <v>1024.57</v>
      </c>
      <c r="E1548" s="3">
        <v>1</v>
      </c>
      <c r="F1548" s="3">
        <v>1</v>
      </c>
      <c r="G1548" s="1">
        <v>1024.57</v>
      </c>
    </row>
    <row r="1549" spans="1:7" x14ac:dyDescent="0.25">
      <c r="A1549" s="111" t="str">
        <f t="shared" si="24"/>
        <v>JDH4-02-007-CN-3720</v>
      </c>
      <c r="B1549" t="s">
        <v>2382</v>
      </c>
      <c r="C1549" t="s">
        <v>2383</v>
      </c>
      <c r="D1549" s="1">
        <v>2049.15</v>
      </c>
      <c r="E1549" s="3">
        <v>1</v>
      </c>
      <c r="F1549" s="3">
        <v>1</v>
      </c>
      <c r="G1549" s="1">
        <v>2049.15</v>
      </c>
    </row>
    <row r="1550" spans="1:7" x14ac:dyDescent="0.25">
      <c r="A1550" s="111" t="str">
        <f t="shared" si="24"/>
        <v>Pipe Encasement</v>
      </c>
      <c r="B1550" t="s">
        <v>1733</v>
      </c>
      <c r="D1550" s="1">
        <v>1679.34</v>
      </c>
      <c r="E1550" s="3"/>
      <c r="F1550" s="2">
        <v>1</v>
      </c>
      <c r="G1550" s="1">
        <v>1679.34</v>
      </c>
    </row>
    <row r="1551" spans="1:7" x14ac:dyDescent="0.25">
      <c r="A1551" s="111" t="str">
        <f t="shared" si="24"/>
        <v>JDH4-02-007-CN-3790</v>
      </c>
      <c r="B1551" t="s">
        <v>2384</v>
      </c>
      <c r="C1551" t="s">
        <v>2372</v>
      </c>
      <c r="D1551" s="1">
        <v>1679.34</v>
      </c>
      <c r="E1551" s="3">
        <v>1</v>
      </c>
      <c r="F1551" s="3">
        <v>1</v>
      </c>
      <c r="G1551" s="1">
        <v>1679.34</v>
      </c>
    </row>
    <row r="1552" spans="1:7" x14ac:dyDescent="0.25">
      <c r="A1552" s="111" t="str">
        <f t="shared" si="24"/>
        <v>Valves</v>
      </c>
      <c r="B1552" t="s">
        <v>127</v>
      </c>
      <c r="D1552" s="1">
        <v>2628.13</v>
      </c>
      <c r="E1552" s="3"/>
      <c r="F1552" s="3">
        <v>1</v>
      </c>
      <c r="G1552" s="1">
        <v>2628.13</v>
      </c>
    </row>
    <row r="1553" spans="1:7" x14ac:dyDescent="0.25">
      <c r="A1553" s="111" t="str">
        <f t="shared" si="24"/>
        <v>JDH4-02-007-CN-3860</v>
      </c>
      <c r="B1553" t="s">
        <v>2385</v>
      </c>
      <c r="C1553" t="s">
        <v>2374</v>
      </c>
      <c r="D1553" s="1">
        <v>2628.13</v>
      </c>
      <c r="E1553" s="3">
        <v>1</v>
      </c>
      <c r="F1553" s="3">
        <v>1</v>
      </c>
      <c r="G1553" s="1">
        <v>2628.13</v>
      </c>
    </row>
    <row r="1554" spans="1:7" x14ac:dyDescent="0.25">
      <c r="A1554" s="111" t="str">
        <f t="shared" si="24"/>
        <v>Valve Chambers</v>
      </c>
      <c r="B1554" t="s">
        <v>2019</v>
      </c>
      <c r="D1554" s="1">
        <v>37845.08</v>
      </c>
      <c r="E1554" s="3"/>
      <c r="F1554" s="3">
        <v>1</v>
      </c>
      <c r="G1554" s="1">
        <v>37845.08</v>
      </c>
    </row>
    <row r="1555" spans="1:7" x14ac:dyDescent="0.25">
      <c r="A1555" s="111" t="str">
        <f t="shared" si="24"/>
        <v>JDH4-02-007-CN-4640</v>
      </c>
      <c r="B1555" t="s">
        <v>2386</v>
      </c>
      <c r="C1555" t="s">
        <v>2387</v>
      </c>
      <c r="D1555" s="1">
        <v>37845.08</v>
      </c>
      <c r="E1555" s="3">
        <v>1</v>
      </c>
      <c r="F1555" s="3">
        <v>1</v>
      </c>
      <c r="G1555" s="1">
        <v>37845.08</v>
      </c>
    </row>
    <row r="1556" spans="1:7" x14ac:dyDescent="0.25">
      <c r="A1556" s="111" t="str">
        <f t="shared" si="24"/>
        <v>Electrical Works</v>
      </c>
      <c r="B1556" t="s">
        <v>1785</v>
      </c>
      <c r="D1556" s="1">
        <v>204136.13</v>
      </c>
      <c r="E1556" s="3"/>
      <c r="F1556" s="3">
        <v>1</v>
      </c>
      <c r="G1556" s="1">
        <v>204136.13</v>
      </c>
    </row>
    <row r="1557" spans="1:7" x14ac:dyDescent="0.25">
      <c r="A1557" s="111" t="str">
        <f t="shared" si="24"/>
        <v>MV &amp; LV Cables</v>
      </c>
      <c r="B1557" t="s">
        <v>1888</v>
      </c>
      <c r="D1557" s="1">
        <v>36633.78</v>
      </c>
      <c r="F1557" s="2">
        <v>1</v>
      </c>
      <c r="G1557" s="1">
        <v>36633.78</v>
      </c>
    </row>
    <row r="1558" spans="1:7" x14ac:dyDescent="0.25">
      <c r="A1558" s="111" t="str">
        <f t="shared" si="24"/>
        <v>Low Voltage Cable</v>
      </c>
      <c r="B1558" t="s">
        <v>222</v>
      </c>
      <c r="D1558" s="1">
        <v>36633.78</v>
      </c>
      <c r="E1558" s="3"/>
      <c r="F1558" s="3">
        <v>1</v>
      </c>
      <c r="G1558" s="1">
        <v>36633.78</v>
      </c>
    </row>
    <row r="1559" spans="1:7" x14ac:dyDescent="0.25">
      <c r="A1559" s="111" t="str">
        <f t="shared" si="24"/>
        <v>JDH4-02-007-CN-2670</v>
      </c>
      <c r="B1559" t="s">
        <v>2394</v>
      </c>
      <c r="C1559" t="s">
        <v>2395</v>
      </c>
      <c r="D1559" s="1">
        <v>9839.7199999999993</v>
      </c>
      <c r="E1559" s="3">
        <v>1</v>
      </c>
      <c r="F1559" s="3">
        <v>1</v>
      </c>
      <c r="G1559" s="1">
        <v>9839.7199999999993</v>
      </c>
    </row>
    <row r="1560" spans="1:7" x14ac:dyDescent="0.25">
      <c r="A1560" s="111" t="str">
        <f t="shared" si="24"/>
        <v>JDH4-02-007-CN-2680</v>
      </c>
      <c r="B1560" t="s">
        <v>2396</v>
      </c>
      <c r="C1560" t="s">
        <v>2397</v>
      </c>
      <c r="D1560" s="1">
        <v>26794.06</v>
      </c>
      <c r="E1560" s="3">
        <v>1</v>
      </c>
      <c r="F1560" s="3">
        <v>1</v>
      </c>
      <c r="G1560" s="1">
        <v>26794.06</v>
      </c>
    </row>
    <row r="1561" spans="1:7" x14ac:dyDescent="0.25">
      <c r="A1561" s="111" t="str">
        <f t="shared" si="24"/>
        <v>Telecommunication</v>
      </c>
      <c r="B1561" t="s">
        <v>1799</v>
      </c>
      <c r="D1561" s="1">
        <v>167502.35</v>
      </c>
      <c r="E1561" s="3"/>
      <c r="F1561" s="3">
        <v>1</v>
      </c>
      <c r="G1561" s="1">
        <v>167502.35</v>
      </c>
    </row>
    <row r="1562" spans="1:7" x14ac:dyDescent="0.25">
      <c r="A1562" s="111" t="str">
        <f t="shared" si="24"/>
        <v>JDH4-02-007-CN-3120</v>
      </c>
      <c r="B1562" t="s">
        <v>2398</v>
      </c>
      <c r="C1562" t="s">
        <v>2399</v>
      </c>
      <c r="D1562" s="1">
        <v>76068.62</v>
      </c>
      <c r="E1562" s="3">
        <v>1</v>
      </c>
      <c r="F1562" s="3">
        <v>1</v>
      </c>
      <c r="G1562" s="1">
        <v>76068.62</v>
      </c>
    </row>
    <row r="1563" spans="1:7" x14ac:dyDescent="0.25">
      <c r="A1563" s="111" t="str">
        <f t="shared" si="24"/>
        <v>JDH4-02-007-CN-3190</v>
      </c>
      <c r="B1563" t="s">
        <v>2400</v>
      </c>
      <c r="C1563" t="s">
        <v>2401</v>
      </c>
      <c r="D1563" s="1">
        <v>3406.06</v>
      </c>
      <c r="E1563" s="3">
        <v>1</v>
      </c>
      <c r="F1563" s="3">
        <v>1</v>
      </c>
      <c r="G1563" s="1">
        <v>3406.06</v>
      </c>
    </row>
    <row r="1564" spans="1:7" x14ac:dyDescent="0.25">
      <c r="A1564" s="111" t="str">
        <f t="shared" si="24"/>
        <v>JDH4-02-007-CN-3230</v>
      </c>
      <c r="B1564" t="s">
        <v>2402</v>
      </c>
      <c r="C1564" t="s">
        <v>2403</v>
      </c>
      <c r="D1564" s="1">
        <v>70997.38</v>
      </c>
      <c r="E1564" s="3">
        <v>1</v>
      </c>
      <c r="F1564" s="2">
        <v>1</v>
      </c>
      <c r="G1564" s="1">
        <v>70997.38</v>
      </c>
    </row>
    <row r="1565" spans="1:7" x14ac:dyDescent="0.25">
      <c r="A1565" s="111" t="str">
        <f t="shared" si="24"/>
        <v>JDH4-02-007-CN-3300</v>
      </c>
      <c r="B1565" t="s">
        <v>2404</v>
      </c>
      <c r="C1565" t="s">
        <v>2358</v>
      </c>
      <c r="D1565" s="1">
        <v>17030.29</v>
      </c>
      <c r="E1565" s="3">
        <v>1</v>
      </c>
      <c r="F1565" s="3">
        <v>1</v>
      </c>
      <c r="G1565" s="1">
        <v>17030.29</v>
      </c>
    </row>
    <row r="1566" spans="1:7" x14ac:dyDescent="0.25">
      <c r="A1566" s="111" t="str">
        <f t="shared" si="24"/>
        <v>Out of Zone</v>
      </c>
      <c r="B1566" t="s">
        <v>2405</v>
      </c>
      <c r="D1566" s="1">
        <v>49496.57</v>
      </c>
      <c r="E1566" s="3"/>
      <c r="F1566" s="3">
        <v>1</v>
      </c>
      <c r="G1566" s="1">
        <v>49496.57</v>
      </c>
    </row>
    <row r="1567" spans="1:7" x14ac:dyDescent="0.25">
      <c r="A1567" s="111" t="str">
        <f t="shared" si="24"/>
        <v>Electrical Works</v>
      </c>
      <c r="B1567" t="s">
        <v>1785</v>
      </c>
      <c r="D1567" s="1">
        <v>49496.57</v>
      </c>
      <c r="E1567" s="3"/>
      <c r="F1567" s="3">
        <v>1</v>
      </c>
      <c r="G1567" s="1">
        <v>49496.57</v>
      </c>
    </row>
    <row r="1568" spans="1:7" x14ac:dyDescent="0.25">
      <c r="A1568" s="111" t="str">
        <f t="shared" si="24"/>
        <v>LV Cables</v>
      </c>
      <c r="B1568" t="s">
        <v>4076</v>
      </c>
      <c r="D1568" s="1">
        <v>49496.57</v>
      </c>
      <c r="E1568" s="3"/>
      <c r="F1568" s="3">
        <v>1</v>
      </c>
      <c r="G1568" s="1">
        <v>49496.57</v>
      </c>
    </row>
    <row r="1569" spans="1:7" x14ac:dyDescent="0.25">
      <c r="A1569" s="111" t="str">
        <f t="shared" si="24"/>
        <v>Low Voltage Cable</v>
      </c>
      <c r="B1569" t="s">
        <v>222</v>
      </c>
      <c r="D1569" s="1">
        <v>49496.57</v>
      </c>
      <c r="E1569" s="3"/>
      <c r="F1569" s="3">
        <v>1</v>
      </c>
      <c r="G1569" s="1">
        <v>49496.57</v>
      </c>
    </row>
    <row r="1570" spans="1:7" x14ac:dyDescent="0.25">
      <c r="A1570" s="111" t="str">
        <f t="shared" si="24"/>
        <v>JDH4-02-007-CN-2690</v>
      </c>
      <c r="B1570" t="s">
        <v>2412</v>
      </c>
      <c r="C1570" t="s">
        <v>2413</v>
      </c>
      <c r="D1570" s="1">
        <v>13245.78</v>
      </c>
      <c r="E1570" s="3">
        <v>1</v>
      </c>
      <c r="F1570" s="3">
        <v>1</v>
      </c>
      <c r="G1570" s="1">
        <v>13245.78</v>
      </c>
    </row>
    <row r="1571" spans="1:7" x14ac:dyDescent="0.25">
      <c r="A1571" s="111" t="str">
        <f t="shared" si="24"/>
        <v>JDH4-02-007-CN-2700</v>
      </c>
      <c r="B1571" t="s">
        <v>2414</v>
      </c>
      <c r="C1571" t="s">
        <v>2415</v>
      </c>
      <c r="D1571" s="1">
        <v>36250.79</v>
      </c>
      <c r="E1571" s="3">
        <v>1</v>
      </c>
      <c r="F1571" s="2">
        <v>1</v>
      </c>
      <c r="G1571" s="1">
        <v>36250.79</v>
      </c>
    </row>
    <row r="1572" spans="1:7" x14ac:dyDescent="0.25">
      <c r="A1572" s="111" t="str">
        <f t="shared" si="24"/>
        <v>Sewage Lift Station</v>
      </c>
      <c r="B1572" t="s">
        <v>2416</v>
      </c>
      <c r="D1572" s="1">
        <v>3049343.44</v>
      </c>
      <c r="E1572" s="3"/>
      <c r="F1572" s="3">
        <v>0.72660000000000002</v>
      </c>
      <c r="G1572" s="1">
        <v>2215510.09</v>
      </c>
    </row>
    <row r="1573" spans="1:7" x14ac:dyDescent="0.25">
      <c r="A1573" s="111" t="str">
        <f t="shared" si="24"/>
        <v>Site Works</v>
      </c>
      <c r="B1573" t="s">
        <v>2417</v>
      </c>
      <c r="D1573" s="1">
        <v>10249.719999999999</v>
      </c>
      <c r="E1573" s="3"/>
      <c r="F1573" s="3">
        <v>1</v>
      </c>
      <c r="G1573" s="1">
        <v>10249.719999999999</v>
      </c>
    </row>
    <row r="1574" spans="1:7" x14ac:dyDescent="0.25">
      <c r="A1574" s="111" t="str">
        <f t="shared" si="24"/>
        <v>JDH4-02-007-CN-5910</v>
      </c>
      <c r="B1574" t="s">
        <v>2418</v>
      </c>
      <c r="C1574" t="s">
        <v>2419</v>
      </c>
      <c r="D1574" s="1">
        <v>3942.2</v>
      </c>
      <c r="E1574" s="3">
        <v>1</v>
      </c>
      <c r="F1574" s="3">
        <v>1</v>
      </c>
      <c r="G1574" s="1">
        <v>3942.2</v>
      </c>
    </row>
    <row r="1575" spans="1:7" x14ac:dyDescent="0.25">
      <c r="A1575" s="111" t="str">
        <f t="shared" si="24"/>
        <v>JDH4-02-007-CN-5930</v>
      </c>
      <c r="B1575" t="s">
        <v>2422</v>
      </c>
      <c r="C1575" t="s">
        <v>2423</v>
      </c>
      <c r="D1575" s="1">
        <v>4730.6400000000003</v>
      </c>
      <c r="E1575" s="3">
        <v>1</v>
      </c>
      <c r="F1575" s="3">
        <v>1</v>
      </c>
      <c r="G1575" s="1">
        <v>4730.6400000000003</v>
      </c>
    </row>
    <row r="1576" spans="1:7" x14ac:dyDescent="0.25">
      <c r="A1576" s="111" t="str">
        <f t="shared" si="24"/>
        <v>JDH4-02-007-CN-5920</v>
      </c>
      <c r="B1576" t="s">
        <v>2420</v>
      </c>
      <c r="C1576" t="s">
        <v>2421</v>
      </c>
      <c r="D1576" s="1">
        <v>1576.88</v>
      </c>
      <c r="E1576" s="3">
        <v>1</v>
      </c>
      <c r="F1576" s="3">
        <v>1</v>
      </c>
      <c r="G1576" s="1">
        <v>1576.88</v>
      </c>
    </row>
    <row r="1577" spans="1:7" x14ac:dyDescent="0.25">
      <c r="A1577" s="111" t="str">
        <f t="shared" si="24"/>
        <v>Concrete Works</v>
      </c>
      <c r="B1577" t="s">
        <v>2424</v>
      </c>
      <c r="D1577" s="1">
        <v>67679.63</v>
      </c>
      <c r="E1577" s="3"/>
      <c r="F1577" s="3">
        <v>1</v>
      </c>
      <c r="G1577" s="1">
        <v>67679.63</v>
      </c>
    </row>
    <row r="1578" spans="1:7" x14ac:dyDescent="0.25">
      <c r="A1578" s="111" t="str">
        <f t="shared" si="24"/>
        <v>JDH4-02-007-CN-1010</v>
      </c>
      <c r="B1578" t="s">
        <v>2425</v>
      </c>
      <c r="C1578" t="s">
        <v>2426</v>
      </c>
      <c r="D1578" s="1">
        <v>2081.48</v>
      </c>
      <c r="E1578" s="3">
        <v>1</v>
      </c>
      <c r="F1578" s="3">
        <v>1</v>
      </c>
      <c r="G1578" s="1">
        <v>2081.48</v>
      </c>
    </row>
    <row r="1579" spans="1:7" x14ac:dyDescent="0.25">
      <c r="A1579" s="111" t="str">
        <f t="shared" si="24"/>
        <v>JDH4-02-007-CN-1020</v>
      </c>
      <c r="B1579" t="s">
        <v>2427</v>
      </c>
      <c r="C1579" t="s">
        <v>2428</v>
      </c>
      <c r="D1579" s="1">
        <v>25230.06</v>
      </c>
      <c r="E1579" s="3">
        <v>1</v>
      </c>
      <c r="F1579" s="3">
        <v>1</v>
      </c>
      <c r="G1579" s="1">
        <v>25230.06</v>
      </c>
    </row>
    <row r="1580" spans="1:7" x14ac:dyDescent="0.25">
      <c r="A1580" s="111" t="str">
        <f t="shared" si="24"/>
        <v>JDH4-02-007-CN-1030</v>
      </c>
      <c r="B1580" t="s">
        <v>2429</v>
      </c>
      <c r="C1580" t="s">
        <v>2430</v>
      </c>
      <c r="D1580" s="1">
        <v>40368.089999999997</v>
      </c>
      <c r="E1580" s="3">
        <v>1</v>
      </c>
      <c r="F1580" s="3">
        <v>1</v>
      </c>
      <c r="G1580" s="1">
        <v>40368.089999999997</v>
      </c>
    </row>
    <row r="1581" spans="1:7" x14ac:dyDescent="0.25">
      <c r="A1581" s="111" t="str">
        <f t="shared" si="24"/>
        <v>Thermal &amp; Moisture Protection</v>
      </c>
      <c r="B1581" t="s">
        <v>2431</v>
      </c>
      <c r="D1581" s="1">
        <v>7001.35</v>
      </c>
      <c r="E1581" s="3"/>
      <c r="F1581" s="3">
        <v>1</v>
      </c>
      <c r="G1581" s="1">
        <v>7001.35</v>
      </c>
    </row>
    <row r="1582" spans="1:7" x14ac:dyDescent="0.25">
      <c r="A1582" s="111" t="str">
        <f t="shared" si="24"/>
        <v>JDH4-02-007-CN-1050</v>
      </c>
      <c r="B1582" t="s">
        <v>2432</v>
      </c>
      <c r="C1582" t="s">
        <v>2433</v>
      </c>
      <c r="D1582" s="1">
        <v>2270.71</v>
      </c>
      <c r="E1582" s="3">
        <v>1</v>
      </c>
      <c r="F1582" s="3">
        <v>1</v>
      </c>
      <c r="G1582" s="1">
        <v>2270.71</v>
      </c>
    </row>
    <row r="1583" spans="1:7" x14ac:dyDescent="0.25">
      <c r="A1583" s="111" t="str">
        <f t="shared" si="24"/>
        <v>JDH4-02-007-CN-1060</v>
      </c>
      <c r="B1583" t="s">
        <v>2434</v>
      </c>
      <c r="C1583" t="s">
        <v>2435</v>
      </c>
      <c r="D1583" s="1">
        <v>4730.6400000000003</v>
      </c>
      <c r="E1583" s="3">
        <v>1</v>
      </c>
      <c r="F1583" s="3">
        <v>1</v>
      </c>
      <c r="G1583" s="1">
        <v>4730.6400000000003</v>
      </c>
    </row>
    <row r="1584" spans="1:7" x14ac:dyDescent="0.25">
      <c r="A1584" s="111" t="str">
        <f t="shared" si="24"/>
        <v>Metals</v>
      </c>
      <c r="B1584" t="s">
        <v>2436</v>
      </c>
      <c r="D1584" s="1">
        <v>10092.02</v>
      </c>
      <c r="E1584" s="3"/>
      <c r="F1584" s="3">
        <v>1</v>
      </c>
      <c r="G1584" s="1">
        <v>10092.02</v>
      </c>
    </row>
    <row r="1585" spans="1:7" x14ac:dyDescent="0.25">
      <c r="A1585" s="111" t="str">
        <f t="shared" si="24"/>
        <v>JDH4-02-007-CN-1040</v>
      </c>
      <c r="B1585" t="s">
        <v>2437</v>
      </c>
      <c r="C1585" t="s">
        <v>2438</v>
      </c>
      <c r="D1585" s="1">
        <v>10092.02</v>
      </c>
      <c r="E1585" s="3">
        <v>1</v>
      </c>
      <c r="F1585" s="3">
        <v>1</v>
      </c>
      <c r="G1585" s="1">
        <v>10092.02</v>
      </c>
    </row>
    <row r="1586" spans="1:7" x14ac:dyDescent="0.25">
      <c r="A1586" s="111" t="str">
        <f t="shared" si="24"/>
        <v>Mechanical Works</v>
      </c>
      <c r="B1586" t="s">
        <v>2439</v>
      </c>
      <c r="D1586" s="1">
        <v>1705863.69</v>
      </c>
      <c r="E1586" s="3"/>
      <c r="F1586" s="3">
        <v>0.79390000000000005</v>
      </c>
      <c r="G1586" s="1">
        <v>1354219.78</v>
      </c>
    </row>
    <row r="1587" spans="1:7" x14ac:dyDescent="0.25">
      <c r="A1587" s="111" t="str">
        <f t="shared" si="24"/>
        <v>Pipes &amp; Fittings</v>
      </c>
      <c r="B1587" t="s">
        <v>2440</v>
      </c>
      <c r="D1587" s="1">
        <v>256712.33</v>
      </c>
      <c r="E1587" s="3"/>
      <c r="F1587" s="3">
        <v>1</v>
      </c>
      <c r="G1587" s="1">
        <v>256712.33</v>
      </c>
    </row>
    <row r="1588" spans="1:7" x14ac:dyDescent="0.25">
      <c r="A1588" s="111" t="str">
        <f t="shared" si="24"/>
        <v>JDH4-02-007-CN-1090</v>
      </c>
      <c r="B1588" t="s">
        <v>2441</v>
      </c>
      <c r="C1588" t="s">
        <v>2442</v>
      </c>
      <c r="D1588" s="1">
        <v>30587.94</v>
      </c>
      <c r="E1588" s="3">
        <v>1</v>
      </c>
      <c r="F1588" s="3">
        <v>1</v>
      </c>
      <c r="G1588" s="1">
        <v>30587.94</v>
      </c>
    </row>
    <row r="1589" spans="1:7" x14ac:dyDescent="0.25">
      <c r="A1589" s="111" t="str">
        <f t="shared" si="24"/>
        <v>JDH4-02-007-CN-1100</v>
      </c>
      <c r="B1589" t="s">
        <v>2443</v>
      </c>
      <c r="C1589" t="s">
        <v>2444</v>
      </c>
      <c r="D1589" s="1">
        <v>29014.560000000001</v>
      </c>
      <c r="E1589" s="3">
        <v>1</v>
      </c>
      <c r="F1589" s="3">
        <v>1</v>
      </c>
      <c r="G1589" s="1">
        <v>29014.560000000001</v>
      </c>
    </row>
    <row r="1590" spans="1:7" x14ac:dyDescent="0.25">
      <c r="A1590" s="111" t="str">
        <f t="shared" si="24"/>
        <v>JDH4-02-007-CN-1120</v>
      </c>
      <c r="B1590" t="s">
        <v>2445</v>
      </c>
      <c r="C1590" t="s">
        <v>2446</v>
      </c>
      <c r="D1590" s="1">
        <v>13876.54</v>
      </c>
      <c r="E1590" s="3">
        <v>1</v>
      </c>
      <c r="F1590" s="3">
        <v>1</v>
      </c>
      <c r="G1590" s="1">
        <v>13876.54</v>
      </c>
    </row>
    <row r="1591" spans="1:7" x14ac:dyDescent="0.25">
      <c r="A1591" s="111" t="str">
        <f t="shared" si="24"/>
        <v>JDH4-02-007-CN-1130</v>
      </c>
      <c r="B1591" t="s">
        <v>2447</v>
      </c>
      <c r="C1591" t="s">
        <v>2448</v>
      </c>
      <c r="D1591" s="1">
        <v>9461.27</v>
      </c>
      <c r="E1591" s="3">
        <v>1</v>
      </c>
      <c r="F1591" s="3">
        <v>1</v>
      </c>
      <c r="G1591" s="1">
        <v>9461.27</v>
      </c>
    </row>
    <row r="1592" spans="1:7" x14ac:dyDescent="0.25">
      <c r="A1592" s="111" t="str">
        <f t="shared" si="24"/>
        <v>JDH4-02-007-CN-1140</v>
      </c>
      <c r="B1592" t="s">
        <v>2449</v>
      </c>
      <c r="C1592" t="s">
        <v>2450</v>
      </c>
      <c r="D1592" s="1">
        <v>11353.53</v>
      </c>
      <c r="E1592" s="3">
        <v>1</v>
      </c>
      <c r="F1592" s="2">
        <v>1</v>
      </c>
      <c r="G1592" s="1">
        <v>11353.53</v>
      </c>
    </row>
    <row r="1593" spans="1:7" x14ac:dyDescent="0.25">
      <c r="A1593" s="111" t="str">
        <f t="shared" si="24"/>
        <v>JDH4-02-007-CN-1160</v>
      </c>
      <c r="B1593" t="s">
        <v>2453</v>
      </c>
      <c r="C1593" t="s">
        <v>2454</v>
      </c>
      <c r="D1593" s="1">
        <v>157687.85</v>
      </c>
      <c r="E1593" s="3">
        <v>1</v>
      </c>
      <c r="F1593" s="3">
        <v>1</v>
      </c>
      <c r="G1593" s="1">
        <v>157687.85</v>
      </c>
    </row>
    <row r="1594" spans="1:7" x14ac:dyDescent="0.25">
      <c r="A1594" s="111" t="str">
        <f t="shared" si="24"/>
        <v>JDH4-02-007-CN-1150</v>
      </c>
      <c r="B1594" t="s">
        <v>2451</v>
      </c>
      <c r="C1594" t="s">
        <v>2452</v>
      </c>
      <c r="D1594" s="1">
        <v>4730.6400000000003</v>
      </c>
      <c r="E1594" s="3">
        <v>1</v>
      </c>
      <c r="F1594" s="3">
        <v>1</v>
      </c>
      <c r="G1594" s="1">
        <v>4730.6400000000003</v>
      </c>
    </row>
    <row r="1595" spans="1:7" x14ac:dyDescent="0.25">
      <c r="A1595" s="111" t="str">
        <f t="shared" si="24"/>
        <v>Control Equipment</v>
      </c>
      <c r="B1595" t="s">
        <v>2455</v>
      </c>
      <c r="D1595" s="1">
        <v>118265.89</v>
      </c>
      <c r="E1595" s="3"/>
      <c r="F1595" s="3">
        <v>1</v>
      </c>
      <c r="G1595" s="1">
        <v>118265.89</v>
      </c>
    </row>
    <row r="1596" spans="1:7" x14ac:dyDescent="0.25">
      <c r="A1596" s="111" t="str">
        <f t="shared" si="24"/>
        <v>JDH4-02-007-CN-1200</v>
      </c>
      <c r="B1596" t="s">
        <v>2460</v>
      </c>
      <c r="C1596" t="s">
        <v>2461</v>
      </c>
      <c r="D1596" s="1">
        <v>9461.27</v>
      </c>
      <c r="E1596" s="3">
        <v>1</v>
      </c>
      <c r="F1596" s="3">
        <v>1</v>
      </c>
      <c r="G1596" s="1">
        <v>9461.27</v>
      </c>
    </row>
    <row r="1597" spans="1:7" x14ac:dyDescent="0.25">
      <c r="A1597" s="111" t="str">
        <f t="shared" si="24"/>
        <v>JDH4-02-007-CN-1190</v>
      </c>
      <c r="B1597" t="s">
        <v>2458</v>
      </c>
      <c r="C1597" t="s">
        <v>2459</v>
      </c>
      <c r="D1597" s="1">
        <v>4730.6400000000003</v>
      </c>
      <c r="E1597" s="3">
        <v>1</v>
      </c>
      <c r="F1597" s="3">
        <v>1</v>
      </c>
      <c r="G1597" s="1">
        <v>4730.6400000000003</v>
      </c>
    </row>
    <row r="1598" spans="1:7" x14ac:dyDescent="0.25">
      <c r="A1598" s="111" t="str">
        <f t="shared" si="24"/>
        <v>JDH4-02-007-CN-1180</v>
      </c>
      <c r="B1598" t="s">
        <v>2456</v>
      </c>
      <c r="C1598" t="s">
        <v>2457</v>
      </c>
      <c r="D1598" s="1">
        <v>94612.71</v>
      </c>
      <c r="E1598" s="3">
        <v>1</v>
      </c>
      <c r="F1598" s="3">
        <v>1</v>
      </c>
      <c r="G1598" s="1">
        <v>94612.71</v>
      </c>
    </row>
    <row r="1599" spans="1:7" x14ac:dyDescent="0.25">
      <c r="A1599" s="111" t="str">
        <f t="shared" si="24"/>
        <v>JDH4-02-007-CN-1210</v>
      </c>
      <c r="B1599" t="s">
        <v>2462</v>
      </c>
      <c r="C1599" t="s">
        <v>2463</v>
      </c>
      <c r="D1599" s="1">
        <v>9461.27</v>
      </c>
      <c r="E1599" s="3">
        <v>1</v>
      </c>
      <c r="F1599" s="3">
        <v>1</v>
      </c>
      <c r="G1599" s="1">
        <v>9461.27</v>
      </c>
    </row>
    <row r="1600" spans="1:7" x14ac:dyDescent="0.25">
      <c r="A1600" s="111" t="str">
        <f t="shared" si="24"/>
        <v>Interface Works</v>
      </c>
      <c r="B1600" t="s">
        <v>2464</v>
      </c>
      <c r="D1600" s="1">
        <v>63075.14</v>
      </c>
      <c r="E1600" s="3"/>
      <c r="F1600" s="3">
        <v>1</v>
      </c>
      <c r="G1600" s="1">
        <v>63075.14</v>
      </c>
    </row>
    <row r="1601" spans="1:7" x14ac:dyDescent="0.25">
      <c r="A1601" s="111" t="str">
        <f t="shared" si="24"/>
        <v>JDH4-02-007-CN-1220</v>
      </c>
      <c r="B1601" t="s">
        <v>2465</v>
      </c>
      <c r="C1601" t="s">
        <v>2466</v>
      </c>
      <c r="D1601" s="1">
        <v>63075.14</v>
      </c>
      <c r="E1601" s="3">
        <v>1</v>
      </c>
      <c r="F1601" s="3">
        <v>1</v>
      </c>
      <c r="G1601" s="1">
        <v>63075.14</v>
      </c>
    </row>
    <row r="1602" spans="1:7" x14ac:dyDescent="0.25">
      <c r="A1602" s="111" t="str">
        <f t="shared" si="24"/>
        <v>Anti Water Hammer Equipment</v>
      </c>
      <c r="B1602" t="s">
        <v>2467</v>
      </c>
      <c r="D1602" s="1">
        <v>883051.97</v>
      </c>
      <c r="E1602" s="3"/>
      <c r="F1602" s="3">
        <v>0.8</v>
      </c>
      <c r="G1602" s="1">
        <v>706441.58</v>
      </c>
    </row>
    <row r="1603" spans="1:7" x14ac:dyDescent="0.25">
      <c r="A1603" s="111" t="str">
        <f t="shared" si="24"/>
        <v>JDH4-02-007-CN-1230</v>
      </c>
      <c r="B1603" t="s">
        <v>2468</v>
      </c>
      <c r="C1603" t="s">
        <v>2469</v>
      </c>
      <c r="D1603" s="1">
        <v>883051.97</v>
      </c>
      <c r="E1603" s="3">
        <v>0.8</v>
      </c>
      <c r="F1603" s="3">
        <v>0.8</v>
      </c>
      <c r="G1603" s="1">
        <v>706441.58</v>
      </c>
    </row>
    <row r="1604" spans="1:7" x14ac:dyDescent="0.25">
      <c r="A1604" s="111" t="str">
        <f t="shared" ref="A1604:A1667" si="25">TRIM(B1604)</f>
        <v>Air Conditioning &amp; Ventilation</v>
      </c>
      <c r="B1604" t="s">
        <v>2470</v>
      </c>
      <c r="D1604" s="1">
        <v>18922.54</v>
      </c>
      <c r="E1604" s="3"/>
      <c r="F1604" s="3">
        <v>1</v>
      </c>
      <c r="G1604" s="1">
        <v>18922.54</v>
      </c>
    </row>
    <row r="1605" spans="1:7" x14ac:dyDescent="0.25">
      <c r="A1605" s="111" t="str">
        <f t="shared" si="25"/>
        <v>JDH4-02-007-CN-1240</v>
      </c>
      <c r="B1605" t="s">
        <v>2471</v>
      </c>
      <c r="C1605" t="s">
        <v>2472</v>
      </c>
      <c r="D1605" s="1">
        <v>18922.54</v>
      </c>
      <c r="E1605" s="3">
        <v>1</v>
      </c>
      <c r="F1605" s="3">
        <v>1</v>
      </c>
      <c r="G1605" s="1">
        <v>18922.54</v>
      </c>
    </row>
    <row r="1606" spans="1:7" x14ac:dyDescent="0.25">
      <c r="A1606" s="111" t="str">
        <f t="shared" si="25"/>
        <v>Fuel System</v>
      </c>
      <c r="B1606" t="s">
        <v>1045</v>
      </c>
      <c r="D1606" s="1">
        <v>75690.17</v>
      </c>
      <c r="F1606" s="2">
        <v>1</v>
      </c>
      <c r="G1606" s="1">
        <v>75690.17</v>
      </c>
    </row>
    <row r="1607" spans="1:7" x14ac:dyDescent="0.25">
      <c r="A1607" s="111" t="str">
        <f t="shared" si="25"/>
        <v>JDH4-02-007-CN-1260</v>
      </c>
      <c r="B1607" t="s">
        <v>2473</v>
      </c>
      <c r="C1607" t="s">
        <v>2474</v>
      </c>
      <c r="D1607" s="1">
        <v>18922.54</v>
      </c>
      <c r="E1607" s="3">
        <v>1</v>
      </c>
      <c r="F1607" s="3">
        <v>1</v>
      </c>
      <c r="G1607" s="1">
        <v>18922.54</v>
      </c>
    </row>
    <row r="1608" spans="1:7" x14ac:dyDescent="0.25">
      <c r="A1608" s="111" t="str">
        <f t="shared" si="25"/>
        <v>JDH4-02-007-CN-1270</v>
      </c>
      <c r="B1608" t="s">
        <v>2475</v>
      </c>
      <c r="C1608" t="s">
        <v>2476</v>
      </c>
      <c r="D1608" s="1">
        <v>47306.36</v>
      </c>
      <c r="E1608" s="3">
        <v>1</v>
      </c>
      <c r="F1608" s="3">
        <v>1</v>
      </c>
      <c r="G1608" s="1">
        <v>47306.36</v>
      </c>
    </row>
    <row r="1609" spans="1:7" x14ac:dyDescent="0.25">
      <c r="A1609" s="111" t="str">
        <f t="shared" si="25"/>
        <v>JDH4-02-007-CN-1280</v>
      </c>
      <c r="B1609" t="s">
        <v>2477</v>
      </c>
      <c r="C1609" t="s">
        <v>2478</v>
      </c>
      <c r="D1609" s="1">
        <v>9461.27</v>
      </c>
      <c r="E1609" s="3">
        <v>1</v>
      </c>
      <c r="F1609" s="3">
        <v>1</v>
      </c>
      <c r="G1609" s="1">
        <v>9461.27</v>
      </c>
    </row>
    <row r="1610" spans="1:7" x14ac:dyDescent="0.25">
      <c r="A1610" s="111" t="str">
        <f t="shared" si="25"/>
        <v>Fire Fighting</v>
      </c>
      <c r="B1610" t="s">
        <v>2479</v>
      </c>
      <c r="D1610" s="1">
        <v>56767.63</v>
      </c>
      <c r="E1610" s="3"/>
      <c r="F1610" s="3">
        <v>1</v>
      </c>
      <c r="G1610" s="1">
        <v>56767.63</v>
      </c>
    </row>
    <row r="1611" spans="1:7" x14ac:dyDescent="0.25">
      <c r="A1611" s="111" t="str">
        <f t="shared" si="25"/>
        <v>JDH4-02-007-CN-1290</v>
      </c>
      <c r="B1611" t="s">
        <v>2480</v>
      </c>
      <c r="C1611" t="s">
        <v>2481</v>
      </c>
      <c r="D1611" s="1">
        <v>47306.36</v>
      </c>
      <c r="E1611" s="3">
        <v>1</v>
      </c>
      <c r="F1611" s="3">
        <v>1</v>
      </c>
      <c r="G1611" s="1">
        <v>47306.36</v>
      </c>
    </row>
    <row r="1612" spans="1:7" x14ac:dyDescent="0.25">
      <c r="A1612" s="111" t="str">
        <f t="shared" si="25"/>
        <v>JDH4-02-007-CN-1300</v>
      </c>
      <c r="B1612" t="s">
        <v>2482</v>
      </c>
      <c r="C1612" t="s">
        <v>2483</v>
      </c>
      <c r="D1612" s="1">
        <v>9461.27</v>
      </c>
      <c r="E1612" s="3">
        <v>1</v>
      </c>
      <c r="F1612" s="3">
        <v>1</v>
      </c>
      <c r="G1612" s="1">
        <v>9461.27</v>
      </c>
    </row>
    <row r="1613" spans="1:7" x14ac:dyDescent="0.25">
      <c r="A1613" s="111" t="str">
        <f t="shared" si="25"/>
        <v>Pumps</v>
      </c>
      <c r="B1613" t="s">
        <v>1306</v>
      </c>
      <c r="D1613" s="1">
        <v>233378.02</v>
      </c>
      <c r="E1613" s="3"/>
      <c r="F1613" s="3">
        <v>0.25</v>
      </c>
      <c r="G1613" s="1">
        <v>58344.51</v>
      </c>
    </row>
    <row r="1614" spans="1:7" x14ac:dyDescent="0.25">
      <c r="A1614" s="111" t="str">
        <f t="shared" si="25"/>
        <v>JDH4-02-007-CN-1070</v>
      </c>
      <c r="B1614" t="s">
        <v>2484</v>
      </c>
      <c r="C1614" t="s">
        <v>2485</v>
      </c>
      <c r="D1614" s="1">
        <v>233378.02</v>
      </c>
      <c r="E1614" s="3">
        <v>0.25</v>
      </c>
      <c r="F1614" s="3">
        <v>0.25</v>
      </c>
      <c r="G1614" s="1">
        <v>58344.51</v>
      </c>
    </row>
    <row r="1615" spans="1:7" x14ac:dyDescent="0.25">
      <c r="A1615" s="111" t="str">
        <f t="shared" si="25"/>
        <v>Electrical Works</v>
      </c>
      <c r="B1615" t="s">
        <v>2486</v>
      </c>
      <c r="D1615" s="1">
        <v>1230213.92</v>
      </c>
      <c r="E1615" s="3"/>
      <c r="F1615" s="3">
        <v>0.60799999999999998</v>
      </c>
      <c r="G1615" s="1">
        <v>748024.48</v>
      </c>
    </row>
    <row r="1616" spans="1:7" x14ac:dyDescent="0.25">
      <c r="A1616" s="111" t="str">
        <f t="shared" si="25"/>
        <v>Main Distribution Board</v>
      </c>
      <c r="B1616" t="s">
        <v>2487</v>
      </c>
      <c r="D1616" s="1">
        <v>104073.98</v>
      </c>
      <c r="E1616" s="3"/>
      <c r="F1616" s="3">
        <v>0.5</v>
      </c>
      <c r="G1616" s="1">
        <v>52036.99</v>
      </c>
    </row>
    <row r="1617" spans="1:7" x14ac:dyDescent="0.25">
      <c r="A1617" s="111" t="str">
        <f t="shared" si="25"/>
        <v>JDH4-02-007-CN-1310</v>
      </c>
      <c r="B1617" t="s">
        <v>2488</v>
      </c>
      <c r="C1617" t="s">
        <v>2489</v>
      </c>
      <c r="D1617" s="1">
        <v>75690.17</v>
      </c>
      <c r="E1617" s="3">
        <v>0.5</v>
      </c>
      <c r="F1617" s="3">
        <v>0.5</v>
      </c>
      <c r="G1617" s="1">
        <v>37845.089999999997</v>
      </c>
    </row>
    <row r="1618" spans="1:7" x14ac:dyDescent="0.25">
      <c r="A1618" s="111" t="str">
        <f t="shared" si="25"/>
        <v>JDH4-02-007-CN-1320</v>
      </c>
      <c r="B1618" t="s">
        <v>2490</v>
      </c>
      <c r="C1618" t="s">
        <v>2491</v>
      </c>
      <c r="D1618" s="1">
        <v>28383.81</v>
      </c>
      <c r="E1618" s="3">
        <v>0.5</v>
      </c>
      <c r="F1618" s="3">
        <v>0.5</v>
      </c>
      <c r="G1618" s="1">
        <v>14191.91</v>
      </c>
    </row>
    <row r="1619" spans="1:7" x14ac:dyDescent="0.25">
      <c r="A1619" s="111" t="str">
        <f t="shared" si="25"/>
        <v>Local Control Panel</v>
      </c>
      <c r="B1619" t="s">
        <v>2492</v>
      </c>
      <c r="D1619" s="1">
        <v>107227.74</v>
      </c>
      <c r="E1619" s="3"/>
      <c r="F1619" s="3">
        <v>0.5</v>
      </c>
      <c r="G1619" s="1">
        <v>53613.87</v>
      </c>
    </row>
    <row r="1620" spans="1:7" x14ac:dyDescent="0.25">
      <c r="A1620" s="111" t="str">
        <f t="shared" si="25"/>
        <v>JDH4-02-007-CN-1330</v>
      </c>
      <c r="B1620" t="s">
        <v>2493</v>
      </c>
      <c r="C1620" t="s">
        <v>2494</v>
      </c>
      <c r="D1620" s="1">
        <v>25230.06</v>
      </c>
      <c r="E1620" s="3">
        <v>0.5</v>
      </c>
      <c r="F1620" s="3">
        <v>0.5</v>
      </c>
      <c r="G1620" s="1">
        <v>12615.03</v>
      </c>
    </row>
    <row r="1621" spans="1:7" x14ac:dyDescent="0.25">
      <c r="A1621" s="111" t="str">
        <f t="shared" si="25"/>
        <v>JDH4-02-007-CN-1350</v>
      </c>
      <c r="B1621" t="s">
        <v>2495</v>
      </c>
      <c r="C1621" t="s">
        <v>2496</v>
      </c>
      <c r="D1621" s="1">
        <v>25230.06</v>
      </c>
      <c r="E1621" s="3">
        <v>0.5</v>
      </c>
      <c r="F1621" s="3">
        <v>0.5</v>
      </c>
      <c r="G1621" s="1">
        <v>12615.03</v>
      </c>
    </row>
    <row r="1622" spans="1:7" x14ac:dyDescent="0.25">
      <c r="A1622" s="111" t="str">
        <f t="shared" si="25"/>
        <v>JDH4-02-007-CN-1360</v>
      </c>
      <c r="B1622" t="s">
        <v>2497</v>
      </c>
      <c r="C1622" t="s">
        <v>2498</v>
      </c>
      <c r="D1622" s="1">
        <v>28383.81</v>
      </c>
      <c r="E1622" s="3">
        <v>0.5</v>
      </c>
      <c r="F1622" s="3">
        <v>0.5</v>
      </c>
      <c r="G1622" s="1">
        <v>14191.91</v>
      </c>
    </row>
    <row r="1623" spans="1:7" x14ac:dyDescent="0.25">
      <c r="A1623" s="111" t="str">
        <f t="shared" si="25"/>
        <v>JDH4-02-007-CN-1370</v>
      </c>
      <c r="B1623" t="s">
        <v>2499</v>
      </c>
      <c r="C1623" t="s">
        <v>2500</v>
      </c>
      <c r="D1623" s="1">
        <v>28383.81</v>
      </c>
      <c r="E1623" s="3">
        <v>0.5</v>
      </c>
      <c r="F1623" s="3">
        <v>0.5</v>
      </c>
      <c r="G1623" s="1">
        <v>14191.91</v>
      </c>
    </row>
    <row r="1624" spans="1:7" x14ac:dyDescent="0.25">
      <c r="A1624" s="111" t="str">
        <f t="shared" si="25"/>
        <v>Diesel Generator</v>
      </c>
      <c r="B1624" t="s">
        <v>2501</v>
      </c>
      <c r="D1624" s="1">
        <v>75690.17</v>
      </c>
      <c r="E1624" s="3"/>
      <c r="F1624" s="3">
        <v>1</v>
      </c>
      <c r="G1624" s="1">
        <v>75690.17</v>
      </c>
    </row>
    <row r="1625" spans="1:7" x14ac:dyDescent="0.25">
      <c r="A1625" s="111" t="str">
        <f t="shared" si="25"/>
        <v>JDH4-02-007-CN-1380</v>
      </c>
      <c r="B1625" t="s">
        <v>2502</v>
      </c>
      <c r="C1625" t="s">
        <v>2503</v>
      </c>
      <c r="D1625" s="1">
        <v>75690.17</v>
      </c>
      <c r="E1625" s="3">
        <v>1</v>
      </c>
      <c r="F1625" s="3">
        <v>1</v>
      </c>
      <c r="G1625" s="1">
        <v>75690.17</v>
      </c>
    </row>
    <row r="1626" spans="1:7" x14ac:dyDescent="0.25">
      <c r="A1626" s="111" t="str">
        <f t="shared" si="25"/>
        <v>Power Factor Correction Capacitor Bank</v>
      </c>
      <c r="B1626" t="s">
        <v>1402</v>
      </c>
      <c r="D1626" s="1">
        <v>22076.3</v>
      </c>
      <c r="E1626" s="3"/>
      <c r="F1626" s="3">
        <v>0.5</v>
      </c>
      <c r="G1626" s="1">
        <v>11038.15</v>
      </c>
    </row>
    <row r="1627" spans="1:7" x14ac:dyDescent="0.25">
      <c r="A1627" s="111" t="str">
        <f t="shared" si="25"/>
        <v>JDH4-02-007-CN-1390</v>
      </c>
      <c r="B1627" t="s">
        <v>2504</v>
      </c>
      <c r="C1627" t="s">
        <v>2505</v>
      </c>
      <c r="D1627" s="1">
        <v>22076.3</v>
      </c>
      <c r="E1627" s="3">
        <v>0.5</v>
      </c>
      <c r="F1627" s="3">
        <v>0.5</v>
      </c>
      <c r="G1627" s="1">
        <v>11038.15</v>
      </c>
    </row>
    <row r="1628" spans="1:7" x14ac:dyDescent="0.25">
      <c r="A1628" s="111" t="str">
        <f t="shared" si="25"/>
        <v>Low-Voltage Electrical Power Conductors and Cables</v>
      </c>
      <c r="B1628" t="s">
        <v>1421</v>
      </c>
      <c r="D1628" s="1">
        <v>17535.2</v>
      </c>
      <c r="E1628" s="3"/>
      <c r="F1628" s="3">
        <v>0.5</v>
      </c>
      <c r="G1628" s="1">
        <v>8767.6</v>
      </c>
    </row>
    <row r="1629" spans="1:7" x14ac:dyDescent="0.25">
      <c r="A1629" s="111" t="str">
        <f t="shared" si="25"/>
        <v>JDH4-02-007-CN-1410</v>
      </c>
      <c r="B1629" t="s">
        <v>2506</v>
      </c>
      <c r="C1629" t="s">
        <v>2507</v>
      </c>
      <c r="D1629" s="1">
        <v>17535.2</v>
      </c>
      <c r="E1629" s="3">
        <v>0.5</v>
      </c>
      <c r="F1629" s="3">
        <v>0.5</v>
      </c>
      <c r="G1629" s="1">
        <v>8767.6</v>
      </c>
    </row>
    <row r="1630" spans="1:7" x14ac:dyDescent="0.25">
      <c r="A1630" s="111" t="str">
        <f t="shared" si="25"/>
        <v>Wiring Devices</v>
      </c>
      <c r="B1630" t="s">
        <v>1451</v>
      </c>
      <c r="D1630" s="1">
        <v>5044.1400000000003</v>
      </c>
      <c r="E1630" s="3"/>
      <c r="F1630" s="3">
        <v>1</v>
      </c>
      <c r="G1630" s="1">
        <v>5044.1400000000003</v>
      </c>
    </row>
    <row r="1631" spans="1:7" x14ac:dyDescent="0.25">
      <c r="A1631" s="111" t="str">
        <f t="shared" si="25"/>
        <v>JDH4-02-007-CN-1420</v>
      </c>
      <c r="B1631" t="s">
        <v>2508</v>
      </c>
      <c r="C1631" t="s">
        <v>2509</v>
      </c>
      <c r="D1631" s="1">
        <v>5044.1400000000003</v>
      </c>
      <c r="E1631" s="3">
        <v>1</v>
      </c>
      <c r="F1631" s="3">
        <v>1</v>
      </c>
      <c r="G1631" s="1">
        <v>5044.1400000000003</v>
      </c>
    </row>
    <row r="1632" spans="1:7" x14ac:dyDescent="0.25">
      <c r="A1632" s="111" t="str">
        <f t="shared" si="25"/>
        <v>Enclosed Switches and Circuit Breakers</v>
      </c>
      <c r="B1632" t="s">
        <v>1470</v>
      </c>
      <c r="D1632" s="1">
        <v>8830.52</v>
      </c>
      <c r="E1632" s="3"/>
      <c r="F1632" s="3">
        <v>0.56999999999999995</v>
      </c>
      <c r="G1632" s="1">
        <v>5033.3999999999996</v>
      </c>
    </row>
    <row r="1633" spans="1:7" x14ac:dyDescent="0.25">
      <c r="A1633" s="111" t="str">
        <f t="shared" si="25"/>
        <v>JDH4-02-007-CN-1440</v>
      </c>
      <c r="B1633" t="s">
        <v>2510</v>
      </c>
      <c r="C1633" t="s">
        <v>2511</v>
      </c>
      <c r="D1633" s="1">
        <v>8830.52</v>
      </c>
      <c r="E1633" s="3">
        <v>0.56999999999999995</v>
      </c>
      <c r="F1633" s="3">
        <v>0.56999999999999995</v>
      </c>
      <c r="G1633" s="1">
        <v>5033.3999999999996</v>
      </c>
    </row>
    <row r="1634" spans="1:7" x14ac:dyDescent="0.25">
      <c r="A1634" s="111" t="str">
        <f t="shared" si="25"/>
        <v>Lighting</v>
      </c>
      <c r="B1634" t="s">
        <v>2512</v>
      </c>
      <c r="D1634" s="1">
        <v>16399.53</v>
      </c>
      <c r="E1634" s="3"/>
      <c r="F1634" s="2">
        <v>1</v>
      </c>
      <c r="G1634" s="1">
        <v>16399.53</v>
      </c>
    </row>
    <row r="1635" spans="1:7" x14ac:dyDescent="0.25">
      <c r="A1635" s="111" t="str">
        <f t="shared" si="25"/>
        <v>JDH4-02-007-CN-1450</v>
      </c>
      <c r="B1635" t="s">
        <v>2513</v>
      </c>
      <c r="C1635" t="s">
        <v>2514</v>
      </c>
      <c r="D1635" s="1">
        <v>16399.53</v>
      </c>
      <c r="E1635" s="3">
        <v>1</v>
      </c>
      <c r="F1635" s="3">
        <v>1</v>
      </c>
      <c r="G1635" s="1">
        <v>16399.53</v>
      </c>
    </row>
    <row r="1636" spans="1:7" x14ac:dyDescent="0.25">
      <c r="A1636" s="111" t="str">
        <f t="shared" si="25"/>
        <v>Grounding and Bonding for Electrical Systems</v>
      </c>
      <c r="B1636" t="s">
        <v>2515</v>
      </c>
      <c r="D1636" s="1">
        <v>18607.150000000001</v>
      </c>
      <c r="E1636" s="3"/>
      <c r="F1636" s="3">
        <v>0</v>
      </c>
      <c r="G1636">
        <v>0</v>
      </c>
    </row>
    <row r="1637" spans="1:7" x14ac:dyDescent="0.25">
      <c r="A1637" s="111" t="str">
        <f t="shared" si="25"/>
        <v>JDH4-02-007-CN-1460</v>
      </c>
      <c r="B1637" t="s">
        <v>2516</v>
      </c>
      <c r="C1637" t="s">
        <v>2517</v>
      </c>
      <c r="D1637" s="1">
        <v>18607.150000000001</v>
      </c>
      <c r="E1637" s="3">
        <v>0</v>
      </c>
      <c r="F1637" s="3">
        <v>0</v>
      </c>
      <c r="G1637">
        <v>0</v>
      </c>
    </row>
    <row r="1638" spans="1:7" x14ac:dyDescent="0.25">
      <c r="A1638" s="111" t="str">
        <f t="shared" si="25"/>
        <v>Electrical Manholes</v>
      </c>
      <c r="B1638" t="s">
        <v>1504</v>
      </c>
      <c r="D1638" s="1">
        <v>10723.17</v>
      </c>
      <c r="E1638" s="3"/>
      <c r="F1638" s="3">
        <v>1</v>
      </c>
      <c r="G1638" s="1">
        <v>10723.17</v>
      </c>
    </row>
    <row r="1639" spans="1:7" x14ac:dyDescent="0.25">
      <c r="A1639" s="111" t="str">
        <f t="shared" si="25"/>
        <v>JDH4-02-007-CN-1470</v>
      </c>
      <c r="B1639" t="s">
        <v>2518</v>
      </c>
      <c r="C1639" t="s">
        <v>2519</v>
      </c>
      <c r="D1639" s="1">
        <v>10723.17</v>
      </c>
      <c r="E1639" s="3">
        <v>1</v>
      </c>
      <c r="F1639" s="3">
        <v>1</v>
      </c>
      <c r="G1639" s="1">
        <v>10723.17</v>
      </c>
    </row>
    <row r="1640" spans="1:7" x14ac:dyDescent="0.25">
      <c r="A1640" s="111" t="str">
        <f t="shared" si="25"/>
        <v>ICT (Data&amp; telephone System)</v>
      </c>
      <c r="B1640" t="s">
        <v>1523</v>
      </c>
      <c r="D1640" s="1">
        <v>44152.59</v>
      </c>
      <c r="E1640" s="3"/>
      <c r="F1640" s="3">
        <v>0.5</v>
      </c>
      <c r="G1640" s="1">
        <v>22076.3</v>
      </c>
    </row>
    <row r="1641" spans="1:7" x14ac:dyDescent="0.25">
      <c r="A1641" s="111" t="str">
        <f t="shared" si="25"/>
        <v>JDH4-02-007-CN-1490</v>
      </c>
      <c r="B1641" t="s">
        <v>2520</v>
      </c>
      <c r="C1641" t="s">
        <v>2521</v>
      </c>
      <c r="D1641" s="1">
        <v>22076.3</v>
      </c>
      <c r="E1641" s="3">
        <v>1</v>
      </c>
      <c r="F1641" s="2">
        <v>1</v>
      </c>
      <c r="G1641" s="1">
        <v>22076.3</v>
      </c>
    </row>
    <row r="1642" spans="1:7" x14ac:dyDescent="0.25">
      <c r="A1642" s="111" t="str">
        <f t="shared" si="25"/>
        <v>JDH4-02-007-CN-1500</v>
      </c>
      <c r="B1642" t="s">
        <v>2522</v>
      </c>
      <c r="C1642" t="s">
        <v>2523</v>
      </c>
      <c r="D1642" s="1">
        <v>1261.5</v>
      </c>
      <c r="E1642" s="3">
        <v>0</v>
      </c>
      <c r="F1642" s="3">
        <v>0</v>
      </c>
      <c r="G1642">
        <v>0</v>
      </c>
    </row>
    <row r="1643" spans="1:7" x14ac:dyDescent="0.25">
      <c r="A1643" s="111" t="str">
        <f t="shared" si="25"/>
        <v>JDH4-02-007-CN-1510</v>
      </c>
      <c r="B1643" t="s">
        <v>2524</v>
      </c>
      <c r="C1643" t="s">
        <v>2525</v>
      </c>
      <c r="D1643" s="1">
        <v>18922.54</v>
      </c>
      <c r="E1643" s="3">
        <v>0</v>
      </c>
      <c r="F1643" s="3">
        <v>0</v>
      </c>
      <c r="G1643">
        <v>0</v>
      </c>
    </row>
    <row r="1644" spans="1:7" x14ac:dyDescent="0.25">
      <c r="A1644" s="111" t="str">
        <f t="shared" si="25"/>
        <v>JDH4-02-007-CN-1520</v>
      </c>
      <c r="B1644" t="s">
        <v>2526</v>
      </c>
      <c r="C1644" t="s">
        <v>2527</v>
      </c>
      <c r="D1644" s="1">
        <v>1892.25</v>
      </c>
      <c r="E1644" s="3">
        <v>0</v>
      </c>
      <c r="F1644" s="3">
        <v>0</v>
      </c>
      <c r="G1644">
        <v>0</v>
      </c>
    </row>
    <row r="1645" spans="1:7" x14ac:dyDescent="0.25">
      <c r="A1645" s="111" t="str">
        <f t="shared" si="25"/>
        <v>Security System (CCTV System)</v>
      </c>
      <c r="B1645" t="s">
        <v>1059</v>
      </c>
      <c r="D1645" s="1">
        <v>198686.69</v>
      </c>
      <c r="E1645" s="3"/>
      <c r="F1645" s="3">
        <v>1</v>
      </c>
      <c r="G1645" s="1">
        <v>198686.69</v>
      </c>
    </row>
    <row r="1646" spans="1:7" x14ac:dyDescent="0.25">
      <c r="A1646" s="111" t="str">
        <f t="shared" si="25"/>
        <v>JDH4-02-007-CN-1530</v>
      </c>
      <c r="B1646" t="s">
        <v>2528</v>
      </c>
      <c r="C1646" t="s">
        <v>2529</v>
      </c>
      <c r="D1646" s="1">
        <v>198686.69</v>
      </c>
      <c r="E1646" s="3">
        <v>1</v>
      </c>
      <c r="F1646" s="3">
        <v>1</v>
      </c>
      <c r="G1646" s="1">
        <v>198686.69</v>
      </c>
    </row>
    <row r="1647" spans="1:7" x14ac:dyDescent="0.25">
      <c r="A1647" s="111" t="str">
        <f t="shared" si="25"/>
        <v>Duct Bank and Handhole For Telecom Network</v>
      </c>
      <c r="B1647" t="s">
        <v>2530</v>
      </c>
      <c r="D1647" s="1">
        <v>8199.77</v>
      </c>
      <c r="E1647" s="3"/>
      <c r="F1647" s="3">
        <v>1</v>
      </c>
      <c r="G1647" s="1">
        <v>8199.77</v>
      </c>
    </row>
    <row r="1648" spans="1:7" x14ac:dyDescent="0.25">
      <c r="A1648" s="111" t="str">
        <f t="shared" si="25"/>
        <v>JDH4-02-007-CN-1540</v>
      </c>
      <c r="B1648" t="s">
        <v>2531</v>
      </c>
      <c r="C1648" t="s">
        <v>2532</v>
      </c>
      <c r="D1648" s="1">
        <v>5046.01</v>
      </c>
      <c r="E1648" s="3">
        <v>1</v>
      </c>
      <c r="F1648" s="2">
        <v>1</v>
      </c>
      <c r="G1648" s="1">
        <v>5046.01</v>
      </c>
    </row>
    <row r="1649" spans="1:7" x14ac:dyDescent="0.25">
      <c r="A1649" s="111" t="str">
        <f t="shared" si="25"/>
        <v>JDH4-02-007-CN-1550</v>
      </c>
      <c r="B1649" t="s">
        <v>2533</v>
      </c>
      <c r="C1649" t="s">
        <v>2534</v>
      </c>
      <c r="D1649" s="1">
        <v>3153.76</v>
      </c>
      <c r="E1649" s="3">
        <v>1</v>
      </c>
      <c r="F1649" s="3">
        <v>1</v>
      </c>
      <c r="G1649" s="1">
        <v>3153.76</v>
      </c>
    </row>
    <row r="1650" spans="1:7" x14ac:dyDescent="0.25">
      <c r="A1650" s="111" t="str">
        <f t="shared" si="25"/>
        <v>Programmable Logic Controllers</v>
      </c>
      <c r="B1650" t="s">
        <v>1542</v>
      </c>
      <c r="D1650" s="1">
        <v>252300.56</v>
      </c>
      <c r="E1650" s="3"/>
      <c r="F1650" s="3">
        <v>0.5</v>
      </c>
      <c r="G1650" s="1">
        <v>126150.28</v>
      </c>
    </row>
    <row r="1651" spans="1:7" x14ac:dyDescent="0.25">
      <c r="A1651" s="111" t="str">
        <f t="shared" si="25"/>
        <v>JDH4-02-007-CN-1570</v>
      </c>
      <c r="B1651" t="s">
        <v>2535</v>
      </c>
      <c r="C1651" t="s">
        <v>2536</v>
      </c>
      <c r="D1651" s="1">
        <v>252300.56</v>
      </c>
      <c r="E1651" s="3">
        <v>0.5</v>
      </c>
      <c r="F1651" s="3">
        <v>0.5</v>
      </c>
      <c r="G1651" s="1">
        <v>126150.28</v>
      </c>
    </row>
    <row r="1652" spans="1:7" x14ac:dyDescent="0.25">
      <c r="A1652" s="111" t="str">
        <f t="shared" si="25"/>
        <v>Process Control Wiring</v>
      </c>
      <c r="B1652" t="s">
        <v>1561</v>
      </c>
      <c r="D1652" s="1">
        <v>157687.85</v>
      </c>
      <c r="E1652" s="3"/>
      <c r="F1652" s="3">
        <v>0.4</v>
      </c>
      <c r="G1652" s="1">
        <v>63075.14</v>
      </c>
    </row>
    <row r="1653" spans="1:7" x14ac:dyDescent="0.25">
      <c r="A1653" s="111" t="str">
        <f t="shared" si="25"/>
        <v>JDH4-02-007-CN-1580</v>
      </c>
      <c r="B1653" t="s">
        <v>2537</v>
      </c>
      <c r="C1653" t="s">
        <v>2538</v>
      </c>
      <c r="D1653" s="1">
        <v>157687.85</v>
      </c>
      <c r="E1653" s="3">
        <v>0.4</v>
      </c>
      <c r="F1653" s="3">
        <v>0.4</v>
      </c>
      <c r="G1653" s="1">
        <v>63075.14</v>
      </c>
    </row>
    <row r="1654" spans="1:7" x14ac:dyDescent="0.25">
      <c r="A1654" s="111" t="str">
        <f t="shared" si="25"/>
        <v>Instrumentation for Process Systems</v>
      </c>
      <c r="B1654" t="s">
        <v>1576</v>
      </c>
      <c r="D1654" s="1">
        <v>182978.56</v>
      </c>
      <c r="E1654" s="3"/>
      <c r="F1654" s="3">
        <v>0.5</v>
      </c>
      <c r="G1654" s="1">
        <v>91489.279999999999</v>
      </c>
    </row>
    <row r="1655" spans="1:7" x14ac:dyDescent="0.25">
      <c r="A1655" s="111" t="str">
        <f t="shared" si="25"/>
        <v>JDH4-02-007-CN-1600</v>
      </c>
      <c r="B1655" t="s">
        <v>2539</v>
      </c>
      <c r="C1655" t="s">
        <v>2540</v>
      </c>
      <c r="D1655" s="1">
        <v>182978.56</v>
      </c>
      <c r="E1655" s="3">
        <v>0.5</v>
      </c>
      <c r="F1655" s="2">
        <v>0.5</v>
      </c>
      <c r="G1655" s="1">
        <v>91489.279999999999</v>
      </c>
    </row>
    <row r="1656" spans="1:7" x14ac:dyDescent="0.25">
      <c r="A1656" s="111" t="str">
        <f t="shared" si="25"/>
        <v>Fence Work</v>
      </c>
      <c r="B1656" t="s">
        <v>2541</v>
      </c>
      <c r="D1656" s="1">
        <v>18243.11</v>
      </c>
      <c r="E1656" s="3"/>
      <c r="F1656" s="3">
        <v>1</v>
      </c>
      <c r="G1656" s="1">
        <v>18243.11</v>
      </c>
    </row>
    <row r="1657" spans="1:7" x14ac:dyDescent="0.25">
      <c r="A1657" s="111" t="str">
        <f t="shared" si="25"/>
        <v>JDH4-02-007-CN-5890</v>
      </c>
      <c r="B1657" t="s">
        <v>2542</v>
      </c>
      <c r="C1657" t="s">
        <v>2543</v>
      </c>
      <c r="D1657" s="1">
        <v>11984.28</v>
      </c>
      <c r="E1657" s="3">
        <v>1</v>
      </c>
      <c r="F1657" s="3">
        <v>1</v>
      </c>
      <c r="G1657" s="1">
        <v>11984.28</v>
      </c>
    </row>
    <row r="1658" spans="1:7" x14ac:dyDescent="0.25">
      <c r="A1658" s="111" t="str">
        <f t="shared" si="25"/>
        <v>JDH4-02-007-CN-5900</v>
      </c>
      <c r="B1658" t="s">
        <v>2544</v>
      </c>
      <c r="C1658" t="s">
        <v>2545</v>
      </c>
      <c r="D1658" s="1">
        <v>6258.83</v>
      </c>
      <c r="E1658" s="3">
        <v>1</v>
      </c>
      <c r="F1658" s="3">
        <v>1</v>
      </c>
      <c r="G1658" s="1">
        <v>6258.83</v>
      </c>
    </row>
    <row r="1659" spans="1:7" x14ac:dyDescent="0.25">
      <c r="A1659" s="111" t="str">
        <f t="shared" si="25"/>
        <v>MV Cable Works</v>
      </c>
      <c r="B1659" t="s">
        <v>4101</v>
      </c>
      <c r="D1659" s="1">
        <v>888341.63</v>
      </c>
      <c r="E1659" s="3"/>
      <c r="F1659" s="3">
        <v>1</v>
      </c>
      <c r="G1659" s="1">
        <v>888341.63</v>
      </c>
    </row>
    <row r="1660" spans="1:7" x14ac:dyDescent="0.25">
      <c r="A1660" s="111" t="str">
        <f t="shared" si="25"/>
        <v>Medium Voltage Cable Road 8</v>
      </c>
      <c r="B1660" t="s">
        <v>4102</v>
      </c>
      <c r="D1660" s="1">
        <v>165937.26999999999</v>
      </c>
      <c r="E1660" s="3"/>
      <c r="F1660" s="3">
        <v>1</v>
      </c>
      <c r="G1660" s="1">
        <v>165937.26999999999</v>
      </c>
    </row>
    <row r="1661" spans="1:7" x14ac:dyDescent="0.25">
      <c r="A1661" s="111" t="str">
        <f t="shared" si="25"/>
        <v>JDH4-02-007-CN-2480</v>
      </c>
      <c r="B1661" t="s">
        <v>4104</v>
      </c>
      <c r="C1661" t="s">
        <v>1893</v>
      </c>
      <c r="D1661" s="1">
        <v>31916.02</v>
      </c>
      <c r="E1661" s="3">
        <v>1</v>
      </c>
      <c r="F1661" s="3">
        <v>1</v>
      </c>
      <c r="G1661" s="1">
        <v>31916.02</v>
      </c>
    </row>
    <row r="1662" spans="1:7" x14ac:dyDescent="0.25">
      <c r="A1662" s="111" t="str">
        <f t="shared" si="25"/>
        <v>JDH4-02-007-CN-2420</v>
      </c>
      <c r="B1662" t="s">
        <v>4103</v>
      </c>
      <c r="C1662" t="s">
        <v>1891</v>
      </c>
      <c r="D1662" s="1">
        <v>7545</v>
      </c>
      <c r="E1662" s="3">
        <v>1</v>
      </c>
      <c r="F1662" s="2">
        <v>1</v>
      </c>
      <c r="G1662" s="1">
        <v>7545</v>
      </c>
    </row>
    <row r="1663" spans="1:7" x14ac:dyDescent="0.25">
      <c r="A1663" s="111" t="str">
        <f t="shared" si="25"/>
        <v>JDH4-02-007-CN-2540</v>
      </c>
      <c r="B1663" t="s">
        <v>4105</v>
      </c>
      <c r="C1663" t="s">
        <v>1895</v>
      </c>
      <c r="D1663" s="1">
        <v>126476.25</v>
      </c>
      <c r="E1663" s="3">
        <v>1</v>
      </c>
      <c r="F1663" s="3">
        <v>1</v>
      </c>
      <c r="G1663" s="1">
        <v>126476.25</v>
      </c>
    </row>
    <row r="1664" spans="1:7" x14ac:dyDescent="0.25">
      <c r="A1664" s="111" t="str">
        <f t="shared" si="25"/>
        <v>Medium Voltage Cable Road 7</v>
      </c>
      <c r="B1664" t="s">
        <v>4106</v>
      </c>
      <c r="D1664" s="1">
        <v>130128.34</v>
      </c>
      <c r="E1664" s="3"/>
      <c r="F1664" s="3">
        <v>1</v>
      </c>
      <c r="G1664" s="1">
        <v>130128.34</v>
      </c>
    </row>
    <row r="1665" spans="1:7" x14ac:dyDescent="0.25">
      <c r="A1665" s="111" t="str">
        <f t="shared" si="25"/>
        <v>JDH4-02-007-CN-2500</v>
      </c>
      <c r="B1665" t="s">
        <v>4108</v>
      </c>
      <c r="C1665" t="s">
        <v>2206</v>
      </c>
      <c r="D1665" s="1">
        <v>13876.53</v>
      </c>
      <c r="E1665" s="3">
        <v>1</v>
      </c>
      <c r="F1665" s="3">
        <v>1</v>
      </c>
      <c r="G1665" s="1">
        <v>13876.53</v>
      </c>
    </row>
    <row r="1666" spans="1:7" x14ac:dyDescent="0.25">
      <c r="A1666" s="111" t="str">
        <f t="shared" si="25"/>
        <v>JDH4-02-007-CN-2440</v>
      </c>
      <c r="B1666" t="s">
        <v>4107</v>
      </c>
      <c r="C1666" t="s">
        <v>2204</v>
      </c>
      <c r="D1666" s="1">
        <v>6530.33</v>
      </c>
      <c r="E1666" s="3">
        <v>1</v>
      </c>
      <c r="F1666" s="3">
        <v>1</v>
      </c>
      <c r="G1666" s="1">
        <v>6530.33</v>
      </c>
    </row>
    <row r="1667" spans="1:7" x14ac:dyDescent="0.25">
      <c r="A1667" s="111" t="str">
        <f t="shared" si="25"/>
        <v>JDH4-02-007-CN-2560</v>
      </c>
      <c r="B1667" t="s">
        <v>4109</v>
      </c>
      <c r="C1667" t="s">
        <v>2208</v>
      </c>
      <c r="D1667" s="1">
        <v>109721.48</v>
      </c>
      <c r="E1667" s="3">
        <v>1</v>
      </c>
      <c r="F1667" s="3">
        <v>1</v>
      </c>
      <c r="G1667" s="1">
        <v>109721.48</v>
      </c>
    </row>
    <row r="1668" spans="1:7" x14ac:dyDescent="0.25">
      <c r="A1668" s="111" t="str">
        <f t="shared" ref="A1668:A1731" si="26">TRIM(B1668)</f>
        <v>Medium Voltage Cable Road 1</v>
      </c>
      <c r="B1668" t="s">
        <v>4110</v>
      </c>
      <c r="D1668" s="1">
        <v>264999.32</v>
      </c>
      <c r="E1668" s="3"/>
      <c r="F1668" s="3">
        <v>1</v>
      </c>
      <c r="G1668" s="1">
        <v>264999.32</v>
      </c>
    </row>
    <row r="1669" spans="1:7" x14ac:dyDescent="0.25">
      <c r="A1669" s="111" t="str">
        <f t="shared" si="26"/>
        <v>JDH4-02-007-CN-2430</v>
      </c>
      <c r="B1669" t="s">
        <v>4111</v>
      </c>
      <c r="C1669" t="s">
        <v>2034</v>
      </c>
      <c r="D1669" s="1">
        <v>13372.86</v>
      </c>
      <c r="E1669" s="3">
        <v>1</v>
      </c>
      <c r="F1669" s="3">
        <v>1</v>
      </c>
      <c r="G1669" s="1">
        <v>13372.86</v>
      </c>
    </row>
    <row r="1670" spans="1:7" x14ac:dyDescent="0.25">
      <c r="A1670" s="111" t="str">
        <f t="shared" si="26"/>
        <v>JDH4-02-007-CN-2490</v>
      </c>
      <c r="B1670" t="s">
        <v>4112</v>
      </c>
      <c r="C1670" t="s">
        <v>2036</v>
      </c>
      <c r="D1670" s="1">
        <v>27290.51</v>
      </c>
      <c r="E1670" s="3">
        <v>1</v>
      </c>
      <c r="F1670" s="3">
        <v>1</v>
      </c>
      <c r="G1670" s="1">
        <v>27290.51</v>
      </c>
    </row>
    <row r="1671" spans="1:7" x14ac:dyDescent="0.25">
      <c r="A1671" s="111" t="str">
        <f t="shared" si="26"/>
        <v>JDH4-02-007-CN-2550</v>
      </c>
      <c r="B1671" t="s">
        <v>4113</v>
      </c>
      <c r="C1671" t="s">
        <v>2038</v>
      </c>
      <c r="D1671" s="1">
        <v>224335.95</v>
      </c>
      <c r="E1671" s="3">
        <v>1</v>
      </c>
      <c r="F1671" s="3">
        <v>1</v>
      </c>
      <c r="G1671" s="1">
        <v>224335.95</v>
      </c>
    </row>
    <row r="1672" spans="1:7" x14ac:dyDescent="0.25">
      <c r="A1672" s="111" t="str">
        <f t="shared" si="26"/>
        <v>Medium Voltage Cable Road 10</v>
      </c>
      <c r="B1672" t="s">
        <v>4114</v>
      </c>
      <c r="D1672" s="1">
        <v>130978.55</v>
      </c>
      <c r="E1672" s="3"/>
      <c r="F1672" s="3">
        <v>1</v>
      </c>
      <c r="G1672" s="1">
        <v>130978.55</v>
      </c>
    </row>
    <row r="1673" spans="1:7" x14ac:dyDescent="0.25">
      <c r="A1673" s="111" t="str">
        <f t="shared" si="26"/>
        <v>JDH4-02-007-CN-2460</v>
      </c>
      <c r="B1673" t="s">
        <v>4115</v>
      </c>
      <c r="C1673" t="s">
        <v>2389</v>
      </c>
      <c r="D1673" s="1">
        <v>6816.52</v>
      </c>
      <c r="E1673" s="3">
        <v>1</v>
      </c>
      <c r="F1673" s="3">
        <v>1</v>
      </c>
      <c r="G1673" s="1">
        <v>6816.52</v>
      </c>
    </row>
    <row r="1674" spans="1:7" x14ac:dyDescent="0.25">
      <c r="A1674" s="111" t="str">
        <f t="shared" si="26"/>
        <v>JDH4-02-007-CN-2520</v>
      </c>
      <c r="B1674" t="s">
        <v>4116</v>
      </c>
      <c r="C1674" t="s">
        <v>2391</v>
      </c>
      <c r="D1674" s="1">
        <v>9251.02</v>
      </c>
      <c r="E1674" s="3">
        <v>1</v>
      </c>
      <c r="F1674" s="3">
        <v>1</v>
      </c>
      <c r="G1674" s="1">
        <v>9251.02</v>
      </c>
    </row>
    <row r="1675" spans="1:7" x14ac:dyDescent="0.25">
      <c r="A1675" s="111" t="str">
        <f t="shared" si="26"/>
        <v>JDH4-02-007-CN-2580</v>
      </c>
      <c r="B1675" t="s">
        <v>4117</v>
      </c>
      <c r="C1675" t="s">
        <v>2393</v>
      </c>
      <c r="D1675" s="1">
        <v>114911.01</v>
      </c>
      <c r="E1675" s="3">
        <v>1</v>
      </c>
      <c r="F1675" s="3">
        <v>1</v>
      </c>
      <c r="G1675" s="1">
        <v>114911.01</v>
      </c>
    </row>
    <row r="1676" spans="1:7" x14ac:dyDescent="0.25">
      <c r="A1676" s="111" t="str">
        <f t="shared" si="26"/>
        <v>Medium Voltage Cable Out of Zone</v>
      </c>
      <c r="B1676" t="s">
        <v>4118</v>
      </c>
      <c r="D1676" s="1">
        <v>196298.15</v>
      </c>
      <c r="E1676" s="3"/>
      <c r="F1676" s="3">
        <v>1</v>
      </c>
      <c r="G1676" s="1">
        <v>196298.15</v>
      </c>
    </row>
    <row r="1677" spans="1:7" x14ac:dyDescent="0.25">
      <c r="A1677" s="111" t="str">
        <f t="shared" si="26"/>
        <v>JDH4-02-007-CN-2470</v>
      </c>
      <c r="B1677" t="s">
        <v>4119</v>
      </c>
      <c r="C1677" t="s">
        <v>2407</v>
      </c>
      <c r="D1677" s="1">
        <v>9236.1200000000008</v>
      </c>
      <c r="E1677" s="3">
        <v>1</v>
      </c>
      <c r="F1677" s="3">
        <v>1</v>
      </c>
      <c r="G1677" s="1">
        <v>9236.1200000000008</v>
      </c>
    </row>
    <row r="1678" spans="1:7" x14ac:dyDescent="0.25">
      <c r="A1678" s="111" t="str">
        <f t="shared" si="26"/>
        <v>JDH4-02-007-CN-2530</v>
      </c>
      <c r="B1678" t="s">
        <v>4120</v>
      </c>
      <c r="C1678" t="s">
        <v>2409</v>
      </c>
      <c r="D1678" s="1">
        <v>33303.68</v>
      </c>
      <c r="E1678" s="3">
        <v>1</v>
      </c>
      <c r="F1678" s="3">
        <v>1</v>
      </c>
      <c r="G1678" s="1">
        <v>33303.68</v>
      </c>
    </row>
    <row r="1679" spans="1:7" x14ac:dyDescent="0.25">
      <c r="A1679" s="111" t="str">
        <f t="shared" si="26"/>
        <v>JDH4-02-007-CN-2590</v>
      </c>
      <c r="B1679" t="s">
        <v>4121</v>
      </c>
      <c r="C1679" t="s">
        <v>2411</v>
      </c>
      <c r="D1679" s="1">
        <v>153758.35</v>
      </c>
      <c r="E1679" s="3">
        <v>1</v>
      </c>
      <c r="F1679" s="3">
        <v>1</v>
      </c>
      <c r="G1679" s="1">
        <v>153758.35</v>
      </c>
    </row>
    <row r="1680" spans="1:7" x14ac:dyDescent="0.25">
      <c r="A1680" s="111" t="str">
        <f t="shared" si="26"/>
        <v>Plot Backfilling 2</v>
      </c>
      <c r="B1680" t="s">
        <v>4122</v>
      </c>
      <c r="D1680" s="1">
        <v>3041122.86</v>
      </c>
      <c r="E1680" s="3"/>
      <c r="F1680" s="3">
        <v>0.88329999999999997</v>
      </c>
      <c r="G1680" s="1">
        <v>2686325.19</v>
      </c>
    </row>
    <row r="1681" spans="1:7" x14ac:dyDescent="0.25">
      <c r="A1681" s="111" t="str">
        <f t="shared" si="26"/>
        <v>JDH4-02-007-CN-1860</v>
      </c>
      <c r="B1681" t="s">
        <v>4123</v>
      </c>
      <c r="C1681" t="s">
        <v>1667</v>
      </c>
      <c r="D1681" s="1">
        <v>1013707.62</v>
      </c>
      <c r="E1681" s="3">
        <v>1</v>
      </c>
      <c r="F1681" s="3">
        <v>1</v>
      </c>
      <c r="G1681" s="1">
        <v>1013707.62</v>
      </c>
    </row>
    <row r="1682" spans="1:7" x14ac:dyDescent="0.25">
      <c r="A1682" s="111" t="str">
        <f t="shared" si="26"/>
        <v>JDH4-02-007-CN-1870</v>
      </c>
      <c r="B1682" t="s">
        <v>4124</v>
      </c>
      <c r="C1682" t="s">
        <v>1669</v>
      </c>
      <c r="D1682" s="1">
        <v>1013707.62</v>
      </c>
      <c r="E1682" s="3">
        <v>0.9</v>
      </c>
      <c r="F1682" s="3">
        <v>0.9</v>
      </c>
      <c r="G1682" s="1">
        <v>912336.86</v>
      </c>
    </row>
    <row r="1683" spans="1:7" x14ac:dyDescent="0.25">
      <c r="A1683" s="111" t="str">
        <f t="shared" si="26"/>
        <v>JDH4-02-007-CN-1880</v>
      </c>
      <c r="B1683" t="s">
        <v>4125</v>
      </c>
      <c r="C1683" t="s">
        <v>1671</v>
      </c>
      <c r="D1683" s="1">
        <v>1013707.62</v>
      </c>
      <c r="E1683" s="3">
        <v>0.75</v>
      </c>
      <c r="F1683" s="3">
        <v>0.75</v>
      </c>
      <c r="G1683" s="1">
        <v>760280.72</v>
      </c>
    </row>
    <row r="1684" spans="1:7" x14ac:dyDescent="0.25">
      <c r="A1684" s="111" t="str">
        <f t="shared" si="26"/>
        <v>Additional Works</v>
      </c>
      <c r="B1684" t="s">
        <v>4126</v>
      </c>
      <c r="D1684" s="1">
        <v>4574877.1900000004</v>
      </c>
      <c r="E1684" s="3"/>
      <c r="F1684" s="3">
        <v>0.96250000000000002</v>
      </c>
      <c r="G1684" s="1">
        <v>4403319.3</v>
      </c>
    </row>
    <row r="1685" spans="1:7" x14ac:dyDescent="0.25">
      <c r="A1685" s="111" t="str">
        <f t="shared" si="26"/>
        <v>JDH4-02-007-CN-1740</v>
      </c>
      <c r="B1685" t="s">
        <v>4127</v>
      </c>
      <c r="C1685" t="s">
        <v>4128</v>
      </c>
      <c r="D1685" s="1">
        <v>1143719.3</v>
      </c>
      <c r="E1685" s="3">
        <v>1</v>
      </c>
      <c r="F1685" s="3">
        <v>1</v>
      </c>
      <c r="G1685" s="1">
        <v>1143719.3</v>
      </c>
    </row>
    <row r="1686" spans="1:7" x14ac:dyDescent="0.25">
      <c r="A1686" s="111" t="str">
        <f t="shared" si="26"/>
        <v>JDH4-02-007-CN-5940</v>
      </c>
      <c r="B1686" t="s">
        <v>4129</v>
      </c>
      <c r="C1686" t="s">
        <v>4130</v>
      </c>
      <c r="D1686" s="1">
        <v>1143719.3</v>
      </c>
      <c r="E1686" s="3">
        <v>1</v>
      </c>
      <c r="F1686" s="3">
        <v>1</v>
      </c>
      <c r="G1686" s="1">
        <v>1143719.3</v>
      </c>
    </row>
    <row r="1687" spans="1:7" x14ac:dyDescent="0.25">
      <c r="A1687" s="111" t="str">
        <f t="shared" si="26"/>
        <v>JDH4-02-007-CN-5960</v>
      </c>
      <c r="B1687" t="s">
        <v>4132</v>
      </c>
      <c r="C1687" t="s">
        <v>4133</v>
      </c>
      <c r="D1687" s="1">
        <v>1143719.3</v>
      </c>
      <c r="E1687" s="3">
        <v>0.9</v>
      </c>
      <c r="F1687" s="3">
        <v>0.9</v>
      </c>
      <c r="G1687" s="1">
        <v>1029347.37</v>
      </c>
    </row>
    <row r="1688" spans="1:7" x14ac:dyDescent="0.25">
      <c r="A1688" s="111" t="str">
        <f t="shared" si="26"/>
        <v>JDH4-02-007-CN-5950</v>
      </c>
      <c r="B1688" t="s">
        <v>4131</v>
      </c>
      <c r="C1688" t="s">
        <v>3540</v>
      </c>
      <c r="D1688" s="1">
        <v>1143719.3</v>
      </c>
      <c r="E1688" s="3">
        <v>0.95</v>
      </c>
      <c r="F1688" s="3">
        <v>0.95</v>
      </c>
      <c r="G1688" s="1">
        <v>1086533.33</v>
      </c>
    </row>
    <row r="1689" spans="1:7" x14ac:dyDescent="0.25">
      <c r="A1689" s="111" t="str">
        <f t="shared" si="26"/>
        <v>Testing &amp; Commissioning</v>
      </c>
      <c r="B1689" t="s">
        <v>223</v>
      </c>
      <c r="D1689" s="1">
        <v>5730434.7800000003</v>
      </c>
      <c r="E1689" s="3"/>
      <c r="F1689" s="3">
        <v>0.7571</v>
      </c>
      <c r="G1689" s="1">
        <v>4338757.76</v>
      </c>
    </row>
    <row r="1690" spans="1:7" x14ac:dyDescent="0.25">
      <c r="A1690" s="111" t="str">
        <f t="shared" si="26"/>
        <v>JDH4-02-007-TC-1020</v>
      </c>
      <c r="B1690" t="s">
        <v>2546</v>
      </c>
      <c r="C1690" t="s">
        <v>2547</v>
      </c>
      <c r="D1690" s="1">
        <v>818633.54</v>
      </c>
      <c r="E1690" s="3">
        <v>1</v>
      </c>
      <c r="F1690" s="3">
        <v>1</v>
      </c>
      <c r="G1690" s="1">
        <v>818633.54</v>
      </c>
    </row>
    <row r="1691" spans="1:7" x14ac:dyDescent="0.25">
      <c r="A1691" s="111" t="str">
        <f t="shared" si="26"/>
        <v>JDH4-02-007-TC-1000</v>
      </c>
      <c r="B1691" t="s">
        <v>2550</v>
      </c>
      <c r="C1691" t="s">
        <v>238</v>
      </c>
      <c r="D1691" s="1">
        <v>818633.54</v>
      </c>
      <c r="E1691" s="3">
        <v>1</v>
      </c>
      <c r="F1691" s="3">
        <v>1</v>
      </c>
      <c r="G1691" s="1">
        <v>818633.54</v>
      </c>
    </row>
    <row r="1692" spans="1:7" x14ac:dyDescent="0.25">
      <c r="A1692" s="111" t="str">
        <f t="shared" si="26"/>
        <v>JDH4-02-007-TC-1060</v>
      </c>
      <c r="B1692" t="s">
        <v>2557</v>
      </c>
      <c r="C1692" t="s">
        <v>2558</v>
      </c>
      <c r="D1692" s="1">
        <v>818633.54</v>
      </c>
      <c r="E1692" s="3">
        <v>0.8</v>
      </c>
      <c r="F1692" s="3">
        <v>0.8</v>
      </c>
      <c r="G1692" s="1">
        <v>654906.82999999996</v>
      </c>
    </row>
    <row r="1693" spans="1:7" x14ac:dyDescent="0.25">
      <c r="A1693" s="111" t="str">
        <f t="shared" si="26"/>
        <v>JDH4-02-007-TC-1030</v>
      </c>
      <c r="B1693" t="s">
        <v>2548</v>
      </c>
      <c r="C1693" t="s">
        <v>2549</v>
      </c>
      <c r="D1693" s="1">
        <v>818633.54</v>
      </c>
      <c r="E1693" s="3">
        <v>1</v>
      </c>
      <c r="F1693" s="3">
        <v>1</v>
      </c>
      <c r="G1693" s="1">
        <v>818633.54</v>
      </c>
    </row>
    <row r="1694" spans="1:7" x14ac:dyDescent="0.25">
      <c r="A1694" s="111" t="str">
        <f t="shared" si="26"/>
        <v>JDH4-02-007-TC-1010</v>
      </c>
      <c r="B1694" t="s">
        <v>2551</v>
      </c>
      <c r="C1694" t="s">
        <v>2552</v>
      </c>
      <c r="D1694" s="1">
        <v>818633.54</v>
      </c>
      <c r="E1694" s="3">
        <v>1</v>
      </c>
      <c r="F1694" s="3">
        <v>1</v>
      </c>
      <c r="G1694" s="1">
        <v>818633.54</v>
      </c>
    </row>
    <row r="1695" spans="1:7" x14ac:dyDescent="0.25">
      <c r="A1695" s="111" t="str">
        <f t="shared" si="26"/>
        <v>JDH4-02-007-TC-1050</v>
      </c>
      <c r="B1695" t="s">
        <v>2555</v>
      </c>
      <c r="C1695" t="s">
        <v>2556</v>
      </c>
      <c r="D1695" s="1">
        <v>818633.54</v>
      </c>
      <c r="E1695" s="3">
        <v>0.2</v>
      </c>
      <c r="F1695" s="3">
        <v>0.2</v>
      </c>
      <c r="G1695" s="1">
        <v>163726.71</v>
      </c>
    </row>
    <row r="1696" spans="1:7" x14ac:dyDescent="0.25">
      <c r="A1696" s="111" t="str">
        <f t="shared" si="26"/>
        <v>JDH4-02-007-TC-1040</v>
      </c>
      <c r="B1696" t="s">
        <v>2553</v>
      </c>
      <c r="C1696" t="s">
        <v>2554</v>
      </c>
      <c r="D1696" s="1">
        <v>818633.54</v>
      </c>
      <c r="E1696" s="3">
        <v>0.3</v>
      </c>
      <c r="F1696" s="3">
        <v>0.3</v>
      </c>
      <c r="G1696" s="1">
        <v>245590.06</v>
      </c>
    </row>
    <row r="1697" spans="1:7" x14ac:dyDescent="0.25">
      <c r="A1697" s="111" t="str">
        <f t="shared" si="26"/>
        <v>Project Hand Over &amp; Close-out</v>
      </c>
      <c r="B1697" t="s">
        <v>2559</v>
      </c>
      <c r="D1697" s="1">
        <v>0</v>
      </c>
      <c r="E1697" s="3"/>
      <c r="F1697" s="3">
        <v>0</v>
      </c>
      <c r="G1697">
        <v>0</v>
      </c>
    </row>
    <row r="1698" spans="1:7" x14ac:dyDescent="0.25">
      <c r="A1698" s="111" t="str">
        <f t="shared" si="26"/>
        <v>As-Built DWGs</v>
      </c>
      <c r="B1698" t="s">
        <v>224</v>
      </c>
      <c r="D1698" s="1">
        <v>0</v>
      </c>
      <c r="E1698" s="3"/>
      <c r="F1698" s="3">
        <v>0</v>
      </c>
      <c r="G1698">
        <v>0</v>
      </c>
    </row>
    <row r="1699" spans="1:7" x14ac:dyDescent="0.25">
      <c r="A1699" s="111" t="str">
        <f t="shared" si="26"/>
        <v>As-Built DWGs Submittal</v>
      </c>
      <c r="B1699" t="s">
        <v>225</v>
      </c>
      <c r="D1699" s="1">
        <v>0</v>
      </c>
      <c r="E1699" s="3"/>
      <c r="F1699" s="3">
        <v>0</v>
      </c>
      <c r="G1699">
        <v>0</v>
      </c>
    </row>
    <row r="1700" spans="1:7" x14ac:dyDescent="0.25">
      <c r="A1700" s="111" t="str">
        <f t="shared" si="26"/>
        <v>JDH4-02-007-AB-1020</v>
      </c>
      <c r="B1700" t="s">
        <v>2560</v>
      </c>
      <c r="C1700" t="s">
        <v>2561</v>
      </c>
      <c r="D1700" s="1">
        <v>0</v>
      </c>
      <c r="E1700" s="3">
        <v>1</v>
      </c>
      <c r="F1700" s="3">
        <v>1</v>
      </c>
      <c r="G1700">
        <v>0</v>
      </c>
    </row>
    <row r="1701" spans="1:7" x14ac:dyDescent="0.25">
      <c r="A1701" s="111" t="str">
        <f t="shared" si="26"/>
        <v>JDH4-02-007-AB-1030</v>
      </c>
      <c r="B1701" t="s">
        <v>2562</v>
      </c>
      <c r="C1701" t="s">
        <v>2563</v>
      </c>
      <c r="D1701" s="1">
        <v>0</v>
      </c>
      <c r="E1701" s="3">
        <v>1</v>
      </c>
      <c r="F1701" s="3">
        <v>1</v>
      </c>
      <c r="G1701">
        <v>0</v>
      </c>
    </row>
    <row r="1702" spans="1:7" x14ac:dyDescent="0.25">
      <c r="A1702" s="111" t="str">
        <f t="shared" si="26"/>
        <v>JDH4-02-007-AB-1010</v>
      </c>
      <c r="B1702" t="s">
        <v>2565</v>
      </c>
      <c r="C1702" t="s">
        <v>2566</v>
      </c>
      <c r="D1702" s="1">
        <v>0</v>
      </c>
      <c r="E1702" s="3">
        <v>1</v>
      </c>
      <c r="F1702" s="3">
        <v>1</v>
      </c>
      <c r="G1702">
        <v>0</v>
      </c>
    </row>
    <row r="1703" spans="1:7" x14ac:dyDescent="0.25">
      <c r="A1703" s="111" t="str">
        <f t="shared" si="26"/>
        <v>JDH4-02-007-AB-1000</v>
      </c>
      <c r="B1703" t="s">
        <v>2564</v>
      </c>
      <c r="C1703" t="s">
        <v>226</v>
      </c>
      <c r="D1703" s="1">
        <v>0</v>
      </c>
      <c r="E1703" s="3">
        <v>1</v>
      </c>
      <c r="F1703" s="3">
        <v>1</v>
      </c>
      <c r="G1703">
        <v>0</v>
      </c>
    </row>
    <row r="1704" spans="1:7" x14ac:dyDescent="0.25">
      <c r="A1704" s="111" t="str">
        <f t="shared" si="26"/>
        <v>JDH4-02-007-AB-1040</v>
      </c>
      <c r="B1704" t="s">
        <v>2567</v>
      </c>
      <c r="C1704" t="s">
        <v>2568</v>
      </c>
      <c r="D1704" s="1">
        <v>0</v>
      </c>
      <c r="E1704" s="3">
        <v>0.35</v>
      </c>
      <c r="F1704" s="3">
        <v>0.35</v>
      </c>
      <c r="G1704">
        <v>0</v>
      </c>
    </row>
    <row r="1705" spans="1:7" x14ac:dyDescent="0.25">
      <c r="A1705" s="111" t="str">
        <f t="shared" si="26"/>
        <v>JDH4-02-007-AB-1060</v>
      </c>
      <c r="B1705" t="s">
        <v>2571</v>
      </c>
      <c r="C1705" t="s">
        <v>2572</v>
      </c>
      <c r="D1705" s="1">
        <v>0</v>
      </c>
      <c r="E1705" s="3">
        <v>0.35</v>
      </c>
      <c r="F1705" s="3">
        <v>0.35</v>
      </c>
      <c r="G1705">
        <v>0</v>
      </c>
    </row>
    <row r="1706" spans="1:7" x14ac:dyDescent="0.25">
      <c r="A1706" s="111" t="str">
        <f t="shared" si="26"/>
        <v>JDH4-02-007-AB-1050</v>
      </c>
      <c r="B1706" t="s">
        <v>2569</v>
      </c>
      <c r="C1706" t="s">
        <v>2570</v>
      </c>
      <c r="D1706" s="1">
        <v>0</v>
      </c>
      <c r="E1706" s="3">
        <v>0</v>
      </c>
      <c r="F1706" s="3">
        <v>0</v>
      </c>
      <c r="G1706">
        <v>0</v>
      </c>
    </row>
    <row r="1707" spans="1:7" x14ac:dyDescent="0.25">
      <c r="A1707" s="111" t="str">
        <f t="shared" si="26"/>
        <v>As-Built DWGs Approval</v>
      </c>
      <c r="B1707" t="s">
        <v>227</v>
      </c>
      <c r="D1707" s="1">
        <v>0</v>
      </c>
      <c r="F1707" s="3">
        <v>0</v>
      </c>
      <c r="G1707">
        <v>0</v>
      </c>
    </row>
    <row r="1708" spans="1:7" x14ac:dyDescent="0.25">
      <c r="A1708" s="111" t="str">
        <f t="shared" si="26"/>
        <v>JDH4-02-007-AB-1090</v>
      </c>
      <c r="B1708" t="s">
        <v>2573</v>
      </c>
      <c r="C1708" t="s">
        <v>2574</v>
      </c>
      <c r="D1708" s="1">
        <v>0</v>
      </c>
      <c r="E1708" s="3">
        <v>1</v>
      </c>
      <c r="F1708" s="3">
        <v>1</v>
      </c>
      <c r="G1708">
        <v>0</v>
      </c>
    </row>
    <row r="1709" spans="1:7" x14ac:dyDescent="0.25">
      <c r="A1709" s="111" t="str">
        <f t="shared" si="26"/>
        <v>JDH4-02-007-AB-1080</v>
      </c>
      <c r="B1709" t="s">
        <v>2579</v>
      </c>
      <c r="C1709" t="s">
        <v>2580</v>
      </c>
      <c r="D1709" s="1">
        <v>0</v>
      </c>
      <c r="E1709" s="3">
        <v>1</v>
      </c>
      <c r="F1709" s="3">
        <v>1</v>
      </c>
      <c r="G1709">
        <v>0</v>
      </c>
    </row>
    <row r="1710" spans="1:7" x14ac:dyDescent="0.25">
      <c r="A1710" s="111" t="str">
        <f t="shared" si="26"/>
        <v>JDH4-02-007-AB-1070</v>
      </c>
      <c r="B1710" t="s">
        <v>2577</v>
      </c>
      <c r="C1710" t="s">
        <v>2578</v>
      </c>
      <c r="D1710" s="1">
        <v>0</v>
      </c>
      <c r="E1710" s="3">
        <v>1</v>
      </c>
      <c r="F1710" s="3">
        <v>1</v>
      </c>
      <c r="G1710">
        <v>0</v>
      </c>
    </row>
    <row r="1711" spans="1:7" x14ac:dyDescent="0.25">
      <c r="A1711" s="111" t="str">
        <f t="shared" si="26"/>
        <v>JDH4-02-007-AB-1100</v>
      </c>
      <c r="B1711" t="s">
        <v>2575</v>
      </c>
      <c r="C1711" t="s">
        <v>2576</v>
      </c>
      <c r="D1711" s="1">
        <v>0</v>
      </c>
      <c r="E1711" s="3">
        <v>1</v>
      </c>
      <c r="F1711" s="3">
        <v>1</v>
      </c>
      <c r="G1711">
        <v>0</v>
      </c>
    </row>
    <row r="1712" spans="1:7" x14ac:dyDescent="0.25">
      <c r="A1712" s="111" t="str">
        <f t="shared" si="26"/>
        <v>JDH4-02-007-AB-1110</v>
      </c>
      <c r="B1712" t="s">
        <v>2581</v>
      </c>
      <c r="C1712" t="s">
        <v>2582</v>
      </c>
      <c r="D1712" s="1">
        <v>0</v>
      </c>
      <c r="E1712" s="3">
        <v>0</v>
      </c>
      <c r="F1712" s="3">
        <v>0</v>
      </c>
      <c r="G1712">
        <v>0</v>
      </c>
    </row>
    <row r="1713" spans="1:7" x14ac:dyDescent="0.25">
      <c r="A1713" s="111" t="str">
        <f t="shared" si="26"/>
        <v>JDH4-02-007-AB-1130</v>
      </c>
      <c r="B1713" t="s">
        <v>2585</v>
      </c>
      <c r="C1713" t="s">
        <v>2586</v>
      </c>
      <c r="D1713" s="1">
        <v>0</v>
      </c>
      <c r="E1713" s="3">
        <v>0</v>
      </c>
      <c r="F1713" s="3">
        <v>0</v>
      </c>
      <c r="G1713">
        <v>0</v>
      </c>
    </row>
    <row r="1714" spans="1:7" x14ac:dyDescent="0.25">
      <c r="A1714" s="111" t="str">
        <f t="shared" si="26"/>
        <v>JDH4-02-007-AB-1120</v>
      </c>
      <c r="B1714" t="s">
        <v>2583</v>
      </c>
      <c r="C1714" t="s">
        <v>2584</v>
      </c>
      <c r="D1714" s="1">
        <v>0</v>
      </c>
      <c r="E1714" s="3">
        <v>0</v>
      </c>
      <c r="F1714" s="3">
        <v>0</v>
      </c>
      <c r="G1714">
        <v>0</v>
      </c>
    </row>
    <row r="1715" spans="1:7" x14ac:dyDescent="0.25">
      <c r="A1715" s="111" t="str">
        <f t="shared" si="26"/>
        <v>Demobilization</v>
      </c>
      <c r="B1715" t="s">
        <v>2587</v>
      </c>
      <c r="D1715" s="1">
        <v>0</v>
      </c>
      <c r="E1715" s="3"/>
      <c r="F1715" s="3">
        <v>0</v>
      </c>
      <c r="G1715">
        <v>0</v>
      </c>
    </row>
    <row r="1716" spans="1:7" x14ac:dyDescent="0.25">
      <c r="A1716" s="111" t="str">
        <f t="shared" si="26"/>
        <v>JDH4-02-007-DM-1000</v>
      </c>
      <c r="B1716" t="s">
        <v>2588</v>
      </c>
      <c r="C1716" t="s">
        <v>228</v>
      </c>
      <c r="D1716" s="1">
        <v>0</v>
      </c>
      <c r="E1716" s="3">
        <v>0</v>
      </c>
      <c r="F1716" s="3">
        <v>0</v>
      </c>
      <c r="G1716">
        <v>0</v>
      </c>
    </row>
    <row r="1717" spans="1:7" x14ac:dyDescent="0.25">
      <c r="A1717" s="111" t="str">
        <f t="shared" si="26"/>
        <v>JDH4-02-007-DM-1010</v>
      </c>
      <c r="B1717" t="s">
        <v>2589</v>
      </c>
      <c r="C1717" t="s">
        <v>2590</v>
      </c>
      <c r="D1717" s="1">
        <v>0</v>
      </c>
      <c r="E1717" s="3">
        <v>0</v>
      </c>
      <c r="F1717" s="3">
        <v>0</v>
      </c>
      <c r="G1717">
        <v>0</v>
      </c>
    </row>
    <row r="1718" spans="1:7" x14ac:dyDescent="0.25">
      <c r="A1718" s="111" t="str">
        <f t="shared" si="26"/>
        <v>JDH4-02-007-DM-1020</v>
      </c>
      <c r="B1718" t="s">
        <v>2591</v>
      </c>
      <c r="C1718" t="s">
        <v>2592</v>
      </c>
      <c r="D1718" s="1">
        <v>0</v>
      </c>
      <c r="E1718" s="3">
        <v>0</v>
      </c>
      <c r="F1718" s="3">
        <v>0</v>
      </c>
      <c r="G1718">
        <v>0</v>
      </c>
    </row>
    <row r="1719" spans="1:7" x14ac:dyDescent="0.25">
      <c r="A1719" s="111" t="str">
        <f t="shared" si="26"/>
        <v>JDH4-02-007-DM-1030</v>
      </c>
      <c r="B1719" t="s">
        <v>2593</v>
      </c>
      <c r="C1719" t="s">
        <v>229</v>
      </c>
      <c r="D1719" s="1">
        <v>0</v>
      </c>
      <c r="E1719" s="3">
        <v>0</v>
      </c>
      <c r="F1719" s="3">
        <v>0</v>
      </c>
      <c r="G1719">
        <v>0</v>
      </c>
    </row>
    <row r="1720" spans="1:7" x14ac:dyDescent="0.25">
      <c r="A1720" s="111" t="str">
        <f t="shared" si="26"/>
        <v>JDH4-02-007-DM-1040</v>
      </c>
      <c r="B1720" t="s">
        <v>2594</v>
      </c>
      <c r="C1720" t="s">
        <v>2595</v>
      </c>
      <c r="D1720" s="1">
        <v>0</v>
      </c>
      <c r="E1720" s="3">
        <v>0</v>
      </c>
      <c r="F1720" s="3">
        <v>0</v>
      </c>
      <c r="G1720">
        <v>0</v>
      </c>
    </row>
    <row r="1721" spans="1:7" x14ac:dyDescent="0.25">
      <c r="A1721" s="111" t="str">
        <f t="shared" si="26"/>
        <v/>
      </c>
      <c r="D1721" s="1"/>
      <c r="E1721" s="3"/>
      <c r="F1721" s="3"/>
    </row>
    <row r="1722" spans="1:7" x14ac:dyDescent="0.25">
      <c r="A1722" s="111" t="str">
        <f t="shared" si="26"/>
        <v/>
      </c>
      <c r="D1722" s="1"/>
      <c r="E1722" s="3"/>
      <c r="F1722" s="3"/>
    </row>
    <row r="1723" spans="1:7" x14ac:dyDescent="0.25">
      <c r="A1723" s="111" t="str">
        <f t="shared" si="26"/>
        <v/>
      </c>
      <c r="D1723" s="1"/>
      <c r="E1723" s="3"/>
      <c r="F1723" s="3"/>
    </row>
    <row r="1724" spans="1:7" x14ac:dyDescent="0.25">
      <c r="A1724" s="111" t="str">
        <f t="shared" si="26"/>
        <v/>
      </c>
      <c r="D1724" s="1"/>
      <c r="E1724" s="3"/>
      <c r="F1724" s="3"/>
    </row>
    <row r="1725" spans="1:7" x14ac:dyDescent="0.25">
      <c r="A1725" s="111" t="str">
        <f t="shared" si="26"/>
        <v/>
      </c>
      <c r="D1725" s="1"/>
      <c r="F1725" s="3"/>
    </row>
    <row r="1726" spans="1:7" x14ac:dyDescent="0.25">
      <c r="A1726" s="111" t="str">
        <f t="shared" si="26"/>
        <v/>
      </c>
      <c r="D1726" s="1"/>
      <c r="E1726" s="3"/>
      <c r="F1726" s="3"/>
    </row>
    <row r="1727" spans="1:7" x14ac:dyDescent="0.25">
      <c r="A1727" s="111" t="str">
        <f t="shared" si="26"/>
        <v/>
      </c>
      <c r="D1727" s="1"/>
      <c r="E1727" s="3"/>
      <c r="F1727" s="3"/>
    </row>
    <row r="1728" spans="1:7" x14ac:dyDescent="0.25">
      <c r="A1728" s="111" t="str">
        <f t="shared" si="26"/>
        <v/>
      </c>
      <c r="D1728" s="1"/>
      <c r="E1728" s="3"/>
      <c r="F1728" s="3"/>
    </row>
    <row r="1729" spans="1:6" x14ac:dyDescent="0.25">
      <c r="A1729" s="111" t="str">
        <f t="shared" si="26"/>
        <v/>
      </c>
      <c r="D1729" s="1"/>
      <c r="E1729" s="3"/>
      <c r="F1729" s="3"/>
    </row>
    <row r="1730" spans="1:6" x14ac:dyDescent="0.25">
      <c r="A1730" s="111" t="str">
        <f t="shared" si="26"/>
        <v/>
      </c>
      <c r="D1730" s="1"/>
      <c r="E1730" s="3"/>
      <c r="F1730" s="3"/>
    </row>
    <row r="1731" spans="1:6" x14ac:dyDescent="0.25">
      <c r="A1731" s="111" t="str">
        <f t="shared" si="26"/>
        <v/>
      </c>
      <c r="D1731" s="1"/>
      <c r="F1731" s="3"/>
    </row>
    <row r="1732" spans="1:6" x14ac:dyDescent="0.25">
      <c r="A1732" s="111" t="str">
        <f t="shared" ref="A1732:A1765" si="27">TRIM(B1732)</f>
        <v/>
      </c>
      <c r="D1732" s="1"/>
      <c r="E1732" s="3"/>
      <c r="F1732" s="3"/>
    </row>
    <row r="1733" spans="1:6" x14ac:dyDescent="0.25">
      <c r="A1733" s="111" t="str">
        <f t="shared" si="27"/>
        <v/>
      </c>
      <c r="D1733" s="1"/>
      <c r="E1733" s="3"/>
      <c r="F1733" s="3"/>
    </row>
    <row r="1734" spans="1:6" x14ac:dyDescent="0.25">
      <c r="A1734" s="111" t="str">
        <f t="shared" si="27"/>
        <v/>
      </c>
      <c r="D1734" s="1"/>
      <c r="F1734" s="3"/>
    </row>
    <row r="1735" spans="1:6" x14ac:dyDescent="0.25">
      <c r="A1735" s="111" t="str">
        <f t="shared" si="27"/>
        <v/>
      </c>
      <c r="D1735" s="1"/>
      <c r="E1735" s="3"/>
      <c r="F1735" s="3"/>
    </row>
    <row r="1736" spans="1:6" x14ac:dyDescent="0.25">
      <c r="A1736" s="111" t="str">
        <f t="shared" si="27"/>
        <v/>
      </c>
      <c r="D1736" s="1"/>
      <c r="E1736" s="3"/>
      <c r="F1736" s="3"/>
    </row>
    <row r="1737" spans="1:6" x14ac:dyDescent="0.25">
      <c r="A1737" s="111" t="str">
        <f t="shared" si="27"/>
        <v/>
      </c>
      <c r="D1737" s="1"/>
      <c r="E1737" s="3"/>
      <c r="F1737" s="3"/>
    </row>
    <row r="1738" spans="1:6" x14ac:dyDescent="0.25">
      <c r="A1738" s="111" t="str">
        <f t="shared" si="27"/>
        <v/>
      </c>
      <c r="D1738" s="1"/>
      <c r="E1738" s="3"/>
      <c r="F1738" s="3"/>
    </row>
    <row r="1739" spans="1:6" x14ac:dyDescent="0.25">
      <c r="A1739" s="111" t="str">
        <f t="shared" si="27"/>
        <v/>
      </c>
      <c r="D1739" s="1"/>
      <c r="E1739" s="3"/>
      <c r="F1739" s="3"/>
    </row>
    <row r="1740" spans="1:6" x14ac:dyDescent="0.25">
      <c r="A1740" s="111" t="str">
        <f t="shared" si="27"/>
        <v/>
      </c>
      <c r="D1740" s="1"/>
      <c r="E1740" s="3"/>
      <c r="F1740" s="3"/>
    </row>
    <row r="1741" spans="1:6" x14ac:dyDescent="0.25">
      <c r="A1741" s="111" t="str">
        <f t="shared" si="27"/>
        <v/>
      </c>
      <c r="D1741" s="1"/>
      <c r="E1741" s="3"/>
      <c r="F1741" s="3"/>
    </row>
    <row r="1742" spans="1:6" x14ac:dyDescent="0.25">
      <c r="A1742" s="111" t="str">
        <f t="shared" si="27"/>
        <v/>
      </c>
      <c r="D1742" s="1"/>
      <c r="E1742" s="3"/>
      <c r="F1742" s="3"/>
    </row>
    <row r="1743" spans="1:6" x14ac:dyDescent="0.25">
      <c r="A1743" s="111" t="str">
        <f t="shared" si="27"/>
        <v/>
      </c>
      <c r="D1743" s="1"/>
      <c r="E1743" s="3"/>
      <c r="F1743" s="3"/>
    </row>
    <row r="1744" spans="1:6" x14ac:dyDescent="0.25">
      <c r="A1744" s="111" t="str">
        <f t="shared" si="27"/>
        <v/>
      </c>
      <c r="D1744" s="1"/>
      <c r="E1744" s="3"/>
      <c r="F1744" s="3"/>
    </row>
    <row r="1745" spans="1:6" x14ac:dyDescent="0.25">
      <c r="A1745" s="111" t="str">
        <f t="shared" si="27"/>
        <v/>
      </c>
      <c r="D1745" s="1"/>
      <c r="E1745" s="3"/>
      <c r="F1745" s="3"/>
    </row>
    <row r="1746" spans="1:6" x14ac:dyDescent="0.25">
      <c r="A1746" s="111" t="str">
        <f t="shared" si="27"/>
        <v/>
      </c>
      <c r="D1746" s="1"/>
      <c r="E1746" s="3"/>
      <c r="F1746" s="3"/>
    </row>
    <row r="1747" spans="1:6" x14ac:dyDescent="0.25">
      <c r="A1747" s="111" t="str">
        <f t="shared" si="27"/>
        <v/>
      </c>
      <c r="D1747" s="1"/>
      <c r="E1747" s="3"/>
      <c r="F1747" s="3"/>
    </row>
    <row r="1748" spans="1:6" x14ac:dyDescent="0.25">
      <c r="A1748" s="111" t="str">
        <f t="shared" si="27"/>
        <v/>
      </c>
      <c r="D1748" s="1"/>
      <c r="E1748" s="3"/>
      <c r="F1748" s="3"/>
    </row>
    <row r="1749" spans="1:6" x14ac:dyDescent="0.25">
      <c r="A1749" s="111" t="str">
        <f t="shared" si="27"/>
        <v/>
      </c>
      <c r="D1749" s="1"/>
      <c r="E1749" s="3"/>
      <c r="F1749" s="3"/>
    </row>
    <row r="1750" spans="1:6" x14ac:dyDescent="0.25">
      <c r="A1750" s="111" t="str">
        <f t="shared" si="27"/>
        <v/>
      </c>
      <c r="D1750" s="1"/>
      <c r="E1750" s="3"/>
      <c r="F1750" s="3"/>
    </row>
    <row r="1751" spans="1:6" x14ac:dyDescent="0.25">
      <c r="A1751" s="111" t="str">
        <f t="shared" si="27"/>
        <v/>
      </c>
      <c r="D1751" s="1"/>
      <c r="E1751" s="3"/>
      <c r="F1751" s="3"/>
    </row>
    <row r="1752" spans="1:6" x14ac:dyDescent="0.25">
      <c r="A1752" s="111" t="str">
        <f t="shared" si="27"/>
        <v/>
      </c>
      <c r="D1752" s="1"/>
      <c r="F1752" s="3"/>
    </row>
    <row r="1753" spans="1:6" x14ac:dyDescent="0.25">
      <c r="A1753" s="111" t="str">
        <f t="shared" si="27"/>
        <v/>
      </c>
      <c r="D1753" s="1"/>
      <c r="E1753" s="3"/>
      <c r="F1753" s="3"/>
    </row>
    <row r="1754" spans="1:6" x14ac:dyDescent="0.25">
      <c r="A1754" s="111" t="str">
        <f t="shared" si="27"/>
        <v/>
      </c>
      <c r="D1754" s="1"/>
      <c r="E1754" s="3"/>
      <c r="F1754" s="3"/>
    </row>
    <row r="1755" spans="1:6" x14ac:dyDescent="0.25">
      <c r="A1755" s="111" t="str">
        <f t="shared" si="27"/>
        <v/>
      </c>
      <c r="D1755" s="1"/>
      <c r="E1755" s="3"/>
      <c r="F1755" s="3"/>
    </row>
    <row r="1756" spans="1:6" x14ac:dyDescent="0.25">
      <c r="A1756" s="111" t="str">
        <f t="shared" si="27"/>
        <v/>
      </c>
      <c r="D1756" s="1"/>
      <c r="E1756" s="3"/>
      <c r="F1756" s="3"/>
    </row>
    <row r="1757" spans="1:6" x14ac:dyDescent="0.25">
      <c r="A1757" s="111" t="str">
        <f t="shared" si="27"/>
        <v/>
      </c>
      <c r="D1757" s="1"/>
      <c r="E1757" s="3"/>
      <c r="F1757" s="3"/>
    </row>
    <row r="1758" spans="1:6" x14ac:dyDescent="0.25">
      <c r="A1758" s="111" t="str">
        <f t="shared" si="27"/>
        <v/>
      </c>
      <c r="D1758" s="1"/>
      <c r="E1758" s="3"/>
      <c r="F1758" s="3"/>
    </row>
    <row r="1759" spans="1:6" x14ac:dyDescent="0.25">
      <c r="A1759" s="111" t="str">
        <f t="shared" si="27"/>
        <v/>
      </c>
      <c r="D1759" s="1"/>
      <c r="E1759" s="3"/>
      <c r="F1759" s="3"/>
    </row>
    <row r="1760" spans="1:6" x14ac:dyDescent="0.25">
      <c r="A1760" s="111" t="str">
        <f t="shared" si="27"/>
        <v/>
      </c>
      <c r="D1760" s="1"/>
      <c r="E1760" s="3"/>
      <c r="F1760" s="3"/>
    </row>
    <row r="1761" spans="1:6" x14ac:dyDescent="0.25">
      <c r="A1761" s="111" t="str">
        <f t="shared" si="27"/>
        <v/>
      </c>
      <c r="D1761" s="1"/>
      <c r="E1761" s="3"/>
      <c r="F1761" s="3"/>
    </row>
    <row r="1762" spans="1:6" x14ac:dyDescent="0.25">
      <c r="A1762" s="111" t="str">
        <f t="shared" si="27"/>
        <v/>
      </c>
      <c r="D1762" s="1"/>
      <c r="E1762" s="3"/>
      <c r="F1762" s="3"/>
    </row>
    <row r="1763" spans="1:6" x14ac:dyDescent="0.25">
      <c r="A1763" s="111" t="str">
        <f t="shared" si="27"/>
        <v/>
      </c>
      <c r="D1763" s="1"/>
      <c r="E1763" s="3"/>
      <c r="F1763" s="3"/>
    </row>
    <row r="1764" spans="1:6" x14ac:dyDescent="0.25">
      <c r="A1764" s="111" t="str">
        <f t="shared" si="27"/>
        <v/>
      </c>
      <c r="D1764" s="1"/>
      <c r="E1764" s="3"/>
      <c r="F1764" s="3"/>
    </row>
    <row r="1765" spans="1:6" x14ac:dyDescent="0.25">
      <c r="A1765" s="111" t="str">
        <f t="shared" si="27"/>
        <v/>
      </c>
      <c r="D1765" s="1"/>
      <c r="E1765" s="3"/>
      <c r="F176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E9B3-E436-44A4-B9D2-A6D56BAEDDCA}">
  <dimension ref="A1:G1765"/>
  <sheetViews>
    <sheetView topLeftCell="B1" zoomScaleNormal="100" workbookViewId="0">
      <selection activeCell="K18" sqref="K18"/>
    </sheetView>
  </sheetViews>
  <sheetFormatPr defaultColWidth="11.85546875" defaultRowHeight="15" x14ac:dyDescent="0.25"/>
  <cols>
    <col min="1" max="1" width="0" style="111" hidden="1" customWidth="1"/>
    <col min="3" max="3" width="15" customWidth="1"/>
    <col min="4" max="4" width="21.28515625" bestFit="1" customWidth="1"/>
    <col min="5" max="5" width="19.85546875" bestFit="1" customWidth="1"/>
    <col min="6" max="6" width="24.42578125" bestFit="1" customWidth="1"/>
    <col min="7" max="7" width="19.140625" bestFit="1" customWidth="1"/>
  </cols>
  <sheetData>
    <row r="1" spans="1:7" x14ac:dyDescent="0.25">
      <c r="A1" s="111" t="s">
        <v>0</v>
      </c>
      <c r="B1" t="s">
        <v>0</v>
      </c>
      <c r="C1" t="s">
        <v>1</v>
      </c>
      <c r="D1" t="s">
        <v>236</v>
      </c>
      <c r="E1" t="s">
        <v>4</v>
      </c>
      <c r="F1" t="s">
        <v>3</v>
      </c>
      <c r="G1" t="s">
        <v>237</v>
      </c>
    </row>
    <row r="2" spans="1:7" x14ac:dyDescent="0.25">
      <c r="A2" s="111" t="s">
        <v>5</v>
      </c>
      <c r="B2" t="s">
        <v>4134</v>
      </c>
      <c r="D2" s="1">
        <v>57304347.859999999</v>
      </c>
      <c r="F2" s="2">
        <v>0.93310000000000004</v>
      </c>
      <c r="G2" s="1">
        <v>53468556.350000001</v>
      </c>
    </row>
    <row r="3" spans="1:7" x14ac:dyDescent="0.25">
      <c r="A3" s="111" t="str">
        <f>TRIM(B3)</f>
        <v>Key Milestones</v>
      </c>
      <c r="B3" t="s">
        <v>240</v>
      </c>
      <c r="D3">
        <v>0</v>
      </c>
      <c r="F3" s="3">
        <v>0</v>
      </c>
      <c r="G3">
        <v>0</v>
      </c>
    </row>
    <row r="4" spans="1:7" x14ac:dyDescent="0.25">
      <c r="A4" s="111" t="str">
        <f t="shared" ref="A4:A67" si="0">TRIM(B4)</f>
        <v>General Milestone</v>
      </c>
      <c r="B4" t="s">
        <v>241</v>
      </c>
      <c r="D4">
        <v>0</v>
      </c>
      <c r="F4" s="3">
        <v>0</v>
      </c>
      <c r="G4">
        <v>0</v>
      </c>
    </row>
    <row r="5" spans="1:7" x14ac:dyDescent="0.25">
      <c r="A5" s="111" t="str">
        <f t="shared" si="0"/>
        <v>JDH4-02-007-MS-1000</v>
      </c>
      <c r="B5" t="s">
        <v>242</v>
      </c>
      <c r="C5" t="s">
        <v>243</v>
      </c>
      <c r="D5">
        <v>0</v>
      </c>
      <c r="E5" s="3">
        <v>1</v>
      </c>
      <c r="F5" s="3">
        <v>1</v>
      </c>
      <c r="G5">
        <v>0</v>
      </c>
    </row>
    <row r="6" spans="1:7" x14ac:dyDescent="0.25">
      <c r="A6" s="111" t="str">
        <f t="shared" si="0"/>
        <v>JDH4-02-007-MS-1010</v>
      </c>
      <c r="B6" t="s">
        <v>244</v>
      </c>
      <c r="C6" t="s">
        <v>245</v>
      </c>
      <c r="D6">
        <v>0</v>
      </c>
      <c r="E6" s="3">
        <v>0</v>
      </c>
      <c r="F6" s="3">
        <v>0</v>
      </c>
      <c r="G6">
        <v>0</v>
      </c>
    </row>
    <row r="7" spans="1:7" x14ac:dyDescent="0.25">
      <c r="A7" s="111" t="str">
        <f t="shared" si="0"/>
        <v>Contractual Milestone</v>
      </c>
      <c r="B7" t="s">
        <v>6</v>
      </c>
      <c r="D7">
        <v>0</v>
      </c>
      <c r="F7" s="3">
        <v>0</v>
      </c>
      <c r="G7">
        <v>0</v>
      </c>
    </row>
    <row r="8" spans="1:7" x14ac:dyDescent="0.25">
      <c r="A8" s="111" t="str">
        <f t="shared" si="0"/>
        <v>Engineering &amp; Mobilization</v>
      </c>
      <c r="B8" t="s">
        <v>246</v>
      </c>
      <c r="D8">
        <v>0</v>
      </c>
      <c r="F8" s="3">
        <v>0</v>
      </c>
      <c r="G8">
        <v>0</v>
      </c>
    </row>
    <row r="9" spans="1:7" x14ac:dyDescent="0.25">
      <c r="A9" s="111" t="str">
        <f t="shared" si="0"/>
        <v>JDH4-02-007-MS-1020</v>
      </c>
      <c r="B9" t="s">
        <v>247</v>
      </c>
      <c r="C9" t="s">
        <v>248</v>
      </c>
      <c r="D9">
        <v>0</v>
      </c>
      <c r="E9" s="3">
        <v>1</v>
      </c>
      <c r="F9" s="3">
        <v>1</v>
      </c>
      <c r="G9">
        <v>0</v>
      </c>
    </row>
    <row r="10" spans="1:7" x14ac:dyDescent="0.25">
      <c r="A10" s="111" t="str">
        <f t="shared" si="0"/>
        <v>JDH4-02-007-MS-1030</v>
      </c>
      <c r="B10" t="s">
        <v>249</v>
      </c>
      <c r="C10" t="s">
        <v>250</v>
      </c>
      <c r="D10">
        <v>0</v>
      </c>
      <c r="E10" s="3">
        <v>1</v>
      </c>
      <c r="F10" s="3">
        <v>1</v>
      </c>
      <c r="G10">
        <v>0</v>
      </c>
    </row>
    <row r="11" spans="1:7" x14ac:dyDescent="0.25">
      <c r="A11" s="111" t="str">
        <f t="shared" si="0"/>
        <v>JDH4-02-007-MS-1040</v>
      </c>
      <c r="B11" t="s">
        <v>251</v>
      </c>
      <c r="C11" t="s">
        <v>252</v>
      </c>
      <c r="D11">
        <v>0</v>
      </c>
      <c r="E11" s="3">
        <v>1</v>
      </c>
      <c r="F11" s="3">
        <v>1</v>
      </c>
      <c r="G11">
        <v>0</v>
      </c>
    </row>
    <row r="12" spans="1:7" x14ac:dyDescent="0.25">
      <c r="A12" s="111" t="str">
        <f t="shared" si="0"/>
        <v>Construction</v>
      </c>
      <c r="B12" t="s">
        <v>7</v>
      </c>
      <c r="D12">
        <v>0</v>
      </c>
      <c r="E12" s="3"/>
      <c r="F12" s="3">
        <v>0</v>
      </c>
      <c r="G12">
        <v>0</v>
      </c>
    </row>
    <row r="13" spans="1:7" x14ac:dyDescent="0.25">
      <c r="A13" s="111" t="str">
        <f t="shared" si="0"/>
        <v>JDH4-02-007-MS-1060</v>
      </c>
      <c r="B13" t="s">
        <v>255</v>
      </c>
      <c r="C13" t="s">
        <v>256</v>
      </c>
      <c r="D13">
        <v>0</v>
      </c>
      <c r="E13" s="3">
        <v>1</v>
      </c>
      <c r="F13" s="3">
        <v>1</v>
      </c>
      <c r="G13">
        <v>0</v>
      </c>
    </row>
    <row r="14" spans="1:7" x14ac:dyDescent="0.25">
      <c r="A14" s="111" t="str">
        <f t="shared" si="0"/>
        <v>JDH4-02-007-MS-1090</v>
      </c>
      <c r="B14" t="s">
        <v>261</v>
      </c>
      <c r="C14" t="s">
        <v>262</v>
      </c>
      <c r="D14">
        <v>0</v>
      </c>
      <c r="E14" s="3">
        <v>1</v>
      </c>
      <c r="F14" s="3">
        <v>1</v>
      </c>
      <c r="G14">
        <v>0</v>
      </c>
    </row>
    <row r="15" spans="1:7" x14ac:dyDescent="0.25">
      <c r="A15" s="111" t="str">
        <f t="shared" si="0"/>
        <v>JDH4-02-007-MS-1080</v>
      </c>
      <c r="B15" t="s">
        <v>259</v>
      </c>
      <c r="C15" t="s">
        <v>260</v>
      </c>
      <c r="D15">
        <v>0</v>
      </c>
      <c r="E15" s="3">
        <v>1</v>
      </c>
      <c r="F15" s="3">
        <v>1</v>
      </c>
      <c r="G15">
        <v>0</v>
      </c>
    </row>
    <row r="16" spans="1:7" x14ac:dyDescent="0.25">
      <c r="A16" s="111" t="str">
        <f t="shared" si="0"/>
        <v>JDH4-02-007-MS-1050</v>
      </c>
      <c r="B16" t="s">
        <v>253</v>
      </c>
      <c r="C16" t="s">
        <v>254</v>
      </c>
      <c r="D16">
        <v>0</v>
      </c>
      <c r="E16" s="3">
        <v>0</v>
      </c>
      <c r="F16" s="3">
        <v>0</v>
      </c>
      <c r="G16">
        <v>0</v>
      </c>
    </row>
    <row r="17" spans="1:7" x14ac:dyDescent="0.25">
      <c r="A17" s="111" t="str">
        <f t="shared" si="0"/>
        <v>JDH4-02-007-MS-1070</v>
      </c>
      <c r="B17" t="s">
        <v>257</v>
      </c>
      <c r="C17" t="s">
        <v>258</v>
      </c>
      <c r="D17">
        <v>0</v>
      </c>
      <c r="E17" s="3">
        <v>0</v>
      </c>
      <c r="F17" s="3">
        <v>0</v>
      </c>
      <c r="G17">
        <v>0</v>
      </c>
    </row>
    <row r="18" spans="1:7" x14ac:dyDescent="0.25">
      <c r="A18" s="111" t="str">
        <f t="shared" si="0"/>
        <v>JDH4-02-007-MS-1100</v>
      </c>
      <c r="B18" t="s">
        <v>263</v>
      </c>
      <c r="C18" t="s">
        <v>264</v>
      </c>
      <c r="D18">
        <v>0</v>
      </c>
      <c r="E18" s="3">
        <v>0</v>
      </c>
      <c r="F18" s="3">
        <v>0</v>
      </c>
      <c r="G18">
        <v>0</v>
      </c>
    </row>
    <row r="19" spans="1:7" x14ac:dyDescent="0.25">
      <c r="A19" s="111" t="str">
        <f t="shared" si="0"/>
        <v>JDH4-02-007-MS-1110</v>
      </c>
      <c r="B19" t="s">
        <v>265</v>
      </c>
      <c r="C19" t="s">
        <v>266</v>
      </c>
      <c r="D19">
        <v>0</v>
      </c>
      <c r="E19" s="3">
        <v>0</v>
      </c>
      <c r="F19" s="3">
        <v>0</v>
      </c>
      <c r="G19">
        <v>0</v>
      </c>
    </row>
    <row r="20" spans="1:7" x14ac:dyDescent="0.25">
      <c r="A20" s="111" t="str">
        <f t="shared" si="0"/>
        <v>Monitoring &amp; Controlling Milestone</v>
      </c>
      <c r="B20" t="s">
        <v>267</v>
      </c>
      <c r="D20">
        <v>0</v>
      </c>
      <c r="E20" s="3"/>
      <c r="F20" s="3">
        <v>0</v>
      </c>
      <c r="G20">
        <v>0</v>
      </c>
    </row>
    <row r="21" spans="1:7" x14ac:dyDescent="0.25">
      <c r="A21" s="111" t="str">
        <f t="shared" si="0"/>
        <v>JDH4-02-007-MS-1120</v>
      </c>
      <c r="B21" t="s">
        <v>270</v>
      </c>
      <c r="C21" t="s">
        <v>271</v>
      </c>
      <c r="D21">
        <v>0</v>
      </c>
      <c r="E21" s="3">
        <v>1</v>
      </c>
      <c r="F21" s="3">
        <v>1</v>
      </c>
      <c r="G21">
        <v>0</v>
      </c>
    </row>
    <row r="22" spans="1:7" x14ac:dyDescent="0.25">
      <c r="A22" s="111" t="str">
        <f t="shared" si="0"/>
        <v>JDH4-02-007-MS-1130</v>
      </c>
      <c r="B22" t="s">
        <v>268</v>
      </c>
      <c r="C22" t="s">
        <v>269</v>
      </c>
      <c r="D22">
        <v>0</v>
      </c>
      <c r="E22" s="3">
        <v>1</v>
      </c>
      <c r="F22" s="3">
        <v>1</v>
      </c>
      <c r="G22">
        <v>0</v>
      </c>
    </row>
    <row r="23" spans="1:7" x14ac:dyDescent="0.25">
      <c r="A23" s="111" t="str">
        <f t="shared" si="0"/>
        <v>Mobilization</v>
      </c>
      <c r="B23" t="s">
        <v>272</v>
      </c>
      <c r="D23">
        <v>0</v>
      </c>
      <c r="E23" s="3"/>
      <c r="F23" s="3">
        <v>0</v>
      </c>
      <c r="G23">
        <v>0</v>
      </c>
    </row>
    <row r="24" spans="1:7" x14ac:dyDescent="0.25">
      <c r="A24" s="111" t="str">
        <f t="shared" si="0"/>
        <v>Site Facilities &amp; Offices</v>
      </c>
      <c r="B24" t="s">
        <v>8</v>
      </c>
      <c r="D24">
        <v>0</v>
      </c>
      <c r="F24" s="3">
        <v>0</v>
      </c>
      <c r="G24">
        <v>0</v>
      </c>
    </row>
    <row r="25" spans="1:7" x14ac:dyDescent="0.25">
      <c r="A25" s="111" t="str">
        <f t="shared" si="0"/>
        <v>JDH4-02-007-MB-1000</v>
      </c>
      <c r="B25" t="s">
        <v>273</v>
      </c>
      <c r="C25" t="s">
        <v>9</v>
      </c>
      <c r="D25">
        <v>0</v>
      </c>
      <c r="E25" s="3">
        <v>1</v>
      </c>
      <c r="F25" s="3">
        <v>1</v>
      </c>
      <c r="G25">
        <v>0</v>
      </c>
    </row>
    <row r="26" spans="1:7" x14ac:dyDescent="0.25">
      <c r="A26" s="111" t="str">
        <f t="shared" si="0"/>
        <v>JDH4-02-007-MB-1010</v>
      </c>
      <c r="B26" t="s">
        <v>274</v>
      </c>
      <c r="C26" t="s">
        <v>10</v>
      </c>
      <c r="D26">
        <v>0</v>
      </c>
      <c r="E26" s="3">
        <v>1</v>
      </c>
      <c r="F26" s="3">
        <v>1</v>
      </c>
      <c r="G26">
        <v>0</v>
      </c>
    </row>
    <row r="27" spans="1:7" x14ac:dyDescent="0.25">
      <c r="A27" s="111" t="str">
        <f t="shared" si="0"/>
        <v>JDH4-02-007-MB-1020</v>
      </c>
      <c r="B27" t="s">
        <v>275</v>
      </c>
      <c r="C27" t="s">
        <v>11</v>
      </c>
      <c r="D27">
        <v>0</v>
      </c>
      <c r="E27" s="3">
        <v>1</v>
      </c>
      <c r="F27" s="3">
        <v>1</v>
      </c>
      <c r="G27">
        <v>0</v>
      </c>
    </row>
    <row r="28" spans="1:7" x14ac:dyDescent="0.25">
      <c r="A28" s="111" t="str">
        <f t="shared" si="0"/>
        <v>JDH4-02-007-MB-1040</v>
      </c>
      <c r="B28" t="s">
        <v>276</v>
      </c>
      <c r="C28" t="s">
        <v>13</v>
      </c>
      <c r="D28">
        <v>0</v>
      </c>
      <c r="E28" s="3">
        <v>1</v>
      </c>
      <c r="F28" s="3">
        <v>1</v>
      </c>
      <c r="G28">
        <v>0</v>
      </c>
    </row>
    <row r="29" spans="1:7" x14ac:dyDescent="0.25">
      <c r="A29" s="111" t="str">
        <f t="shared" si="0"/>
        <v>JDH4-02-007-MB-1030</v>
      </c>
      <c r="B29" t="s">
        <v>277</v>
      </c>
      <c r="C29" t="s">
        <v>12</v>
      </c>
      <c r="D29">
        <v>0</v>
      </c>
      <c r="E29" s="3">
        <v>1</v>
      </c>
      <c r="F29" s="3">
        <v>1</v>
      </c>
      <c r="G29">
        <v>0</v>
      </c>
    </row>
    <row r="30" spans="1:7" x14ac:dyDescent="0.25">
      <c r="A30" s="111" t="str">
        <f t="shared" si="0"/>
        <v>JDH4-02-007-MB-1060</v>
      </c>
      <c r="B30" t="s">
        <v>278</v>
      </c>
      <c r="C30" t="s">
        <v>14</v>
      </c>
      <c r="D30">
        <v>0</v>
      </c>
      <c r="E30" s="3">
        <v>1</v>
      </c>
      <c r="F30" s="3">
        <v>1</v>
      </c>
      <c r="G30">
        <v>0</v>
      </c>
    </row>
    <row r="31" spans="1:7" x14ac:dyDescent="0.25">
      <c r="A31" s="111" t="str">
        <f t="shared" si="0"/>
        <v>JDH4-02-007-MB-1070</v>
      </c>
      <c r="B31" t="s">
        <v>279</v>
      </c>
      <c r="C31" t="s">
        <v>18</v>
      </c>
      <c r="D31">
        <v>0</v>
      </c>
      <c r="E31" s="3">
        <v>1</v>
      </c>
      <c r="F31" s="3">
        <v>1</v>
      </c>
      <c r="G31">
        <v>0</v>
      </c>
    </row>
    <row r="32" spans="1:7" x14ac:dyDescent="0.25">
      <c r="A32" s="111" t="str">
        <f t="shared" si="0"/>
        <v>JDH4-02-007-MB-1090</v>
      </c>
      <c r="B32" t="s">
        <v>280</v>
      </c>
      <c r="C32" t="s">
        <v>19</v>
      </c>
      <c r="D32">
        <v>0</v>
      </c>
      <c r="E32" s="3">
        <v>1</v>
      </c>
      <c r="F32" s="3">
        <v>1</v>
      </c>
      <c r="G32">
        <v>0</v>
      </c>
    </row>
    <row r="33" spans="1:7" x14ac:dyDescent="0.25">
      <c r="A33" s="111" t="str">
        <f t="shared" si="0"/>
        <v>JDH4-02-007-MB-1100</v>
      </c>
      <c r="B33" t="s">
        <v>281</v>
      </c>
      <c r="C33" t="s">
        <v>17</v>
      </c>
      <c r="D33">
        <v>0</v>
      </c>
      <c r="E33" s="3">
        <v>1</v>
      </c>
      <c r="F33" s="3">
        <v>1</v>
      </c>
      <c r="G33">
        <v>0</v>
      </c>
    </row>
    <row r="34" spans="1:7" x14ac:dyDescent="0.25">
      <c r="A34" s="111" t="str">
        <f t="shared" si="0"/>
        <v>JDH4-02-007-MB-1050</v>
      </c>
      <c r="B34" t="s">
        <v>283</v>
      </c>
      <c r="C34" t="s">
        <v>16</v>
      </c>
      <c r="D34">
        <v>0</v>
      </c>
      <c r="E34" s="3">
        <v>1</v>
      </c>
      <c r="F34" s="3">
        <v>1</v>
      </c>
      <c r="G34">
        <v>0</v>
      </c>
    </row>
    <row r="35" spans="1:7" x14ac:dyDescent="0.25">
      <c r="A35" s="111" t="str">
        <f t="shared" si="0"/>
        <v>JDH4-02-007-MB-1080</v>
      </c>
      <c r="B35" t="s">
        <v>282</v>
      </c>
      <c r="C35" t="s">
        <v>15</v>
      </c>
      <c r="D35">
        <v>0</v>
      </c>
      <c r="E35" s="3">
        <v>1</v>
      </c>
      <c r="F35" s="3">
        <v>1</v>
      </c>
      <c r="G35">
        <v>0</v>
      </c>
    </row>
    <row r="36" spans="1:7" x14ac:dyDescent="0.25">
      <c r="A36" s="111" t="str">
        <f t="shared" si="0"/>
        <v>Topographic Survey</v>
      </c>
      <c r="B36" t="s">
        <v>20</v>
      </c>
      <c r="D36">
        <v>0</v>
      </c>
      <c r="E36" s="3"/>
      <c r="F36" s="3">
        <v>0</v>
      </c>
      <c r="G36">
        <v>0</v>
      </c>
    </row>
    <row r="37" spans="1:7" x14ac:dyDescent="0.25">
      <c r="A37" s="111" t="str">
        <f t="shared" si="0"/>
        <v>JDH4-02-007-TP-1000</v>
      </c>
      <c r="B37" t="s">
        <v>284</v>
      </c>
      <c r="C37" t="s">
        <v>285</v>
      </c>
      <c r="D37">
        <v>0</v>
      </c>
      <c r="E37" s="3">
        <v>1</v>
      </c>
      <c r="F37" s="3">
        <v>1</v>
      </c>
      <c r="G37">
        <v>0</v>
      </c>
    </row>
    <row r="38" spans="1:7" x14ac:dyDescent="0.25">
      <c r="A38" s="111" t="str">
        <f t="shared" si="0"/>
        <v>Permit's and Authority Approvals</v>
      </c>
      <c r="B38" t="s">
        <v>21</v>
      </c>
      <c r="D38">
        <v>0</v>
      </c>
      <c r="E38" s="3"/>
      <c r="F38" s="3">
        <v>0</v>
      </c>
      <c r="G38">
        <v>0</v>
      </c>
    </row>
    <row r="39" spans="1:7" x14ac:dyDescent="0.25">
      <c r="A39" s="111" t="str">
        <f t="shared" si="0"/>
        <v>JDH4-02-007-PA-1000</v>
      </c>
      <c r="B39" t="s">
        <v>286</v>
      </c>
      <c r="C39" t="s">
        <v>287</v>
      </c>
      <c r="D39">
        <v>0</v>
      </c>
      <c r="E39" s="3">
        <v>1</v>
      </c>
      <c r="F39" s="3">
        <v>1</v>
      </c>
      <c r="G39">
        <v>0</v>
      </c>
    </row>
    <row r="40" spans="1:7" x14ac:dyDescent="0.25">
      <c r="A40" s="111" t="str">
        <f t="shared" si="0"/>
        <v>JDH4-02-007-PA-1010</v>
      </c>
      <c r="B40" t="s">
        <v>288</v>
      </c>
      <c r="C40" t="s">
        <v>289</v>
      </c>
      <c r="D40">
        <v>0</v>
      </c>
      <c r="E40" s="3">
        <v>1</v>
      </c>
      <c r="F40" s="3">
        <v>1</v>
      </c>
      <c r="G40">
        <v>0</v>
      </c>
    </row>
    <row r="41" spans="1:7" x14ac:dyDescent="0.25">
      <c r="A41" s="111" t="str">
        <f t="shared" si="0"/>
        <v>Preliminary Submittals</v>
      </c>
      <c r="B41" t="s">
        <v>22</v>
      </c>
      <c r="D41">
        <v>0</v>
      </c>
      <c r="F41" s="3">
        <v>0</v>
      </c>
      <c r="G41">
        <v>0</v>
      </c>
    </row>
    <row r="42" spans="1:7" x14ac:dyDescent="0.25">
      <c r="A42" s="111" t="str">
        <f t="shared" si="0"/>
        <v>Preparation and Submittal by Contractor's</v>
      </c>
      <c r="B42" t="s">
        <v>290</v>
      </c>
      <c r="D42">
        <v>0</v>
      </c>
      <c r="F42" s="3">
        <v>0</v>
      </c>
      <c r="G42">
        <v>0</v>
      </c>
    </row>
    <row r="43" spans="1:7" x14ac:dyDescent="0.25">
      <c r="A43" s="111" t="str">
        <f t="shared" si="0"/>
        <v>JDH4-02-007-PS-1000</v>
      </c>
      <c r="B43" t="s">
        <v>295</v>
      </c>
      <c r="C43" t="s">
        <v>28</v>
      </c>
      <c r="D43">
        <v>0</v>
      </c>
      <c r="E43" s="3">
        <v>1</v>
      </c>
      <c r="F43" s="3">
        <v>1</v>
      </c>
      <c r="G43">
        <v>0</v>
      </c>
    </row>
    <row r="44" spans="1:7" x14ac:dyDescent="0.25">
      <c r="A44" s="111" t="str">
        <f t="shared" si="0"/>
        <v>JDH4-02-007-PS-1020</v>
      </c>
      <c r="B44" t="s">
        <v>291</v>
      </c>
      <c r="C44" t="s">
        <v>24</v>
      </c>
      <c r="D44">
        <v>0</v>
      </c>
      <c r="E44" s="3">
        <v>1</v>
      </c>
      <c r="F44" s="3">
        <v>1</v>
      </c>
      <c r="G44">
        <v>0</v>
      </c>
    </row>
    <row r="45" spans="1:7" x14ac:dyDescent="0.25">
      <c r="A45" s="111" t="str">
        <f t="shared" si="0"/>
        <v>JDH4-02-007-PS-1030</v>
      </c>
      <c r="B45" t="s">
        <v>292</v>
      </c>
      <c r="C45" t="s">
        <v>25</v>
      </c>
      <c r="D45">
        <v>0</v>
      </c>
      <c r="E45" s="3">
        <v>1</v>
      </c>
      <c r="F45" s="3">
        <v>1</v>
      </c>
      <c r="G45">
        <v>0</v>
      </c>
    </row>
    <row r="46" spans="1:7" x14ac:dyDescent="0.25">
      <c r="A46" s="111" t="str">
        <f t="shared" si="0"/>
        <v>JDH4-02-007-PS-1040</v>
      </c>
      <c r="B46" t="s">
        <v>293</v>
      </c>
      <c r="C46" t="s">
        <v>26</v>
      </c>
      <c r="D46">
        <v>0</v>
      </c>
      <c r="E46" s="3">
        <v>1</v>
      </c>
      <c r="F46" s="3">
        <v>1</v>
      </c>
      <c r="G46">
        <v>0</v>
      </c>
    </row>
    <row r="47" spans="1:7" x14ac:dyDescent="0.25">
      <c r="A47" s="111" t="str">
        <f t="shared" si="0"/>
        <v>JDH4-02-007-PS-1050</v>
      </c>
      <c r="B47" t="s">
        <v>294</v>
      </c>
      <c r="C47" t="s">
        <v>27</v>
      </c>
      <c r="D47">
        <v>0</v>
      </c>
      <c r="E47" s="3">
        <v>1</v>
      </c>
      <c r="F47" s="3">
        <v>1</v>
      </c>
      <c r="G47">
        <v>0</v>
      </c>
    </row>
    <row r="48" spans="1:7" x14ac:dyDescent="0.25">
      <c r="A48" s="111" t="str">
        <f t="shared" si="0"/>
        <v>JDH4-02-007-PS-1010</v>
      </c>
      <c r="B48" t="s">
        <v>296</v>
      </c>
      <c r="C48" t="s">
        <v>23</v>
      </c>
      <c r="D48">
        <v>0</v>
      </c>
      <c r="E48" s="3">
        <v>1</v>
      </c>
      <c r="F48" s="3">
        <v>1</v>
      </c>
      <c r="G48">
        <v>0</v>
      </c>
    </row>
    <row r="49" spans="1:7" x14ac:dyDescent="0.25">
      <c r="A49" s="111" t="str">
        <f t="shared" si="0"/>
        <v>Approval by the Employer's</v>
      </c>
      <c r="B49" t="s">
        <v>297</v>
      </c>
      <c r="D49">
        <v>0</v>
      </c>
      <c r="E49" s="3"/>
      <c r="F49" s="3">
        <v>0</v>
      </c>
      <c r="G49">
        <v>0</v>
      </c>
    </row>
    <row r="50" spans="1:7" x14ac:dyDescent="0.25">
      <c r="A50" s="111" t="str">
        <f t="shared" si="0"/>
        <v>JDH4-02-007-PS-1100</v>
      </c>
      <c r="B50" t="s">
        <v>298</v>
      </c>
      <c r="C50" t="s">
        <v>32</v>
      </c>
      <c r="D50">
        <v>0</v>
      </c>
      <c r="E50" s="3">
        <v>1</v>
      </c>
      <c r="F50" s="3">
        <v>1</v>
      </c>
      <c r="G50">
        <v>0</v>
      </c>
    </row>
    <row r="51" spans="1:7" x14ac:dyDescent="0.25">
      <c r="A51" s="111" t="str">
        <f t="shared" si="0"/>
        <v>JDH4-02-007-PS-1110</v>
      </c>
      <c r="B51" t="s">
        <v>299</v>
      </c>
      <c r="C51" t="s">
        <v>33</v>
      </c>
      <c r="D51">
        <v>0</v>
      </c>
      <c r="E51" s="3">
        <v>1</v>
      </c>
      <c r="F51" s="3">
        <v>1</v>
      </c>
      <c r="G51">
        <v>0</v>
      </c>
    </row>
    <row r="52" spans="1:7" x14ac:dyDescent="0.25">
      <c r="A52" s="111" t="str">
        <f t="shared" si="0"/>
        <v>JDH4-02-007-PS-1060</v>
      </c>
      <c r="B52" t="s">
        <v>300</v>
      </c>
      <c r="C52" t="s">
        <v>34</v>
      </c>
      <c r="D52">
        <v>0</v>
      </c>
      <c r="E52" s="3">
        <v>1</v>
      </c>
      <c r="F52" s="3">
        <v>1</v>
      </c>
      <c r="G52">
        <v>0</v>
      </c>
    </row>
    <row r="53" spans="1:7" x14ac:dyDescent="0.25">
      <c r="A53" s="111" t="str">
        <f t="shared" si="0"/>
        <v>JDH4-02-007-PS-1090</v>
      </c>
      <c r="B53" t="s">
        <v>302</v>
      </c>
      <c r="C53" t="s">
        <v>31</v>
      </c>
      <c r="D53">
        <v>0</v>
      </c>
      <c r="E53" s="3">
        <v>1</v>
      </c>
      <c r="F53" s="3">
        <v>1</v>
      </c>
      <c r="G53">
        <v>0</v>
      </c>
    </row>
    <row r="54" spans="1:7" x14ac:dyDescent="0.25">
      <c r="A54" s="111" t="str">
        <f t="shared" si="0"/>
        <v>JDH4-02-007-PS-1080</v>
      </c>
      <c r="B54" t="s">
        <v>301</v>
      </c>
      <c r="C54" t="s">
        <v>30</v>
      </c>
      <c r="D54">
        <v>0</v>
      </c>
      <c r="E54" s="3">
        <v>1</v>
      </c>
      <c r="F54" s="3">
        <v>1</v>
      </c>
      <c r="G54">
        <v>0</v>
      </c>
    </row>
    <row r="55" spans="1:7" x14ac:dyDescent="0.25">
      <c r="A55" s="111" t="str">
        <f t="shared" si="0"/>
        <v>JDH4-02-007-PS-1070</v>
      </c>
      <c r="B55" t="s">
        <v>303</v>
      </c>
      <c r="C55" t="s">
        <v>29</v>
      </c>
      <c r="D55">
        <v>0</v>
      </c>
      <c r="E55" s="3">
        <v>1</v>
      </c>
      <c r="F55" s="3">
        <v>1</v>
      </c>
      <c r="G55">
        <v>0</v>
      </c>
    </row>
    <row r="56" spans="1:7" x14ac:dyDescent="0.25">
      <c r="A56" s="111" t="str">
        <f t="shared" si="0"/>
        <v>Engineering</v>
      </c>
      <c r="B56" t="s">
        <v>35</v>
      </c>
      <c r="D56" s="1">
        <v>1719130.43</v>
      </c>
      <c r="E56" s="3"/>
      <c r="F56" s="3">
        <v>1</v>
      </c>
      <c r="G56" s="1">
        <v>1719130.43</v>
      </c>
    </row>
    <row r="57" spans="1:7" x14ac:dyDescent="0.25">
      <c r="A57" s="111" t="str">
        <f t="shared" si="0"/>
        <v>Shop Drawings</v>
      </c>
      <c r="B57" t="s">
        <v>36</v>
      </c>
      <c r="D57">
        <v>0</v>
      </c>
      <c r="E57" s="3"/>
      <c r="F57" s="3">
        <v>0</v>
      </c>
      <c r="G57">
        <v>0</v>
      </c>
    </row>
    <row r="58" spans="1:7" x14ac:dyDescent="0.25">
      <c r="A58" s="111" t="str">
        <f t="shared" si="0"/>
        <v>Shop Drawings Submittal</v>
      </c>
      <c r="B58" t="s">
        <v>37</v>
      </c>
      <c r="D58">
        <v>0</v>
      </c>
      <c r="E58" s="3"/>
      <c r="F58" s="3">
        <v>0</v>
      </c>
      <c r="G58">
        <v>0</v>
      </c>
    </row>
    <row r="59" spans="1:7" x14ac:dyDescent="0.25">
      <c r="A59" s="111" t="str">
        <f t="shared" si="0"/>
        <v>Shop Drawings Submittal for Road Works</v>
      </c>
      <c r="B59" t="s">
        <v>38</v>
      </c>
      <c r="D59">
        <v>0</v>
      </c>
      <c r="E59" s="3"/>
      <c r="F59" s="3">
        <v>0</v>
      </c>
      <c r="G59">
        <v>0</v>
      </c>
    </row>
    <row r="60" spans="1:7" x14ac:dyDescent="0.25">
      <c r="A60" s="111" t="str">
        <f t="shared" si="0"/>
        <v>JDH4-02-007-EN-1040</v>
      </c>
      <c r="B60" t="s">
        <v>304</v>
      </c>
      <c r="C60" t="s">
        <v>39</v>
      </c>
      <c r="D60">
        <v>0</v>
      </c>
      <c r="E60" s="3">
        <v>1</v>
      </c>
      <c r="F60" s="3">
        <v>1</v>
      </c>
      <c r="G60">
        <v>0</v>
      </c>
    </row>
    <row r="61" spans="1:7" x14ac:dyDescent="0.25">
      <c r="A61" s="111" t="str">
        <f t="shared" si="0"/>
        <v>JDH4-02-007-EN-1050</v>
      </c>
      <c r="B61" t="s">
        <v>305</v>
      </c>
      <c r="C61" t="s">
        <v>40</v>
      </c>
      <c r="D61">
        <v>0</v>
      </c>
      <c r="E61" s="3">
        <v>1</v>
      </c>
      <c r="F61" s="3">
        <v>1</v>
      </c>
      <c r="G61">
        <v>0</v>
      </c>
    </row>
    <row r="62" spans="1:7" x14ac:dyDescent="0.25">
      <c r="A62" s="111" t="str">
        <f t="shared" si="0"/>
        <v>JDH4-02-007-EN-1070</v>
      </c>
      <c r="B62" t="s">
        <v>306</v>
      </c>
      <c r="C62" t="s">
        <v>42</v>
      </c>
      <c r="D62">
        <v>0</v>
      </c>
      <c r="E62" s="3">
        <v>1</v>
      </c>
      <c r="F62" s="3">
        <v>1</v>
      </c>
      <c r="G62">
        <v>0</v>
      </c>
    </row>
    <row r="63" spans="1:7" x14ac:dyDescent="0.25">
      <c r="A63" s="111" t="str">
        <f t="shared" si="0"/>
        <v>JDH4-02-007-EN-1080</v>
      </c>
      <c r="B63" t="s">
        <v>307</v>
      </c>
      <c r="C63" t="s">
        <v>43</v>
      </c>
      <c r="D63">
        <v>0</v>
      </c>
      <c r="E63" s="3">
        <v>1</v>
      </c>
      <c r="F63" s="3">
        <v>1</v>
      </c>
      <c r="G63">
        <v>0</v>
      </c>
    </row>
    <row r="64" spans="1:7" x14ac:dyDescent="0.25">
      <c r="A64" s="111" t="str">
        <f t="shared" si="0"/>
        <v>JDH4-02-007-EN-1090</v>
      </c>
      <c r="B64" t="s">
        <v>308</v>
      </c>
      <c r="C64" t="s">
        <v>44</v>
      </c>
      <c r="D64">
        <v>0</v>
      </c>
      <c r="E64" s="3">
        <v>1</v>
      </c>
      <c r="F64" s="3">
        <v>1</v>
      </c>
      <c r="G64">
        <v>0</v>
      </c>
    </row>
    <row r="65" spans="1:7" x14ac:dyDescent="0.25">
      <c r="A65" s="111" t="str">
        <f t="shared" si="0"/>
        <v>JDH4-02-007-EN-1100</v>
      </c>
      <c r="B65" t="s">
        <v>309</v>
      </c>
      <c r="C65" t="s">
        <v>45</v>
      </c>
      <c r="D65">
        <v>0</v>
      </c>
      <c r="E65" s="3">
        <v>1</v>
      </c>
      <c r="F65" s="3">
        <v>1</v>
      </c>
      <c r="G65">
        <v>0</v>
      </c>
    </row>
    <row r="66" spans="1:7" x14ac:dyDescent="0.25">
      <c r="A66" s="111" t="str">
        <f t="shared" si="0"/>
        <v>JDH4-02-007-EN-1120</v>
      </c>
      <c r="B66" t="s">
        <v>310</v>
      </c>
      <c r="C66" t="s">
        <v>46</v>
      </c>
      <c r="D66">
        <v>0</v>
      </c>
      <c r="E66" s="3">
        <v>1</v>
      </c>
      <c r="F66" s="3">
        <v>1</v>
      </c>
      <c r="G66">
        <v>0</v>
      </c>
    </row>
    <row r="67" spans="1:7" x14ac:dyDescent="0.25">
      <c r="A67" s="111" t="str">
        <f t="shared" si="0"/>
        <v>JDH4-02-007-EN-1060</v>
      </c>
      <c r="B67" t="s">
        <v>311</v>
      </c>
      <c r="C67" t="s">
        <v>41</v>
      </c>
      <c r="D67">
        <v>0</v>
      </c>
      <c r="E67" s="3">
        <v>1</v>
      </c>
      <c r="F67" s="3">
        <v>1</v>
      </c>
      <c r="G67">
        <v>0</v>
      </c>
    </row>
    <row r="68" spans="1:7" x14ac:dyDescent="0.25">
      <c r="A68" s="111" t="str">
        <f t="shared" ref="A68:A131" si="1">TRIM(B68)</f>
        <v>JDH4-02-007-EN-1110</v>
      </c>
      <c r="B68" t="s">
        <v>312</v>
      </c>
      <c r="C68" t="s">
        <v>47</v>
      </c>
      <c r="D68">
        <v>0</v>
      </c>
      <c r="E68" s="3">
        <v>1</v>
      </c>
      <c r="F68" s="3">
        <v>1</v>
      </c>
      <c r="G68">
        <v>0</v>
      </c>
    </row>
    <row r="69" spans="1:7" x14ac:dyDescent="0.25">
      <c r="A69" s="111" t="str">
        <f t="shared" si="1"/>
        <v>Shop Drawings Submittal for Stormwater Network</v>
      </c>
      <c r="B69" t="s">
        <v>313</v>
      </c>
      <c r="D69">
        <v>0</v>
      </c>
      <c r="E69" s="3"/>
      <c r="F69" s="3">
        <v>0</v>
      </c>
      <c r="G69">
        <v>0</v>
      </c>
    </row>
    <row r="70" spans="1:7" x14ac:dyDescent="0.25">
      <c r="A70" s="111" t="str">
        <f t="shared" si="1"/>
        <v>JDH4-02-007-EN-1250</v>
      </c>
      <c r="B70" t="s">
        <v>314</v>
      </c>
      <c r="C70" t="s">
        <v>315</v>
      </c>
      <c r="D70">
        <v>0</v>
      </c>
      <c r="E70" s="3">
        <v>1</v>
      </c>
      <c r="F70" s="3">
        <v>1</v>
      </c>
      <c r="G70">
        <v>0</v>
      </c>
    </row>
    <row r="71" spans="1:7" x14ac:dyDescent="0.25">
      <c r="A71" s="111" t="str">
        <f t="shared" si="1"/>
        <v>JDH4-02-007-EN-1260</v>
      </c>
      <c r="B71" t="s">
        <v>316</v>
      </c>
      <c r="C71" t="s">
        <v>317</v>
      </c>
      <c r="D71">
        <v>0</v>
      </c>
      <c r="E71" s="3">
        <v>1</v>
      </c>
      <c r="F71" s="3">
        <v>1</v>
      </c>
      <c r="G71">
        <v>0</v>
      </c>
    </row>
    <row r="72" spans="1:7" x14ac:dyDescent="0.25">
      <c r="A72" s="111" t="str">
        <f t="shared" si="1"/>
        <v>JDH4-02-007-EN-1270</v>
      </c>
      <c r="B72" t="s">
        <v>318</v>
      </c>
      <c r="C72" t="s">
        <v>319</v>
      </c>
      <c r="D72">
        <v>0</v>
      </c>
      <c r="E72" s="3">
        <v>1</v>
      </c>
      <c r="F72" s="3">
        <v>1</v>
      </c>
      <c r="G72">
        <v>0</v>
      </c>
    </row>
    <row r="73" spans="1:7" x14ac:dyDescent="0.25">
      <c r="A73" s="111" t="str">
        <f t="shared" si="1"/>
        <v>Shop Drawings Submittal for Sanitary Sewerage</v>
      </c>
      <c r="B73" t="s">
        <v>320</v>
      </c>
      <c r="D73">
        <v>0</v>
      </c>
      <c r="E73" s="3"/>
      <c r="F73" s="3">
        <v>0</v>
      </c>
      <c r="G73">
        <v>0</v>
      </c>
    </row>
    <row r="74" spans="1:7" x14ac:dyDescent="0.25">
      <c r="A74" s="111" t="str">
        <f t="shared" si="1"/>
        <v>JDH4-02-007-EN-1220</v>
      </c>
      <c r="B74" t="s">
        <v>321</v>
      </c>
      <c r="C74" t="s">
        <v>322</v>
      </c>
      <c r="D74">
        <v>0</v>
      </c>
      <c r="E74" s="3">
        <v>1</v>
      </c>
      <c r="F74" s="3">
        <v>1</v>
      </c>
      <c r="G74">
        <v>0</v>
      </c>
    </row>
    <row r="75" spans="1:7" x14ac:dyDescent="0.25">
      <c r="A75" s="111" t="str">
        <f t="shared" si="1"/>
        <v>JDH4-02-007-EN-1230</v>
      </c>
      <c r="B75" t="s">
        <v>323</v>
      </c>
      <c r="C75" t="s">
        <v>324</v>
      </c>
      <c r="D75">
        <v>0</v>
      </c>
      <c r="E75" s="3">
        <v>1</v>
      </c>
      <c r="F75" s="3">
        <v>1</v>
      </c>
      <c r="G75">
        <v>0</v>
      </c>
    </row>
    <row r="76" spans="1:7" x14ac:dyDescent="0.25">
      <c r="A76" s="111" t="str">
        <f t="shared" si="1"/>
        <v>JDH4-02-007-EN-1240</v>
      </c>
      <c r="B76" t="s">
        <v>325</v>
      </c>
      <c r="C76" t="s">
        <v>326</v>
      </c>
      <c r="D76">
        <v>0</v>
      </c>
      <c r="E76" s="3">
        <v>1</v>
      </c>
      <c r="F76" s="3">
        <v>1</v>
      </c>
      <c r="G76">
        <v>0</v>
      </c>
    </row>
    <row r="77" spans="1:7" x14ac:dyDescent="0.25">
      <c r="A77" s="111" t="str">
        <f t="shared" si="1"/>
        <v>Shop Drawings Submittal for TSE Network</v>
      </c>
      <c r="B77" t="s">
        <v>327</v>
      </c>
      <c r="D77">
        <v>0</v>
      </c>
      <c r="E77" s="3"/>
      <c r="F77" s="3">
        <v>0</v>
      </c>
      <c r="G77">
        <v>0</v>
      </c>
    </row>
    <row r="78" spans="1:7" x14ac:dyDescent="0.25">
      <c r="A78" s="111" t="str">
        <f t="shared" si="1"/>
        <v>JDH4-02-007-EN-1190</v>
      </c>
      <c r="B78" t="s">
        <v>328</v>
      </c>
      <c r="C78" t="s">
        <v>329</v>
      </c>
      <c r="D78">
        <v>0</v>
      </c>
      <c r="E78" s="3">
        <v>1</v>
      </c>
      <c r="F78" s="3">
        <v>1</v>
      </c>
      <c r="G78">
        <v>0</v>
      </c>
    </row>
    <row r="79" spans="1:7" x14ac:dyDescent="0.25">
      <c r="A79" s="111" t="str">
        <f t="shared" si="1"/>
        <v>JDH4-02-007-EN-1200</v>
      </c>
      <c r="B79" t="s">
        <v>330</v>
      </c>
      <c r="C79" t="s">
        <v>331</v>
      </c>
      <c r="D79">
        <v>0</v>
      </c>
      <c r="E79" s="3">
        <v>1</v>
      </c>
      <c r="F79" s="3">
        <v>1</v>
      </c>
      <c r="G79">
        <v>0</v>
      </c>
    </row>
    <row r="80" spans="1:7" x14ac:dyDescent="0.25">
      <c r="A80" s="111" t="str">
        <f t="shared" si="1"/>
        <v>JDH4-02-007-EN-1210</v>
      </c>
      <c r="B80" t="s">
        <v>332</v>
      </c>
      <c r="C80" t="s">
        <v>333</v>
      </c>
      <c r="D80">
        <v>0</v>
      </c>
      <c r="E80" s="3">
        <v>1</v>
      </c>
      <c r="F80" s="3">
        <v>1</v>
      </c>
      <c r="G80">
        <v>0</v>
      </c>
    </row>
    <row r="81" spans="1:7" x14ac:dyDescent="0.25">
      <c r="A81" s="111" t="str">
        <f t="shared" si="1"/>
        <v>Shop Drawings Submittal for Potable Water Network</v>
      </c>
      <c r="B81" t="s">
        <v>334</v>
      </c>
      <c r="D81">
        <v>0</v>
      </c>
      <c r="E81" s="3"/>
      <c r="F81" s="3">
        <v>0</v>
      </c>
      <c r="G81">
        <v>0</v>
      </c>
    </row>
    <row r="82" spans="1:7" x14ac:dyDescent="0.25">
      <c r="A82" s="111" t="str">
        <f t="shared" si="1"/>
        <v>JDH4-02-007-EN-1160</v>
      </c>
      <c r="B82" t="s">
        <v>335</v>
      </c>
      <c r="C82" t="s">
        <v>336</v>
      </c>
      <c r="D82" s="1">
        <v>0</v>
      </c>
      <c r="E82" s="3">
        <v>1</v>
      </c>
      <c r="F82" s="2">
        <v>1</v>
      </c>
      <c r="G82">
        <v>0</v>
      </c>
    </row>
    <row r="83" spans="1:7" x14ac:dyDescent="0.25">
      <c r="A83" s="111" t="str">
        <f t="shared" si="1"/>
        <v>JDH4-02-007-EN-1170</v>
      </c>
      <c r="B83" t="s">
        <v>337</v>
      </c>
      <c r="C83" t="s">
        <v>51</v>
      </c>
      <c r="D83">
        <v>0</v>
      </c>
      <c r="E83" s="3">
        <v>1</v>
      </c>
      <c r="F83" s="3">
        <v>1</v>
      </c>
      <c r="G83">
        <v>0</v>
      </c>
    </row>
    <row r="84" spans="1:7" x14ac:dyDescent="0.25">
      <c r="A84" s="111" t="str">
        <f t="shared" si="1"/>
        <v>JDH4-02-007-EN-1180</v>
      </c>
      <c r="B84" t="s">
        <v>338</v>
      </c>
      <c r="C84" t="s">
        <v>52</v>
      </c>
      <c r="D84">
        <v>0</v>
      </c>
      <c r="E84" s="3">
        <v>1</v>
      </c>
      <c r="F84" s="3">
        <v>1</v>
      </c>
      <c r="G84">
        <v>0</v>
      </c>
    </row>
    <row r="85" spans="1:7" x14ac:dyDescent="0.25">
      <c r="A85" s="111" t="str">
        <f t="shared" si="1"/>
        <v>Shop Drawings Submittal for Electrical Network</v>
      </c>
      <c r="B85" t="s">
        <v>48</v>
      </c>
      <c r="D85">
        <v>0</v>
      </c>
      <c r="F85" s="3">
        <v>0</v>
      </c>
      <c r="G85">
        <v>0</v>
      </c>
    </row>
    <row r="86" spans="1:7" x14ac:dyDescent="0.25">
      <c r="A86" s="111" t="str">
        <f t="shared" si="1"/>
        <v>JDH4-02-007-EN-1140</v>
      </c>
      <c r="B86" t="s">
        <v>340</v>
      </c>
      <c r="C86" t="s">
        <v>50</v>
      </c>
      <c r="D86">
        <v>0</v>
      </c>
      <c r="E86" s="3">
        <v>1</v>
      </c>
      <c r="F86" s="3">
        <v>1</v>
      </c>
      <c r="G86">
        <v>0</v>
      </c>
    </row>
    <row r="87" spans="1:7" x14ac:dyDescent="0.25">
      <c r="A87" s="111" t="str">
        <f t="shared" si="1"/>
        <v>JDH4-02-007-EN-1150</v>
      </c>
      <c r="B87" t="s">
        <v>341</v>
      </c>
      <c r="C87" t="s">
        <v>342</v>
      </c>
      <c r="D87">
        <v>0</v>
      </c>
      <c r="E87" s="3">
        <v>1</v>
      </c>
      <c r="F87" s="3">
        <v>1</v>
      </c>
      <c r="G87">
        <v>0</v>
      </c>
    </row>
    <row r="88" spans="1:7" x14ac:dyDescent="0.25">
      <c r="A88" s="111" t="str">
        <f t="shared" si="1"/>
        <v>JDH4-02-007-EN-1130</v>
      </c>
      <c r="B88" t="s">
        <v>339</v>
      </c>
      <c r="C88" t="s">
        <v>49</v>
      </c>
      <c r="D88">
        <v>0</v>
      </c>
      <c r="E88" s="3">
        <v>1</v>
      </c>
      <c r="F88" s="3">
        <v>1</v>
      </c>
      <c r="G88">
        <v>0</v>
      </c>
    </row>
    <row r="89" spans="1:7" x14ac:dyDescent="0.25">
      <c r="A89" s="111" t="str">
        <f t="shared" si="1"/>
        <v>Shop Drawings Submittal for Telecommunications</v>
      </c>
      <c r="B89" t="s">
        <v>343</v>
      </c>
      <c r="D89">
        <v>0</v>
      </c>
      <c r="E89" s="3"/>
      <c r="F89" s="3">
        <v>0</v>
      </c>
      <c r="G89">
        <v>0</v>
      </c>
    </row>
    <row r="90" spans="1:7" x14ac:dyDescent="0.25">
      <c r="A90" s="111" t="str">
        <f t="shared" si="1"/>
        <v>JDH4-02-007-EN-1600</v>
      </c>
      <c r="B90" t="s">
        <v>344</v>
      </c>
      <c r="C90" t="s">
        <v>345</v>
      </c>
      <c r="D90">
        <v>0</v>
      </c>
      <c r="E90" s="3">
        <v>1</v>
      </c>
      <c r="F90" s="3">
        <v>1</v>
      </c>
      <c r="G90">
        <v>0</v>
      </c>
    </row>
    <row r="91" spans="1:7" x14ac:dyDescent="0.25">
      <c r="A91" s="111" t="str">
        <f t="shared" si="1"/>
        <v>Shop Drawings Submittal for Earthing System</v>
      </c>
      <c r="B91" t="s">
        <v>346</v>
      </c>
      <c r="D91">
        <v>0</v>
      </c>
      <c r="E91" s="3"/>
      <c r="F91" s="3">
        <v>0</v>
      </c>
      <c r="G91">
        <v>0</v>
      </c>
    </row>
    <row r="92" spans="1:7" x14ac:dyDescent="0.25">
      <c r="A92" s="111" t="str">
        <f t="shared" si="1"/>
        <v>JDH4-02-007-EN-1610</v>
      </c>
      <c r="B92" t="s">
        <v>347</v>
      </c>
      <c r="C92" t="s">
        <v>348</v>
      </c>
      <c r="D92">
        <v>0</v>
      </c>
      <c r="E92" s="3">
        <v>1</v>
      </c>
      <c r="F92" s="3">
        <v>1</v>
      </c>
      <c r="G92">
        <v>0</v>
      </c>
    </row>
    <row r="93" spans="1:7" x14ac:dyDescent="0.25">
      <c r="A93" s="111" t="str">
        <f t="shared" si="1"/>
        <v>Shop Drawings Submittal for Road Lighting</v>
      </c>
      <c r="B93" t="s">
        <v>349</v>
      </c>
      <c r="D93">
        <v>0</v>
      </c>
      <c r="E93" s="3"/>
      <c r="F93" s="3">
        <v>0</v>
      </c>
      <c r="G93">
        <v>0</v>
      </c>
    </row>
    <row r="94" spans="1:7" x14ac:dyDescent="0.25">
      <c r="A94" s="111" t="str">
        <f t="shared" si="1"/>
        <v>JDH4-02-007-EN-1000</v>
      </c>
      <c r="B94" t="s">
        <v>350</v>
      </c>
      <c r="C94" t="s">
        <v>351</v>
      </c>
      <c r="D94">
        <v>0</v>
      </c>
      <c r="E94" s="3">
        <v>1</v>
      </c>
      <c r="F94" s="3">
        <v>1</v>
      </c>
      <c r="G94">
        <v>0</v>
      </c>
    </row>
    <row r="95" spans="1:7" x14ac:dyDescent="0.25">
      <c r="A95" s="111" t="str">
        <f t="shared" si="1"/>
        <v>JDH4-02-007-EN-1010</v>
      </c>
      <c r="B95" t="s">
        <v>352</v>
      </c>
      <c r="C95" t="s">
        <v>353</v>
      </c>
      <c r="D95">
        <v>0</v>
      </c>
      <c r="E95" s="3">
        <v>1</v>
      </c>
      <c r="F95" s="3">
        <v>1</v>
      </c>
      <c r="G95">
        <v>0</v>
      </c>
    </row>
    <row r="96" spans="1:7" x14ac:dyDescent="0.25">
      <c r="A96" s="111" t="str">
        <f t="shared" si="1"/>
        <v>JDH4-02-007-EN-1020</v>
      </c>
      <c r="B96" t="s">
        <v>354</v>
      </c>
      <c r="C96" t="s">
        <v>355</v>
      </c>
      <c r="D96">
        <v>0</v>
      </c>
      <c r="E96" s="3">
        <v>1</v>
      </c>
      <c r="F96" s="3">
        <v>1</v>
      </c>
      <c r="G96">
        <v>0</v>
      </c>
    </row>
    <row r="97" spans="1:7" x14ac:dyDescent="0.25">
      <c r="A97" s="111" t="str">
        <f t="shared" si="1"/>
        <v>JDH4-02-007-EN-1030</v>
      </c>
      <c r="B97" t="s">
        <v>356</v>
      </c>
      <c r="C97" t="s">
        <v>357</v>
      </c>
      <c r="D97">
        <v>0</v>
      </c>
      <c r="E97" s="3">
        <v>1</v>
      </c>
      <c r="F97" s="3">
        <v>1</v>
      </c>
      <c r="G97">
        <v>0</v>
      </c>
    </row>
    <row r="98" spans="1:7" x14ac:dyDescent="0.25">
      <c r="A98" s="111" t="str">
        <f t="shared" si="1"/>
        <v>Shop Drawings Submittal for Sewage Lift Station</v>
      </c>
      <c r="B98" t="s">
        <v>358</v>
      </c>
      <c r="D98">
        <v>0</v>
      </c>
      <c r="E98" s="3"/>
      <c r="F98" s="3">
        <v>0</v>
      </c>
      <c r="G98">
        <v>0</v>
      </c>
    </row>
    <row r="99" spans="1:7" x14ac:dyDescent="0.25">
      <c r="A99" s="111" t="str">
        <f t="shared" si="1"/>
        <v>JDH4-02-007-EN-1280</v>
      </c>
      <c r="B99" t="s">
        <v>359</v>
      </c>
      <c r="C99" t="s">
        <v>360</v>
      </c>
      <c r="D99">
        <v>0</v>
      </c>
      <c r="E99" s="3">
        <v>1</v>
      </c>
      <c r="F99" s="3">
        <v>1</v>
      </c>
      <c r="G99">
        <v>0</v>
      </c>
    </row>
    <row r="100" spans="1:7" x14ac:dyDescent="0.25">
      <c r="A100" s="111" t="str">
        <f t="shared" si="1"/>
        <v>JDH4-02-007-EN-1290</v>
      </c>
      <c r="B100" t="s">
        <v>361</v>
      </c>
      <c r="C100" t="s">
        <v>362</v>
      </c>
      <c r="D100">
        <v>0</v>
      </c>
      <c r="E100" s="3">
        <v>1</v>
      </c>
      <c r="F100" s="3">
        <v>1</v>
      </c>
      <c r="G100">
        <v>0</v>
      </c>
    </row>
    <row r="101" spans="1:7" x14ac:dyDescent="0.25">
      <c r="A101" s="111" t="str">
        <f t="shared" si="1"/>
        <v>JDH4-02-007-EN-1310</v>
      </c>
      <c r="B101" t="s">
        <v>363</v>
      </c>
      <c r="C101" t="s">
        <v>364</v>
      </c>
      <c r="D101">
        <v>0</v>
      </c>
      <c r="E101" s="3">
        <v>1</v>
      </c>
      <c r="F101" s="3">
        <v>1</v>
      </c>
      <c r="G101">
        <v>0</v>
      </c>
    </row>
    <row r="102" spans="1:7" x14ac:dyDescent="0.25">
      <c r="A102" s="111" t="str">
        <f t="shared" si="1"/>
        <v>JDH4-02-007-EN-1300</v>
      </c>
      <c r="B102" t="s">
        <v>365</v>
      </c>
      <c r="C102" t="s">
        <v>366</v>
      </c>
      <c r="D102">
        <v>0</v>
      </c>
      <c r="E102" s="3">
        <v>1</v>
      </c>
      <c r="F102" s="3">
        <v>1</v>
      </c>
      <c r="G102">
        <v>0</v>
      </c>
    </row>
    <row r="103" spans="1:7" x14ac:dyDescent="0.25">
      <c r="A103" s="111" t="str">
        <f t="shared" si="1"/>
        <v>Shop Drawings Approval</v>
      </c>
      <c r="B103" t="s">
        <v>53</v>
      </c>
      <c r="D103">
        <v>0</v>
      </c>
      <c r="F103" s="3">
        <v>0</v>
      </c>
      <c r="G103">
        <v>0</v>
      </c>
    </row>
    <row r="104" spans="1:7" x14ac:dyDescent="0.25">
      <c r="A104" s="111" t="str">
        <f t="shared" si="1"/>
        <v>Shop Drawings Approval for Road Works</v>
      </c>
      <c r="B104" t="s">
        <v>54</v>
      </c>
      <c r="D104">
        <v>0</v>
      </c>
      <c r="E104" s="3"/>
      <c r="F104" s="3">
        <v>0</v>
      </c>
      <c r="G104">
        <v>0</v>
      </c>
    </row>
    <row r="105" spans="1:7" x14ac:dyDescent="0.25">
      <c r="A105" s="111" t="str">
        <f t="shared" si="1"/>
        <v>JDH4-02-007-EN-1320</v>
      </c>
      <c r="B105" t="s">
        <v>367</v>
      </c>
      <c r="C105" t="s">
        <v>55</v>
      </c>
      <c r="D105">
        <v>0</v>
      </c>
      <c r="E105" s="3">
        <v>1</v>
      </c>
      <c r="F105" s="3">
        <v>1</v>
      </c>
      <c r="G105">
        <v>0</v>
      </c>
    </row>
    <row r="106" spans="1:7" x14ac:dyDescent="0.25">
      <c r="A106" s="111" t="str">
        <f t="shared" si="1"/>
        <v>JDH4-02-007-EN-1330</v>
      </c>
      <c r="B106" t="s">
        <v>368</v>
      </c>
      <c r="C106" t="s">
        <v>58</v>
      </c>
      <c r="D106">
        <v>0</v>
      </c>
      <c r="E106" s="3">
        <v>1</v>
      </c>
      <c r="F106" s="3">
        <v>1</v>
      </c>
      <c r="G106">
        <v>0</v>
      </c>
    </row>
    <row r="107" spans="1:7" x14ac:dyDescent="0.25">
      <c r="A107" s="111" t="str">
        <f t="shared" si="1"/>
        <v>JDH4-02-007-EN-1340</v>
      </c>
      <c r="B107" t="s">
        <v>373</v>
      </c>
      <c r="C107" t="s">
        <v>60</v>
      </c>
      <c r="D107">
        <v>0</v>
      </c>
      <c r="E107" s="3">
        <v>1</v>
      </c>
      <c r="F107" s="3">
        <v>1</v>
      </c>
      <c r="G107">
        <v>0</v>
      </c>
    </row>
    <row r="108" spans="1:7" x14ac:dyDescent="0.25">
      <c r="A108" s="111" t="str">
        <f t="shared" si="1"/>
        <v>JDH4-02-007-EN-1350</v>
      </c>
      <c r="B108" t="s">
        <v>369</v>
      </c>
      <c r="C108" t="s">
        <v>61</v>
      </c>
      <c r="D108">
        <v>0</v>
      </c>
      <c r="E108" s="3">
        <v>1</v>
      </c>
      <c r="F108" s="3">
        <v>1</v>
      </c>
      <c r="G108">
        <v>0</v>
      </c>
    </row>
    <row r="109" spans="1:7" x14ac:dyDescent="0.25">
      <c r="A109" s="111" t="str">
        <f t="shared" si="1"/>
        <v>JDH4-02-007-EN-1360</v>
      </c>
      <c r="B109" t="s">
        <v>370</v>
      </c>
      <c r="C109" t="s">
        <v>56</v>
      </c>
      <c r="D109">
        <v>0</v>
      </c>
      <c r="E109" s="3">
        <v>1</v>
      </c>
      <c r="F109" s="3">
        <v>1</v>
      </c>
      <c r="G109">
        <v>0</v>
      </c>
    </row>
    <row r="110" spans="1:7" x14ac:dyDescent="0.25">
      <c r="A110" s="111" t="str">
        <f t="shared" si="1"/>
        <v>JDH4-02-007-EN-1370</v>
      </c>
      <c r="B110" t="s">
        <v>371</v>
      </c>
      <c r="C110" t="s">
        <v>57</v>
      </c>
      <c r="D110">
        <v>0</v>
      </c>
      <c r="E110" s="3">
        <v>1</v>
      </c>
      <c r="F110" s="3">
        <v>1</v>
      </c>
      <c r="G110">
        <v>0</v>
      </c>
    </row>
    <row r="111" spans="1:7" x14ac:dyDescent="0.25">
      <c r="A111" s="111" t="str">
        <f t="shared" si="1"/>
        <v>JDH4-02-007-EN-1380</v>
      </c>
      <c r="B111" t="s">
        <v>372</v>
      </c>
      <c r="C111" t="s">
        <v>59</v>
      </c>
      <c r="D111">
        <v>0</v>
      </c>
      <c r="E111" s="3">
        <v>1</v>
      </c>
      <c r="F111" s="3">
        <v>1</v>
      </c>
      <c r="G111">
        <v>0</v>
      </c>
    </row>
    <row r="112" spans="1:7" x14ac:dyDescent="0.25">
      <c r="A112" s="111" t="str">
        <f t="shared" si="1"/>
        <v>JDH4-02-007-EN-1400</v>
      </c>
      <c r="B112" t="s">
        <v>375</v>
      </c>
      <c r="C112" t="s">
        <v>62</v>
      </c>
      <c r="D112">
        <v>0</v>
      </c>
      <c r="E112" s="3">
        <v>1</v>
      </c>
      <c r="F112" s="3">
        <v>1</v>
      </c>
      <c r="G112">
        <v>0</v>
      </c>
    </row>
    <row r="113" spans="1:7" x14ac:dyDescent="0.25">
      <c r="A113" s="111" t="str">
        <f t="shared" si="1"/>
        <v>JDH4-02-007-EN-1390</v>
      </c>
      <c r="B113" t="s">
        <v>374</v>
      </c>
      <c r="C113" t="s">
        <v>63</v>
      </c>
      <c r="D113">
        <v>0</v>
      </c>
      <c r="E113" s="3">
        <v>1</v>
      </c>
      <c r="F113" s="3">
        <v>1</v>
      </c>
      <c r="G113">
        <v>0</v>
      </c>
    </row>
    <row r="114" spans="1:7" x14ac:dyDescent="0.25">
      <c r="A114" s="111" t="str">
        <f t="shared" si="1"/>
        <v>Shop Drawings Approval for Storm Network</v>
      </c>
      <c r="B114" t="s">
        <v>67</v>
      </c>
      <c r="D114">
        <v>0</v>
      </c>
      <c r="E114" s="3"/>
      <c r="F114" s="3">
        <v>0</v>
      </c>
      <c r="G114">
        <v>0</v>
      </c>
    </row>
    <row r="115" spans="1:7" x14ac:dyDescent="0.25">
      <c r="A115" s="111" t="str">
        <f t="shared" si="1"/>
        <v>JDH4-02-007-EN-1530</v>
      </c>
      <c r="B115" t="s">
        <v>376</v>
      </c>
      <c r="C115" t="s">
        <v>377</v>
      </c>
      <c r="D115">
        <v>0</v>
      </c>
      <c r="E115" s="3">
        <v>1</v>
      </c>
      <c r="F115" s="3">
        <v>1</v>
      </c>
      <c r="G115">
        <v>0</v>
      </c>
    </row>
    <row r="116" spans="1:7" x14ac:dyDescent="0.25">
      <c r="A116" s="111" t="str">
        <f t="shared" si="1"/>
        <v>JDH4-02-007-EN-1540</v>
      </c>
      <c r="B116" t="s">
        <v>378</v>
      </c>
      <c r="C116" t="s">
        <v>379</v>
      </c>
      <c r="D116">
        <v>0</v>
      </c>
      <c r="E116" s="3">
        <v>1</v>
      </c>
      <c r="F116" s="3">
        <v>1</v>
      </c>
      <c r="G116">
        <v>0</v>
      </c>
    </row>
    <row r="117" spans="1:7" x14ac:dyDescent="0.25">
      <c r="A117" s="111" t="str">
        <f t="shared" si="1"/>
        <v>JDH4-02-007-EN-1550</v>
      </c>
      <c r="B117" t="s">
        <v>380</v>
      </c>
      <c r="C117" t="s">
        <v>381</v>
      </c>
      <c r="D117">
        <v>0</v>
      </c>
      <c r="E117" s="3">
        <v>1</v>
      </c>
      <c r="F117" s="3">
        <v>1</v>
      </c>
      <c r="G117">
        <v>0</v>
      </c>
    </row>
    <row r="118" spans="1:7" x14ac:dyDescent="0.25">
      <c r="A118" s="111" t="str">
        <f t="shared" si="1"/>
        <v>Shop Drawings Approval for Sanitary Sewerage</v>
      </c>
      <c r="B118" t="s">
        <v>382</v>
      </c>
      <c r="D118">
        <v>0</v>
      </c>
      <c r="E118" s="3"/>
      <c r="F118" s="3">
        <v>0</v>
      </c>
      <c r="G118">
        <v>0</v>
      </c>
    </row>
    <row r="119" spans="1:7" x14ac:dyDescent="0.25">
      <c r="A119" s="111" t="str">
        <f t="shared" si="1"/>
        <v>JDH4-02-007-EN-1500</v>
      </c>
      <c r="B119" t="s">
        <v>387</v>
      </c>
      <c r="C119" t="s">
        <v>388</v>
      </c>
      <c r="D119">
        <v>0</v>
      </c>
      <c r="E119" s="3">
        <v>1</v>
      </c>
      <c r="F119" s="3">
        <v>1</v>
      </c>
      <c r="G119">
        <v>0</v>
      </c>
    </row>
    <row r="120" spans="1:7" x14ac:dyDescent="0.25">
      <c r="A120" s="111" t="str">
        <f t="shared" si="1"/>
        <v>JDH4-02-007-EN-1510</v>
      </c>
      <c r="B120" t="s">
        <v>383</v>
      </c>
      <c r="C120" t="s">
        <v>384</v>
      </c>
      <c r="D120">
        <v>0</v>
      </c>
      <c r="E120" s="3">
        <v>1</v>
      </c>
      <c r="F120" s="3">
        <v>1</v>
      </c>
      <c r="G120">
        <v>0</v>
      </c>
    </row>
    <row r="121" spans="1:7" x14ac:dyDescent="0.25">
      <c r="A121" s="111" t="str">
        <f t="shared" si="1"/>
        <v>JDH4-02-007-EN-1520</v>
      </c>
      <c r="B121" t="s">
        <v>385</v>
      </c>
      <c r="C121" t="s">
        <v>386</v>
      </c>
      <c r="D121">
        <v>0</v>
      </c>
      <c r="E121" s="3">
        <v>1</v>
      </c>
      <c r="F121" s="3">
        <v>1</v>
      </c>
      <c r="G121">
        <v>0</v>
      </c>
    </row>
    <row r="122" spans="1:7" x14ac:dyDescent="0.25">
      <c r="A122" s="111" t="str">
        <f t="shared" si="1"/>
        <v>Shop Drawings Approval for TSE Network</v>
      </c>
      <c r="B122" t="s">
        <v>389</v>
      </c>
      <c r="D122">
        <v>0</v>
      </c>
      <c r="E122" s="3"/>
      <c r="F122" s="3">
        <v>0</v>
      </c>
      <c r="G122">
        <v>0</v>
      </c>
    </row>
    <row r="123" spans="1:7" x14ac:dyDescent="0.25">
      <c r="A123" s="111" t="str">
        <f t="shared" si="1"/>
        <v>JDH4-02-007-EN-1470</v>
      </c>
      <c r="B123" t="s">
        <v>390</v>
      </c>
      <c r="C123" t="s">
        <v>391</v>
      </c>
      <c r="D123">
        <v>0</v>
      </c>
      <c r="E123" s="3">
        <v>1</v>
      </c>
      <c r="F123" s="3">
        <v>1</v>
      </c>
      <c r="G123">
        <v>0</v>
      </c>
    </row>
    <row r="124" spans="1:7" x14ac:dyDescent="0.25">
      <c r="A124" s="111" t="str">
        <f t="shared" si="1"/>
        <v>JDH4-02-007-EN-1480</v>
      </c>
      <c r="B124" t="s">
        <v>392</v>
      </c>
      <c r="C124" t="s">
        <v>393</v>
      </c>
      <c r="D124">
        <v>0</v>
      </c>
      <c r="E124" s="3">
        <v>1</v>
      </c>
      <c r="F124" s="3">
        <v>1</v>
      </c>
      <c r="G124">
        <v>0</v>
      </c>
    </row>
    <row r="125" spans="1:7" x14ac:dyDescent="0.25">
      <c r="A125" s="111" t="str">
        <f t="shared" si="1"/>
        <v>JDH4-02-007-EN-1490</v>
      </c>
      <c r="B125" t="s">
        <v>394</v>
      </c>
      <c r="C125" t="s">
        <v>395</v>
      </c>
      <c r="D125">
        <v>0</v>
      </c>
      <c r="E125" s="3">
        <v>1</v>
      </c>
      <c r="F125" s="3">
        <v>1</v>
      </c>
      <c r="G125">
        <v>0</v>
      </c>
    </row>
    <row r="126" spans="1:7" x14ac:dyDescent="0.25">
      <c r="A126" s="111" t="str">
        <f t="shared" si="1"/>
        <v>Shop Drawings Approval for Potable Water Network</v>
      </c>
      <c r="B126" t="s">
        <v>396</v>
      </c>
      <c r="D126">
        <v>0</v>
      </c>
      <c r="E126" s="3"/>
      <c r="F126" s="3">
        <v>0</v>
      </c>
      <c r="G126">
        <v>0</v>
      </c>
    </row>
    <row r="127" spans="1:7" x14ac:dyDescent="0.25">
      <c r="A127" s="111" t="str">
        <f t="shared" si="1"/>
        <v>JDH4-02-007-EN-1440</v>
      </c>
      <c r="B127" t="s">
        <v>397</v>
      </c>
      <c r="C127" t="s">
        <v>398</v>
      </c>
      <c r="D127">
        <v>0</v>
      </c>
      <c r="E127" s="3">
        <v>1</v>
      </c>
      <c r="F127" s="3">
        <v>1</v>
      </c>
      <c r="G127">
        <v>0</v>
      </c>
    </row>
    <row r="128" spans="1:7" x14ac:dyDescent="0.25">
      <c r="A128" s="111" t="str">
        <f t="shared" si="1"/>
        <v>JDH4-02-007-EN-1450</v>
      </c>
      <c r="B128" t="s">
        <v>399</v>
      </c>
      <c r="C128" t="s">
        <v>65</v>
      </c>
      <c r="D128">
        <v>0</v>
      </c>
      <c r="E128" s="3">
        <v>1</v>
      </c>
      <c r="F128" s="3">
        <v>1</v>
      </c>
      <c r="G128">
        <v>0</v>
      </c>
    </row>
    <row r="129" spans="1:7" x14ac:dyDescent="0.25">
      <c r="A129" s="111" t="str">
        <f t="shared" si="1"/>
        <v>JDH4-02-007-EN-1460</v>
      </c>
      <c r="B129" t="s">
        <v>400</v>
      </c>
      <c r="C129" t="s">
        <v>66</v>
      </c>
      <c r="D129">
        <v>0</v>
      </c>
      <c r="E129" s="3">
        <v>1</v>
      </c>
      <c r="F129" s="3">
        <v>1</v>
      </c>
      <c r="G129">
        <v>0</v>
      </c>
    </row>
    <row r="130" spans="1:7" x14ac:dyDescent="0.25">
      <c r="A130" s="111" t="str">
        <f t="shared" si="1"/>
        <v>Shop Drawings Approval for Electrical Network</v>
      </c>
      <c r="B130" t="s">
        <v>64</v>
      </c>
      <c r="D130">
        <v>0</v>
      </c>
      <c r="E130" s="3"/>
      <c r="F130" s="3">
        <v>0</v>
      </c>
      <c r="G130">
        <v>0</v>
      </c>
    </row>
    <row r="131" spans="1:7" x14ac:dyDescent="0.25">
      <c r="A131" s="111" t="str">
        <f t="shared" si="1"/>
        <v>JDH4-02-007-EN-1420</v>
      </c>
      <c r="B131" t="s">
        <v>403</v>
      </c>
      <c r="C131" t="s">
        <v>404</v>
      </c>
      <c r="D131">
        <v>0</v>
      </c>
      <c r="E131" s="3">
        <v>1</v>
      </c>
      <c r="F131" s="3">
        <v>1</v>
      </c>
      <c r="G131">
        <v>0</v>
      </c>
    </row>
    <row r="132" spans="1:7" x14ac:dyDescent="0.25">
      <c r="A132" s="111" t="str">
        <f t="shared" ref="A132:A195" si="2">TRIM(B132)</f>
        <v>JDH4-02-007-EN-1430</v>
      </c>
      <c r="B132" t="s">
        <v>405</v>
      </c>
      <c r="C132" t="s">
        <v>406</v>
      </c>
      <c r="D132">
        <v>0</v>
      </c>
      <c r="E132" s="3">
        <v>1</v>
      </c>
      <c r="F132" s="3">
        <v>1</v>
      </c>
      <c r="G132">
        <v>0</v>
      </c>
    </row>
    <row r="133" spans="1:7" x14ac:dyDescent="0.25">
      <c r="A133" s="111" t="str">
        <f t="shared" si="2"/>
        <v>JDH4-02-007-EN-1410</v>
      </c>
      <c r="B133" t="s">
        <v>401</v>
      </c>
      <c r="C133" t="s">
        <v>402</v>
      </c>
      <c r="D133">
        <v>0</v>
      </c>
      <c r="E133" s="3">
        <v>1</v>
      </c>
      <c r="F133" s="3">
        <v>1</v>
      </c>
      <c r="G133">
        <v>0</v>
      </c>
    </row>
    <row r="134" spans="1:7" x14ac:dyDescent="0.25">
      <c r="A134" s="111" t="str">
        <f t="shared" si="2"/>
        <v>Shop Drawings Approval for Telecommunications</v>
      </c>
      <c r="B134" t="s">
        <v>407</v>
      </c>
      <c r="D134">
        <v>0</v>
      </c>
      <c r="F134" s="3">
        <v>0</v>
      </c>
      <c r="G134">
        <v>0</v>
      </c>
    </row>
    <row r="135" spans="1:7" x14ac:dyDescent="0.25">
      <c r="A135" s="111" t="str">
        <f t="shared" si="2"/>
        <v>JDH4-02-007-EN-1620</v>
      </c>
      <c r="B135" t="s">
        <v>408</v>
      </c>
      <c r="C135" t="s">
        <v>409</v>
      </c>
      <c r="D135">
        <v>0</v>
      </c>
      <c r="E135" s="3">
        <v>1</v>
      </c>
      <c r="F135" s="3">
        <v>1</v>
      </c>
      <c r="G135">
        <v>0</v>
      </c>
    </row>
    <row r="136" spans="1:7" x14ac:dyDescent="0.25">
      <c r="A136" s="111" t="str">
        <f t="shared" si="2"/>
        <v>Shop Drawings Approval for Earthing System</v>
      </c>
      <c r="B136" t="s">
        <v>410</v>
      </c>
      <c r="D136">
        <v>0</v>
      </c>
      <c r="E136" s="3"/>
      <c r="F136" s="3">
        <v>0</v>
      </c>
      <c r="G136">
        <v>0</v>
      </c>
    </row>
    <row r="137" spans="1:7" x14ac:dyDescent="0.25">
      <c r="A137" s="111" t="str">
        <f t="shared" si="2"/>
        <v>JDH4-02-007-EN-1630</v>
      </c>
      <c r="B137" t="s">
        <v>411</v>
      </c>
      <c r="C137" t="s">
        <v>412</v>
      </c>
      <c r="D137">
        <v>0</v>
      </c>
      <c r="E137" s="3">
        <v>1</v>
      </c>
      <c r="F137" s="3">
        <v>1</v>
      </c>
      <c r="G137">
        <v>0</v>
      </c>
    </row>
    <row r="138" spans="1:7" x14ac:dyDescent="0.25">
      <c r="A138" s="111" t="str">
        <f t="shared" si="2"/>
        <v>Shop Drawings Approval for Road Lighting</v>
      </c>
      <c r="B138" t="s">
        <v>413</v>
      </c>
      <c r="D138">
        <v>0</v>
      </c>
      <c r="F138" s="3">
        <v>0</v>
      </c>
      <c r="G138">
        <v>0</v>
      </c>
    </row>
    <row r="139" spans="1:7" x14ac:dyDescent="0.25">
      <c r="A139" s="111" t="str">
        <f t="shared" si="2"/>
        <v>JDH4-02-007-EN-1640</v>
      </c>
      <c r="B139" t="s">
        <v>414</v>
      </c>
      <c r="C139" t="s">
        <v>415</v>
      </c>
      <c r="D139">
        <v>0</v>
      </c>
      <c r="E139" s="3">
        <v>1</v>
      </c>
      <c r="F139" s="3">
        <v>1</v>
      </c>
      <c r="G139">
        <v>0</v>
      </c>
    </row>
    <row r="140" spans="1:7" x14ac:dyDescent="0.25">
      <c r="A140" s="111" t="str">
        <f t="shared" si="2"/>
        <v>JDH4-02-007-EN-1650</v>
      </c>
      <c r="B140" t="s">
        <v>416</v>
      </c>
      <c r="C140" t="s">
        <v>417</v>
      </c>
      <c r="D140">
        <v>0</v>
      </c>
      <c r="E140" s="3">
        <v>1</v>
      </c>
      <c r="F140" s="3">
        <v>1</v>
      </c>
      <c r="G140">
        <v>0</v>
      </c>
    </row>
    <row r="141" spans="1:7" x14ac:dyDescent="0.25">
      <c r="A141" s="111" t="str">
        <f t="shared" si="2"/>
        <v>JDH4-02-007-EN-1660</v>
      </c>
      <c r="B141" t="s">
        <v>418</v>
      </c>
      <c r="C141" t="s">
        <v>419</v>
      </c>
      <c r="D141">
        <v>0</v>
      </c>
      <c r="E141" s="3">
        <v>1</v>
      </c>
      <c r="F141" s="3">
        <v>1</v>
      </c>
      <c r="G141">
        <v>0</v>
      </c>
    </row>
    <row r="142" spans="1:7" x14ac:dyDescent="0.25">
      <c r="A142" s="111" t="str">
        <f t="shared" si="2"/>
        <v>JDH4-02-007-EN-1670</v>
      </c>
      <c r="B142" t="s">
        <v>420</v>
      </c>
      <c r="C142" t="s">
        <v>421</v>
      </c>
      <c r="D142">
        <v>0</v>
      </c>
      <c r="E142" s="3">
        <v>1</v>
      </c>
      <c r="F142" s="3">
        <v>1</v>
      </c>
      <c r="G142">
        <v>0</v>
      </c>
    </row>
    <row r="143" spans="1:7" x14ac:dyDescent="0.25">
      <c r="A143" s="111" t="str">
        <f t="shared" si="2"/>
        <v>Shop Drawings Approval for Sewage Lift Station</v>
      </c>
      <c r="B143" t="s">
        <v>422</v>
      </c>
      <c r="D143">
        <v>0</v>
      </c>
      <c r="E143" s="3"/>
      <c r="F143" s="3">
        <v>0</v>
      </c>
      <c r="G143">
        <v>0</v>
      </c>
    </row>
    <row r="144" spans="1:7" x14ac:dyDescent="0.25">
      <c r="A144" s="111" t="str">
        <f t="shared" si="2"/>
        <v>JDH4-02-007-EN-1680</v>
      </c>
      <c r="B144" t="s">
        <v>425</v>
      </c>
      <c r="C144" t="s">
        <v>426</v>
      </c>
      <c r="D144">
        <v>0</v>
      </c>
      <c r="E144" s="3">
        <v>1</v>
      </c>
      <c r="F144" s="3">
        <v>1</v>
      </c>
      <c r="G144">
        <v>0</v>
      </c>
    </row>
    <row r="145" spans="1:7" x14ac:dyDescent="0.25">
      <c r="A145" s="111" t="str">
        <f t="shared" si="2"/>
        <v>JDH4-02-007-EN-1690</v>
      </c>
      <c r="B145" t="s">
        <v>427</v>
      </c>
      <c r="C145" t="s">
        <v>428</v>
      </c>
      <c r="D145">
        <v>0</v>
      </c>
      <c r="E145" s="3">
        <v>1</v>
      </c>
      <c r="F145" s="3">
        <v>1</v>
      </c>
      <c r="G145">
        <v>0</v>
      </c>
    </row>
    <row r="146" spans="1:7" x14ac:dyDescent="0.25">
      <c r="A146" s="111" t="str">
        <f t="shared" si="2"/>
        <v>JDH4-02-007-EN-1710</v>
      </c>
      <c r="B146" t="s">
        <v>429</v>
      </c>
      <c r="C146" t="s">
        <v>430</v>
      </c>
      <c r="D146">
        <v>0</v>
      </c>
      <c r="E146" s="3">
        <v>1</v>
      </c>
      <c r="F146" s="3">
        <v>1</v>
      </c>
      <c r="G146">
        <v>0</v>
      </c>
    </row>
    <row r="147" spans="1:7" x14ac:dyDescent="0.25">
      <c r="A147" s="111" t="str">
        <f t="shared" si="2"/>
        <v>JDH4-02-007-EN-1700</v>
      </c>
      <c r="B147" t="s">
        <v>423</v>
      </c>
      <c r="C147" t="s">
        <v>424</v>
      </c>
      <c r="D147">
        <v>0</v>
      </c>
      <c r="E147" s="3">
        <v>1</v>
      </c>
      <c r="F147" s="3">
        <v>1</v>
      </c>
      <c r="G147">
        <v>0</v>
      </c>
    </row>
    <row r="148" spans="1:7" x14ac:dyDescent="0.25">
      <c r="A148" s="111" t="str">
        <f t="shared" si="2"/>
        <v>Method Statements</v>
      </c>
      <c r="B148" t="s">
        <v>68</v>
      </c>
      <c r="D148">
        <v>0</v>
      </c>
      <c r="E148" s="3"/>
      <c r="F148" s="3">
        <v>0</v>
      </c>
      <c r="G148">
        <v>0</v>
      </c>
    </row>
    <row r="149" spans="1:7" x14ac:dyDescent="0.25">
      <c r="A149" s="111" t="str">
        <f t="shared" si="2"/>
        <v>Method Statements Submittal</v>
      </c>
      <c r="B149" t="s">
        <v>69</v>
      </c>
      <c r="D149">
        <v>0</v>
      </c>
      <c r="E149" s="3"/>
      <c r="F149" s="3">
        <v>0</v>
      </c>
      <c r="G149">
        <v>0</v>
      </c>
    </row>
    <row r="150" spans="1:7" x14ac:dyDescent="0.25">
      <c r="A150" s="111" t="str">
        <f t="shared" si="2"/>
        <v>JDH4-02-007-EN-1560</v>
      </c>
      <c r="B150" t="s">
        <v>431</v>
      </c>
      <c r="C150" t="s">
        <v>432</v>
      </c>
      <c r="D150">
        <v>0</v>
      </c>
      <c r="E150" s="3">
        <v>1</v>
      </c>
      <c r="F150" s="3">
        <v>1</v>
      </c>
      <c r="G150">
        <v>0</v>
      </c>
    </row>
    <row r="151" spans="1:7" x14ac:dyDescent="0.25">
      <c r="A151" s="111" t="str">
        <f t="shared" si="2"/>
        <v>JDH4-02-007-EN-1570</v>
      </c>
      <c r="B151" t="s">
        <v>433</v>
      </c>
      <c r="C151" t="s">
        <v>70</v>
      </c>
      <c r="D151">
        <v>0</v>
      </c>
      <c r="E151" s="3">
        <v>1</v>
      </c>
      <c r="F151" s="3">
        <v>1</v>
      </c>
      <c r="G151">
        <v>0</v>
      </c>
    </row>
    <row r="152" spans="1:7" x14ac:dyDescent="0.25">
      <c r="A152" s="111" t="str">
        <f t="shared" si="2"/>
        <v>JDH4-02-007-EN-1580</v>
      </c>
      <c r="B152" t="s">
        <v>434</v>
      </c>
      <c r="C152" t="s">
        <v>71</v>
      </c>
      <c r="D152">
        <v>0</v>
      </c>
      <c r="E152" s="3">
        <v>1</v>
      </c>
      <c r="F152" s="3">
        <v>1</v>
      </c>
      <c r="G152">
        <v>0</v>
      </c>
    </row>
    <row r="153" spans="1:7" x14ac:dyDescent="0.25">
      <c r="A153" s="111" t="str">
        <f t="shared" si="2"/>
        <v>JDH4-02-007-EN-1590</v>
      </c>
      <c r="B153" t="s">
        <v>435</v>
      </c>
      <c r="C153" t="s">
        <v>436</v>
      </c>
      <c r="D153">
        <v>0</v>
      </c>
      <c r="E153" s="3">
        <v>1</v>
      </c>
      <c r="F153" s="3">
        <v>1</v>
      </c>
      <c r="G153">
        <v>0</v>
      </c>
    </row>
    <row r="154" spans="1:7" x14ac:dyDescent="0.25">
      <c r="A154" s="111" t="str">
        <f t="shared" si="2"/>
        <v>Method Statements Approval</v>
      </c>
      <c r="B154" t="s">
        <v>72</v>
      </c>
      <c r="D154">
        <v>0</v>
      </c>
      <c r="F154" s="3">
        <v>0</v>
      </c>
      <c r="G154">
        <v>0</v>
      </c>
    </row>
    <row r="155" spans="1:7" x14ac:dyDescent="0.25">
      <c r="A155" s="111" t="str">
        <f t="shared" si="2"/>
        <v>JDH4-02-007-EN-1720</v>
      </c>
      <c r="B155" t="s">
        <v>437</v>
      </c>
      <c r="C155" t="s">
        <v>438</v>
      </c>
      <c r="D155">
        <v>0</v>
      </c>
      <c r="E155" s="3">
        <v>1</v>
      </c>
      <c r="F155" s="3">
        <v>1</v>
      </c>
      <c r="G155">
        <v>0</v>
      </c>
    </row>
    <row r="156" spans="1:7" x14ac:dyDescent="0.25">
      <c r="A156" s="111" t="str">
        <f t="shared" si="2"/>
        <v>JDH4-02-007-EN-1730</v>
      </c>
      <c r="B156" t="s">
        <v>439</v>
      </c>
      <c r="C156" t="s">
        <v>73</v>
      </c>
      <c r="D156">
        <v>0</v>
      </c>
      <c r="E156" s="3">
        <v>1</v>
      </c>
      <c r="F156" s="3">
        <v>1</v>
      </c>
      <c r="G156">
        <v>0</v>
      </c>
    </row>
    <row r="157" spans="1:7" x14ac:dyDescent="0.25">
      <c r="A157" s="111" t="str">
        <f t="shared" si="2"/>
        <v>JDH4-02-007-EN-1740</v>
      </c>
      <c r="B157" t="s">
        <v>440</v>
      </c>
      <c r="C157" t="s">
        <v>74</v>
      </c>
      <c r="D157">
        <v>0</v>
      </c>
      <c r="E157" s="3">
        <v>1</v>
      </c>
      <c r="F157" s="3">
        <v>1</v>
      </c>
      <c r="G157">
        <v>0</v>
      </c>
    </row>
    <row r="158" spans="1:7" x14ac:dyDescent="0.25">
      <c r="A158" s="111" t="str">
        <f t="shared" si="2"/>
        <v>JDH4-02-007-EN-1750</v>
      </c>
      <c r="B158" t="s">
        <v>441</v>
      </c>
      <c r="C158" t="s">
        <v>442</v>
      </c>
      <c r="D158">
        <v>0</v>
      </c>
      <c r="E158" s="3">
        <v>1</v>
      </c>
      <c r="F158" s="3">
        <v>1</v>
      </c>
      <c r="G158">
        <v>0</v>
      </c>
    </row>
    <row r="159" spans="1:7" x14ac:dyDescent="0.25">
      <c r="A159" s="111" t="str">
        <f t="shared" si="2"/>
        <v>Method Statements Staging Time</v>
      </c>
      <c r="B159" t="s">
        <v>443</v>
      </c>
      <c r="D159">
        <v>0</v>
      </c>
      <c r="E159" s="3"/>
      <c r="F159" s="3">
        <v>0</v>
      </c>
      <c r="G159">
        <v>0</v>
      </c>
    </row>
    <row r="160" spans="1:7" x14ac:dyDescent="0.25">
      <c r="A160" s="111" t="str">
        <f t="shared" si="2"/>
        <v>JDH4-02-007-EN-1760</v>
      </c>
      <c r="B160" t="s">
        <v>444</v>
      </c>
      <c r="C160" t="s">
        <v>445</v>
      </c>
      <c r="D160">
        <v>0</v>
      </c>
      <c r="E160" s="3">
        <v>1</v>
      </c>
      <c r="F160" s="3">
        <v>1</v>
      </c>
      <c r="G160">
        <v>0</v>
      </c>
    </row>
    <row r="161" spans="1:7" x14ac:dyDescent="0.25">
      <c r="A161" s="111" t="str">
        <f t="shared" si="2"/>
        <v>JDH4-02-007-EN-1770</v>
      </c>
      <c r="B161" t="s">
        <v>446</v>
      </c>
      <c r="C161" t="s">
        <v>447</v>
      </c>
      <c r="D161">
        <v>0</v>
      </c>
      <c r="E161" s="3">
        <v>1</v>
      </c>
      <c r="F161" s="3">
        <v>1</v>
      </c>
      <c r="G161">
        <v>0</v>
      </c>
    </row>
    <row r="162" spans="1:7" x14ac:dyDescent="0.25">
      <c r="A162" s="111" t="str">
        <f t="shared" si="2"/>
        <v>JDH4-02-007-EN-1780</v>
      </c>
      <c r="B162" t="s">
        <v>448</v>
      </c>
      <c r="C162" t="s">
        <v>449</v>
      </c>
      <c r="D162">
        <v>0</v>
      </c>
      <c r="E162" s="3">
        <v>1</v>
      </c>
      <c r="F162" s="3">
        <v>1</v>
      </c>
      <c r="G162">
        <v>0</v>
      </c>
    </row>
    <row r="163" spans="1:7" x14ac:dyDescent="0.25">
      <c r="A163" s="111" t="str">
        <f t="shared" si="2"/>
        <v>JDH4-02-007-EN-1790</v>
      </c>
      <c r="B163" t="s">
        <v>450</v>
      </c>
      <c r="C163" t="s">
        <v>451</v>
      </c>
      <c r="D163">
        <v>0</v>
      </c>
      <c r="E163" s="3">
        <v>1</v>
      </c>
      <c r="F163" s="3">
        <v>1</v>
      </c>
      <c r="G163">
        <v>0</v>
      </c>
    </row>
    <row r="164" spans="1:7" x14ac:dyDescent="0.25">
      <c r="A164" s="111" t="str">
        <f t="shared" si="2"/>
        <v>Pre-qualification and Material</v>
      </c>
      <c r="B164" t="s">
        <v>75</v>
      </c>
      <c r="D164" s="1">
        <v>1719130.43</v>
      </c>
      <c r="E164" s="3"/>
      <c r="F164" s="3">
        <v>1</v>
      </c>
      <c r="G164" s="1">
        <v>1719130.43</v>
      </c>
    </row>
    <row r="165" spans="1:7" x14ac:dyDescent="0.25">
      <c r="A165" s="111" t="str">
        <f t="shared" si="2"/>
        <v>Pre-qualification</v>
      </c>
      <c r="B165" t="s">
        <v>452</v>
      </c>
      <c r="D165">
        <v>0</v>
      </c>
      <c r="E165" s="3"/>
      <c r="F165" s="3">
        <v>0</v>
      </c>
      <c r="G165">
        <v>0</v>
      </c>
    </row>
    <row r="166" spans="1:7" x14ac:dyDescent="0.25">
      <c r="A166" s="111" t="str">
        <f t="shared" si="2"/>
        <v>Road Works - Civil</v>
      </c>
      <c r="B166" t="s">
        <v>76</v>
      </c>
      <c r="D166">
        <v>0</v>
      </c>
      <c r="E166" s="3"/>
      <c r="F166" s="3">
        <v>0</v>
      </c>
      <c r="G166">
        <v>0</v>
      </c>
    </row>
    <row r="167" spans="1:7" x14ac:dyDescent="0.25">
      <c r="A167" s="111" t="str">
        <f t="shared" si="2"/>
        <v>Steel Reinforcement</v>
      </c>
      <c r="B167" t="s">
        <v>77</v>
      </c>
      <c r="D167">
        <v>0</v>
      </c>
      <c r="E167" s="3"/>
      <c r="F167" s="3">
        <v>0</v>
      </c>
      <c r="G167">
        <v>0</v>
      </c>
    </row>
    <row r="168" spans="1:7" x14ac:dyDescent="0.25">
      <c r="A168" s="111" t="str">
        <f t="shared" si="2"/>
        <v>JDH4-02-007-SB-1580</v>
      </c>
      <c r="B168" t="s">
        <v>453</v>
      </c>
      <c r="C168" t="s">
        <v>78</v>
      </c>
      <c r="D168">
        <v>0</v>
      </c>
      <c r="E168" s="3">
        <v>1</v>
      </c>
      <c r="F168" s="3">
        <v>1</v>
      </c>
      <c r="G168">
        <v>0</v>
      </c>
    </row>
    <row r="169" spans="1:7" x14ac:dyDescent="0.25">
      <c r="A169" s="111" t="str">
        <f t="shared" si="2"/>
        <v>JDH4-02-007-SB-1590</v>
      </c>
      <c r="B169" t="s">
        <v>454</v>
      </c>
      <c r="C169" t="s">
        <v>132</v>
      </c>
      <c r="D169">
        <v>0</v>
      </c>
      <c r="E169" s="3">
        <v>1</v>
      </c>
      <c r="F169" s="3">
        <v>1</v>
      </c>
      <c r="G169">
        <v>0</v>
      </c>
    </row>
    <row r="170" spans="1:7" x14ac:dyDescent="0.25">
      <c r="A170" s="111" t="str">
        <f t="shared" si="2"/>
        <v>Ready Mixed Concrete</v>
      </c>
      <c r="B170" t="s">
        <v>80</v>
      </c>
      <c r="D170">
        <v>0</v>
      </c>
      <c r="E170" s="3"/>
      <c r="F170" s="3">
        <v>0</v>
      </c>
      <c r="G170">
        <v>0</v>
      </c>
    </row>
    <row r="171" spans="1:7" x14ac:dyDescent="0.25">
      <c r="A171" s="111" t="str">
        <f t="shared" si="2"/>
        <v>JDH4-02-007-SB-1600</v>
      </c>
      <c r="B171" t="s">
        <v>455</v>
      </c>
      <c r="C171" t="s">
        <v>81</v>
      </c>
      <c r="D171">
        <v>0</v>
      </c>
      <c r="E171" s="3">
        <v>1</v>
      </c>
      <c r="F171" s="3">
        <v>1</v>
      </c>
      <c r="G171">
        <v>0</v>
      </c>
    </row>
    <row r="172" spans="1:7" x14ac:dyDescent="0.25">
      <c r="A172" s="111" t="str">
        <f t="shared" si="2"/>
        <v>JDH4-02-007-SB-1610</v>
      </c>
      <c r="B172" t="s">
        <v>456</v>
      </c>
      <c r="C172" t="s">
        <v>134</v>
      </c>
      <c r="D172">
        <v>0</v>
      </c>
      <c r="E172" s="3">
        <v>1</v>
      </c>
      <c r="F172" s="3">
        <v>1</v>
      </c>
      <c r="G172">
        <v>0</v>
      </c>
    </row>
    <row r="173" spans="1:7" x14ac:dyDescent="0.25">
      <c r="A173" s="111" t="str">
        <f t="shared" si="2"/>
        <v>Water Proofing</v>
      </c>
      <c r="B173" t="s">
        <v>83</v>
      </c>
      <c r="D173">
        <v>0</v>
      </c>
      <c r="E173" s="3"/>
      <c r="F173" s="3">
        <v>0</v>
      </c>
      <c r="G173">
        <v>0</v>
      </c>
    </row>
    <row r="174" spans="1:7" x14ac:dyDescent="0.25">
      <c r="A174" s="111" t="str">
        <f t="shared" si="2"/>
        <v>JDH4-02-007-SB-1620</v>
      </c>
      <c r="B174" t="s">
        <v>457</v>
      </c>
      <c r="C174" t="s">
        <v>84</v>
      </c>
      <c r="D174">
        <v>0</v>
      </c>
      <c r="E174" s="3">
        <v>1</v>
      </c>
      <c r="F174" s="3">
        <v>1</v>
      </c>
      <c r="G174">
        <v>0</v>
      </c>
    </row>
    <row r="175" spans="1:7" x14ac:dyDescent="0.25">
      <c r="A175" s="111" t="str">
        <f t="shared" si="2"/>
        <v>JDH4-02-007-SB-1630</v>
      </c>
      <c r="B175" t="s">
        <v>458</v>
      </c>
      <c r="C175" t="s">
        <v>136</v>
      </c>
      <c r="D175">
        <v>0</v>
      </c>
      <c r="E175" s="3">
        <v>1</v>
      </c>
      <c r="F175" s="3">
        <v>1</v>
      </c>
      <c r="G175">
        <v>0</v>
      </c>
    </row>
    <row r="176" spans="1:7" x14ac:dyDescent="0.25">
      <c r="A176" s="111" t="str">
        <f t="shared" si="2"/>
        <v>Aggregate Base Course</v>
      </c>
      <c r="B176" t="s">
        <v>86</v>
      </c>
      <c r="D176">
        <v>0</v>
      </c>
      <c r="E176" s="3"/>
      <c r="F176" s="3">
        <v>0</v>
      </c>
      <c r="G176">
        <v>0</v>
      </c>
    </row>
    <row r="177" spans="1:7" x14ac:dyDescent="0.25">
      <c r="A177" s="111" t="str">
        <f t="shared" si="2"/>
        <v>JDH4-02-007-SB-1000</v>
      </c>
      <c r="B177" t="s">
        <v>459</v>
      </c>
      <c r="C177" t="s">
        <v>87</v>
      </c>
      <c r="D177">
        <v>0</v>
      </c>
      <c r="E177" s="3">
        <v>1</v>
      </c>
      <c r="F177" s="3">
        <v>1</v>
      </c>
      <c r="G177">
        <v>0</v>
      </c>
    </row>
    <row r="178" spans="1:7" x14ac:dyDescent="0.25">
      <c r="A178" s="111" t="str">
        <f t="shared" si="2"/>
        <v>JDH4-02-007-SB-1010</v>
      </c>
      <c r="B178" t="s">
        <v>460</v>
      </c>
      <c r="C178" t="s">
        <v>138</v>
      </c>
      <c r="D178">
        <v>0</v>
      </c>
      <c r="E178" s="3">
        <v>1</v>
      </c>
      <c r="F178" s="3">
        <v>1</v>
      </c>
      <c r="G178">
        <v>0</v>
      </c>
    </row>
    <row r="179" spans="1:7" x14ac:dyDescent="0.25">
      <c r="A179" s="111" t="str">
        <f t="shared" si="2"/>
        <v>Bituminous Base &amp; Wearing Course</v>
      </c>
      <c r="B179" t="s">
        <v>89</v>
      </c>
      <c r="D179">
        <v>0</v>
      </c>
      <c r="E179" s="3"/>
      <c r="F179" s="3">
        <v>0</v>
      </c>
      <c r="G179">
        <v>0</v>
      </c>
    </row>
    <row r="180" spans="1:7" x14ac:dyDescent="0.25">
      <c r="A180" s="111" t="str">
        <f t="shared" si="2"/>
        <v>JDH4-02-007-SB-1020</v>
      </c>
      <c r="B180" t="s">
        <v>461</v>
      </c>
      <c r="C180" t="s">
        <v>90</v>
      </c>
      <c r="D180">
        <v>0</v>
      </c>
      <c r="E180" s="3">
        <v>1</v>
      </c>
      <c r="F180" s="3">
        <v>1</v>
      </c>
      <c r="G180">
        <v>0</v>
      </c>
    </row>
    <row r="181" spans="1:7" x14ac:dyDescent="0.25">
      <c r="A181" s="111" t="str">
        <f t="shared" si="2"/>
        <v>JDH4-02-007-SB-1030</v>
      </c>
      <c r="B181" t="s">
        <v>462</v>
      </c>
      <c r="C181" t="s">
        <v>140</v>
      </c>
      <c r="D181">
        <v>0</v>
      </c>
      <c r="E181" s="3">
        <v>1</v>
      </c>
      <c r="F181" s="3">
        <v>1</v>
      </c>
      <c r="G181">
        <v>0</v>
      </c>
    </row>
    <row r="182" spans="1:7" x14ac:dyDescent="0.25">
      <c r="A182" s="111" t="str">
        <f t="shared" si="2"/>
        <v>Precast Concrete Kerb</v>
      </c>
      <c r="B182" t="s">
        <v>92</v>
      </c>
      <c r="D182">
        <v>0</v>
      </c>
      <c r="E182" s="3"/>
      <c r="F182" s="3">
        <v>0</v>
      </c>
      <c r="G182">
        <v>0</v>
      </c>
    </row>
    <row r="183" spans="1:7" x14ac:dyDescent="0.25">
      <c r="A183" s="111" t="str">
        <f t="shared" si="2"/>
        <v>JDH4-02-007-SB-1050</v>
      </c>
      <c r="B183" t="s">
        <v>463</v>
      </c>
      <c r="C183" t="s">
        <v>141</v>
      </c>
      <c r="D183">
        <v>0</v>
      </c>
      <c r="E183" s="3">
        <v>1</v>
      </c>
      <c r="F183" s="3">
        <v>1</v>
      </c>
      <c r="G183">
        <v>0</v>
      </c>
    </row>
    <row r="184" spans="1:7" x14ac:dyDescent="0.25">
      <c r="A184" s="111" t="str">
        <f t="shared" si="2"/>
        <v>JDH4-02-007-SB-1040</v>
      </c>
      <c r="B184" t="s">
        <v>464</v>
      </c>
      <c r="C184" t="s">
        <v>93</v>
      </c>
      <c r="D184">
        <v>0</v>
      </c>
      <c r="E184" s="3">
        <v>1</v>
      </c>
      <c r="F184" s="3">
        <v>1</v>
      </c>
      <c r="G184">
        <v>0</v>
      </c>
    </row>
    <row r="185" spans="1:7" x14ac:dyDescent="0.25">
      <c r="A185" s="111" t="str">
        <f t="shared" si="2"/>
        <v>Interlocking Block Pavers</v>
      </c>
      <c r="B185" t="s">
        <v>95</v>
      </c>
      <c r="D185">
        <v>0</v>
      </c>
      <c r="E185" s="3"/>
      <c r="F185" s="3">
        <v>0</v>
      </c>
      <c r="G185">
        <v>0</v>
      </c>
    </row>
    <row r="186" spans="1:7" x14ac:dyDescent="0.25">
      <c r="A186" s="111" t="str">
        <f t="shared" si="2"/>
        <v>JDH4-02-007-SB-1070</v>
      </c>
      <c r="B186" t="s">
        <v>466</v>
      </c>
      <c r="C186" t="s">
        <v>143</v>
      </c>
      <c r="D186">
        <v>0</v>
      </c>
      <c r="E186" s="3">
        <v>1</v>
      </c>
      <c r="F186" s="3">
        <v>1</v>
      </c>
      <c r="G186">
        <v>0</v>
      </c>
    </row>
    <row r="187" spans="1:7" x14ac:dyDescent="0.25">
      <c r="A187" s="111" t="str">
        <f t="shared" si="2"/>
        <v>JDH4-02-007-SB-1060</v>
      </c>
      <c r="B187" t="s">
        <v>465</v>
      </c>
      <c r="C187" t="s">
        <v>96</v>
      </c>
      <c r="D187">
        <v>0</v>
      </c>
      <c r="E187" s="3">
        <v>1</v>
      </c>
      <c r="F187" s="3">
        <v>1</v>
      </c>
      <c r="G187">
        <v>0</v>
      </c>
    </row>
    <row r="188" spans="1:7" x14ac:dyDescent="0.25">
      <c r="A188" s="111" t="str">
        <f t="shared" si="2"/>
        <v>Pavement Markings</v>
      </c>
      <c r="B188" t="s">
        <v>98</v>
      </c>
      <c r="D188">
        <v>0</v>
      </c>
      <c r="E188" s="3"/>
      <c r="F188" s="3">
        <v>0</v>
      </c>
      <c r="G188">
        <v>0</v>
      </c>
    </row>
    <row r="189" spans="1:7" x14ac:dyDescent="0.25">
      <c r="A189" s="111" t="str">
        <f t="shared" si="2"/>
        <v>JDH4-02-007-SB-1080</v>
      </c>
      <c r="B189" t="s">
        <v>467</v>
      </c>
      <c r="C189" t="s">
        <v>99</v>
      </c>
      <c r="D189">
        <v>0</v>
      </c>
      <c r="E189" s="3">
        <v>1</v>
      </c>
      <c r="F189" s="3">
        <v>1</v>
      </c>
      <c r="G189">
        <v>0</v>
      </c>
    </row>
    <row r="190" spans="1:7" x14ac:dyDescent="0.25">
      <c r="A190" s="111" t="str">
        <f t="shared" si="2"/>
        <v>JDH4-02-007-SB-1090</v>
      </c>
      <c r="B190" t="s">
        <v>468</v>
      </c>
      <c r="C190" t="s">
        <v>145</v>
      </c>
      <c r="D190">
        <v>0</v>
      </c>
      <c r="E190" s="3">
        <v>1</v>
      </c>
      <c r="F190" s="3">
        <v>1</v>
      </c>
      <c r="G190">
        <v>0</v>
      </c>
    </row>
    <row r="191" spans="1:7" x14ac:dyDescent="0.25">
      <c r="A191" s="111" t="str">
        <f t="shared" si="2"/>
        <v>Traffic Signs</v>
      </c>
      <c r="B191" t="s">
        <v>101</v>
      </c>
      <c r="D191">
        <v>0</v>
      </c>
      <c r="E191" s="3"/>
      <c r="F191" s="3">
        <v>0</v>
      </c>
      <c r="G191">
        <v>0</v>
      </c>
    </row>
    <row r="192" spans="1:7" x14ac:dyDescent="0.25">
      <c r="A192" s="111" t="str">
        <f t="shared" si="2"/>
        <v>JDH4-02-007-SB-1100</v>
      </c>
      <c r="B192" t="s">
        <v>469</v>
      </c>
      <c r="C192" t="s">
        <v>102</v>
      </c>
      <c r="D192">
        <v>0</v>
      </c>
      <c r="E192" s="3">
        <v>1</v>
      </c>
      <c r="F192" s="3">
        <v>1</v>
      </c>
      <c r="G192">
        <v>0</v>
      </c>
    </row>
    <row r="193" spans="1:7" x14ac:dyDescent="0.25">
      <c r="A193" s="111" t="str">
        <f t="shared" si="2"/>
        <v>JDH4-02-007-SB-1110</v>
      </c>
      <c r="B193" t="s">
        <v>470</v>
      </c>
      <c r="C193" t="s">
        <v>147</v>
      </c>
      <c r="D193">
        <v>0</v>
      </c>
      <c r="E193" s="3">
        <v>1</v>
      </c>
      <c r="F193" s="3">
        <v>1</v>
      </c>
      <c r="G193">
        <v>0</v>
      </c>
    </row>
    <row r="194" spans="1:7" x14ac:dyDescent="0.25">
      <c r="A194" s="111" t="str">
        <f t="shared" si="2"/>
        <v>Storm Network</v>
      </c>
      <c r="B194" t="s">
        <v>131</v>
      </c>
      <c r="D194">
        <v>0</v>
      </c>
      <c r="E194" s="3"/>
      <c r="F194" s="3">
        <v>0</v>
      </c>
      <c r="G194">
        <v>0</v>
      </c>
    </row>
    <row r="195" spans="1:7" x14ac:dyDescent="0.25">
      <c r="A195" s="111" t="str">
        <f t="shared" si="2"/>
        <v>GRP Pipes</v>
      </c>
      <c r="B195" t="s">
        <v>128</v>
      </c>
      <c r="D195">
        <v>0</v>
      </c>
      <c r="E195" s="3"/>
      <c r="F195" s="3">
        <v>0</v>
      </c>
      <c r="G195">
        <v>0</v>
      </c>
    </row>
    <row r="196" spans="1:7" x14ac:dyDescent="0.25">
      <c r="A196" s="111" t="str">
        <f t="shared" ref="A196:A259" si="3">TRIM(B196)</f>
        <v>JDH4-02-007-SB-1260</v>
      </c>
      <c r="B196" t="s">
        <v>471</v>
      </c>
      <c r="C196" t="s">
        <v>129</v>
      </c>
      <c r="D196">
        <v>0</v>
      </c>
      <c r="E196" s="3">
        <v>1</v>
      </c>
      <c r="F196" s="3">
        <v>1</v>
      </c>
      <c r="G196">
        <v>0</v>
      </c>
    </row>
    <row r="197" spans="1:7" x14ac:dyDescent="0.25">
      <c r="A197" s="111" t="str">
        <f t="shared" si="3"/>
        <v>JDH4-02-007-SB-1270</v>
      </c>
      <c r="B197" t="s">
        <v>472</v>
      </c>
      <c r="C197" t="s">
        <v>158</v>
      </c>
      <c r="D197" s="1">
        <v>0</v>
      </c>
      <c r="E197" s="3">
        <v>1</v>
      </c>
      <c r="F197" s="2">
        <v>1</v>
      </c>
      <c r="G197">
        <v>0</v>
      </c>
    </row>
    <row r="198" spans="1:7" x14ac:dyDescent="0.25">
      <c r="A198" s="111" t="str">
        <f t="shared" si="3"/>
        <v>Catch Basin</v>
      </c>
      <c r="B198" t="s">
        <v>473</v>
      </c>
      <c r="D198">
        <v>0</v>
      </c>
      <c r="F198" s="3">
        <v>0</v>
      </c>
      <c r="G198">
        <v>0</v>
      </c>
    </row>
    <row r="199" spans="1:7" x14ac:dyDescent="0.25">
      <c r="A199" s="111" t="str">
        <f t="shared" si="3"/>
        <v>JDH4-02-007-SB-1640</v>
      </c>
      <c r="B199" t="s">
        <v>474</v>
      </c>
      <c r="C199" t="s">
        <v>475</v>
      </c>
      <c r="D199">
        <v>0</v>
      </c>
      <c r="E199" s="3">
        <v>1</v>
      </c>
      <c r="F199" s="3">
        <v>1</v>
      </c>
      <c r="G199">
        <v>0</v>
      </c>
    </row>
    <row r="200" spans="1:7" x14ac:dyDescent="0.25">
      <c r="A200" s="111" t="str">
        <f t="shared" si="3"/>
        <v>JDH4-02-007-SB-1650</v>
      </c>
      <c r="B200" t="s">
        <v>476</v>
      </c>
      <c r="C200" t="s">
        <v>477</v>
      </c>
      <c r="D200">
        <v>0</v>
      </c>
      <c r="E200" s="3">
        <v>1</v>
      </c>
      <c r="F200" s="3">
        <v>1</v>
      </c>
      <c r="G200">
        <v>0</v>
      </c>
    </row>
    <row r="201" spans="1:7" x14ac:dyDescent="0.25">
      <c r="A201" s="111" t="str">
        <f t="shared" si="3"/>
        <v>Inlet Manholes</v>
      </c>
      <c r="B201" t="s">
        <v>478</v>
      </c>
      <c r="D201">
        <v>0</v>
      </c>
      <c r="E201" s="3"/>
      <c r="F201" s="3">
        <v>0</v>
      </c>
      <c r="G201">
        <v>0</v>
      </c>
    </row>
    <row r="202" spans="1:7" x14ac:dyDescent="0.25">
      <c r="A202" s="111" t="str">
        <f t="shared" si="3"/>
        <v>JDH4-02-007-SB-1280</v>
      </c>
      <c r="B202" t="s">
        <v>479</v>
      </c>
      <c r="C202" t="s">
        <v>480</v>
      </c>
      <c r="D202">
        <v>0</v>
      </c>
      <c r="E202" s="3">
        <v>1</v>
      </c>
      <c r="F202" s="3">
        <v>1</v>
      </c>
      <c r="G202">
        <v>0</v>
      </c>
    </row>
    <row r="203" spans="1:7" x14ac:dyDescent="0.25">
      <c r="A203" s="111" t="str">
        <f t="shared" si="3"/>
        <v>JDH4-02-007-SB-1290</v>
      </c>
      <c r="B203" t="s">
        <v>481</v>
      </c>
      <c r="C203" t="s">
        <v>482</v>
      </c>
      <c r="D203">
        <v>0</v>
      </c>
      <c r="E203" s="3">
        <v>1</v>
      </c>
      <c r="F203" s="3">
        <v>1</v>
      </c>
      <c r="G203">
        <v>0</v>
      </c>
    </row>
    <row r="204" spans="1:7" x14ac:dyDescent="0.25">
      <c r="A204" s="111" t="str">
        <f t="shared" si="3"/>
        <v>Sanitary Sewerage</v>
      </c>
      <c r="B204" t="s">
        <v>483</v>
      </c>
      <c r="D204">
        <v>0</v>
      </c>
      <c r="E204" s="3"/>
      <c r="F204" s="3">
        <v>0</v>
      </c>
      <c r="G204">
        <v>0</v>
      </c>
    </row>
    <row r="205" spans="1:7" x14ac:dyDescent="0.25">
      <c r="A205" s="111" t="str">
        <f t="shared" si="3"/>
        <v>GRP Pipes</v>
      </c>
      <c r="B205" t="s">
        <v>128</v>
      </c>
      <c r="D205">
        <v>0</v>
      </c>
      <c r="E205" s="3"/>
      <c r="F205" s="3">
        <v>0</v>
      </c>
      <c r="G205">
        <v>0</v>
      </c>
    </row>
    <row r="206" spans="1:7" x14ac:dyDescent="0.25">
      <c r="A206" s="111" t="str">
        <f t="shared" si="3"/>
        <v>JDH4-02-007-SB-1220</v>
      </c>
      <c r="B206" t="s">
        <v>484</v>
      </c>
      <c r="C206" t="s">
        <v>129</v>
      </c>
      <c r="D206">
        <v>0</v>
      </c>
      <c r="E206" s="3">
        <v>1</v>
      </c>
      <c r="F206" s="3">
        <v>1</v>
      </c>
      <c r="G206">
        <v>0</v>
      </c>
    </row>
    <row r="207" spans="1:7" x14ac:dyDescent="0.25">
      <c r="A207" s="111" t="str">
        <f t="shared" si="3"/>
        <v>JDH4-02-007-SB-1230</v>
      </c>
      <c r="B207" t="s">
        <v>485</v>
      </c>
      <c r="C207" t="s">
        <v>158</v>
      </c>
      <c r="D207">
        <v>0</v>
      </c>
      <c r="E207" s="3">
        <v>1</v>
      </c>
      <c r="F207" s="3">
        <v>1</v>
      </c>
      <c r="G207">
        <v>0</v>
      </c>
    </row>
    <row r="208" spans="1:7" x14ac:dyDescent="0.25">
      <c r="A208" s="111" t="str">
        <f t="shared" si="3"/>
        <v>Manholes</v>
      </c>
      <c r="B208" t="s">
        <v>486</v>
      </c>
      <c r="D208">
        <v>0</v>
      </c>
      <c r="E208" s="3"/>
      <c r="F208" s="3">
        <v>0</v>
      </c>
      <c r="G208">
        <v>0</v>
      </c>
    </row>
    <row r="209" spans="1:7" x14ac:dyDescent="0.25">
      <c r="A209" s="111" t="str">
        <f t="shared" si="3"/>
        <v>JDH4-02-007-SB-1240</v>
      </c>
      <c r="B209" t="s">
        <v>487</v>
      </c>
      <c r="C209" t="s">
        <v>488</v>
      </c>
      <c r="D209">
        <v>0</v>
      </c>
      <c r="E209" s="3">
        <v>1</v>
      </c>
      <c r="F209" s="3">
        <v>1</v>
      </c>
      <c r="G209">
        <v>0</v>
      </c>
    </row>
    <row r="210" spans="1:7" x14ac:dyDescent="0.25">
      <c r="A210" s="111" t="str">
        <f t="shared" si="3"/>
        <v>JDH4-02-007-SB-1250</v>
      </c>
      <c r="B210" t="s">
        <v>489</v>
      </c>
      <c r="C210" t="s">
        <v>490</v>
      </c>
      <c r="D210">
        <v>0</v>
      </c>
      <c r="E210" s="3">
        <v>1</v>
      </c>
      <c r="F210" s="3">
        <v>1</v>
      </c>
      <c r="G210">
        <v>0</v>
      </c>
    </row>
    <row r="211" spans="1:7" x14ac:dyDescent="0.25">
      <c r="A211" s="111" t="str">
        <f t="shared" si="3"/>
        <v>TSE Network</v>
      </c>
      <c r="B211" t="s">
        <v>491</v>
      </c>
      <c r="D211">
        <v>0</v>
      </c>
      <c r="E211" s="3"/>
      <c r="F211" s="3">
        <v>0</v>
      </c>
      <c r="G211">
        <v>0</v>
      </c>
    </row>
    <row r="212" spans="1:7" x14ac:dyDescent="0.25">
      <c r="A212" s="111" t="str">
        <f t="shared" si="3"/>
        <v>HDPE Pipe (PN 16)</v>
      </c>
      <c r="B212" t="s">
        <v>121</v>
      </c>
      <c r="D212">
        <v>0</v>
      </c>
      <c r="F212" s="3">
        <v>0</v>
      </c>
      <c r="G212">
        <v>0</v>
      </c>
    </row>
    <row r="213" spans="1:7" x14ac:dyDescent="0.25">
      <c r="A213" s="111" t="str">
        <f t="shared" si="3"/>
        <v>JDH4-02-007-SB-1200</v>
      </c>
      <c r="B213" t="s">
        <v>492</v>
      </c>
      <c r="C213" t="s">
        <v>122</v>
      </c>
      <c r="D213">
        <v>0</v>
      </c>
      <c r="E213" s="3">
        <v>1</v>
      </c>
      <c r="F213" s="3">
        <v>1</v>
      </c>
      <c r="G213">
        <v>0</v>
      </c>
    </row>
    <row r="214" spans="1:7" x14ac:dyDescent="0.25">
      <c r="A214" s="111" t="str">
        <f t="shared" si="3"/>
        <v>JDH4-02-007-SB-1210</v>
      </c>
      <c r="B214" t="s">
        <v>493</v>
      </c>
      <c r="C214" t="s">
        <v>154</v>
      </c>
      <c r="D214">
        <v>0</v>
      </c>
      <c r="E214" s="3">
        <v>1</v>
      </c>
      <c r="F214" s="3">
        <v>1</v>
      </c>
      <c r="G214">
        <v>0</v>
      </c>
    </row>
    <row r="215" spans="1:7" x14ac:dyDescent="0.25">
      <c r="A215" s="111" t="str">
        <f t="shared" si="3"/>
        <v>Valves / Chambers</v>
      </c>
      <c r="B215" t="s">
        <v>494</v>
      </c>
      <c r="D215">
        <v>0</v>
      </c>
      <c r="F215" s="3">
        <v>0</v>
      </c>
      <c r="G215">
        <v>0</v>
      </c>
    </row>
    <row r="216" spans="1:7" x14ac:dyDescent="0.25">
      <c r="A216" s="111" t="str">
        <f t="shared" si="3"/>
        <v>JDH4-02-007-SB-1440</v>
      </c>
      <c r="B216" t="s">
        <v>495</v>
      </c>
      <c r="C216" t="s">
        <v>496</v>
      </c>
      <c r="D216">
        <v>0</v>
      </c>
      <c r="E216" s="3">
        <v>1</v>
      </c>
      <c r="F216" s="3">
        <v>1</v>
      </c>
      <c r="G216">
        <v>0</v>
      </c>
    </row>
    <row r="217" spans="1:7" x14ac:dyDescent="0.25">
      <c r="A217" s="111" t="str">
        <f t="shared" si="3"/>
        <v>JDH4-02-007-SB-1450</v>
      </c>
      <c r="B217" t="s">
        <v>497</v>
      </c>
      <c r="C217" t="s">
        <v>498</v>
      </c>
      <c r="D217">
        <v>0</v>
      </c>
      <c r="E217" s="3">
        <v>1</v>
      </c>
      <c r="F217" s="3">
        <v>1</v>
      </c>
      <c r="G217">
        <v>0</v>
      </c>
    </row>
    <row r="218" spans="1:7" x14ac:dyDescent="0.25">
      <c r="A218" s="111" t="str">
        <f t="shared" si="3"/>
        <v>Risers</v>
      </c>
      <c r="B218" t="s">
        <v>499</v>
      </c>
      <c r="D218">
        <v>0</v>
      </c>
      <c r="F218" s="3">
        <v>0</v>
      </c>
      <c r="G218">
        <v>0</v>
      </c>
    </row>
    <row r="219" spans="1:7" x14ac:dyDescent="0.25">
      <c r="A219" s="111" t="str">
        <f t="shared" si="3"/>
        <v>JDH4-02-007-SB-1460</v>
      </c>
      <c r="B219" t="s">
        <v>500</v>
      </c>
      <c r="C219" t="s">
        <v>501</v>
      </c>
      <c r="D219">
        <v>0</v>
      </c>
      <c r="E219" s="3">
        <v>1</v>
      </c>
      <c r="F219" s="3">
        <v>1</v>
      </c>
      <c r="G219">
        <v>0</v>
      </c>
    </row>
    <row r="220" spans="1:7" x14ac:dyDescent="0.25">
      <c r="A220" s="111" t="str">
        <f t="shared" si="3"/>
        <v>JDH4-02-007-SB-1470</v>
      </c>
      <c r="B220" t="s">
        <v>502</v>
      </c>
      <c r="C220" t="s">
        <v>503</v>
      </c>
      <c r="D220">
        <v>0</v>
      </c>
      <c r="E220" s="3">
        <v>1</v>
      </c>
      <c r="F220" s="3">
        <v>1</v>
      </c>
      <c r="G220">
        <v>0</v>
      </c>
    </row>
    <row r="221" spans="1:7" x14ac:dyDescent="0.25">
      <c r="A221" s="111" t="str">
        <f t="shared" si="3"/>
        <v>Potable Water Network</v>
      </c>
      <c r="B221" t="s">
        <v>504</v>
      </c>
      <c r="D221">
        <v>0</v>
      </c>
      <c r="F221" s="3">
        <v>0</v>
      </c>
      <c r="G221">
        <v>0</v>
      </c>
    </row>
    <row r="222" spans="1:7" x14ac:dyDescent="0.25">
      <c r="A222" s="111" t="str">
        <f t="shared" si="3"/>
        <v>HDPE Pipe (PN 16)</v>
      </c>
      <c r="B222" t="s">
        <v>121</v>
      </c>
      <c r="D222">
        <v>0</v>
      </c>
      <c r="E222" s="3"/>
      <c r="F222" s="3">
        <v>0</v>
      </c>
      <c r="G222">
        <v>0</v>
      </c>
    </row>
    <row r="223" spans="1:7" x14ac:dyDescent="0.25">
      <c r="A223" s="111" t="str">
        <f t="shared" si="3"/>
        <v>JDH4-02-007-SB-1180</v>
      </c>
      <c r="B223" t="s">
        <v>505</v>
      </c>
      <c r="C223" t="s">
        <v>122</v>
      </c>
      <c r="D223">
        <v>0</v>
      </c>
      <c r="E223" s="3">
        <v>1</v>
      </c>
      <c r="F223" s="3">
        <v>1</v>
      </c>
      <c r="G223">
        <v>0</v>
      </c>
    </row>
    <row r="224" spans="1:7" x14ac:dyDescent="0.25">
      <c r="A224" s="111" t="str">
        <f t="shared" si="3"/>
        <v>JDH4-02-007-SB-1190</v>
      </c>
      <c r="B224" t="s">
        <v>506</v>
      </c>
      <c r="C224" t="s">
        <v>154</v>
      </c>
      <c r="D224">
        <v>0</v>
      </c>
      <c r="E224" s="3">
        <v>1</v>
      </c>
      <c r="F224" s="3">
        <v>1</v>
      </c>
      <c r="G224">
        <v>0</v>
      </c>
    </row>
    <row r="225" spans="1:7" x14ac:dyDescent="0.25">
      <c r="A225" s="111" t="str">
        <f t="shared" si="3"/>
        <v>Valves / Chambers</v>
      </c>
      <c r="B225" t="s">
        <v>494</v>
      </c>
      <c r="D225">
        <v>0</v>
      </c>
      <c r="E225" s="3"/>
      <c r="F225" s="3">
        <v>0</v>
      </c>
      <c r="G225">
        <v>0</v>
      </c>
    </row>
    <row r="226" spans="1:7" x14ac:dyDescent="0.25">
      <c r="A226" s="111" t="str">
        <f t="shared" si="3"/>
        <v>JDH4-02-007-SB-1420</v>
      </c>
      <c r="B226" t="s">
        <v>507</v>
      </c>
      <c r="C226" t="s">
        <v>496</v>
      </c>
      <c r="D226">
        <v>0</v>
      </c>
      <c r="E226" s="3">
        <v>1</v>
      </c>
      <c r="F226" s="3">
        <v>1</v>
      </c>
      <c r="G226">
        <v>0</v>
      </c>
    </row>
    <row r="227" spans="1:7" x14ac:dyDescent="0.25">
      <c r="A227" s="111" t="str">
        <f t="shared" si="3"/>
        <v>JDH4-02-007-SB-1430</v>
      </c>
      <c r="B227" t="s">
        <v>508</v>
      </c>
      <c r="C227" t="s">
        <v>498</v>
      </c>
      <c r="D227">
        <v>0</v>
      </c>
      <c r="E227" s="3">
        <v>1</v>
      </c>
      <c r="F227" s="3">
        <v>1</v>
      </c>
      <c r="G227">
        <v>0</v>
      </c>
    </row>
    <row r="228" spans="1:7" x14ac:dyDescent="0.25">
      <c r="A228" s="111" t="str">
        <f t="shared" si="3"/>
        <v>Fire Hydrant</v>
      </c>
      <c r="B228" t="s">
        <v>124</v>
      </c>
      <c r="D228">
        <v>0</v>
      </c>
      <c r="E228" s="3"/>
      <c r="F228" s="3">
        <v>0</v>
      </c>
      <c r="G228">
        <v>0</v>
      </c>
    </row>
    <row r="229" spans="1:7" x14ac:dyDescent="0.25">
      <c r="A229" s="111" t="str">
        <f t="shared" si="3"/>
        <v>JDH4-02-007-SB-1660</v>
      </c>
      <c r="B229" t="s">
        <v>509</v>
      </c>
      <c r="C229" t="s">
        <v>125</v>
      </c>
      <c r="D229">
        <v>0</v>
      </c>
      <c r="E229" s="3">
        <v>1</v>
      </c>
      <c r="F229" s="3">
        <v>1</v>
      </c>
      <c r="G229">
        <v>0</v>
      </c>
    </row>
    <row r="230" spans="1:7" x14ac:dyDescent="0.25">
      <c r="A230" s="111" t="str">
        <f t="shared" si="3"/>
        <v>JDH4-02-007-SB-1670</v>
      </c>
      <c r="B230" t="s">
        <v>510</v>
      </c>
      <c r="C230" t="s">
        <v>156</v>
      </c>
      <c r="D230">
        <v>0</v>
      </c>
      <c r="E230" s="3">
        <v>1</v>
      </c>
      <c r="F230" s="3">
        <v>1</v>
      </c>
      <c r="G230">
        <v>0</v>
      </c>
    </row>
    <row r="231" spans="1:7" x14ac:dyDescent="0.25">
      <c r="A231" s="111" t="str">
        <f t="shared" si="3"/>
        <v>Electrical Network</v>
      </c>
      <c r="B231" t="s">
        <v>104</v>
      </c>
      <c r="D231">
        <v>0</v>
      </c>
      <c r="F231" s="3">
        <v>0</v>
      </c>
      <c r="G231">
        <v>0</v>
      </c>
    </row>
    <row r="232" spans="1:7" x14ac:dyDescent="0.25">
      <c r="A232" s="111" t="str">
        <f t="shared" si="3"/>
        <v>Pipe for the Duct</v>
      </c>
      <c r="B232" t="s">
        <v>511</v>
      </c>
      <c r="D232">
        <v>0</v>
      </c>
      <c r="E232" s="3"/>
      <c r="F232" s="3">
        <v>0</v>
      </c>
      <c r="G232">
        <v>0</v>
      </c>
    </row>
    <row r="233" spans="1:7" x14ac:dyDescent="0.25">
      <c r="A233" s="111" t="str">
        <f t="shared" si="3"/>
        <v>JDH4-02-007-SB-1120</v>
      </c>
      <c r="B233" t="s">
        <v>512</v>
      </c>
      <c r="C233" t="s">
        <v>513</v>
      </c>
      <c r="D233">
        <v>0</v>
      </c>
      <c r="E233" s="3">
        <v>1</v>
      </c>
      <c r="F233" s="3">
        <v>1</v>
      </c>
      <c r="G233">
        <v>0</v>
      </c>
    </row>
    <row r="234" spans="1:7" x14ac:dyDescent="0.25">
      <c r="A234" s="111" t="str">
        <f t="shared" si="3"/>
        <v>JDH4-02-007-SB-1130</v>
      </c>
      <c r="B234" t="s">
        <v>514</v>
      </c>
      <c r="C234" t="s">
        <v>515</v>
      </c>
      <c r="D234">
        <v>0</v>
      </c>
      <c r="E234" s="3">
        <v>1</v>
      </c>
      <c r="F234" s="3">
        <v>1</v>
      </c>
      <c r="G234">
        <v>0</v>
      </c>
    </row>
    <row r="235" spans="1:7" x14ac:dyDescent="0.25">
      <c r="A235" s="111" t="str">
        <f t="shared" si="3"/>
        <v>Low Voltage Cables</v>
      </c>
      <c r="B235" t="s">
        <v>105</v>
      </c>
      <c r="D235">
        <v>0</v>
      </c>
      <c r="E235" s="3"/>
      <c r="F235" s="3">
        <v>0</v>
      </c>
      <c r="G235">
        <v>0</v>
      </c>
    </row>
    <row r="236" spans="1:7" x14ac:dyDescent="0.25">
      <c r="A236" s="111" t="str">
        <f t="shared" si="3"/>
        <v>JDH4-02-007-SB-1320</v>
      </c>
      <c r="B236" t="s">
        <v>516</v>
      </c>
      <c r="C236" t="s">
        <v>106</v>
      </c>
      <c r="D236">
        <v>0</v>
      </c>
      <c r="E236" s="3">
        <v>1</v>
      </c>
      <c r="F236" s="3">
        <v>1</v>
      </c>
      <c r="G236">
        <v>0</v>
      </c>
    </row>
    <row r="237" spans="1:7" x14ac:dyDescent="0.25">
      <c r="A237" s="111" t="str">
        <f t="shared" si="3"/>
        <v>JDH4-02-007-SB-1330</v>
      </c>
      <c r="B237" t="s">
        <v>517</v>
      </c>
      <c r="C237" t="s">
        <v>149</v>
      </c>
      <c r="D237">
        <v>0</v>
      </c>
      <c r="E237" s="3">
        <v>1</v>
      </c>
      <c r="F237" s="3">
        <v>1</v>
      </c>
      <c r="G237">
        <v>0</v>
      </c>
    </row>
    <row r="238" spans="1:7" x14ac:dyDescent="0.25">
      <c r="A238" s="111" t="str">
        <f t="shared" si="3"/>
        <v>Earthing System</v>
      </c>
      <c r="B238" t="s">
        <v>108</v>
      </c>
      <c r="D238">
        <v>0</v>
      </c>
      <c r="E238" s="3"/>
      <c r="F238" s="3">
        <v>0</v>
      </c>
      <c r="G238">
        <v>0</v>
      </c>
    </row>
    <row r="239" spans="1:7" x14ac:dyDescent="0.25">
      <c r="A239" s="111" t="str">
        <f t="shared" si="3"/>
        <v>JDH4-02-007-SB-1160</v>
      </c>
      <c r="B239" t="s">
        <v>518</v>
      </c>
      <c r="C239" t="s">
        <v>109</v>
      </c>
      <c r="D239">
        <v>0</v>
      </c>
      <c r="E239" s="3">
        <v>1</v>
      </c>
      <c r="F239" s="3">
        <v>1</v>
      </c>
      <c r="G239">
        <v>0</v>
      </c>
    </row>
    <row r="240" spans="1:7" x14ac:dyDescent="0.25">
      <c r="A240" s="111" t="str">
        <f t="shared" si="3"/>
        <v>JDH4-02-007-SB-1170</v>
      </c>
      <c r="B240" t="s">
        <v>519</v>
      </c>
      <c r="C240" t="s">
        <v>150</v>
      </c>
      <c r="D240">
        <v>0</v>
      </c>
      <c r="E240" s="3">
        <v>1</v>
      </c>
      <c r="F240" s="3">
        <v>1</v>
      </c>
      <c r="G240">
        <v>0</v>
      </c>
    </row>
    <row r="241" spans="1:7" x14ac:dyDescent="0.25">
      <c r="A241" s="111" t="str">
        <f t="shared" si="3"/>
        <v>Medium Voltage Cable</v>
      </c>
      <c r="B241" t="s">
        <v>111</v>
      </c>
      <c r="D241">
        <v>0</v>
      </c>
      <c r="E241" s="3"/>
      <c r="F241" s="3">
        <v>0</v>
      </c>
      <c r="G241">
        <v>0</v>
      </c>
    </row>
    <row r="242" spans="1:7" x14ac:dyDescent="0.25">
      <c r="A242" s="111" t="str">
        <f t="shared" si="3"/>
        <v>JDH4-02-007-SB-1300</v>
      </c>
      <c r="B242" t="s">
        <v>520</v>
      </c>
      <c r="C242" t="s">
        <v>112</v>
      </c>
      <c r="D242">
        <v>0</v>
      </c>
      <c r="E242" s="3">
        <v>1</v>
      </c>
      <c r="F242" s="3">
        <v>1</v>
      </c>
      <c r="G242">
        <v>0</v>
      </c>
    </row>
    <row r="243" spans="1:7" x14ac:dyDescent="0.25">
      <c r="A243" s="111" t="str">
        <f t="shared" si="3"/>
        <v>JDH4-02-007-SB-1310</v>
      </c>
      <c r="B243" t="s">
        <v>521</v>
      </c>
      <c r="C243" t="s">
        <v>151</v>
      </c>
      <c r="D243">
        <v>0</v>
      </c>
      <c r="E243" s="3">
        <v>1</v>
      </c>
      <c r="F243" s="3">
        <v>1</v>
      </c>
      <c r="G243">
        <v>0</v>
      </c>
    </row>
    <row r="244" spans="1:7" x14ac:dyDescent="0.25">
      <c r="A244" s="111" t="str">
        <f t="shared" si="3"/>
        <v>Low Voltage Distribution Panel</v>
      </c>
      <c r="B244" t="s">
        <v>522</v>
      </c>
      <c r="D244">
        <v>0</v>
      </c>
      <c r="E244" s="3"/>
      <c r="F244" s="3">
        <v>0</v>
      </c>
      <c r="G244">
        <v>0</v>
      </c>
    </row>
    <row r="245" spans="1:7" x14ac:dyDescent="0.25">
      <c r="A245" s="111" t="str">
        <f t="shared" si="3"/>
        <v>JDH4-02-007-SB-1140</v>
      </c>
      <c r="B245" t="s">
        <v>523</v>
      </c>
      <c r="C245" t="s">
        <v>524</v>
      </c>
      <c r="D245">
        <v>0</v>
      </c>
      <c r="E245" s="3">
        <v>1</v>
      </c>
      <c r="F245" s="3">
        <v>1</v>
      </c>
      <c r="G245">
        <v>0</v>
      </c>
    </row>
    <row r="246" spans="1:7" x14ac:dyDescent="0.25">
      <c r="A246" s="111" t="str">
        <f t="shared" si="3"/>
        <v>JDH4-02-007-SB-1150</v>
      </c>
      <c r="B246" t="s">
        <v>525</v>
      </c>
      <c r="C246" t="s">
        <v>526</v>
      </c>
      <c r="D246">
        <v>0</v>
      </c>
      <c r="E246" s="3">
        <v>1</v>
      </c>
      <c r="F246" s="3">
        <v>1</v>
      </c>
      <c r="G246">
        <v>0</v>
      </c>
    </row>
    <row r="247" spans="1:7" x14ac:dyDescent="0.25">
      <c r="A247" s="111" t="str">
        <f t="shared" si="3"/>
        <v>Unit Sub Station</v>
      </c>
      <c r="B247" t="s">
        <v>527</v>
      </c>
      <c r="D247">
        <v>0</v>
      </c>
      <c r="E247" s="3"/>
      <c r="F247" s="3">
        <v>0</v>
      </c>
      <c r="G247">
        <v>0</v>
      </c>
    </row>
    <row r="248" spans="1:7" x14ac:dyDescent="0.25">
      <c r="A248" s="111" t="str">
        <f t="shared" si="3"/>
        <v>JDH4-02-007-SB-1380</v>
      </c>
      <c r="B248" t="s">
        <v>528</v>
      </c>
      <c r="C248" t="s">
        <v>529</v>
      </c>
      <c r="D248">
        <v>0</v>
      </c>
      <c r="E248" s="3">
        <v>1</v>
      </c>
      <c r="F248" s="3">
        <v>1</v>
      </c>
      <c r="G248">
        <v>0</v>
      </c>
    </row>
    <row r="249" spans="1:7" x14ac:dyDescent="0.25">
      <c r="A249" s="111" t="str">
        <f t="shared" si="3"/>
        <v>JDH4-02-007-SB-1390</v>
      </c>
      <c r="B249" t="s">
        <v>530</v>
      </c>
      <c r="C249" t="s">
        <v>531</v>
      </c>
      <c r="D249">
        <v>0</v>
      </c>
      <c r="E249" s="3">
        <v>1</v>
      </c>
      <c r="F249" s="3">
        <v>1</v>
      </c>
      <c r="G249">
        <v>0</v>
      </c>
    </row>
    <row r="250" spans="1:7" x14ac:dyDescent="0.25">
      <c r="A250" s="111" t="str">
        <f t="shared" si="3"/>
        <v>Ring Main Unit (RMU)</v>
      </c>
      <c r="B250" t="s">
        <v>532</v>
      </c>
      <c r="D250">
        <v>0</v>
      </c>
      <c r="E250" s="3"/>
      <c r="F250" s="3">
        <v>0</v>
      </c>
      <c r="G250">
        <v>0</v>
      </c>
    </row>
    <row r="251" spans="1:7" x14ac:dyDescent="0.25">
      <c r="A251" s="111" t="str">
        <f t="shared" si="3"/>
        <v>JDH4-02-007-SB-1400</v>
      </c>
      <c r="B251" t="s">
        <v>533</v>
      </c>
      <c r="C251" t="s">
        <v>534</v>
      </c>
      <c r="D251">
        <v>0</v>
      </c>
      <c r="E251" s="3">
        <v>1</v>
      </c>
      <c r="F251" s="3">
        <v>1</v>
      </c>
      <c r="G251">
        <v>0</v>
      </c>
    </row>
    <row r="252" spans="1:7" x14ac:dyDescent="0.25">
      <c r="A252" s="111" t="str">
        <f t="shared" si="3"/>
        <v>JDH4-02-007-SB-1410</v>
      </c>
      <c r="B252" t="s">
        <v>535</v>
      </c>
      <c r="C252" t="s">
        <v>536</v>
      </c>
      <c r="D252">
        <v>0</v>
      </c>
      <c r="E252" s="3">
        <v>1</v>
      </c>
      <c r="F252" s="3">
        <v>1</v>
      </c>
      <c r="G252">
        <v>0</v>
      </c>
    </row>
    <row r="253" spans="1:7" x14ac:dyDescent="0.25">
      <c r="A253" s="111" t="str">
        <f t="shared" si="3"/>
        <v>Lighting poles</v>
      </c>
      <c r="B253" t="s">
        <v>114</v>
      </c>
      <c r="D253">
        <v>0</v>
      </c>
      <c r="E253" s="3"/>
      <c r="F253" s="3">
        <v>0</v>
      </c>
      <c r="G253">
        <v>0</v>
      </c>
    </row>
    <row r="254" spans="1:7" x14ac:dyDescent="0.25">
      <c r="A254" s="111" t="str">
        <f t="shared" si="3"/>
        <v>JDH4-02-007-SB-1340</v>
      </c>
      <c r="B254" t="s">
        <v>537</v>
      </c>
      <c r="C254" t="s">
        <v>115</v>
      </c>
      <c r="D254">
        <v>0</v>
      </c>
      <c r="E254" s="3">
        <v>1</v>
      </c>
      <c r="F254" s="3">
        <v>1</v>
      </c>
      <c r="G254">
        <v>0</v>
      </c>
    </row>
    <row r="255" spans="1:7" x14ac:dyDescent="0.25">
      <c r="A255" s="111" t="str">
        <f t="shared" si="3"/>
        <v>JDH4-02-007-SB-1350</v>
      </c>
      <c r="B255" t="s">
        <v>538</v>
      </c>
      <c r="C255" t="s">
        <v>152</v>
      </c>
      <c r="D255">
        <v>0</v>
      </c>
      <c r="E255" s="3">
        <v>1</v>
      </c>
      <c r="F255" s="3">
        <v>1</v>
      </c>
      <c r="G255">
        <v>0</v>
      </c>
    </row>
    <row r="256" spans="1:7" x14ac:dyDescent="0.25">
      <c r="A256" s="111" t="str">
        <f t="shared" si="3"/>
        <v>Lighting panels/Feeder Pillers</v>
      </c>
      <c r="B256" t="s">
        <v>539</v>
      </c>
      <c r="D256">
        <v>0</v>
      </c>
      <c r="E256" s="3"/>
      <c r="F256" s="3">
        <v>0</v>
      </c>
      <c r="G256">
        <v>0</v>
      </c>
    </row>
    <row r="257" spans="1:7" x14ac:dyDescent="0.25">
      <c r="A257" s="111" t="str">
        <f t="shared" si="3"/>
        <v>JDH4-02-007-SB-1520</v>
      </c>
      <c r="B257" t="s">
        <v>540</v>
      </c>
      <c r="C257" t="s">
        <v>541</v>
      </c>
      <c r="D257">
        <v>0</v>
      </c>
      <c r="E257" s="3">
        <v>1</v>
      </c>
      <c r="F257" s="3">
        <v>1</v>
      </c>
      <c r="G257">
        <v>0</v>
      </c>
    </row>
    <row r="258" spans="1:7" x14ac:dyDescent="0.25">
      <c r="A258" s="111" t="str">
        <f t="shared" si="3"/>
        <v>JDH4-02-007-SB-1530</v>
      </c>
      <c r="B258" t="s">
        <v>542</v>
      </c>
      <c r="C258" t="s">
        <v>543</v>
      </c>
      <c r="D258">
        <v>0</v>
      </c>
      <c r="E258" s="3">
        <v>1</v>
      </c>
      <c r="F258" s="3">
        <v>1</v>
      </c>
      <c r="G258">
        <v>0</v>
      </c>
    </row>
    <row r="259" spans="1:7" x14ac:dyDescent="0.25">
      <c r="A259" s="111" t="str">
        <f t="shared" si="3"/>
        <v>Street Lighting Luminaire</v>
      </c>
      <c r="B259" t="s">
        <v>117</v>
      </c>
      <c r="D259">
        <v>0</v>
      </c>
      <c r="E259" s="3"/>
      <c r="F259" s="3">
        <v>0</v>
      </c>
      <c r="G259">
        <v>0</v>
      </c>
    </row>
    <row r="260" spans="1:7" x14ac:dyDescent="0.25">
      <c r="A260" s="111" t="str">
        <f t="shared" ref="A260:A323" si="4">TRIM(B260)</f>
        <v>JDH4-02-007-SB-1360</v>
      </c>
      <c r="B260" t="s">
        <v>544</v>
      </c>
      <c r="C260" t="s">
        <v>118</v>
      </c>
      <c r="D260">
        <v>0</v>
      </c>
      <c r="E260" s="3">
        <v>1</v>
      </c>
      <c r="F260" s="3">
        <v>1</v>
      </c>
      <c r="G260">
        <v>0</v>
      </c>
    </row>
    <row r="261" spans="1:7" x14ac:dyDescent="0.25">
      <c r="A261" s="111" t="str">
        <f t="shared" si="4"/>
        <v>JDH4-02-007-SB-1370</v>
      </c>
      <c r="B261" t="s">
        <v>545</v>
      </c>
      <c r="C261" t="s">
        <v>153</v>
      </c>
      <c r="D261">
        <v>0</v>
      </c>
      <c r="E261" s="3">
        <v>1</v>
      </c>
      <c r="F261" s="3">
        <v>1</v>
      </c>
      <c r="G261">
        <v>0</v>
      </c>
    </row>
    <row r="262" spans="1:7" x14ac:dyDescent="0.25">
      <c r="A262" s="111" t="str">
        <f t="shared" si="4"/>
        <v>Telecommunications</v>
      </c>
      <c r="B262" t="s">
        <v>546</v>
      </c>
      <c r="D262">
        <v>0</v>
      </c>
      <c r="E262" s="3"/>
      <c r="F262" s="3">
        <v>0</v>
      </c>
      <c r="G262">
        <v>0</v>
      </c>
    </row>
    <row r="263" spans="1:7" x14ac:dyDescent="0.25">
      <c r="A263" s="111" t="str">
        <f t="shared" si="4"/>
        <v>Pipe for the Duct</v>
      </c>
      <c r="B263" t="s">
        <v>511</v>
      </c>
      <c r="D263">
        <v>0</v>
      </c>
      <c r="E263" s="3"/>
      <c r="F263" s="3">
        <v>0</v>
      </c>
      <c r="G263">
        <v>0</v>
      </c>
    </row>
    <row r="264" spans="1:7" x14ac:dyDescent="0.25">
      <c r="A264" s="111" t="str">
        <f t="shared" si="4"/>
        <v>JDH4-02-007-SB-1550</v>
      </c>
      <c r="B264" t="s">
        <v>547</v>
      </c>
      <c r="C264" t="s">
        <v>515</v>
      </c>
      <c r="D264">
        <v>0</v>
      </c>
      <c r="E264" s="3">
        <v>1</v>
      </c>
      <c r="F264" s="3">
        <v>1</v>
      </c>
      <c r="G264">
        <v>0</v>
      </c>
    </row>
    <row r="265" spans="1:7" x14ac:dyDescent="0.25">
      <c r="A265" s="111" t="str">
        <f t="shared" si="4"/>
        <v>JDH4-02-007-SB-1540</v>
      </c>
      <c r="B265" t="s">
        <v>548</v>
      </c>
      <c r="C265" t="s">
        <v>513</v>
      </c>
      <c r="D265">
        <v>0</v>
      </c>
      <c r="E265" s="3">
        <v>1</v>
      </c>
      <c r="F265" s="3">
        <v>1</v>
      </c>
      <c r="G265">
        <v>0</v>
      </c>
    </row>
    <row r="266" spans="1:7" x14ac:dyDescent="0.25">
      <c r="A266" s="111" t="str">
        <f t="shared" si="4"/>
        <v>Sewage Lift Station</v>
      </c>
      <c r="B266" t="s">
        <v>549</v>
      </c>
      <c r="D266">
        <v>0</v>
      </c>
      <c r="E266" s="3"/>
      <c r="F266" s="3">
        <v>0</v>
      </c>
      <c r="G266">
        <v>0</v>
      </c>
    </row>
    <row r="267" spans="1:7" x14ac:dyDescent="0.25">
      <c r="A267" s="111" t="str">
        <f t="shared" si="4"/>
        <v>Thermal &amp; Moisture Protection</v>
      </c>
      <c r="B267" t="s">
        <v>550</v>
      </c>
      <c r="D267">
        <v>0</v>
      </c>
      <c r="F267" s="3">
        <v>0</v>
      </c>
      <c r="G267">
        <v>0</v>
      </c>
    </row>
    <row r="268" spans="1:7" x14ac:dyDescent="0.25">
      <c r="A268" s="111" t="str">
        <f t="shared" si="4"/>
        <v>JDH4-02-007-SB-1490</v>
      </c>
      <c r="B268" t="s">
        <v>551</v>
      </c>
      <c r="C268" t="s">
        <v>552</v>
      </c>
      <c r="D268">
        <v>0</v>
      </c>
      <c r="E268" s="3">
        <v>1</v>
      </c>
      <c r="F268" s="3">
        <v>1</v>
      </c>
      <c r="G268">
        <v>0</v>
      </c>
    </row>
    <row r="269" spans="1:7" x14ac:dyDescent="0.25">
      <c r="A269" s="111" t="str">
        <f t="shared" si="4"/>
        <v>JDH4-02-007-SB-1510</v>
      </c>
      <c r="B269" t="s">
        <v>553</v>
      </c>
      <c r="C269" t="s">
        <v>554</v>
      </c>
      <c r="D269">
        <v>0</v>
      </c>
      <c r="E269" s="3">
        <v>1</v>
      </c>
      <c r="F269" s="3">
        <v>1</v>
      </c>
      <c r="G269">
        <v>0</v>
      </c>
    </row>
    <row r="270" spans="1:7" x14ac:dyDescent="0.25">
      <c r="A270" s="111" t="str">
        <f t="shared" si="4"/>
        <v>Metals</v>
      </c>
      <c r="B270" t="s">
        <v>555</v>
      </c>
      <c r="D270">
        <v>0</v>
      </c>
      <c r="F270" s="3">
        <v>0</v>
      </c>
      <c r="G270">
        <v>0</v>
      </c>
    </row>
    <row r="271" spans="1:7" x14ac:dyDescent="0.25">
      <c r="A271" s="111" t="str">
        <f t="shared" si="4"/>
        <v>JDH4-02-007-SB-1480</v>
      </c>
      <c r="B271" t="s">
        <v>556</v>
      </c>
      <c r="C271" t="s">
        <v>557</v>
      </c>
      <c r="D271">
        <v>0</v>
      </c>
      <c r="E271" s="3">
        <v>1</v>
      </c>
      <c r="F271" s="3">
        <v>1</v>
      </c>
      <c r="G271">
        <v>0</v>
      </c>
    </row>
    <row r="272" spans="1:7" x14ac:dyDescent="0.25">
      <c r="A272" s="111" t="str">
        <f t="shared" si="4"/>
        <v>JDH4-02-007-SB-1500</v>
      </c>
      <c r="B272" t="s">
        <v>558</v>
      </c>
      <c r="C272" t="s">
        <v>559</v>
      </c>
      <c r="D272">
        <v>0</v>
      </c>
      <c r="E272" s="3">
        <v>1</v>
      </c>
      <c r="F272" s="3">
        <v>1</v>
      </c>
      <c r="G272">
        <v>0</v>
      </c>
    </row>
    <row r="273" spans="1:7" x14ac:dyDescent="0.25">
      <c r="A273" s="111" t="str">
        <f t="shared" si="4"/>
        <v>Pumps</v>
      </c>
      <c r="B273" t="s">
        <v>560</v>
      </c>
      <c r="D273">
        <v>0</v>
      </c>
      <c r="E273" s="3"/>
      <c r="F273" s="3">
        <v>0</v>
      </c>
      <c r="G273">
        <v>0</v>
      </c>
    </row>
    <row r="274" spans="1:7" x14ac:dyDescent="0.25">
      <c r="A274" s="111" t="str">
        <f t="shared" si="4"/>
        <v>JDH4-02-007-SB-1560</v>
      </c>
      <c r="B274" t="s">
        <v>561</v>
      </c>
      <c r="C274" t="s">
        <v>562</v>
      </c>
      <c r="D274">
        <v>0</v>
      </c>
      <c r="E274" s="3">
        <v>1</v>
      </c>
      <c r="F274" s="3">
        <v>1</v>
      </c>
      <c r="G274">
        <v>0</v>
      </c>
    </row>
    <row r="275" spans="1:7" x14ac:dyDescent="0.25">
      <c r="A275" s="111" t="str">
        <f t="shared" si="4"/>
        <v>JDH4-02-007-SB-1570</v>
      </c>
      <c r="B275" t="s">
        <v>563</v>
      </c>
      <c r="C275" t="s">
        <v>564</v>
      </c>
      <c r="D275">
        <v>0</v>
      </c>
      <c r="E275" s="3">
        <v>1</v>
      </c>
      <c r="F275" s="3">
        <v>1</v>
      </c>
      <c r="G275">
        <v>0</v>
      </c>
    </row>
    <row r="276" spans="1:7" x14ac:dyDescent="0.25">
      <c r="A276" s="111" t="str">
        <f t="shared" si="4"/>
        <v>Pipes,Fittings &amp; Valves</v>
      </c>
      <c r="B276" t="s">
        <v>565</v>
      </c>
      <c r="D276">
        <v>0</v>
      </c>
      <c r="E276" s="3"/>
      <c r="F276" s="3">
        <v>0</v>
      </c>
      <c r="G276">
        <v>0</v>
      </c>
    </row>
    <row r="277" spans="1:7" x14ac:dyDescent="0.25">
      <c r="A277" s="111" t="str">
        <f t="shared" si="4"/>
        <v>JDH4-02-007-SB-1680</v>
      </c>
      <c r="B277" t="s">
        <v>566</v>
      </c>
      <c r="C277" t="s">
        <v>567</v>
      </c>
      <c r="D277">
        <v>0</v>
      </c>
      <c r="E277" s="3">
        <v>1</v>
      </c>
      <c r="F277" s="3">
        <v>1</v>
      </c>
      <c r="G277">
        <v>0</v>
      </c>
    </row>
    <row r="278" spans="1:7" x14ac:dyDescent="0.25">
      <c r="A278" s="111" t="str">
        <f t="shared" si="4"/>
        <v>JDH4-02-007-SB-1700</v>
      </c>
      <c r="B278" t="s">
        <v>568</v>
      </c>
      <c r="C278" t="s">
        <v>569</v>
      </c>
      <c r="D278">
        <v>0</v>
      </c>
      <c r="E278" s="3">
        <v>1</v>
      </c>
      <c r="F278" s="3">
        <v>1</v>
      </c>
      <c r="G278">
        <v>0</v>
      </c>
    </row>
    <row r="279" spans="1:7" x14ac:dyDescent="0.25">
      <c r="A279" s="111" t="str">
        <f t="shared" si="4"/>
        <v>Odours scrubbing system</v>
      </c>
      <c r="B279" t="s">
        <v>570</v>
      </c>
      <c r="D279">
        <v>0</v>
      </c>
      <c r="E279" s="3"/>
      <c r="F279" s="3">
        <v>0</v>
      </c>
      <c r="G279">
        <v>0</v>
      </c>
    </row>
    <row r="280" spans="1:7" x14ac:dyDescent="0.25">
      <c r="A280" s="111" t="str">
        <f t="shared" si="4"/>
        <v>JDH4-02-007-SB-1690</v>
      </c>
      <c r="B280" t="s">
        <v>571</v>
      </c>
      <c r="C280" t="s">
        <v>572</v>
      </c>
      <c r="D280">
        <v>0</v>
      </c>
      <c r="E280" s="3">
        <v>1</v>
      </c>
      <c r="F280" s="3">
        <v>1</v>
      </c>
      <c r="G280">
        <v>0</v>
      </c>
    </row>
    <row r="281" spans="1:7" x14ac:dyDescent="0.25">
      <c r="A281" s="111" t="str">
        <f t="shared" si="4"/>
        <v>JDH4-02-007-SB-1710</v>
      </c>
      <c r="B281" t="s">
        <v>573</v>
      </c>
      <c r="C281" t="s">
        <v>574</v>
      </c>
      <c r="D281">
        <v>0</v>
      </c>
      <c r="E281" s="3">
        <v>1</v>
      </c>
      <c r="F281" s="3">
        <v>1</v>
      </c>
      <c r="G281">
        <v>0</v>
      </c>
    </row>
    <row r="282" spans="1:7" x14ac:dyDescent="0.25">
      <c r="A282" s="111" t="str">
        <f t="shared" si="4"/>
        <v>Crane</v>
      </c>
      <c r="B282" t="s">
        <v>575</v>
      </c>
      <c r="D282">
        <v>0</v>
      </c>
      <c r="E282" s="3"/>
      <c r="F282" s="3">
        <v>0</v>
      </c>
      <c r="G282">
        <v>0</v>
      </c>
    </row>
    <row r="283" spans="1:7" x14ac:dyDescent="0.25">
      <c r="A283" s="111" t="str">
        <f t="shared" si="4"/>
        <v>JDH4-02-007-SB-1720</v>
      </c>
      <c r="B283" t="s">
        <v>576</v>
      </c>
      <c r="C283" t="s">
        <v>577</v>
      </c>
      <c r="D283">
        <v>0</v>
      </c>
      <c r="E283" s="3">
        <v>1</v>
      </c>
      <c r="F283" s="3">
        <v>1</v>
      </c>
      <c r="G283">
        <v>0</v>
      </c>
    </row>
    <row r="284" spans="1:7" x14ac:dyDescent="0.25">
      <c r="A284" s="111" t="str">
        <f t="shared" si="4"/>
        <v>JDH4-02-007-SB-1730</v>
      </c>
      <c r="B284" t="s">
        <v>578</v>
      </c>
      <c r="C284" t="s">
        <v>579</v>
      </c>
      <c r="D284">
        <v>0</v>
      </c>
      <c r="E284" s="3">
        <v>1</v>
      </c>
      <c r="F284" s="3">
        <v>1</v>
      </c>
      <c r="G284">
        <v>0</v>
      </c>
    </row>
    <row r="285" spans="1:7" x14ac:dyDescent="0.25">
      <c r="A285" s="111" t="str">
        <f t="shared" si="4"/>
        <v>Air Vents</v>
      </c>
      <c r="B285" t="s">
        <v>580</v>
      </c>
      <c r="D285">
        <v>0</v>
      </c>
      <c r="E285" s="3"/>
      <c r="F285" s="3">
        <v>0</v>
      </c>
      <c r="G285">
        <v>0</v>
      </c>
    </row>
    <row r="286" spans="1:7" x14ac:dyDescent="0.25">
      <c r="A286" s="111" t="str">
        <f t="shared" si="4"/>
        <v>JDH4-02-007-SB-1800</v>
      </c>
      <c r="B286" t="s">
        <v>581</v>
      </c>
      <c r="C286" t="s">
        <v>582</v>
      </c>
      <c r="D286">
        <v>0</v>
      </c>
      <c r="E286" s="3">
        <v>1</v>
      </c>
      <c r="F286" s="3">
        <v>1</v>
      </c>
      <c r="G286">
        <v>0</v>
      </c>
    </row>
    <row r="287" spans="1:7" x14ac:dyDescent="0.25">
      <c r="A287" s="111" t="str">
        <f t="shared" si="4"/>
        <v>JDH4-02-007-SB-1820</v>
      </c>
      <c r="B287" t="s">
        <v>583</v>
      </c>
      <c r="C287" t="s">
        <v>584</v>
      </c>
      <c r="D287">
        <v>0</v>
      </c>
      <c r="E287" s="3">
        <v>1</v>
      </c>
      <c r="F287" s="3">
        <v>1</v>
      </c>
      <c r="G287">
        <v>0</v>
      </c>
    </row>
    <row r="288" spans="1:7" x14ac:dyDescent="0.25">
      <c r="A288" s="111" t="str">
        <f t="shared" si="4"/>
        <v>Screening Container</v>
      </c>
      <c r="B288" t="s">
        <v>585</v>
      </c>
      <c r="D288">
        <v>0</v>
      </c>
      <c r="E288" s="3"/>
      <c r="F288" s="3">
        <v>0</v>
      </c>
      <c r="G288">
        <v>0</v>
      </c>
    </row>
    <row r="289" spans="1:7" x14ac:dyDescent="0.25">
      <c r="A289" s="111" t="str">
        <f t="shared" si="4"/>
        <v>JDH4-02-007-SB-1740</v>
      </c>
      <c r="B289" t="s">
        <v>586</v>
      </c>
      <c r="C289" t="s">
        <v>587</v>
      </c>
      <c r="D289">
        <v>0</v>
      </c>
      <c r="E289" s="3">
        <v>1</v>
      </c>
      <c r="F289" s="3">
        <v>1</v>
      </c>
      <c r="G289">
        <v>0</v>
      </c>
    </row>
    <row r="290" spans="1:7" x14ac:dyDescent="0.25">
      <c r="A290" s="111" t="str">
        <f t="shared" si="4"/>
        <v>JDH4-02-007-SB-1760</v>
      </c>
      <c r="B290" t="s">
        <v>588</v>
      </c>
      <c r="C290" t="s">
        <v>589</v>
      </c>
      <c r="D290">
        <v>0</v>
      </c>
      <c r="E290" s="3">
        <v>1</v>
      </c>
      <c r="F290" s="3">
        <v>1</v>
      </c>
      <c r="G290">
        <v>0</v>
      </c>
    </row>
    <row r="291" spans="1:7" x14ac:dyDescent="0.25">
      <c r="A291" s="111" t="str">
        <f t="shared" si="4"/>
        <v>Baffle Plates</v>
      </c>
      <c r="B291" t="s">
        <v>590</v>
      </c>
      <c r="D291">
        <v>0</v>
      </c>
      <c r="F291" s="3">
        <v>0</v>
      </c>
      <c r="G291">
        <v>0</v>
      </c>
    </row>
    <row r="292" spans="1:7" x14ac:dyDescent="0.25">
      <c r="A292" s="111" t="str">
        <f t="shared" si="4"/>
        <v>JDH4-02-007-SB-1810</v>
      </c>
      <c r="B292" t="s">
        <v>591</v>
      </c>
      <c r="C292" t="s">
        <v>592</v>
      </c>
      <c r="D292">
        <v>0</v>
      </c>
      <c r="E292" s="3">
        <v>1</v>
      </c>
      <c r="F292" s="3">
        <v>1</v>
      </c>
      <c r="G292">
        <v>0</v>
      </c>
    </row>
    <row r="293" spans="1:7" x14ac:dyDescent="0.25">
      <c r="A293" s="111" t="str">
        <f t="shared" si="4"/>
        <v>JDH4-02-007-SB-1830</v>
      </c>
      <c r="B293" t="s">
        <v>593</v>
      </c>
      <c r="C293" t="s">
        <v>594</v>
      </c>
      <c r="D293">
        <v>0</v>
      </c>
      <c r="E293" s="3">
        <v>1</v>
      </c>
      <c r="F293" s="3">
        <v>1</v>
      </c>
      <c r="G293">
        <v>0</v>
      </c>
    </row>
    <row r="294" spans="1:7" x14ac:dyDescent="0.25">
      <c r="A294" s="111" t="str">
        <f t="shared" si="4"/>
        <v>Anti-Water Hammer Equipment</v>
      </c>
      <c r="B294" t="s">
        <v>595</v>
      </c>
      <c r="D294">
        <v>0</v>
      </c>
      <c r="F294" s="3">
        <v>0</v>
      </c>
      <c r="G294">
        <v>0</v>
      </c>
    </row>
    <row r="295" spans="1:7" x14ac:dyDescent="0.25">
      <c r="A295" s="111" t="str">
        <f t="shared" si="4"/>
        <v>JDH4-02-007-SB-1840</v>
      </c>
      <c r="B295" t="s">
        <v>596</v>
      </c>
      <c r="C295" t="s">
        <v>597</v>
      </c>
      <c r="D295">
        <v>0</v>
      </c>
      <c r="E295" s="3">
        <v>1</v>
      </c>
      <c r="F295" s="3">
        <v>1</v>
      </c>
      <c r="G295">
        <v>0</v>
      </c>
    </row>
    <row r="296" spans="1:7" x14ac:dyDescent="0.25">
      <c r="A296" s="111" t="str">
        <f t="shared" si="4"/>
        <v>JDH4-02-007-SB-1850</v>
      </c>
      <c r="B296" t="s">
        <v>598</v>
      </c>
      <c r="C296" t="s">
        <v>599</v>
      </c>
      <c r="D296">
        <v>0</v>
      </c>
      <c r="E296" s="3">
        <v>1</v>
      </c>
      <c r="F296" s="3">
        <v>1</v>
      </c>
      <c r="G296">
        <v>0</v>
      </c>
    </row>
    <row r="297" spans="1:7" x14ac:dyDescent="0.25">
      <c r="A297" s="111" t="str">
        <f t="shared" si="4"/>
        <v>Air Conditioning and Ventilation</v>
      </c>
      <c r="B297" t="s">
        <v>600</v>
      </c>
      <c r="D297">
        <v>0</v>
      </c>
      <c r="F297" s="3">
        <v>0</v>
      </c>
      <c r="G297">
        <v>0</v>
      </c>
    </row>
    <row r="298" spans="1:7" x14ac:dyDescent="0.25">
      <c r="A298" s="111" t="str">
        <f t="shared" si="4"/>
        <v>JDH4-02-007-SB-1750</v>
      </c>
      <c r="B298" t="s">
        <v>601</v>
      </c>
      <c r="C298" t="s">
        <v>602</v>
      </c>
      <c r="D298">
        <v>0</v>
      </c>
      <c r="E298" s="3">
        <v>1</v>
      </c>
      <c r="F298" s="3">
        <v>1</v>
      </c>
      <c r="G298">
        <v>0</v>
      </c>
    </row>
    <row r="299" spans="1:7" x14ac:dyDescent="0.25">
      <c r="A299" s="111" t="str">
        <f t="shared" si="4"/>
        <v>JDH4-02-007-SB-1770</v>
      </c>
      <c r="B299" t="s">
        <v>603</v>
      </c>
      <c r="C299" t="s">
        <v>604</v>
      </c>
      <c r="D299">
        <v>0</v>
      </c>
      <c r="E299" s="3">
        <v>1</v>
      </c>
      <c r="F299" s="3">
        <v>1</v>
      </c>
      <c r="G299">
        <v>0</v>
      </c>
    </row>
    <row r="300" spans="1:7" x14ac:dyDescent="0.25">
      <c r="A300" s="111" t="str">
        <f t="shared" si="4"/>
        <v>Fuel System</v>
      </c>
      <c r="B300" t="s">
        <v>605</v>
      </c>
      <c r="D300">
        <v>0</v>
      </c>
      <c r="E300" s="3"/>
      <c r="F300" s="3">
        <v>0</v>
      </c>
      <c r="G300">
        <v>0</v>
      </c>
    </row>
    <row r="301" spans="1:7" x14ac:dyDescent="0.25">
      <c r="A301" s="111" t="str">
        <f t="shared" si="4"/>
        <v>JDH4-02-007-SB-1780</v>
      </c>
      <c r="B301" t="s">
        <v>606</v>
      </c>
      <c r="C301" t="s">
        <v>607</v>
      </c>
      <c r="D301">
        <v>0</v>
      </c>
      <c r="E301" s="3">
        <v>1</v>
      </c>
      <c r="F301" s="3">
        <v>1</v>
      </c>
      <c r="G301">
        <v>0</v>
      </c>
    </row>
    <row r="302" spans="1:7" x14ac:dyDescent="0.25">
      <c r="A302" s="111" t="str">
        <f t="shared" si="4"/>
        <v>JDH4-02-007-SB-1790</v>
      </c>
      <c r="B302" t="s">
        <v>608</v>
      </c>
      <c r="C302" t="s">
        <v>609</v>
      </c>
      <c r="D302">
        <v>0</v>
      </c>
      <c r="E302" s="3">
        <v>1</v>
      </c>
      <c r="F302" s="3">
        <v>1</v>
      </c>
      <c r="G302">
        <v>0</v>
      </c>
    </row>
    <row r="303" spans="1:7" x14ac:dyDescent="0.25">
      <c r="A303" s="111" t="str">
        <f t="shared" si="4"/>
        <v>Fire Fighting System</v>
      </c>
      <c r="B303" t="s">
        <v>610</v>
      </c>
      <c r="D303">
        <v>0</v>
      </c>
      <c r="E303" s="3"/>
      <c r="F303" s="3">
        <v>0</v>
      </c>
      <c r="G303">
        <v>0</v>
      </c>
    </row>
    <row r="304" spans="1:7" x14ac:dyDescent="0.25">
      <c r="A304" s="111" t="str">
        <f t="shared" si="4"/>
        <v>JDH4-02-007-SB-1920</v>
      </c>
      <c r="B304" t="s">
        <v>611</v>
      </c>
      <c r="C304" t="s">
        <v>612</v>
      </c>
      <c r="D304">
        <v>0</v>
      </c>
      <c r="E304" s="3">
        <v>1</v>
      </c>
      <c r="F304" s="3">
        <v>1</v>
      </c>
      <c r="G304">
        <v>0</v>
      </c>
    </row>
    <row r="305" spans="1:7" x14ac:dyDescent="0.25">
      <c r="A305" s="111" t="str">
        <f t="shared" si="4"/>
        <v>JDH4-02-007-SB-1930</v>
      </c>
      <c r="B305" t="s">
        <v>613</v>
      </c>
      <c r="C305" t="s">
        <v>614</v>
      </c>
      <c r="D305">
        <v>0</v>
      </c>
      <c r="E305" s="3">
        <v>1</v>
      </c>
      <c r="F305" s="3">
        <v>1</v>
      </c>
      <c r="G305">
        <v>0</v>
      </c>
    </row>
    <row r="306" spans="1:7" x14ac:dyDescent="0.25">
      <c r="A306" s="111" t="str">
        <f t="shared" si="4"/>
        <v>Main Distribution Board /MCC panels</v>
      </c>
      <c r="B306" t="s">
        <v>615</v>
      </c>
      <c r="D306">
        <v>0</v>
      </c>
      <c r="E306" s="3"/>
      <c r="F306" s="3">
        <v>0</v>
      </c>
      <c r="G306">
        <v>0</v>
      </c>
    </row>
    <row r="307" spans="1:7" x14ac:dyDescent="0.25">
      <c r="A307" s="111" t="str">
        <f t="shared" si="4"/>
        <v>JDH4-02-007-SB-1860</v>
      </c>
      <c r="B307" t="s">
        <v>616</v>
      </c>
      <c r="C307" t="s">
        <v>617</v>
      </c>
      <c r="D307">
        <v>0</v>
      </c>
      <c r="E307" s="3">
        <v>1</v>
      </c>
      <c r="F307" s="3">
        <v>1</v>
      </c>
      <c r="G307">
        <v>0</v>
      </c>
    </row>
    <row r="308" spans="1:7" x14ac:dyDescent="0.25">
      <c r="A308" s="111" t="str">
        <f t="shared" si="4"/>
        <v>JDH4-02-007-SB-1870</v>
      </c>
      <c r="B308" t="s">
        <v>618</v>
      </c>
      <c r="C308" t="s">
        <v>619</v>
      </c>
      <c r="D308">
        <v>0</v>
      </c>
      <c r="E308" s="3">
        <v>1</v>
      </c>
      <c r="F308" s="3">
        <v>1</v>
      </c>
      <c r="G308">
        <v>0</v>
      </c>
    </row>
    <row r="309" spans="1:7" x14ac:dyDescent="0.25">
      <c r="A309" s="111" t="str">
        <f t="shared" si="4"/>
        <v>Final Panel boards</v>
      </c>
      <c r="B309" t="s">
        <v>620</v>
      </c>
      <c r="D309">
        <v>0</v>
      </c>
      <c r="E309" s="3"/>
      <c r="F309" s="3">
        <v>0</v>
      </c>
      <c r="G309">
        <v>0</v>
      </c>
    </row>
    <row r="310" spans="1:7" x14ac:dyDescent="0.25">
      <c r="A310" s="111" t="str">
        <f t="shared" si="4"/>
        <v>JDH4-02-007-SB-1880</v>
      </c>
      <c r="B310" t="s">
        <v>621</v>
      </c>
      <c r="C310" t="s">
        <v>622</v>
      </c>
      <c r="D310">
        <v>0</v>
      </c>
      <c r="E310" s="3">
        <v>1</v>
      </c>
      <c r="F310" s="3">
        <v>1</v>
      </c>
      <c r="G310">
        <v>0</v>
      </c>
    </row>
    <row r="311" spans="1:7" x14ac:dyDescent="0.25">
      <c r="A311" s="111" t="str">
        <f t="shared" si="4"/>
        <v>JDH4-02-007-SB-1890</v>
      </c>
      <c r="B311" t="s">
        <v>623</v>
      </c>
      <c r="C311" t="s">
        <v>624</v>
      </c>
      <c r="D311">
        <v>0</v>
      </c>
      <c r="E311" s="3">
        <v>1</v>
      </c>
      <c r="F311" s="3">
        <v>1</v>
      </c>
      <c r="G311">
        <v>0</v>
      </c>
    </row>
    <row r="312" spans="1:7" x14ac:dyDescent="0.25">
      <c r="A312" s="111" t="str">
        <f t="shared" si="4"/>
        <v>Local Control Panel/ Monitoring Control Panel</v>
      </c>
      <c r="B312" t="s">
        <v>625</v>
      </c>
      <c r="D312">
        <v>0</v>
      </c>
      <c r="F312" s="3">
        <v>0</v>
      </c>
      <c r="G312">
        <v>0</v>
      </c>
    </row>
    <row r="313" spans="1:7" x14ac:dyDescent="0.25">
      <c r="A313" s="111" t="str">
        <f t="shared" si="4"/>
        <v>JDH4-02-007-SB-1900</v>
      </c>
      <c r="B313" t="s">
        <v>626</v>
      </c>
      <c r="C313" t="s">
        <v>627</v>
      </c>
      <c r="D313">
        <v>0</v>
      </c>
      <c r="E313" s="3">
        <v>1</v>
      </c>
      <c r="F313" s="3">
        <v>1</v>
      </c>
      <c r="G313">
        <v>0</v>
      </c>
    </row>
    <row r="314" spans="1:7" x14ac:dyDescent="0.25">
      <c r="A314" s="111" t="str">
        <f t="shared" si="4"/>
        <v>JDH4-02-007-SB-1910</v>
      </c>
      <c r="B314" t="s">
        <v>628</v>
      </c>
      <c r="C314" t="s">
        <v>629</v>
      </c>
      <c r="D314">
        <v>0</v>
      </c>
      <c r="E314" s="3">
        <v>1</v>
      </c>
      <c r="F314" s="3">
        <v>1</v>
      </c>
      <c r="G314">
        <v>0</v>
      </c>
    </row>
    <row r="315" spans="1:7" x14ac:dyDescent="0.25">
      <c r="A315" s="111" t="str">
        <f t="shared" si="4"/>
        <v>Engine Generators</v>
      </c>
      <c r="B315" t="s">
        <v>630</v>
      </c>
      <c r="D315">
        <v>0</v>
      </c>
      <c r="F315" s="3">
        <v>0</v>
      </c>
      <c r="G315">
        <v>0</v>
      </c>
    </row>
    <row r="316" spans="1:7" x14ac:dyDescent="0.25">
      <c r="A316" s="111" t="str">
        <f t="shared" si="4"/>
        <v>JDH4-02-007-SB-2060</v>
      </c>
      <c r="B316" t="s">
        <v>631</v>
      </c>
      <c r="C316" t="s">
        <v>632</v>
      </c>
      <c r="D316">
        <v>0</v>
      </c>
      <c r="E316" s="3">
        <v>1</v>
      </c>
      <c r="F316" s="3">
        <v>1</v>
      </c>
      <c r="G316">
        <v>0</v>
      </c>
    </row>
    <row r="317" spans="1:7" x14ac:dyDescent="0.25">
      <c r="A317" s="111" t="str">
        <f t="shared" si="4"/>
        <v>JDH4-02-007-SB-2070</v>
      </c>
      <c r="B317" t="s">
        <v>633</v>
      </c>
      <c r="C317" t="s">
        <v>634</v>
      </c>
      <c r="D317">
        <v>0</v>
      </c>
      <c r="E317" s="3">
        <v>1</v>
      </c>
      <c r="F317" s="3">
        <v>1</v>
      </c>
      <c r="G317">
        <v>0</v>
      </c>
    </row>
    <row r="318" spans="1:7" x14ac:dyDescent="0.25">
      <c r="A318" s="111" t="str">
        <f t="shared" si="4"/>
        <v>Standby Diesel Generator</v>
      </c>
      <c r="B318" t="s">
        <v>635</v>
      </c>
      <c r="D318">
        <v>0</v>
      </c>
      <c r="F318" s="3">
        <v>0</v>
      </c>
      <c r="G318">
        <v>0</v>
      </c>
    </row>
    <row r="319" spans="1:7" x14ac:dyDescent="0.25">
      <c r="A319" s="111" t="str">
        <f t="shared" si="4"/>
        <v>JDH4-02-007-SB-2040</v>
      </c>
      <c r="B319" t="s">
        <v>636</v>
      </c>
      <c r="C319" t="s">
        <v>637</v>
      </c>
      <c r="D319">
        <v>0</v>
      </c>
      <c r="E319" s="3">
        <v>1</v>
      </c>
      <c r="F319" s="3">
        <v>1</v>
      </c>
      <c r="G319">
        <v>0</v>
      </c>
    </row>
    <row r="320" spans="1:7" x14ac:dyDescent="0.25">
      <c r="A320" s="111" t="str">
        <f t="shared" si="4"/>
        <v>JDH4-02-007-SB-2050</v>
      </c>
      <c r="B320" t="s">
        <v>638</v>
      </c>
      <c r="C320" t="s">
        <v>639</v>
      </c>
      <c r="D320">
        <v>0</v>
      </c>
      <c r="E320" s="3">
        <v>1</v>
      </c>
      <c r="F320" s="3">
        <v>1</v>
      </c>
      <c r="G320">
        <v>0</v>
      </c>
    </row>
    <row r="321" spans="1:7" x14ac:dyDescent="0.25">
      <c r="A321" s="111" t="str">
        <f t="shared" si="4"/>
        <v>Power Factor Correction Capacitor Bank</v>
      </c>
      <c r="B321" t="s">
        <v>640</v>
      </c>
      <c r="D321">
        <v>0</v>
      </c>
      <c r="F321" s="3">
        <v>0</v>
      </c>
      <c r="G321">
        <v>0</v>
      </c>
    </row>
    <row r="322" spans="1:7" x14ac:dyDescent="0.25">
      <c r="A322" s="111" t="str">
        <f t="shared" si="4"/>
        <v>JDH4-02-007-SB-2000</v>
      </c>
      <c r="B322" t="s">
        <v>641</v>
      </c>
      <c r="C322" t="s">
        <v>642</v>
      </c>
      <c r="D322">
        <v>0</v>
      </c>
      <c r="E322" s="3">
        <v>1</v>
      </c>
      <c r="F322" s="3">
        <v>1</v>
      </c>
      <c r="G322">
        <v>0</v>
      </c>
    </row>
    <row r="323" spans="1:7" x14ac:dyDescent="0.25">
      <c r="A323" s="111" t="str">
        <f t="shared" si="4"/>
        <v>JDH4-02-007-SB-2010</v>
      </c>
      <c r="B323" t="s">
        <v>643</v>
      </c>
      <c r="C323" t="s">
        <v>644</v>
      </c>
      <c r="D323">
        <v>0</v>
      </c>
      <c r="E323" s="3">
        <v>1</v>
      </c>
      <c r="F323" s="3">
        <v>1</v>
      </c>
      <c r="G323">
        <v>0</v>
      </c>
    </row>
    <row r="324" spans="1:7" x14ac:dyDescent="0.25">
      <c r="A324" s="111" t="str">
        <f t="shared" ref="A324:A387" si="5">TRIM(B324)</f>
        <v>Low-Voltage Electrical Power Conductors and Cables</v>
      </c>
      <c r="B324" t="s">
        <v>218</v>
      </c>
      <c r="D324">
        <v>0</v>
      </c>
      <c r="E324" s="3"/>
      <c r="F324" s="3">
        <v>0</v>
      </c>
      <c r="G324">
        <v>0</v>
      </c>
    </row>
    <row r="325" spans="1:7" x14ac:dyDescent="0.25">
      <c r="A325" s="111" t="str">
        <f t="shared" si="5"/>
        <v>JDH4-02-007-SB-2020</v>
      </c>
      <c r="B325" t="s">
        <v>645</v>
      </c>
      <c r="C325" t="s">
        <v>646</v>
      </c>
      <c r="D325">
        <v>0</v>
      </c>
      <c r="E325" s="3">
        <v>1</v>
      </c>
      <c r="F325" s="3">
        <v>1</v>
      </c>
      <c r="G325">
        <v>0</v>
      </c>
    </row>
    <row r="326" spans="1:7" x14ac:dyDescent="0.25">
      <c r="A326" s="111" t="str">
        <f t="shared" si="5"/>
        <v>JDH4-02-007-SB-2030</v>
      </c>
      <c r="B326" t="s">
        <v>647</v>
      </c>
      <c r="C326" t="s">
        <v>648</v>
      </c>
      <c r="D326">
        <v>0</v>
      </c>
      <c r="E326" s="3">
        <v>1</v>
      </c>
      <c r="F326" s="3">
        <v>1</v>
      </c>
      <c r="G326">
        <v>0</v>
      </c>
    </row>
    <row r="327" spans="1:7" x14ac:dyDescent="0.25">
      <c r="A327" s="111" t="str">
        <f t="shared" si="5"/>
        <v>Low Voltage Feeder Cable</v>
      </c>
      <c r="B327" t="s">
        <v>649</v>
      </c>
      <c r="D327">
        <v>0</v>
      </c>
      <c r="E327" s="3"/>
      <c r="F327" s="3">
        <v>0</v>
      </c>
      <c r="G327">
        <v>0</v>
      </c>
    </row>
    <row r="328" spans="1:7" x14ac:dyDescent="0.25">
      <c r="A328" s="111" t="str">
        <f t="shared" si="5"/>
        <v>JDH4-02-007-SB-1980</v>
      </c>
      <c r="B328" t="s">
        <v>650</v>
      </c>
      <c r="C328" t="s">
        <v>651</v>
      </c>
      <c r="D328">
        <v>0</v>
      </c>
      <c r="E328" s="3">
        <v>1</v>
      </c>
      <c r="F328" s="3">
        <v>1</v>
      </c>
      <c r="G328">
        <v>0</v>
      </c>
    </row>
    <row r="329" spans="1:7" x14ac:dyDescent="0.25">
      <c r="A329" s="111" t="str">
        <f t="shared" si="5"/>
        <v>JDH4-02-007-SB-1990</v>
      </c>
      <c r="B329" t="s">
        <v>652</v>
      </c>
      <c r="C329" t="s">
        <v>653</v>
      </c>
      <c r="D329">
        <v>0</v>
      </c>
      <c r="E329" s="3">
        <v>1</v>
      </c>
      <c r="F329" s="3">
        <v>1</v>
      </c>
      <c r="G329">
        <v>0</v>
      </c>
    </row>
    <row r="330" spans="1:7" x14ac:dyDescent="0.25">
      <c r="A330" s="111" t="str">
        <f t="shared" si="5"/>
        <v>Wiring Devices</v>
      </c>
      <c r="B330" t="s">
        <v>654</v>
      </c>
      <c r="D330">
        <v>0</v>
      </c>
      <c r="E330" s="3"/>
      <c r="F330" s="3">
        <v>0</v>
      </c>
      <c r="G330">
        <v>0</v>
      </c>
    </row>
    <row r="331" spans="1:7" x14ac:dyDescent="0.25">
      <c r="A331" s="111" t="str">
        <f t="shared" si="5"/>
        <v>JDH4-02-007-SB-1940</v>
      </c>
      <c r="B331" t="s">
        <v>655</v>
      </c>
      <c r="C331" t="s">
        <v>656</v>
      </c>
      <c r="D331">
        <v>0</v>
      </c>
      <c r="E331" s="3">
        <v>1</v>
      </c>
      <c r="F331" s="3">
        <v>1</v>
      </c>
      <c r="G331">
        <v>0</v>
      </c>
    </row>
    <row r="332" spans="1:7" x14ac:dyDescent="0.25">
      <c r="A332" s="111" t="str">
        <f t="shared" si="5"/>
        <v>JDH4-02-007-SB-1950</v>
      </c>
      <c r="B332" t="s">
        <v>657</v>
      </c>
      <c r="C332" t="s">
        <v>658</v>
      </c>
      <c r="D332">
        <v>0</v>
      </c>
      <c r="E332" s="3">
        <v>1</v>
      </c>
      <c r="F332" s="3">
        <v>1</v>
      </c>
      <c r="G332">
        <v>0</v>
      </c>
    </row>
    <row r="333" spans="1:7" x14ac:dyDescent="0.25">
      <c r="A333" s="111" t="str">
        <f t="shared" si="5"/>
        <v>Enclosed Switches and Circuit Breakers</v>
      </c>
      <c r="B333" t="s">
        <v>659</v>
      </c>
      <c r="D333">
        <v>0</v>
      </c>
      <c r="E333" s="3"/>
      <c r="F333" s="3">
        <v>0</v>
      </c>
      <c r="G333">
        <v>0</v>
      </c>
    </row>
    <row r="334" spans="1:7" x14ac:dyDescent="0.25">
      <c r="A334" s="111" t="str">
        <f t="shared" si="5"/>
        <v>JDH4-02-007-SB-1960</v>
      </c>
      <c r="B334" t="s">
        <v>660</v>
      </c>
      <c r="C334" t="s">
        <v>661</v>
      </c>
      <c r="D334">
        <v>0</v>
      </c>
      <c r="E334" s="3">
        <v>1</v>
      </c>
      <c r="F334" s="3">
        <v>1</v>
      </c>
      <c r="G334">
        <v>0</v>
      </c>
    </row>
    <row r="335" spans="1:7" x14ac:dyDescent="0.25">
      <c r="A335" s="111" t="str">
        <f t="shared" si="5"/>
        <v>JDH4-02-007-SB-1970</v>
      </c>
      <c r="B335" t="s">
        <v>662</v>
      </c>
      <c r="C335" t="s">
        <v>663</v>
      </c>
      <c r="D335">
        <v>0</v>
      </c>
      <c r="E335" s="3">
        <v>1</v>
      </c>
      <c r="F335" s="3">
        <v>1</v>
      </c>
      <c r="G335">
        <v>0</v>
      </c>
    </row>
    <row r="336" spans="1:7" x14ac:dyDescent="0.25">
      <c r="A336" s="111" t="str">
        <f t="shared" si="5"/>
        <v>Raceways for Electrical Systems</v>
      </c>
      <c r="B336" t="s">
        <v>664</v>
      </c>
      <c r="D336">
        <v>0</v>
      </c>
      <c r="E336" s="3"/>
      <c r="F336" s="3">
        <v>0</v>
      </c>
      <c r="G336">
        <v>0</v>
      </c>
    </row>
    <row r="337" spans="1:7" x14ac:dyDescent="0.25">
      <c r="A337" s="111" t="str">
        <f t="shared" si="5"/>
        <v>JDH4-02-007-SB-2100</v>
      </c>
      <c r="B337" t="s">
        <v>665</v>
      </c>
      <c r="C337" t="s">
        <v>666</v>
      </c>
      <c r="D337">
        <v>0</v>
      </c>
      <c r="E337" s="3">
        <v>1</v>
      </c>
      <c r="F337" s="3">
        <v>1</v>
      </c>
      <c r="G337">
        <v>0</v>
      </c>
    </row>
    <row r="338" spans="1:7" x14ac:dyDescent="0.25">
      <c r="A338" s="111" t="str">
        <f t="shared" si="5"/>
        <v>JDH4-02-007-SB-2110</v>
      </c>
      <c r="B338" t="s">
        <v>667</v>
      </c>
      <c r="C338" t="s">
        <v>668</v>
      </c>
      <c r="D338">
        <v>0</v>
      </c>
      <c r="E338" s="3">
        <v>1</v>
      </c>
      <c r="F338" s="3">
        <v>1</v>
      </c>
      <c r="G338">
        <v>0</v>
      </c>
    </row>
    <row r="339" spans="1:7" x14ac:dyDescent="0.25">
      <c r="A339" s="111" t="str">
        <f t="shared" si="5"/>
        <v>Electrical Manholes</v>
      </c>
      <c r="B339" t="s">
        <v>669</v>
      </c>
      <c r="D339">
        <v>0</v>
      </c>
      <c r="E339" s="3"/>
      <c r="F339" s="3">
        <v>0</v>
      </c>
      <c r="G339">
        <v>0</v>
      </c>
    </row>
    <row r="340" spans="1:7" x14ac:dyDescent="0.25">
      <c r="A340" s="111" t="str">
        <f t="shared" si="5"/>
        <v>JDH4-02-007-SB-2140</v>
      </c>
      <c r="B340" t="s">
        <v>670</v>
      </c>
      <c r="C340" t="s">
        <v>671</v>
      </c>
      <c r="D340">
        <v>0</v>
      </c>
      <c r="E340" s="3">
        <v>1</v>
      </c>
      <c r="F340" s="3">
        <v>1</v>
      </c>
      <c r="G340">
        <v>0</v>
      </c>
    </row>
    <row r="341" spans="1:7" x14ac:dyDescent="0.25">
      <c r="A341" s="111" t="str">
        <f t="shared" si="5"/>
        <v>JDH4-02-007-SB-2150</v>
      </c>
      <c r="B341" t="s">
        <v>672</v>
      </c>
      <c r="C341" t="s">
        <v>673</v>
      </c>
      <c r="D341">
        <v>0</v>
      </c>
      <c r="E341" s="3">
        <v>1</v>
      </c>
      <c r="F341" s="3">
        <v>1</v>
      </c>
      <c r="G341">
        <v>0</v>
      </c>
    </row>
    <row r="342" spans="1:7" x14ac:dyDescent="0.25">
      <c r="A342" s="111" t="str">
        <f t="shared" si="5"/>
        <v>Security System (CCTV System)</v>
      </c>
      <c r="B342" t="s">
        <v>674</v>
      </c>
      <c r="D342">
        <v>0</v>
      </c>
      <c r="E342" s="3"/>
      <c r="F342" s="3">
        <v>0</v>
      </c>
      <c r="G342">
        <v>0</v>
      </c>
    </row>
    <row r="343" spans="1:7" x14ac:dyDescent="0.25">
      <c r="A343" s="111" t="str">
        <f t="shared" si="5"/>
        <v>JDH4-02-007-SB-2080</v>
      </c>
      <c r="B343" t="s">
        <v>675</v>
      </c>
      <c r="C343" t="s">
        <v>676</v>
      </c>
      <c r="D343">
        <v>0</v>
      </c>
      <c r="E343" s="3">
        <v>1</v>
      </c>
      <c r="F343" s="3">
        <v>1</v>
      </c>
      <c r="G343">
        <v>0</v>
      </c>
    </row>
    <row r="344" spans="1:7" x14ac:dyDescent="0.25">
      <c r="A344" s="111" t="str">
        <f t="shared" si="5"/>
        <v>JDH4-02-007-SB-2090</v>
      </c>
      <c r="B344" t="s">
        <v>677</v>
      </c>
      <c r="C344" t="s">
        <v>678</v>
      </c>
      <c r="D344">
        <v>0</v>
      </c>
      <c r="E344" s="3">
        <v>1</v>
      </c>
      <c r="F344" s="3">
        <v>1</v>
      </c>
      <c r="G344">
        <v>0</v>
      </c>
    </row>
    <row r="345" spans="1:7" x14ac:dyDescent="0.25">
      <c r="A345" s="111" t="str">
        <f t="shared" si="5"/>
        <v>ICT (Data&amp; telephone System)</v>
      </c>
      <c r="B345" t="s">
        <v>679</v>
      </c>
      <c r="D345">
        <v>0</v>
      </c>
      <c r="E345" s="3"/>
      <c r="F345" s="3">
        <v>0</v>
      </c>
      <c r="G345">
        <v>0</v>
      </c>
    </row>
    <row r="346" spans="1:7" x14ac:dyDescent="0.25">
      <c r="A346" s="111" t="str">
        <f t="shared" si="5"/>
        <v>JDH4-02-007-SB-2120</v>
      </c>
      <c r="B346" t="s">
        <v>680</v>
      </c>
      <c r="C346" t="s">
        <v>681</v>
      </c>
      <c r="D346">
        <v>0</v>
      </c>
      <c r="E346" s="3">
        <v>1</v>
      </c>
      <c r="F346" s="3">
        <v>1</v>
      </c>
      <c r="G346">
        <v>0</v>
      </c>
    </row>
    <row r="347" spans="1:7" x14ac:dyDescent="0.25">
      <c r="A347" s="111" t="str">
        <f t="shared" si="5"/>
        <v>JDH4-02-007-SB-2130</v>
      </c>
      <c r="B347" t="s">
        <v>682</v>
      </c>
      <c r="C347" t="s">
        <v>683</v>
      </c>
      <c r="D347">
        <v>0</v>
      </c>
      <c r="E347" s="3">
        <v>1</v>
      </c>
      <c r="F347" s="3">
        <v>1</v>
      </c>
      <c r="G347">
        <v>0</v>
      </c>
    </row>
    <row r="348" spans="1:7" x14ac:dyDescent="0.25">
      <c r="A348" s="111" t="str">
        <f t="shared" si="5"/>
        <v>Programmable Logic Controllers</v>
      </c>
      <c r="B348" t="s">
        <v>684</v>
      </c>
      <c r="D348">
        <v>0</v>
      </c>
      <c r="E348" s="3"/>
      <c r="F348" s="3">
        <v>0</v>
      </c>
      <c r="G348">
        <v>0</v>
      </c>
    </row>
    <row r="349" spans="1:7" x14ac:dyDescent="0.25">
      <c r="A349" s="111" t="str">
        <f t="shared" si="5"/>
        <v>JDH4-02-007-SB-2200</v>
      </c>
      <c r="B349" t="s">
        <v>685</v>
      </c>
      <c r="C349" t="s">
        <v>686</v>
      </c>
      <c r="D349">
        <v>0</v>
      </c>
      <c r="E349" s="3">
        <v>1</v>
      </c>
      <c r="F349" s="3">
        <v>1</v>
      </c>
      <c r="G349">
        <v>0</v>
      </c>
    </row>
    <row r="350" spans="1:7" x14ac:dyDescent="0.25">
      <c r="A350" s="111" t="str">
        <f t="shared" si="5"/>
        <v>JDH4-02-007-SB-2210</v>
      </c>
      <c r="B350" t="s">
        <v>687</v>
      </c>
      <c r="C350" t="s">
        <v>688</v>
      </c>
      <c r="D350">
        <v>0</v>
      </c>
      <c r="E350" s="3">
        <v>1</v>
      </c>
      <c r="F350" s="3">
        <v>1</v>
      </c>
      <c r="G350">
        <v>0</v>
      </c>
    </row>
    <row r="351" spans="1:7" x14ac:dyDescent="0.25">
      <c r="A351" s="111" t="str">
        <f t="shared" si="5"/>
        <v>Process Control Wiring</v>
      </c>
      <c r="B351" t="s">
        <v>689</v>
      </c>
      <c r="D351">
        <v>0</v>
      </c>
      <c r="E351" s="3"/>
      <c r="F351" s="3">
        <v>0</v>
      </c>
      <c r="G351">
        <v>0</v>
      </c>
    </row>
    <row r="352" spans="1:7" x14ac:dyDescent="0.25">
      <c r="A352" s="111" t="str">
        <f t="shared" si="5"/>
        <v>JDH4-02-007-SB-2180</v>
      </c>
      <c r="B352" t="s">
        <v>690</v>
      </c>
      <c r="C352" t="s">
        <v>691</v>
      </c>
      <c r="D352">
        <v>0</v>
      </c>
      <c r="E352" s="3">
        <v>1</v>
      </c>
      <c r="F352" s="3">
        <v>1</v>
      </c>
      <c r="G352">
        <v>0</v>
      </c>
    </row>
    <row r="353" spans="1:7" x14ac:dyDescent="0.25">
      <c r="A353" s="111" t="str">
        <f t="shared" si="5"/>
        <v>JDH4-02-007-SB-2190</v>
      </c>
      <c r="B353" t="s">
        <v>692</v>
      </c>
      <c r="C353" t="s">
        <v>693</v>
      </c>
      <c r="D353">
        <v>0</v>
      </c>
      <c r="E353" s="3">
        <v>1</v>
      </c>
      <c r="F353" s="3">
        <v>1</v>
      </c>
      <c r="G353">
        <v>0</v>
      </c>
    </row>
    <row r="354" spans="1:7" x14ac:dyDescent="0.25">
      <c r="A354" s="111" t="str">
        <f t="shared" si="5"/>
        <v>Instrumentation for Process Systems</v>
      </c>
      <c r="B354" t="s">
        <v>694</v>
      </c>
      <c r="D354">
        <v>0</v>
      </c>
      <c r="E354" s="3"/>
      <c r="F354" s="3">
        <v>0</v>
      </c>
      <c r="G354">
        <v>0</v>
      </c>
    </row>
    <row r="355" spans="1:7" x14ac:dyDescent="0.25">
      <c r="A355" s="111" t="str">
        <f t="shared" si="5"/>
        <v>JDH4-02-007-SB-2160</v>
      </c>
      <c r="B355" t="s">
        <v>695</v>
      </c>
      <c r="C355" t="s">
        <v>696</v>
      </c>
      <c r="D355">
        <v>0</v>
      </c>
      <c r="E355" s="3">
        <v>1</v>
      </c>
      <c r="F355" s="3">
        <v>1</v>
      </c>
      <c r="G355">
        <v>0</v>
      </c>
    </row>
    <row r="356" spans="1:7" x14ac:dyDescent="0.25">
      <c r="A356" s="111" t="str">
        <f t="shared" si="5"/>
        <v>JDH4-02-007-SB-2170</v>
      </c>
      <c r="B356" t="s">
        <v>697</v>
      </c>
      <c r="C356" t="s">
        <v>698</v>
      </c>
      <c r="D356">
        <v>0</v>
      </c>
      <c r="E356" s="3">
        <v>1</v>
      </c>
      <c r="F356" s="3">
        <v>1</v>
      </c>
      <c r="G356">
        <v>0</v>
      </c>
    </row>
    <row r="357" spans="1:7" x14ac:dyDescent="0.25">
      <c r="A357" s="111" t="str">
        <f t="shared" si="5"/>
        <v>Material Submittal &amp; Approval</v>
      </c>
      <c r="B357" t="s">
        <v>4013</v>
      </c>
      <c r="D357" s="1">
        <v>1719130.43</v>
      </c>
      <c r="E357" s="3"/>
      <c r="F357" s="3">
        <v>1</v>
      </c>
      <c r="G357" s="1">
        <v>1719130.43</v>
      </c>
    </row>
    <row r="358" spans="1:7" x14ac:dyDescent="0.25">
      <c r="A358" s="111" t="str">
        <f t="shared" si="5"/>
        <v>Road Works - Civil</v>
      </c>
      <c r="B358" t="s">
        <v>76</v>
      </c>
      <c r="D358" s="1">
        <v>253642.23</v>
      </c>
      <c r="F358" s="3">
        <v>1</v>
      </c>
      <c r="G358" s="1">
        <v>253642.23</v>
      </c>
    </row>
    <row r="359" spans="1:7" x14ac:dyDescent="0.25">
      <c r="A359" s="111" t="str">
        <f t="shared" si="5"/>
        <v>Steel Reinforcement</v>
      </c>
      <c r="B359" t="s">
        <v>77</v>
      </c>
      <c r="D359" s="1">
        <v>28182.47</v>
      </c>
      <c r="E359" s="3"/>
      <c r="F359" s="3">
        <v>1</v>
      </c>
      <c r="G359" s="1">
        <v>28182.47</v>
      </c>
    </row>
    <row r="360" spans="1:7" x14ac:dyDescent="0.25">
      <c r="A360" s="111" t="str">
        <f t="shared" si="5"/>
        <v>JDH4-02-007-MA-1590</v>
      </c>
      <c r="B360" t="s">
        <v>701</v>
      </c>
      <c r="C360" t="s">
        <v>133</v>
      </c>
      <c r="D360" s="1">
        <v>28182.47</v>
      </c>
      <c r="E360" s="3">
        <v>1</v>
      </c>
      <c r="F360" s="3">
        <v>1</v>
      </c>
      <c r="G360" s="1">
        <v>28182.47</v>
      </c>
    </row>
    <row r="361" spans="1:7" x14ac:dyDescent="0.25">
      <c r="A361" s="111" t="str">
        <f t="shared" si="5"/>
        <v>JDH4-02-007-MA-1580</v>
      </c>
      <c r="B361" t="s">
        <v>700</v>
      </c>
      <c r="C361" t="s">
        <v>79</v>
      </c>
      <c r="D361" s="1">
        <v>0</v>
      </c>
      <c r="E361" s="3">
        <v>1</v>
      </c>
      <c r="F361" s="3">
        <v>1</v>
      </c>
      <c r="G361" s="1">
        <v>0</v>
      </c>
    </row>
    <row r="362" spans="1:7" x14ac:dyDescent="0.25">
      <c r="A362" s="111" t="str">
        <f t="shared" si="5"/>
        <v>Ready Mixed Concrete</v>
      </c>
      <c r="B362" t="s">
        <v>80</v>
      </c>
      <c r="D362" s="1">
        <v>28182.47</v>
      </c>
      <c r="E362" s="3"/>
      <c r="F362" s="3">
        <v>1</v>
      </c>
      <c r="G362" s="1">
        <v>28182.47</v>
      </c>
    </row>
    <row r="363" spans="1:7" x14ac:dyDescent="0.25">
      <c r="A363" s="111" t="str">
        <f t="shared" si="5"/>
        <v>JDH4-02-007-MA-1610</v>
      </c>
      <c r="B363" t="s">
        <v>703</v>
      </c>
      <c r="C363" t="s">
        <v>135</v>
      </c>
      <c r="D363" s="1">
        <v>28182.47</v>
      </c>
      <c r="E363" s="3">
        <v>1</v>
      </c>
      <c r="F363" s="3">
        <v>1</v>
      </c>
      <c r="G363" s="1">
        <v>28182.47</v>
      </c>
    </row>
    <row r="364" spans="1:7" x14ac:dyDescent="0.25">
      <c r="A364" s="111" t="str">
        <f t="shared" si="5"/>
        <v>JDH4-02-007-MA-1600</v>
      </c>
      <c r="B364" t="s">
        <v>702</v>
      </c>
      <c r="C364" t="s">
        <v>82</v>
      </c>
      <c r="D364" s="1">
        <v>0</v>
      </c>
      <c r="E364" s="3">
        <v>1</v>
      </c>
      <c r="F364" s="3">
        <v>1</v>
      </c>
      <c r="G364" s="1">
        <v>0</v>
      </c>
    </row>
    <row r="365" spans="1:7" x14ac:dyDescent="0.25">
      <c r="A365" s="111" t="str">
        <f t="shared" si="5"/>
        <v>Water Proofing</v>
      </c>
      <c r="B365" t="s">
        <v>83</v>
      </c>
      <c r="D365" s="1">
        <v>28182.47</v>
      </c>
      <c r="E365" s="3"/>
      <c r="F365" s="3">
        <v>1</v>
      </c>
      <c r="G365" s="1">
        <v>28182.47</v>
      </c>
    </row>
    <row r="366" spans="1:7" x14ac:dyDescent="0.25">
      <c r="A366" s="111" t="str">
        <f t="shared" si="5"/>
        <v>JDH4-02-007-MA-1630</v>
      </c>
      <c r="B366" t="s">
        <v>705</v>
      </c>
      <c r="C366" t="s">
        <v>137</v>
      </c>
      <c r="D366" s="1">
        <v>28182.47</v>
      </c>
      <c r="E366" s="3">
        <v>1</v>
      </c>
      <c r="F366" s="3">
        <v>1</v>
      </c>
      <c r="G366" s="1">
        <v>28182.47</v>
      </c>
    </row>
    <row r="367" spans="1:7" x14ac:dyDescent="0.25">
      <c r="A367" s="111" t="str">
        <f t="shared" si="5"/>
        <v>JDH4-02-007-MA-1620</v>
      </c>
      <c r="B367" t="s">
        <v>704</v>
      </c>
      <c r="C367" t="s">
        <v>85</v>
      </c>
      <c r="D367" s="1">
        <v>0</v>
      </c>
      <c r="E367" s="3">
        <v>1</v>
      </c>
      <c r="F367" s="3">
        <v>1</v>
      </c>
      <c r="G367" s="1">
        <v>0</v>
      </c>
    </row>
    <row r="368" spans="1:7" x14ac:dyDescent="0.25">
      <c r="A368" s="111" t="str">
        <f t="shared" si="5"/>
        <v>Aggregate Base Course</v>
      </c>
      <c r="B368" t="s">
        <v>86</v>
      </c>
      <c r="D368" s="1">
        <v>28182.47</v>
      </c>
      <c r="E368" s="3"/>
      <c r="F368" s="3">
        <v>1</v>
      </c>
      <c r="G368" s="1">
        <v>28182.47</v>
      </c>
    </row>
    <row r="369" spans="1:7" x14ac:dyDescent="0.25">
      <c r="A369" s="111" t="str">
        <f t="shared" si="5"/>
        <v>JDH4-02-007-MA-1010</v>
      </c>
      <c r="B369" t="s">
        <v>707</v>
      </c>
      <c r="C369" t="s">
        <v>139</v>
      </c>
      <c r="D369" s="1">
        <v>28182.47</v>
      </c>
      <c r="E369" s="3">
        <v>1</v>
      </c>
      <c r="F369" s="3">
        <v>1</v>
      </c>
      <c r="G369" s="1">
        <v>28182.47</v>
      </c>
    </row>
    <row r="370" spans="1:7" x14ac:dyDescent="0.25">
      <c r="A370" s="111" t="str">
        <f t="shared" si="5"/>
        <v>JDH4-02-007-MA-1000</v>
      </c>
      <c r="B370" t="s">
        <v>706</v>
      </c>
      <c r="C370" t="s">
        <v>88</v>
      </c>
      <c r="D370" s="1">
        <v>0</v>
      </c>
      <c r="E370" s="3">
        <v>1</v>
      </c>
      <c r="F370" s="3">
        <v>1</v>
      </c>
      <c r="G370" s="1">
        <v>0</v>
      </c>
    </row>
    <row r="371" spans="1:7" x14ac:dyDescent="0.25">
      <c r="A371" s="111" t="str">
        <f t="shared" si="5"/>
        <v>Bituminous Base &amp; Wearing Course</v>
      </c>
      <c r="B371" t="s">
        <v>89</v>
      </c>
      <c r="D371" s="1">
        <v>28182.47</v>
      </c>
      <c r="E371" s="3"/>
      <c r="F371" s="3">
        <v>1</v>
      </c>
      <c r="G371" s="1">
        <v>28182.47</v>
      </c>
    </row>
    <row r="372" spans="1:7" x14ac:dyDescent="0.25">
      <c r="A372" s="111" t="str">
        <f t="shared" si="5"/>
        <v>JDH4-02-007-MA-1030</v>
      </c>
      <c r="B372" t="s">
        <v>709</v>
      </c>
      <c r="C372" t="s">
        <v>710</v>
      </c>
      <c r="D372" s="1">
        <v>28182.47</v>
      </c>
      <c r="E372" s="3">
        <v>1</v>
      </c>
      <c r="F372" s="3">
        <v>1</v>
      </c>
      <c r="G372" s="1">
        <v>28182.47</v>
      </c>
    </row>
    <row r="373" spans="1:7" x14ac:dyDescent="0.25">
      <c r="A373" s="111" t="str">
        <f t="shared" si="5"/>
        <v>JDH4-02-007-MA-1020</v>
      </c>
      <c r="B373" t="s">
        <v>708</v>
      </c>
      <c r="C373" t="s">
        <v>91</v>
      </c>
      <c r="D373" s="1">
        <v>0</v>
      </c>
      <c r="E373" s="3">
        <v>1</v>
      </c>
      <c r="F373" s="3">
        <v>1</v>
      </c>
      <c r="G373" s="1">
        <v>0</v>
      </c>
    </row>
    <row r="374" spans="1:7" x14ac:dyDescent="0.25">
      <c r="A374" s="111" t="str">
        <f t="shared" si="5"/>
        <v>Precast Concrete Kerb</v>
      </c>
      <c r="B374" t="s">
        <v>92</v>
      </c>
      <c r="D374" s="1">
        <v>28182.47</v>
      </c>
      <c r="E374" s="3"/>
      <c r="F374" s="3">
        <v>1</v>
      </c>
      <c r="G374" s="1">
        <v>28182.47</v>
      </c>
    </row>
    <row r="375" spans="1:7" x14ac:dyDescent="0.25">
      <c r="A375" s="111" t="str">
        <f t="shared" si="5"/>
        <v>JDH4-02-007-MA-1040</v>
      </c>
      <c r="B375" t="s">
        <v>711</v>
      </c>
      <c r="C375" t="s">
        <v>94</v>
      </c>
      <c r="D375">
        <v>0</v>
      </c>
      <c r="E375" s="3">
        <v>1</v>
      </c>
      <c r="F375" s="3">
        <v>1</v>
      </c>
      <c r="G375">
        <v>0</v>
      </c>
    </row>
    <row r="376" spans="1:7" x14ac:dyDescent="0.25">
      <c r="A376" s="111" t="str">
        <f t="shared" si="5"/>
        <v>JDH4-02-007-MA-1050</v>
      </c>
      <c r="B376" t="s">
        <v>712</v>
      </c>
      <c r="C376" t="s">
        <v>142</v>
      </c>
      <c r="D376" s="1">
        <v>28182.47</v>
      </c>
      <c r="E376" s="3">
        <v>1</v>
      </c>
      <c r="F376" s="3">
        <v>1</v>
      </c>
      <c r="G376" s="1">
        <v>28182.47</v>
      </c>
    </row>
    <row r="377" spans="1:7" x14ac:dyDescent="0.25">
      <c r="A377" s="111" t="str">
        <f t="shared" si="5"/>
        <v>Interlocking Block Pavers</v>
      </c>
      <c r="B377" t="s">
        <v>95</v>
      </c>
      <c r="D377" s="1">
        <v>28182.47</v>
      </c>
      <c r="E377" s="3"/>
      <c r="F377" s="3">
        <v>1</v>
      </c>
      <c r="G377" s="1">
        <v>28182.47</v>
      </c>
    </row>
    <row r="378" spans="1:7" x14ac:dyDescent="0.25">
      <c r="A378" s="111" t="str">
        <f t="shared" si="5"/>
        <v>JDH4-02-007-MA-1060</v>
      </c>
      <c r="B378" t="s">
        <v>713</v>
      </c>
      <c r="C378" t="s">
        <v>97</v>
      </c>
      <c r="D378">
        <v>0</v>
      </c>
      <c r="E378" s="3">
        <v>1</v>
      </c>
      <c r="F378" s="3">
        <v>1</v>
      </c>
      <c r="G378">
        <v>0</v>
      </c>
    </row>
    <row r="379" spans="1:7" x14ac:dyDescent="0.25">
      <c r="A379" s="111" t="str">
        <f t="shared" si="5"/>
        <v>JDH4-02-007-MA-1070</v>
      </c>
      <c r="B379" t="s">
        <v>714</v>
      </c>
      <c r="C379" t="s">
        <v>144</v>
      </c>
      <c r="D379" s="1">
        <v>28182.47</v>
      </c>
      <c r="E379" s="3">
        <v>1</v>
      </c>
      <c r="F379" s="3">
        <v>1</v>
      </c>
      <c r="G379" s="1">
        <v>28182.47</v>
      </c>
    </row>
    <row r="380" spans="1:7" x14ac:dyDescent="0.25">
      <c r="A380" s="111" t="str">
        <f t="shared" si="5"/>
        <v>Pavement Markings</v>
      </c>
      <c r="B380" t="s">
        <v>98</v>
      </c>
      <c r="D380" s="1">
        <v>28182.47</v>
      </c>
      <c r="F380" s="3">
        <v>1</v>
      </c>
      <c r="G380" s="1">
        <v>28182.47</v>
      </c>
    </row>
    <row r="381" spans="1:7" x14ac:dyDescent="0.25">
      <c r="A381" s="111" t="str">
        <f t="shared" si="5"/>
        <v>JDH4-02-007-MA-1080</v>
      </c>
      <c r="B381" t="s">
        <v>715</v>
      </c>
      <c r="C381" t="s">
        <v>100</v>
      </c>
      <c r="D381">
        <v>0</v>
      </c>
      <c r="E381" s="3">
        <v>1</v>
      </c>
      <c r="F381" s="3">
        <v>1</v>
      </c>
      <c r="G381">
        <v>0</v>
      </c>
    </row>
    <row r="382" spans="1:7" x14ac:dyDescent="0.25">
      <c r="A382" s="111" t="str">
        <f t="shared" si="5"/>
        <v>JDH4-02-007-MA-1090</v>
      </c>
      <c r="B382" t="s">
        <v>716</v>
      </c>
      <c r="C382" t="s">
        <v>146</v>
      </c>
      <c r="D382" s="1">
        <v>28182.47</v>
      </c>
      <c r="E382" s="3">
        <v>1</v>
      </c>
      <c r="F382" s="3">
        <v>1</v>
      </c>
      <c r="G382" s="1">
        <v>28182.47</v>
      </c>
    </row>
    <row r="383" spans="1:7" x14ac:dyDescent="0.25">
      <c r="A383" s="111" t="str">
        <f t="shared" si="5"/>
        <v>Traffic Signs</v>
      </c>
      <c r="B383" t="s">
        <v>101</v>
      </c>
      <c r="D383" s="1">
        <v>28182.47</v>
      </c>
      <c r="F383" s="3">
        <v>1</v>
      </c>
      <c r="G383" s="1">
        <v>28182.47</v>
      </c>
    </row>
    <row r="384" spans="1:7" x14ac:dyDescent="0.25">
      <c r="A384" s="111" t="str">
        <f t="shared" si="5"/>
        <v>JDH4-02-007-MA-1100</v>
      </c>
      <c r="B384" t="s">
        <v>717</v>
      </c>
      <c r="C384" t="s">
        <v>103</v>
      </c>
      <c r="D384">
        <v>0</v>
      </c>
      <c r="E384" s="3">
        <v>1</v>
      </c>
      <c r="F384" s="3">
        <v>1</v>
      </c>
      <c r="G384">
        <v>0</v>
      </c>
    </row>
    <row r="385" spans="1:7" x14ac:dyDescent="0.25">
      <c r="A385" s="111" t="str">
        <f t="shared" si="5"/>
        <v>JDH4-02-007-MA-1110</v>
      </c>
      <c r="B385" t="s">
        <v>718</v>
      </c>
      <c r="C385" t="s">
        <v>148</v>
      </c>
      <c r="D385" s="1">
        <v>28182.47</v>
      </c>
      <c r="E385" s="3">
        <v>1</v>
      </c>
      <c r="F385" s="3">
        <v>1</v>
      </c>
      <c r="G385" s="1">
        <v>28182.47</v>
      </c>
    </row>
    <row r="386" spans="1:7" x14ac:dyDescent="0.25">
      <c r="A386" s="111" t="str">
        <f t="shared" si="5"/>
        <v>Storm Network</v>
      </c>
      <c r="B386" t="s">
        <v>131</v>
      </c>
      <c r="D386" s="1">
        <v>84547.41</v>
      </c>
      <c r="F386" s="2">
        <v>1</v>
      </c>
      <c r="G386" s="1">
        <v>84547.41</v>
      </c>
    </row>
    <row r="387" spans="1:7" x14ac:dyDescent="0.25">
      <c r="A387" s="111" t="str">
        <f t="shared" si="5"/>
        <v>GRP Pipes</v>
      </c>
      <c r="B387" t="s">
        <v>128</v>
      </c>
      <c r="D387" s="1">
        <v>28182.47</v>
      </c>
      <c r="F387" s="3">
        <v>1</v>
      </c>
      <c r="G387" s="1">
        <v>28182.47</v>
      </c>
    </row>
    <row r="388" spans="1:7" x14ac:dyDescent="0.25">
      <c r="A388" s="111" t="str">
        <f t="shared" ref="A388:A451" si="6">TRIM(B388)</f>
        <v>JDH4-02-007-MA-1270</v>
      </c>
      <c r="B388" t="s">
        <v>720</v>
      </c>
      <c r="C388" t="s">
        <v>159</v>
      </c>
      <c r="D388" s="1">
        <v>28182.47</v>
      </c>
      <c r="E388" s="3">
        <v>1</v>
      </c>
      <c r="F388" s="3">
        <v>1</v>
      </c>
      <c r="G388" s="1">
        <v>28182.47</v>
      </c>
    </row>
    <row r="389" spans="1:7" x14ac:dyDescent="0.25">
      <c r="A389" s="111" t="str">
        <f t="shared" si="6"/>
        <v>JDH4-02-007-MA-1250</v>
      </c>
      <c r="B389" t="s">
        <v>719</v>
      </c>
      <c r="C389" t="s">
        <v>130</v>
      </c>
      <c r="D389" s="1">
        <v>0</v>
      </c>
      <c r="E389" s="3">
        <v>1</v>
      </c>
      <c r="F389" s="3">
        <v>1</v>
      </c>
      <c r="G389" s="1">
        <v>0</v>
      </c>
    </row>
    <row r="390" spans="1:7" x14ac:dyDescent="0.25">
      <c r="A390" s="111" t="str">
        <f t="shared" si="6"/>
        <v>Catch Basin</v>
      </c>
      <c r="B390" t="s">
        <v>473</v>
      </c>
      <c r="D390" s="1">
        <v>28182.47</v>
      </c>
      <c r="E390" s="3"/>
      <c r="F390" s="3">
        <v>1</v>
      </c>
      <c r="G390" s="1">
        <v>28182.47</v>
      </c>
    </row>
    <row r="391" spans="1:7" x14ac:dyDescent="0.25">
      <c r="A391" s="111" t="str">
        <f t="shared" si="6"/>
        <v>JDH4-02-007-MA-1650</v>
      </c>
      <c r="B391" t="s">
        <v>723</v>
      </c>
      <c r="C391" t="s">
        <v>724</v>
      </c>
      <c r="D391" s="1">
        <v>28182.47</v>
      </c>
      <c r="E391" s="3">
        <v>1</v>
      </c>
      <c r="F391" s="3">
        <v>1</v>
      </c>
      <c r="G391" s="1">
        <v>28182.47</v>
      </c>
    </row>
    <row r="392" spans="1:7" x14ac:dyDescent="0.25">
      <c r="A392" s="111" t="str">
        <f t="shared" si="6"/>
        <v>JDH4-02-007-MA-1640</v>
      </c>
      <c r="B392" t="s">
        <v>721</v>
      </c>
      <c r="C392" t="s">
        <v>722</v>
      </c>
      <c r="D392" s="1">
        <v>0</v>
      </c>
      <c r="E392" s="3">
        <v>1</v>
      </c>
      <c r="F392" s="3">
        <v>1</v>
      </c>
      <c r="G392" s="1">
        <v>0</v>
      </c>
    </row>
    <row r="393" spans="1:7" x14ac:dyDescent="0.25">
      <c r="A393" s="111" t="str">
        <f t="shared" si="6"/>
        <v>Inlet Manholes</v>
      </c>
      <c r="B393" t="s">
        <v>478</v>
      </c>
      <c r="D393" s="1">
        <v>28182.47</v>
      </c>
      <c r="E393" s="3"/>
      <c r="F393" s="3">
        <v>1</v>
      </c>
      <c r="G393" s="1">
        <v>28182.47</v>
      </c>
    </row>
    <row r="394" spans="1:7" x14ac:dyDescent="0.25">
      <c r="A394" s="111" t="str">
        <f t="shared" si="6"/>
        <v>JDH4-02-007-MA-1290</v>
      </c>
      <c r="B394" t="s">
        <v>727</v>
      </c>
      <c r="C394" t="s">
        <v>728</v>
      </c>
      <c r="D394" s="1">
        <v>28182.47</v>
      </c>
      <c r="E394" s="3">
        <v>1</v>
      </c>
      <c r="F394" s="3">
        <v>1</v>
      </c>
      <c r="G394" s="1">
        <v>28182.47</v>
      </c>
    </row>
    <row r="395" spans="1:7" x14ac:dyDescent="0.25">
      <c r="A395" s="111" t="str">
        <f t="shared" si="6"/>
        <v>JDH4-02-007-MA-1280</v>
      </c>
      <c r="B395" t="s">
        <v>725</v>
      </c>
      <c r="C395" t="s">
        <v>726</v>
      </c>
      <c r="D395" s="1">
        <v>0</v>
      </c>
      <c r="E395" s="3">
        <v>1</v>
      </c>
      <c r="F395" s="3">
        <v>1</v>
      </c>
      <c r="G395" s="1">
        <v>0</v>
      </c>
    </row>
    <row r="396" spans="1:7" x14ac:dyDescent="0.25">
      <c r="A396" s="111" t="str">
        <f t="shared" si="6"/>
        <v>Sanitary Sewerage</v>
      </c>
      <c r="B396" t="s">
        <v>483</v>
      </c>
      <c r="D396" s="1">
        <v>56364.94</v>
      </c>
      <c r="E396" s="3"/>
      <c r="F396" s="3">
        <v>1</v>
      </c>
      <c r="G396" s="1">
        <v>56364.94</v>
      </c>
    </row>
    <row r="397" spans="1:7" x14ac:dyDescent="0.25">
      <c r="A397" s="111" t="str">
        <f t="shared" si="6"/>
        <v>GRP Pipes</v>
      </c>
      <c r="B397" t="s">
        <v>128</v>
      </c>
      <c r="D397" s="1">
        <v>28182.47</v>
      </c>
      <c r="F397" s="3">
        <v>1</v>
      </c>
      <c r="G397" s="1">
        <v>28182.47</v>
      </c>
    </row>
    <row r="398" spans="1:7" x14ac:dyDescent="0.25">
      <c r="A398" s="111" t="str">
        <f t="shared" si="6"/>
        <v>JDH4-02-007-MA-1230</v>
      </c>
      <c r="B398" t="s">
        <v>730</v>
      </c>
      <c r="C398" t="s">
        <v>159</v>
      </c>
      <c r="D398" s="1">
        <v>28182.47</v>
      </c>
      <c r="E398" s="3">
        <v>1</v>
      </c>
      <c r="F398" s="3">
        <v>1</v>
      </c>
      <c r="G398" s="1">
        <v>28182.47</v>
      </c>
    </row>
    <row r="399" spans="1:7" x14ac:dyDescent="0.25">
      <c r="A399" s="111" t="str">
        <f t="shared" si="6"/>
        <v>JDH4-02-007-MA-1220</v>
      </c>
      <c r="B399" t="s">
        <v>729</v>
      </c>
      <c r="C399" t="s">
        <v>130</v>
      </c>
      <c r="D399" s="1">
        <v>0</v>
      </c>
      <c r="E399" s="3">
        <v>1</v>
      </c>
      <c r="F399" s="3">
        <v>1</v>
      </c>
      <c r="G399" s="1">
        <v>0</v>
      </c>
    </row>
    <row r="400" spans="1:7" x14ac:dyDescent="0.25">
      <c r="A400" s="111" t="str">
        <f t="shared" si="6"/>
        <v>Manholes</v>
      </c>
      <c r="B400" t="s">
        <v>486</v>
      </c>
      <c r="D400" s="1">
        <v>28182.47</v>
      </c>
      <c r="F400" s="3">
        <v>1</v>
      </c>
      <c r="G400" s="1">
        <v>28182.47</v>
      </c>
    </row>
    <row r="401" spans="1:7" x14ac:dyDescent="0.25">
      <c r="A401" s="111" t="str">
        <f t="shared" si="6"/>
        <v>JDH4-02-007-MA-1260</v>
      </c>
      <c r="B401" t="s">
        <v>733</v>
      </c>
      <c r="C401" t="s">
        <v>734</v>
      </c>
      <c r="D401" s="1">
        <v>28182.47</v>
      </c>
      <c r="E401" s="3">
        <v>1</v>
      </c>
      <c r="F401" s="3">
        <v>1</v>
      </c>
      <c r="G401" s="1">
        <v>28182.47</v>
      </c>
    </row>
    <row r="402" spans="1:7" x14ac:dyDescent="0.25">
      <c r="A402" s="111" t="str">
        <f t="shared" si="6"/>
        <v>JDH4-02-007-MA-1240</v>
      </c>
      <c r="B402" t="s">
        <v>731</v>
      </c>
      <c r="C402" t="s">
        <v>732</v>
      </c>
      <c r="D402" s="1">
        <v>0</v>
      </c>
      <c r="E402" s="3">
        <v>1</v>
      </c>
      <c r="F402" s="3">
        <v>1</v>
      </c>
      <c r="G402" s="1">
        <v>0</v>
      </c>
    </row>
    <row r="403" spans="1:7" x14ac:dyDescent="0.25">
      <c r="A403" s="111" t="str">
        <f t="shared" si="6"/>
        <v>TSE Network</v>
      </c>
      <c r="B403" t="s">
        <v>491</v>
      </c>
      <c r="D403" s="1">
        <v>84547.41</v>
      </c>
      <c r="F403" s="3">
        <v>1</v>
      </c>
      <c r="G403" s="1">
        <v>84547.41</v>
      </c>
    </row>
    <row r="404" spans="1:7" x14ac:dyDescent="0.25">
      <c r="A404" s="111" t="str">
        <f t="shared" si="6"/>
        <v>HDPE Pipe (PN 16)</v>
      </c>
      <c r="B404" t="s">
        <v>121</v>
      </c>
      <c r="D404" s="1">
        <v>28182.47</v>
      </c>
      <c r="E404" s="3"/>
      <c r="F404" s="3">
        <v>1</v>
      </c>
      <c r="G404" s="1">
        <v>28182.47</v>
      </c>
    </row>
    <row r="405" spans="1:7" x14ac:dyDescent="0.25">
      <c r="A405" s="111" t="str">
        <f t="shared" si="6"/>
        <v>JDH4-02-007-MA-1200</v>
      </c>
      <c r="B405" t="s">
        <v>735</v>
      </c>
      <c r="C405" t="s">
        <v>123</v>
      </c>
      <c r="D405">
        <v>0</v>
      </c>
      <c r="E405" s="3">
        <v>1</v>
      </c>
      <c r="F405" s="3">
        <v>1</v>
      </c>
      <c r="G405">
        <v>0</v>
      </c>
    </row>
    <row r="406" spans="1:7" x14ac:dyDescent="0.25">
      <c r="A406" s="111" t="str">
        <f t="shared" si="6"/>
        <v>JDH4-02-007-MA-1210</v>
      </c>
      <c r="B406" t="s">
        <v>736</v>
      </c>
      <c r="C406" t="s">
        <v>155</v>
      </c>
      <c r="D406" s="1">
        <v>28182.47</v>
      </c>
      <c r="E406" s="3">
        <v>1</v>
      </c>
      <c r="F406" s="3">
        <v>1</v>
      </c>
      <c r="G406" s="1">
        <v>28182.47</v>
      </c>
    </row>
    <row r="407" spans="1:7" x14ac:dyDescent="0.25">
      <c r="A407" s="111" t="str">
        <f t="shared" si="6"/>
        <v>Valves / Chambers</v>
      </c>
      <c r="B407" t="s">
        <v>494</v>
      </c>
      <c r="D407" s="1">
        <v>28182.47</v>
      </c>
      <c r="E407" s="3"/>
      <c r="F407" s="3">
        <v>1</v>
      </c>
      <c r="G407" s="1">
        <v>28182.47</v>
      </c>
    </row>
    <row r="408" spans="1:7" x14ac:dyDescent="0.25">
      <c r="A408" s="111" t="str">
        <f t="shared" si="6"/>
        <v>JDH4-02-007-MA-1440</v>
      </c>
      <c r="B408" t="s">
        <v>737</v>
      </c>
      <c r="C408" t="s">
        <v>738</v>
      </c>
      <c r="D408">
        <v>0</v>
      </c>
      <c r="E408" s="3">
        <v>1</v>
      </c>
      <c r="F408" s="3">
        <v>1</v>
      </c>
      <c r="G408">
        <v>0</v>
      </c>
    </row>
    <row r="409" spans="1:7" x14ac:dyDescent="0.25">
      <c r="A409" s="111" t="str">
        <f t="shared" si="6"/>
        <v>JDH4-02-007-MA-1450</v>
      </c>
      <c r="B409" t="s">
        <v>739</v>
      </c>
      <c r="C409" t="s">
        <v>740</v>
      </c>
      <c r="D409" s="1">
        <v>28182.47</v>
      </c>
      <c r="E409" s="3">
        <v>1</v>
      </c>
      <c r="F409" s="3">
        <v>1</v>
      </c>
      <c r="G409" s="1">
        <v>28182.47</v>
      </c>
    </row>
    <row r="410" spans="1:7" x14ac:dyDescent="0.25">
      <c r="A410" s="111" t="str">
        <f t="shared" si="6"/>
        <v>Risers</v>
      </c>
      <c r="B410" t="s">
        <v>499</v>
      </c>
      <c r="D410" s="1">
        <v>28182.47</v>
      </c>
      <c r="E410" s="3"/>
      <c r="F410" s="3">
        <v>1</v>
      </c>
      <c r="G410" s="1">
        <v>28182.47</v>
      </c>
    </row>
    <row r="411" spans="1:7" x14ac:dyDescent="0.25">
      <c r="A411" s="111" t="str">
        <f t="shared" si="6"/>
        <v>JDH4-02-007-MA-1460</v>
      </c>
      <c r="B411" t="s">
        <v>741</v>
      </c>
      <c r="C411" t="s">
        <v>742</v>
      </c>
      <c r="D411">
        <v>0</v>
      </c>
      <c r="E411" s="3">
        <v>1</v>
      </c>
      <c r="F411" s="3">
        <v>1</v>
      </c>
      <c r="G411">
        <v>0</v>
      </c>
    </row>
    <row r="412" spans="1:7" x14ac:dyDescent="0.25">
      <c r="A412" s="111" t="str">
        <f t="shared" si="6"/>
        <v>JDH4-02-007-MA-1470</v>
      </c>
      <c r="B412" t="s">
        <v>743</v>
      </c>
      <c r="C412" t="s">
        <v>744</v>
      </c>
      <c r="D412" s="1">
        <v>28182.47</v>
      </c>
      <c r="E412" s="3">
        <v>1</v>
      </c>
      <c r="F412" s="3">
        <v>1</v>
      </c>
      <c r="G412" s="1">
        <v>28182.47</v>
      </c>
    </row>
    <row r="413" spans="1:7" x14ac:dyDescent="0.25">
      <c r="A413" s="111" t="str">
        <f t="shared" si="6"/>
        <v>Potable Water Network</v>
      </c>
      <c r="B413" t="s">
        <v>504</v>
      </c>
      <c r="D413" s="1">
        <v>84547.41</v>
      </c>
      <c r="E413" s="3"/>
      <c r="F413" s="3">
        <v>1</v>
      </c>
      <c r="G413" s="1">
        <v>84547.41</v>
      </c>
    </row>
    <row r="414" spans="1:7" x14ac:dyDescent="0.25">
      <c r="A414" s="111" t="str">
        <f t="shared" si="6"/>
        <v>HDPE Pipe (PN 16)</v>
      </c>
      <c r="B414" t="s">
        <v>121</v>
      </c>
      <c r="D414" s="1">
        <v>28182.47</v>
      </c>
      <c r="E414" s="3"/>
      <c r="F414" s="3">
        <v>1</v>
      </c>
      <c r="G414" s="1">
        <v>28182.47</v>
      </c>
    </row>
    <row r="415" spans="1:7" x14ac:dyDescent="0.25">
      <c r="A415" s="111" t="str">
        <f t="shared" si="6"/>
        <v>JDH4-02-007-MA-1180</v>
      </c>
      <c r="B415" t="s">
        <v>745</v>
      </c>
      <c r="C415" t="s">
        <v>123</v>
      </c>
      <c r="D415">
        <v>0</v>
      </c>
      <c r="E415" s="3">
        <v>1</v>
      </c>
      <c r="F415" s="3">
        <v>1</v>
      </c>
      <c r="G415">
        <v>0</v>
      </c>
    </row>
    <row r="416" spans="1:7" x14ac:dyDescent="0.25">
      <c r="A416" s="111" t="str">
        <f t="shared" si="6"/>
        <v>JDH4-02-007-MA-1190</v>
      </c>
      <c r="B416" t="s">
        <v>746</v>
      </c>
      <c r="C416" t="s">
        <v>155</v>
      </c>
      <c r="D416" s="1">
        <v>28182.47</v>
      </c>
      <c r="E416" s="3">
        <v>1</v>
      </c>
      <c r="F416" s="3">
        <v>1</v>
      </c>
      <c r="G416" s="1">
        <v>28182.47</v>
      </c>
    </row>
    <row r="417" spans="1:7" x14ac:dyDescent="0.25">
      <c r="A417" s="111" t="str">
        <f t="shared" si="6"/>
        <v>Valves / Chambers</v>
      </c>
      <c r="B417" t="s">
        <v>494</v>
      </c>
      <c r="D417" s="1">
        <v>28182.47</v>
      </c>
      <c r="E417" s="3"/>
      <c r="F417" s="3">
        <v>1</v>
      </c>
      <c r="G417" s="1">
        <v>28182.47</v>
      </c>
    </row>
    <row r="418" spans="1:7" x14ac:dyDescent="0.25">
      <c r="A418" s="111" t="str">
        <f t="shared" si="6"/>
        <v>JDH4-02-007-MA-1420</v>
      </c>
      <c r="B418" t="s">
        <v>747</v>
      </c>
      <c r="C418" t="s">
        <v>738</v>
      </c>
      <c r="D418" s="1">
        <v>0</v>
      </c>
      <c r="E418" s="3">
        <v>1</v>
      </c>
      <c r="F418" s="2">
        <v>1</v>
      </c>
      <c r="G418">
        <v>0</v>
      </c>
    </row>
    <row r="419" spans="1:7" x14ac:dyDescent="0.25">
      <c r="A419" s="111" t="str">
        <f t="shared" si="6"/>
        <v>JDH4-02-007-MA-1430</v>
      </c>
      <c r="B419" t="s">
        <v>748</v>
      </c>
      <c r="C419" t="s">
        <v>740</v>
      </c>
      <c r="D419" s="1">
        <v>28182.47</v>
      </c>
      <c r="E419" s="3">
        <v>1</v>
      </c>
      <c r="F419" s="3">
        <v>1</v>
      </c>
      <c r="G419" s="1">
        <v>28182.47</v>
      </c>
    </row>
    <row r="420" spans="1:7" x14ac:dyDescent="0.25">
      <c r="A420" s="111" t="str">
        <f t="shared" si="6"/>
        <v>Fire Hydrant</v>
      </c>
      <c r="B420" t="s">
        <v>124</v>
      </c>
      <c r="D420" s="1">
        <v>28182.47</v>
      </c>
      <c r="E420" s="3"/>
      <c r="F420" s="3">
        <v>1</v>
      </c>
      <c r="G420" s="1">
        <v>28182.47</v>
      </c>
    </row>
    <row r="421" spans="1:7" x14ac:dyDescent="0.25">
      <c r="A421" s="111" t="str">
        <f t="shared" si="6"/>
        <v>JDH4-02-007-MA-1660</v>
      </c>
      <c r="B421" t="s">
        <v>749</v>
      </c>
      <c r="C421" t="s">
        <v>126</v>
      </c>
      <c r="D421">
        <v>0</v>
      </c>
      <c r="E421" s="3">
        <v>1</v>
      </c>
      <c r="F421" s="3">
        <v>1</v>
      </c>
      <c r="G421">
        <v>0</v>
      </c>
    </row>
    <row r="422" spans="1:7" x14ac:dyDescent="0.25">
      <c r="A422" s="111" t="str">
        <f t="shared" si="6"/>
        <v>JDH4-02-007-MA-1670</v>
      </c>
      <c r="B422" t="s">
        <v>750</v>
      </c>
      <c r="C422" t="s">
        <v>157</v>
      </c>
      <c r="D422" s="1">
        <v>28182.47</v>
      </c>
      <c r="E422" s="3">
        <v>1</v>
      </c>
      <c r="F422" s="3">
        <v>1</v>
      </c>
      <c r="G422" s="1">
        <v>28182.47</v>
      </c>
    </row>
    <row r="423" spans="1:7" x14ac:dyDescent="0.25">
      <c r="A423" s="111" t="str">
        <f t="shared" si="6"/>
        <v>Electrical Network</v>
      </c>
      <c r="B423" t="s">
        <v>104</v>
      </c>
      <c r="D423" s="1">
        <v>281824.7</v>
      </c>
      <c r="E423" s="3"/>
      <c r="F423" s="3">
        <v>1</v>
      </c>
      <c r="G423" s="1">
        <v>281824.7</v>
      </c>
    </row>
    <row r="424" spans="1:7" x14ac:dyDescent="0.25">
      <c r="A424" s="111" t="str">
        <f t="shared" si="6"/>
        <v>Pipe for the Duct</v>
      </c>
      <c r="B424" t="s">
        <v>511</v>
      </c>
      <c r="D424" s="1">
        <v>28182.47</v>
      </c>
      <c r="E424" s="3"/>
      <c r="F424" s="3">
        <v>1</v>
      </c>
      <c r="G424" s="1">
        <v>28182.47</v>
      </c>
    </row>
    <row r="425" spans="1:7" x14ac:dyDescent="0.25">
      <c r="A425" s="111" t="str">
        <f t="shared" si="6"/>
        <v>JDH4-02-007-MA-1120</v>
      </c>
      <c r="B425" t="s">
        <v>751</v>
      </c>
      <c r="C425" t="s">
        <v>752</v>
      </c>
      <c r="D425" s="1">
        <v>0</v>
      </c>
      <c r="E425" s="3">
        <v>1</v>
      </c>
      <c r="F425" s="3">
        <v>1</v>
      </c>
      <c r="G425">
        <v>0</v>
      </c>
    </row>
    <row r="426" spans="1:7" x14ac:dyDescent="0.25">
      <c r="A426" s="111" t="str">
        <f t="shared" si="6"/>
        <v>JDH4-02-007-MA-1130</v>
      </c>
      <c r="B426" t="s">
        <v>753</v>
      </c>
      <c r="C426" t="s">
        <v>754</v>
      </c>
      <c r="D426" s="1">
        <v>28182.47</v>
      </c>
      <c r="E426" s="3">
        <v>1</v>
      </c>
      <c r="F426" s="3">
        <v>1</v>
      </c>
      <c r="G426" s="1">
        <v>28182.47</v>
      </c>
    </row>
    <row r="427" spans="1:7" x14ac:dyDescent="0.25">
      <c r="A427" s="111" t="str">
        <f t="shared" si="6"/>
        <v>Low Voltage Cables</v>
      </c>
      <c r="B427" t="s">
        <v>105</v>
      </c>
      <c r="D427" s="1">
        <v>28182.47</v>
      </c>
      <c r="E427" s="3"/>
      <c r="F427" s="3">
        <v>1</v>
      </c>
      <c r="G427" s="1">
        <v>28182.47</v>
      </c>
    </row>
    <row r="428" spans="1:7" x14ac:dyDescent="0.25">
      <c r="A428" s="111" t="str">
        <f t="shared" si="6"/>
        <v>JDH4-02-007-MA-1330</v>
      </c>
      <c r="B428" t="s">
        <v>756</v>
      </c>
      <c r="C428" t="s">
        <v>757</v>
      </c>
      <c r="D428" s="1">
        <v>28182.47</v>
      </c>
      <c r="E428" s="3">
        <v>1</v>
      </c>
      <c r="F428" s="3">
        <v>1</v>
      </c>
      <c r="G428" s="1">
        <v>28182.47</v>
      </c>
    </row>
    <row r="429" spans="1:7" x14ac:dyDescent="0.25">
      <c r="A429" s="111" t="str">
        <f t="shared" si="6"/>
        <v>JDH4-02-007-MA-1320</v>
      </c>
      <c r="B429" t="s">
        <v>755</v>
      </c>
      <c r="C429" t="s">
        <v>107</v>
      </c>
      <c r="D429" s="1">
        <v>0</v>
      </c>
      <c r="E429" s="3">
        <v>1</v>
      </c>
      <c r="F429" s="3">
        <v>1</v>
      </c>
      <c r="G429" s="1">
        <v>0</v>
      </c>
    </row>
    <row r="430" spans="1:7" x14ac:dyDescent="0.25">
      <c r="A430" s="111" t="str">
        <f t="shared" si="6"/>
        <v>Earthing System</v>
      </c>
      <c r="B430" t="s">
        <v>108</v>
      </c>
      <c r="D430" s="1">
        <v>28182.47</v>
      </c>
      <c r="E430" s="3"/>
      <c r="F430" s="3">
        <v>1</v>
      </c>
      <c r="G430" s="1">
        <v>28182.47</v>
      </c>
    </row>
    <row r="431" spans="1:7" x14ac:dyDescent="0.25">
      <c r="A431" s="111" t="str">
        <f t="shared" si="6"/>
        <v>JDH4-02-007-MA-1160</v>
      </c>
      <c r="B431" t="s">
        <v>758</v>
      </c>
      <c r="C431" t="s">
        <v>110</v>
      </c>
      <c r="D431" s="1">
        <v>0</v>
      </c>
      <c r="E431" s="3">
        <v>1</v>
      </c>
      <c r="F431" s="3">
        <v>1</v>
      </c>
      <c r="G431">
        <v>0</v>
      </c>
    </row>
    <row r="432" spans="1:7" x14ac:dyDescent="0.25">
      <c r="A432" s="111" t="str">
        <f t="shared" si="6"/>
        <v>JDH4-02-007-MA-1170</v>
      </c>
      <c r="B432" t="s">
        <v>759</v>
      </c>
      <c r="C432" t="s">
        <v>760</v>
      </c>
      <c r="D432" s="1">
        <v>28182.47</v>
      </c>
      <c r="E432" s="3">
        <v>1</v>
      </c>
      <c r="F432" s="3">
        <v>1</v>
      </c>
      <c r="G432" s="1">
        <v>28182.47</v>
      </c>
    </row>
    <row r="433" spans="1:7" x14ac:dyDescent="0.25">
      <c r="A433" s="111" t="str">
        <f t="shared" si="6"/>
        <v>Medium Voltage Cable</v>
      </c>
      <c r="B433" t="s">
        <v>111</v>
      </c>
      <c r="D433" s="1">
        <v>28182.47</v>
      </c>
      <c r="E433" s="3"/>
      <c r="F433" s="3">
        <v>1</v>
      </c>
      <c r="G433" s="1">
        <v>28182.47</v>
      </c>
    </row>
    <row r="434" spans="1:7" x14ac:dyDescent="0.25">
      <c r="A434" s="111" t="str">
        <f t="shared" si="6"/>
        <v>JDH4-02-007-MA-1300</v>
      </c>
      <c r="B434" t="s">
        <v>761</v>
      </c>
      <c r="C434" t="s">
        <v>113</v>
      </c>
      <c r="D434" s="1">
        <v>0</v>
      </c>
      <c r="E434" s="3">
        <v>1</v>
      </c>
      <c r="F434" s="3">
        <v>1</v>
      </c>
      <c r="G434">
        <v>0</v>
      </c>
    </row>
    <row r="435" spans="1:7" x14ac:dyDescent="0.25">
      <c r="A435" s="111" t="str">
        <f t="shared" si="6"/>
        <v>JDH4-02-007-MA-1310</v>
      </c>
      <c r="B435" t="s">
        <v>762</v>
      </c>
      <c r="C435" t="s">
        <v>763</v>
      </c>
      <c r="D435" s="1">
        <v>28182.47</v>
      </c>
      <c r="E435" s="3">
        <v>1</v>
      </c>
      <c r="F435" s="3">
        <v>1</v>
      </c>
      <c r="G435" s="1">
        <v>28182.47</v>
      </c>
    </row>
    <row r="436" spans="1:7" x14ac:dyDescent="0.25">
      <c r="A436" s="111" t="str">
        <f t="shared" si="6"/>
        <v>Low Voltage Distribution Panel</v>
      </c>
      <c r="B436" t="s">
        <v>522</v>
      </c>
      <c r="D436" s="1">
        <v>28182.47</v>
      </c>
      <c r="E436" s="3"/>
      <c r="F436" s="3">
        <v>1</v>
      </c>
      <c r="G436" s="1">
        <v>28182.47</v>
      </c>
    </row>
    <row r="437" spans="1:7" x14ac:dyDescent="0.25">
      <c r="A437" s="111" t="str">
        <f t="shared" si="6"/>
        <v>JDH4-02-007-MA-1140</v>
      </c>
      <c r="B437" t="s">
        <v>764</v>
      </c>
      <c r="C437" t="s">
        <v>765</v>
      </c>
      <c r="D437" s="1">
        <v>0</v>
      </c>
      <c r="E437" s="3">
        <v>1</v>
      </c>
      <c r="F437" s="3">
        <v>1</v>
      </c>
      <c r="G437">
        <v>0</v>
      </c>
    </row>
    <row r="438" spans="1:7" x14ac:dyDescent="0.25">
      <c r="A438" s="111" t="str">
        <f t="shared" si="6"/>
        <v>JDH4-02-007-MA-1150</v>
      </c>
      <c r="B438" t="s">
        <v>766</v>
      </c>
      <c r="C438" t="s">
        <v>767</v>
      </c>
      <c r="D438" s="1">
        <v>28182.47</v>
      </c>
      <c r="E438" s="3">
        <v>1</v>
      </c>
      <c r="F438" s="3">
        <v>1</v>
      </c>
      <c r="G438" s="1">
        <v>28182.47</v>
      </c>
    </row>
    <row r="439" spans="1:7" x14ac:dyDescent="0.25">
      <c r="A439" s="111" t="str">
        <f t="shared" si="6"/>
        <v>Unit Sub Station</v>
      </c>
      <c r="B439" t="s">
        <v>527</v>
      </c>
      <c r="D439" s="1">
        <v>28182.47</v>
      </c>
      <c r="E439" s="3"/>
      <c r="F439" s="3">
        <v>1</v>
      </c>
      <c r="G439" s="1">
        <v>28182.47</v>
      </c>
    </row>
    <row r="440" spans="1:7" x14ac:dyDescent="0.25">
      <c r="A440" s="111" t="str">
        <f t="shared" si="6"/>
        <v>JDH4-02-007-MA-1380</v>
      </c>
      <c r="B440" t="s">
        <v>768</v>
      </c>
      <c r="C440" t="s">
        <v>769</v>
      </c>
      <c r="D440" s="1">
        <v>0</v>
      </c>
      <c r="E440" s="3">
        <v>1</v>
      </c>
      <c r="F440" s="3">
        <v>1</v>
      </c>
      <c r="G440">
        <v>0</v>
      </c>
    </row>
    <row r="441" spans="1:7" x14ac:dyDescent="0.25">
      <c r="A441" s="111" t="str">
        <f t="shared" si="6"/>
        <v>JDH4-02-007-MA-1390</v>
      </c>
      <c r="B441" t="s">
        <v>770</v>
      </c>
      <c r="C441" t="s">
        <v>771</v>
      </c>
      <c r="D441" s="1">
        <v>28182.47</v>
      </c>
      <c r="E441" s="3">
        <v>1</v>
      </c>
      <c r="F441" s="3">
        <v>1</v>
      </c>
      <c r="G441" s="1">
        <v>28182.47</v>
      </c>
    </row>
    <row r="442" spans="1:7" x14ac:dyDescent="0.25">
      <c r="A442" s="111" t="str">
        <f t="shared" si="6"/>
        <v>Ring Main Unit (RMU)</v>
      </c>
      <c r="B442" t="s">
        <v>532</v>
      </c>
      <c r="D442" s="1">
        <v>28182.47</v>
      </c>
      <c r="E442" s="3"/>
      <c r="F442" s="3">
        <v>1</v>
      </c>
      <c r="G442" s="1">
        <v>28182.47</v>
      </c>
    </row>
    <row r="443" spans="1:7" x14ac:dyDescent="0.25">
      <c r="A443" s="111" t="str">
        <f t="shared" si="6"/>
        <v>JDH4-02-007-MA-1400</v>
      </c>
      <c r="B443" t="s">
        <v>772</v>
      </c>
      <c r="C443" t="s">
        <v>773</v>
      </c>
      <c r="D443" s="1">
        <v>0</v>
      </c>
      <c r="E443" s="3">
        <v>1</v>
      </c>
      <c r="F443" s="3">
        <v>1</v>
      </c>
      <c r="G443">
        <v>0</v>
      </c>
    </row>
    <row r="444" spans="1:7" x14ac:dyDescent="0.25">
      <c r="A444" s="111" t="str">
        <f t="shared" si="6"/>
        <v>JDH4-02-007-MA-1410</v>
      </c>
      <c r="B444" t="s">
        <v>774</v>
      </c>
      <c r="C444" t="s">
        <v>775</v>
      </c>
      <c r="D444" s="1">
        <v>28182.47</v>
      </c>
      <c r="E444" s="3">
        <v>1</v>
      </c>
      <c r="F444" s="3">
        <v>1</v>
      </c>
      <c r="G444" s="1">
        <v>28182.47</v>
      </c>
    </row>
    <row r="445" spans="1:7" x14ac:dyDescent="0.25">
      <c r="A445" s="111" t="str">
        <f t="shared" si="6"/>
        <v>Lighting poles</v>
      </c>
      <c r="B445" t="s">
        <v>114</v>
      </c>
      <c r="D445" s="1">
        <v>28182.47</v>
      </c>
      <c r="E445" s="3"/>
      <c r="F445" s="3">
        <v>1</v>
      </c>
      <c r="G445" s="1">
        <v>28182.47</v>
      </c>
    </row>
    <row r="446" spans="1:7" x14ac:dyDescent="0.25">
      <c r="A446" s="111" t="str">
        <f t="shared" si="6"/>
        <v>JDH4-02-007-MA-1340</v>
      </c>
      <c r="B446" t="s">
        <v>776</v>
      </c>
      <c r="C446" t="s">
        <v>116</v>
      </c>
      <c r="D446" s="1">
        <v>0</v>
      </c>
      <c r="E446" s="3">
        <v>1</v>
      </c>
      <c r="F446" s="3">
        <v>1</v>
      </c>
      <c r="G446">
        <v>0</v>
      </c>
    </row>
    <row r="447" spans="1:7" x14ac:dyDescent="0.25">
      <c r="A447" s="111" t="str">
        <f t="shared" si="6"/>
        <v>JDH4-02-007-MA-1350</v>
      </c>
      <c r="B447" t="s">
        <v>777</v>
      </c>
      <c r="C447" t="s">
        <v>778</v>
      </c>
      <c r="D447" s="1">
        <v>28182.47</v>
      </c>
      <c r="E447" s="3">
        <v>1</v>
      </c>
      <c r="F447" s="3">
        <v>1</v>
      </c>
      <c r="G447" s="1">
        <v>28182.47</v>
      </c>
    </row>
    <row r="448" spans="1:7" x14ac:dyDescent="0.25">
      <c r="A448" s="111" t="str">
        <f t="shared" si="6"/>
        <v>Lighting panels/Feeder Pillers</v>
      </c>
      <c r="B448" t="s">
        <v>539</v>
      </c>
      <c r="D448" s="1">
        <v>28182.47</v>
      </c>
      <c r="E448" s="3"/>
      <c r="F448" s="3">
        <v>1</v>
      </c>
      <c r="G448" s="1">
        <v>28182.47</v>
      </c>
    </row>
    <row r="449" spans="1:7" x14ac:dyDescent="0.25">
      <c r="A449" s="111" t="str">
        <f t="shared" si="6"/>
        <v>JDH4-02-007-MA-1515</v>
      </c>
      <c r="B449" t="s">
        <v>779</v>
      </c>
      <c r="C449" t="s">
        <v>780</v>
      </c>
      <c r="D449">
        <v>0</v>
      </c>
      <c r="E449" s="3">
        <v>1</v>
      </c>
      <c r="F449" s="3">
        <v>1</v>
      </c>
      <c r="G449">
        <v>0</v>
      </c>
    </row>
    <row r="450" spans="1:7" x14ac:dyDescent="0.25">
      <c r="A450" s="111" t="str">
        <f t="shared" si="6"/>
        <v>JDH4-02-007-MA-1520</v>
      </c>
      <c r="B450" t="s">
        <v>781</v>
      </c>
      <c r="C450" t="s">
        <v>782</v>
      </c>
      <c r="D450" s="1">
        <v>28182.47</v>
      </c>
      <c r="E450" s="3">
        <v>1</v>
      </c>
      <c r="F450" s="3">
        <v>1</v>
      </c>
      <c r="G450" s="1">
        <v>28182.47</v>
      </c>
    </row>
    <row r="451" spans="1:7" x14ac:dyDescent="0.25">
      <c r="A451" s="111" t="str">
        <f t="shared" si="6"/>
        <v>Street Lighting Luminaire</v>
      </c>
      <c r="B451" t="s">
        <v>117</v>
      </c>
      <c r="D451" s="1">
        <v>28182.47</v>
      </c>
      <c r="E451" s="3"/>
      <c r="F451" s="3">
        <v>1</v>
      </c>
      <c r="G451" s="1">
        <v>28182.47</v>
      </c>
    </row>
    <row r="452" spans="1:7" x14ac:dyDescent="0.25">
      <c r="A452" s="111" t="str">
        <f t="shared" ref="A452:A515" si="7">TRIM(B452)</f>
        <v>JDH4-02-007-MA-1360</v>
      </c>
      <c r="B452" t="s">
        <v>783</v>
      </c>
      <c r="C452" t="s">
        <v>119</v>
      </c>
      <c r="D452" s="1">
        <v>0</v>
      </c>
      <c r="E452" s="3">
        <v>1</v>
      </c>
      <c r="F452" s="3">
        <v>1</v>
      </c>
      <c r="G452">
        <v>0</v>
      </c>
    </row>
    <row r="453" spans="1:7" x14ac:dyDescent="0.25">
      <c r="A453" s="111" t="str">
        <f t="shared" si="7"/>
        <v>JDH4-02-007-MA-1370</v>
      </c>
      <c r="B453" t="s">
        <v>784</v>
      </c>
      <c r="C453" t="s">
        <v>785</v>
      </c>
      <c r="D453" s="1">
        <v>28182.47</v>
      </c>
      <c r="E453" s="3">
        <v>1</v>
      </c>
      <c r="F453" s="3">
        <v>1</v>
      </c>
      <c r="G453" s="1">
        <v>28182.47</v>
      </c>
    </row>
    <row r="454" spans="1:7" x14ac:dyDescent="0.25">
      <c r="A454" s="111" t="str">
        <f t="shared" si="7"/>
        <v>Telecommunications</v>
      </c>
      <c r="B454" t="s">
        <v>546</v>
      </c>
      <c r="D454" s="1">
        <v>28182.47</v>
      </c>
      <c r="E454" s="3"/>
      <c r="F454" s="3">
        <v>1</v>
      </c>
      <c r="G454" s="1">
        <v>28182.47</v>
      </c>
    </row>
    <row r="455" spans="1:7" x14ac:dyDescent="0.25">
      <c r="A455" s="111" t="str">
        <f t="shared" si="7"/>
        <v>Pipe for the Duct</v>
      </c>
      <c r="B455" t="s">
        <v>511</v>
      </c>
      <c r="D455" s="1">
        <v>28182.47</v>
      </c>
      <c r="F455" s="3">
        <v>1</v>
      </c>
      <c r="G455" s="1">
        <v>28182.47</v>
      </c>
    </row>
    <row r="456" spans="1:7" x14ac:dyDescent="0.25">
      <c r="A456" s="111" t="str">
        <f t="shared" si="7"/>
        <v>JDH4-02-007-MA-1550</v>
      </c>
      <c r="B456" t="s">
        <v>787</v>
      </c>
      <c r="C456" t="s">
        <v>788</v>
      </c>
      <c r="D456" s="1">
        <v>28182.47</v>
      </c>
      <c r="E456" s="3">
        <v>1</v>
      </c>
      <c r="F456" s="3">
        <v>1</v>
      </c>
      <c r="G456" s="1">
        <v>28182.47</v>
      </c>
    </row>
    <row r="457" spans="1:7" x14ac:dyDescent="0.25">
      <c r="A457" s="111" t="str">
        <f t="shared" si="7"/>
        <v>JDH4-02-007-MA-1540</v>
      </c>
      <c r="B457" t="s">
        <v>786</v>
      </c>
      <c r="C457" t="s">
        <v>752</v>
      </c>
      <c r="D457" s="1">
        <v>0</v>
      </c>
      <c r="E457" s="3">
        <v>1</v>
      </c>
      <c r="F457" s="3">
        <v>1</v>
      </c>
      <c r="G457" s="1">
        <v>0</v>
      </c>
    </row>
    <row r="458" spans="1:7" x14ac:dyDescent="0.25">
      <c r="A458" s="111" t="str">
        <f t="shared" si="7"/>
        <v>Sewage Lift Station</v>
      </c>
      <c r="B458" t="s">
        <v>549</v>
      </c>
      <c r="D458" s="1">
        <v>845473.86</v>
      </c>
      <c r="F458" s="3">
        <v>1</v>
      </c>
      <c r="G458" s="1">
        <v>845473.86</v>
      </c>
    </row>
    <row r="459" spans="1:7" x14ac:dyDescent="0.25">
      <c r="A459" s="111" t="str">
        <f t="shared" si="7"/>
        <v>Thermal &amp; Moisture Protection</v>
      </c>
      <c r="B459" t="s">
        <v>550</v>
      </c>
      <c r="D459" s="1">
        <v>28182.47</v>
      </c>
      <c r="F459" s="3">
        <v>1</v>
      </c>
      <c r="G459" s="1">
        <v>28182.47</v>
      </c>
    </row>
    <row r="460" spans="1:7" x14ac:dyDescent="0.25">
      <c r="A460" s="111" t="str">
        <f t="shared" si="7"/>
        <v>JDH4-02-007-MA-1490</v>
      </c>
      <c r="B460" t="s">
        <v>789</v>
      </c>
      <c r="C460" t="s">
        <v>790</v>
      </c>
      <c r="D460">
        <v>0</v>
      </c>
      <c r="E460" s="3">
        <v>1</v>
      </c>
      <c r="F460" s="3">
        <v>1</v>
      </c>
      <c r="G460">
        <v>0</v>
      </c>
    </row>
    <row r="461" spans="1:7" x14ac:dyDescent="0.25">
      <c r="A461" s="111" t="str">
        <f t="shared" si="7"/>
        <v>JDH4-02-007-MA-1510</v>
      </c>
      <c r="B461" t="s">
        <v>791</v>
      </c>
      <c r="C461" t="s">
        <v>792</v>
      </c>
      <c r="D461" s="1">
        <v>28182.47</v>
      </c>
      <c r="E461" s="3">
        <v>1</v>
      </c>
      <c r="F461" s="3">
        <v>1</v>
      </c>
      <c r="G461" s="1">
        <v>28182.47</v>
      </c>
    </row>
    <row r="462" spans="1:7" x14ac:dyDescent="0.25">
      <c r="A462" s="111" t="str">
        <f t="shared" si="7"/>
        <v>Metals</v>
      </c>
      <c r="B462" t="s">
        <v>555</v>
      </c>
      <c r="D462" s="1">
        <v>28182.47</v>
      </c>
      <c r="F462" s="3">
        <v>1</v>
      </c>
      <c r="G462" s="1">
        <v>28182.47</v>
      </c>
    </row>
    <row r="463" spans="1:7" x14ac:dyDescent="0.25">
      <c r="A463" s="111" t="str">
        <f t="shared" si="7"/>
        <v>JDH4-02-007-MA-1480</v>
      </c>
      <c r="B463" t="s">
        <v>793</v>
      </c>
      <c r="C463" t="s">
        <v>794</v>
      </c>
      <c r="D463">
        <v>0</v>
      </c>
      <c r="E463" s="3">
        <v>1</v>
      </c>
      <c r="F463" s="3">
        <v>1</v>
      </c>
      <c r="G463">
        <v>0</v>
      </c>
    </row>
    <row r="464" spans="1:7" x14ac:dyDescent="0.25">
      <c r="A464" s="111" t="str">
        <f t="shared" si="7"/>
        <v>JDH4-02-007-MA-1500</v>
      </c>
      <c r="B464" t="s">
        <v>795</v>
      </c>
      <c r="C464" t="s">
        <v>796</v>
      </c>
      <c r="D464" s="1">
        <v>28182.47</v>
      </c>
      <c r="E464" s="3">
        <v>1</v>
      </c>
      <c r="F464" s="3">
        <v>1</v>
      </c>
      <c r="G464" s="1">
        <v>28182.47</v>
      </c>
    </row>
    <row r="465" spans="1:7" x14ac:dyDescent="0.25">
      <c r="A465" s="111" t="str">
        <f t="shared" si="7"/>
        <v>Pumps</v>
      </c>
      <c r="B465" t="s">
        <v>560</v>
      </c>
      <c r="D465" s="1">
        <v>28182.47</v>
      </c>
      <c r="F465" s="3">
        <v>1</v>
      </c>
      <c r="G465" s="1">
        <v>28182.47</v>
      </c>
    </row>
    <row r="466" spans="1:7" x14ac:dyDescent="0.25">
      <c r="A466" s="111" t="str">
        <f t="shared" si="7"/>
        <v>JDH4-02-007-MA-1560</v>
      </c>
      <c r="B466" t="s">
        <v>797</v>
      </c>
      <c r="C466" t="s">
        <v>798</v>
      </c>
      <c r="D466">
        <v>0</v>
      </c>
      <c r="E466" s="3">
        <v>1</v>
      </c>
      <c r="F466" s="3">
        <v>1</v>
      </c>
      <c r="G466">
        <v>0</v>
      </c>
    </row>
    <row r="467" spans="1:7" x14ac:dyDescent="0.25">
      <c r="A467" s="111" t="str">
        <f t="shared" si="7"/>
        <v>JDH4-02-007-MA-1570</v>
      </c>
      <c r="B467" t="s">
        <v>799</v>
      </c>
      <c r="C467" t="s">
        <v>800</v>
      </c>
      <c r="D467" s="1">
        <v>28182.47</v>
      </c>
      <c r="E467" s="3">
        <v>1</v>
      </c>
      <c r="F467" s="3">
        <v>1</v>
      </c>
      <c r="G467" s="1">
        <v>28182.47</v>
      </c>
    </row>
    <row r="468" spans="1:7" x14ac:dyDescent="0.25">
      <c r="A468" s="111" t="str">
        <f t="shared" si="7"/>
        <v>Pipes,Fittings &amp; Valves</v>
      </c>
      <c r="B468" t="s">
        <v>565</v>
      </c>
      <c r="D468" s="1">
        <v>28182.47</v>
      </c>
      <c r="F468" s="3">
        <v>1</v>
      </c>
      <c r="G468" s="1">
        <v>28182.47</v>
      </c>
    </row>
    <row r="469" spans="1:7" x14ac:dyDescent="0.25">
      <c r="A469" s="111" t="str">
        <f t="shared" si="7"/>
        <v>JDH4-02-007-MA-1680</v>
      </c>
      <c r="B469" t="s">
        <v>801</v>
      </c>
      <c r="C469" t="s">
        <v>802</v>
      </c>
      <c r="D469" s="1">
        <v>0</v>
      </c>
      <c r="E469" s="3">
        <v>1</v>
      </c>
      <c r="F469" s="3">
        <v>1</v>
      </c>
      <c r="G469">
        <v>0</v>
      </c>
    </row>
    <row r="470" spans="1:7" x14ac:dyDescent="0.25">
      <c r="A470" s="111" t="str">
        <f t="shared" si="7"/>
        <v>JDH4-02-007-MA-1700</v>
      </c>
      <c r="B470" t="s">
        <v>803</v>
      </c>
      <c r="C470" t="s">
        <v>804</v>
      </c>
      <c r="D470" s="1">
        <v>28182.47</v>
      </c>
      <c r="E470" s="3">
        <v>1</v>
      </c>
      <c r="F470" s="3">
        <v>1</v>
      </c>
      <c r="G470" s="1">
        <v>28182.47</v>
      </c>
    </row>
    <row r="471" spans="1:7" x14ac:dyDescent="0.25">
      <c r="A471" s="111" t="str">
        <f t="shared" si="7"/>
        <v>Odours scrubbing system</v>
      </c>
      <c r="B471" t="s">
        <v>570</v>
      </c>
      <c r="D471" s="1">
        <v>28182.47</v>
      </c>
      <c r="E471" s="3"/>
      <c r="F471" s="3">
        <v>1</v>
      </c>
      <c r="G471" s="1">
        <v>28182.47</v>
      </c>
    </row>
    <row r="472" spans="1:7" x14ac:dyDescent="0.25">
      <c r="A472" s="111" t="str">
        <f t="shared" si="7"/>
        <v>JDH4-02-007-MA-1690</v>
      </c>
      <c r="B472" t="s">
        <v>805</v>
      </c>
      <c r="C472" t="s">
        <v>806</v>
      </c>
      <c r="D472">
        <v>0</v>
      </c>
      <c r="E472" s="3">
        <v>1</v>
      </c>
      <c r="F472" s="3">
        <v>1</v>
      </c>
      <c r="G472">
        <v>0</v>
      </c>
    </row>
    <row r="473" spans="1:7" x14ac:dyDescent="0.25">
      <c r="A473" s="111" t="str">
        <f t="shared" si="7"/>
        <v>JDH4-02-007-MA-1710</v>
      </c>
      <c r="B473" t="s">
        <v>807</v>
      </c>
      <c r="C473" t="s">
        <v>808</v>
      </c>
      <c r="D473" s="1">
        <v>28182.47</v>
      </c>
      <c r="E473" s="3">
        <v>1</v>
      </c>
      <c r="F473" s="3">
        <v>1</v>
      </c>
      <c r="G473" s="1">
        <v>28182.47</v>
      </c>
    </row>
    <row r="474" spans="1:7" x14ac:dyDescent="0.25">
      <c r="A474" s="111" t="str">
        <f t="shared" si="7"/>
        <v>Crane</v>
      </c>
      <c r="B474" t="s">
        <v>575</v>
      </c>
      <c r="D474" s="1">
        <v>28182.47</v>
      </c>
      <c r="E474" s="3"/>
      <c r="F474" s="3">
        <v>1</v>
      </c>
      <c r="G474" s="1">
        <v>28182.47</v>
      </c>
    </row>
    <row r="475" spans="1:7" x14ac:dyDescent="0.25">
      <c r="A475" s="111" t="str">
        <f t="shared" si="7"/>
        <v>JDH4-02-007-MA-1720</v>
      </c>
      <c r="B475" t="s">
        <v>809</v>
      </c>
      <c r="C475" t="s">
        <v>810</v>
      </c>
      <c r="D475" s="1">
        <v>0</v>
      </c>
      <c r="E475" s="3">
        <v>1</v>
      </c>
      <c r="F475" s="3">
        <v>1</v>
      </c>
      <c r="G475">
        <v>0</v>
      </c>
    </row>
    <row r="476" spans="1:7" x14ac:dyDescent="0.25">
      <c r="A476" s="111" t="str">
        <f t="shared" si="7"/>
        <v>JDH4-02-007-MA-1730</v>
      </c>
      <c r="B476" t="s">
        <v>811</v>
      </c>
      <c r="C476" t="s">
        <v>812</v>
      </c>
      <c r="D476" s="1">
        <v>28182.47</v>
      </c>
      <c r="E476" s="3">
        <v>1</v>
      </c>
      <c r="F476" s="3">
        <v>1</v>
      </c>
      <c r="G476" s="1">
        <v>28182.47</v>
      </c>
    </row>
    <row r="477" spans="1:7" x14ac:dyDescent="0.25">
      <c r="A477" s="111" t="str">
        <f t="shared" si="7"/>
        <v>Air Vents</v>
      </c>
      <c r="B477" t="s">
        <v>580</v>
      </c>
      <c r="D477" s="1">
        <v>28182.47</v>
      </c>
      <c r="E477" s="3"/>
      <c r="F477" s="3">
        <v>1</v>
      </c>
      <c r="G477" s="1">
        <v>28182.47</v>
      </c>
    </row>
    <row r="478" spans="1:7" x14ac:dyDescent="0.25">
      <c r="A478" s="111" t="str">
        <f t="shared" si="7"/>
        <v>JDH4-02-007-MA-1800</v>
      </c>
      <c r="B478" t="s">
        <v>813</v>
      </c>
      <c r="C478" t="s">
        <v>814</v>
      </c>
      <c r="D478" s="1">
        <v>0</v>
      </c>
      <c r="E478" s="3">
        <v>1</v>
      </c>
      <c r="F478" s="3">
        <v>1</v>
      </c>
      <c r="G478">
        <v>0</v>
      </c>
    </row>
    <row r="479" spans="1:7" x14ac:dyDescent="0.25">
      <c r="A479" s="111" t="str">
        <f t="shared" si="7"/>
        <v>JDH4-02-007-MA-1820</v>
      </c>
      <c r="B479" t="s">
        <v>815</v>
      </c>
      <c r="C479" t="s">
        <v>816</v>
      </c>
      <c r="D479" s="1">
        <v>28182.47</v>
      </c>
      <c r="E479" s="3">
        <v>1</v>
      </c>
      <c r="F479" s="3">
        <v>1</v>
      </c>
      <c r="G479" s="1">
        <v>28182.47</v>
      </c>
    </row>
    <row r="480" spans="1:7" x14ac:dyDescent="0.25">
      <c r="A480" s="111" t="str">
        <f t="shared" si="7"/>
        <v>Screening Container</v>
      </c>
      <c r="B480" t="s">
        <v>585</v>
      </c>
      <c r="D480" s="1">
        <v>28182.47</v>
      </c>
      <c r="E480" s="3"/>
      <c r="F480" s="3">
        <v>1</v>
      </c>
      <c r="G480" s="1">
        <v>28182.47</v>
      </c>
    </row>
    <row r="481" spans="1:7" x14ac:dyDescent="0.25">
      <c r="A481" s="111" t="str">
        <f t="shared" si="7"/>
        <v>JDH4-02-007-MA-1740</v>
      </c>
      <c r="B481" t="s">
        <v>817</v>
      </c>
      <c r="C481" t="s">
        <v>818</v>
      </c>
      <c r="D481" s="1">
        <v>0</v>
      </c>
      <c r="E481" s="3">
        <v>1</v>
      </c>
      <c r="F481" s="3">
        <v>1</v>
      </c>
      <c r="G481">
        <v>0</v>
      </c>
    </row>
    <row r="482" spans="1:7" x14ac:dyDescent="0.25">
      <c r="A482" s="111" t="str">
        <f t="shared" si="7"/>
        <v>JDH4-02-007-MA-1760</v>
      </c>
      <c r="B482" t="s">
        <v>819</v>
      </c>
      <c r="C482" t="s">
        <v>820</v>
      </c>
      <c r="D482" s="1">
        <v>28182.47</v>
      </c>
      <c r="E482" s="3">
        <v>1</v>
      </c>
      <c r="F482" s="3">
        <v>1</v>
      </c>
      <c r="G482" s="1">
        <v>28182.47</v>
      </c>
    </row>
    <row r="483" spans="1:7" x14ac:dyDescent="0.25">
      <c r="A483" s="111" t="str">
        <f t="shared" si="7"/>
        <v>Baffle Plates</v>
      </c>
      <c r="B483" t="s">
        <v>590</v>
      </c>
      <c r="D483" s="1">
        <v>28182.47</v>
      </c>
      <c r="E483" s="3"/>
      <c r="F483" s="3">
        <v>1</v>
      </c>
      <c r="G483" s="1">
        <v>28182.47</v>
      </c>
    </row>
    <row r="484" spans="1:7" x14ac:dyDescent="0.25">
      <c r="A484" s="111" t="str">
        <f t="shared" si="7"/>
        <v>JDH4-02-007-MA-1810</v>
      </c>
      <c r="B484" t="s">
        <v>821</v>
      </c>
      <c r="C484" t="s">
        <v>822</v>
      </c>
      <c r="D484" s="1">
        <v>0</v>
      </c>
      <c r="E484" s="3">
        <v>1</v>
      </c>
      <c r="F484" s="3">
        <v>1</v>
      </c>
      <c r="G484">
        <v>0</v>
      </c>
    </row>
    <row r="485" spans="1:7" x14ac:dyDescent="0.25">
      <c r="A485" s="111" t="str">
        <f t="shared" si="7"/>
        <v>JDH4-02-007-MA-1830</v>
      </c>
      <c r="B485" t="s">
        <v>823</v>
      </c>
      <c r="C485" t="s">
        <v>824</v>
      </c>
      <c r="D485" s="1">
        <v>28182.47</v>
      </c>
      <c r="E485" s="3">
        <v>1</v>
      </c>
      <c r="F485" s="3">
        <v>1</v>
      </c>
      <c r="G485" s="1">
        <v>28182.47</v>
      </c>
    </row>
    <row r="486" spans="1:7" x14ac:dyDescent="0.25">
      <c r="A486" s="111" t="str">
        <f t="shared" si="7"/>
        <v>Anti-Water Hammer Equipment</v>
      </c>
      <c r="B486" t="s">
        <v>595</v>
      </c>
      <c r="D486" s="1">
        <v>28182.47</v>
      </c>
      <c r="F486" s="3">
        <v>1</v>
      </c>
      <c r="G486" s="1">
        <v>28182.47</v>
      </c>
    </row>
    <row r="487" spans="1:7" x14ac:dyDescent="0.25">
      <c r="A487" s="111" t="str">
        <f t="shared" si="7"/>
        <v>JDH4-02-007-MA-1840</v>
      </c>
      <c r="B487" t="s">
        <v>825</v>
      </c>
      <c r="C487" t="s">
        <v>826</v>
      </c>
      <c r="D487">
        <v>0</v>
      </c>
      <c r="E487" s="3">
        <v>1</v>
      </c>
      <c r="F487" s="3">
        <v>1</v>
      </c>
      <c r="G487">
        <v>0</v>
      </c>
    </row>
    <row r="488" spans="1:7" x14ac:dyDescent="0.25">
      <c r="A488" s="111" t="str">
        <f t="shared" si="7"/>
        <v>JDH4-02-007-MA-1850</v>
      </c>
      <c r="B488" t="s">
        <v>827</v>
      </c>
      <c r="C488" t="s">
        <v>828</v>
      </c>
      <c r="D488" s="1">
        <v>28182.47</v>
      </c>
      <c r="E488" s="3">
        <v>1</v>
      </c>
      <c r="F488" s="3">
        <v>1</v>
      </c>
      <c r="G488" s="1">
        <v>28182.47</v>
      </c>
    </row>
    <row r="489" spans="1:7" x14ac:dyDescent="0.25">
      <c r="A489" s="111" t="str">
        <f t="shared" si="7"/>
        <v>Air Conditioning and Ventilation</v>
      </c>
      <c r="B489" t="s">
        <v>600</v>
      </c>
      <c r="D489" s="1">
        <v>28182.47</v>
      </c>
      <c r="F489" s="3">
        <v>1</v>
      </c>
      <c r="G489" s="1">
        <v>28182.47</v>
      </c>
    </row>
    <row r="490" spans="1:7" x14ac:dyDescent="0.25">
      <c r="A490" s="111" t="str">
        <f t="shared" si="7"/>
        <v>JDH4-02-007-MA-1750</v>
      </c>
      <c r="B490" t="s">
        <v>829</v>
      </c>
      <c r="C490" t="s">
        <v>830</v>
      </c>
      <c r="D490">
        <v>0</v>
      </c>
      <c r="E490" s="3">
        <v>1</v>
      </c>
      <c r="F490" s="3">
        <v>1</v>
      </c>
      <c r="G490">
        <v>0</v>
      </c>
    </row>
    <row r="491" spans="1:7" x14ac:dyDescent="0.25">
      <c r="A491" s="111" t="str">
        <f t="shared" si="7"/>
        <v>JDH4-02-007-MA-1770</v>
      </c>
      <c r="B491" t="s">
        <v>831</v>
      </c>
      <c r="C491" t="s">
        <v>832</v>
      </c>
      <c r="D491" s="1">
        <v>28182.47</v>
      </c>
      <c r="E491" s="3">
        <v>1</v>
      </c>
      <c r="F491" s="3">
        <v>1</v>
      </c>
      <c r="G491" s="1">
        <v>28182.47</v>
      </c>
    </row>
    <row r="492" spans="1:7" x14ac:dyDescent="0.25">
      <c r="A492" s="111" t="str">
        <f t="shared" si="7"/>
        <v>Fuel System</v>
      </c>
      <c r="B492" t="s">
        <v>605</v>
      </c>
      <c r="D492" s="1">
        <v>28182.23</v>
      </c>
      <c r="F492" s="3">
        <v>1</v>
      </c>
      <c r="G492" s="1">
        <v>28182.23</v>
      </c>
    </row>
    <row r="493" spans="1:7" x14ac:dyDescent="0.25">
      <c r="A493" s="111" t="str">
        <f t="shared" si="7"/>
        <v>JDH4-02-007-MA-1780</v>
      </c>
      <c r="B493" t="s">
        <v>833</v>
      </c>
      <c r="C493" t="s">
        <v>834</v>
      </c>
      <c r="D493">
        <v>0</v>
      </c>
      <c r="E493" s="3">
        <v>1</v>
      </c>
      <c r="F493" s="3">
        <v>1</v>
      </c>
      <c r="G493">
        <v>0</v>
      </c>
    </row>
    <row r="494" spans="1:7" x14ac:dyDescent="0.25">
      <c r="A494" s="111" t="str">
        <f t="shared" si="7"/>
        <v>JDH4-02-007-MA-1790</v>
      </c>
      <c r="B494" t="s">
        <v>835</v>
      </c>
      <c r="C494" t="s">
        <v>4014</v>
      </c>
      <c r="D494" s="1">
        <v>14091.23</v>
      </c>
      <c r="E494" s="3">
        <v>1</v>
      </c>
      <c r="F494" s="3">
        <v>1</v>
      </c>
      <c r="G494" s="1">
        <v>14091.23</v>
      </c>
    </row>
    <row r="495" spans="1:7" x14ac:dyDescent="0.25">
      <c r="A495" s="111" t="str">
        <f t="shared" si="7"/>
        <v>JDH4-02-007-MA-1790R</v>
      </c>
      <c r="B495" t="s">
        <v>4015</v>
      </c>
      <c r="C495" t="s">
        <v>836</v>
      </c>
      <c r="D495" s="1">
        <v>14091</v>
      </c>
      <c r="E495" s="3">
        <v>1</v>
      </c>
      <c r="F495" s="3">
        <v>1</v>
      </c>
      <c r="G495" s="1">
        <v>14091</v>
      </c>
    </row>
    <row r="496" spans="1:7" x14ac:dyDescent="0.25">
      <c r="A496" s="111" t="str">
        <f t="shared" si="7"/>
        <v>Fire Fighting System</v>
      </c>
      <c r="B496" t="s">
        <v>610</v>
      </c>
      <c r="D496" s="1">
        <v>28182.47</v>
      </c>
      <c r="E496" s="3"/>
      <c r="F496" s="3">
        <v>1</v>
      </c>
      <c r="G496" s="1">
        <v>28182.47</v>
      </c>
    </row>
    <row r="497" spans="1:7" x14ac:dyDescent="0.25">
      <c r="A497" s="111" t="str">
        <f t="shared" si="7"/>
        <v>JDH4-02-007-MA-1920</v>
      </c>
      <c r="B497" t="s">
        <v>837</v>
      </c>
      <c r="C497" t="s">
        <v>838</v>
      </c>
      <c r="D497" s="1">
        <v>0</v>
      </c>
      <c r="E497" s="3">
        <v>1</v>
      </c>
      <c r="F497" s="3">
        <v>1</v>
      </c>
      <c r="G497">
        <v>0</v>
      </c>
    </row>
    <row r="498" spans="1:7" x14ac:dyDescent="0.25">
      <c r="A498" s="111" t="str">
        <f t="shared" si="7"/>
        <v>JDH4-02-007-MA-1930</v>
      </c>
      <c r="B498" t="s">
        <v>839</v>
      </c>
      <c r="C498" t="s">
        <v>840</v>
      </c>
      <c r="D498" s="1">
        <v>28182.47</v>
      </c>
      <c r="E498" s="3">
        <v>1</v>
      </c>
      <c r="F498" s="2">
        <v>1</v>
      </c>
      <c r="G498" s="1">
        <v>28182.47</v>
      </c>
    </row>
    <row r="499" spans="1:7" x14ac:dyDescent="0.25">
      <c r="A499" s="111" t="str">
        <f t="shared" si="7"/>
        <v>Main Distribution Board /MCC panels</v>
      </c>
      <c r="B499" t="s">
        <v>615</v>
      </c>
      <c r="D499" s="1">
        <v>28182.47</v>
      </c>
      <c r="E499" s="3"/>
      <c r="F499" s="3">
        <v>1</v>
      </c>
      <c r="G499" s="1">
        <v>28182.47</v>
      </c>
    </row>
    <row r="500" spans="1:7" x14ac:dyDescent="0.25">
      <c r="A500" s="111" t="str">
        <f t="shared" si="7"/>
        <v>JDH4-02-007-MA-1860</v>
      </c>
      <c r="B500" t="s">
        <v>841</v>
      </c>
      <c r="C500" t="s">
        <v>842</v>
      </c>
      <c r="D500" s="1">
        <v>0</v>
      </c>
      <c r="E500" s="3">
        <v>1</v>
      </c>
      <c r="F500" s="3">
        <v>1</v>
      </c>
      <c r="G500">
        <v>0</v>
      </c>
    </row>
    <row r="501" spans="1:7" x14ac:dyDescent="0.25">
      <c r="A501" s="111" t="str">
        <f t="shared" si="7"/>
        <v>JDH4-02-007-MA-1870</v>
      </c>
      <c r="B501" t="s">
        <v>843</v>
      </c>
      <c r="C501" t="s">
        <v>844</v>
      </c>
      <c r="D501" s="1">
        <v>28182.47</v>
      </c>
      <c r="E501" s="3">
        <v>1</v>
      </c>
      <c r="F501" s="3">
        <v>1</v>
      </c>
      <c r="G501" s="1">
        <v>28182.47</v>
      </c>
    </row>
    <row r="502" spans="1:7" x14ac:dyDescent="0.25">
      <c r="A502" s="111" t="str">
        <f t="shared" si="7"/>
        <v>Final Panel boards</v>
      </c>
      <c r="B502" t="s">
        <v>620</v>
      </c>
      <c r="D502" s="1">
        <v>28182.47</v>
      </c>
      <c r="E502" s="3"/>
      <c r="F502" s="3">
        <v>1</v>
      </c>
      <c r="G502" s="1">
        <v>28182.47</v>
      </c>
    </row>
    <row r="503" spans="1:7" x14ac:dyDescent="0.25">
      <c r="A503" s="111" t="str">
        <f t="shared" si="7"/>
        <v>JDH4-02-007-MA-1880</v>
      </c>
      <c r="B503" t="s">
        <v>845</v>
      </c>
      <c r="C503" t="s">
        <v>846</v>
      </c>
      <c r="D503" s="1">
        <v>0</v>
      </c>
      <c r="E503" s="3">
        <v>1</v>
      </c>
      <c r="F503" s="3">
        <v>1</v>
      </c>
      <c r="G503">
        <v>0</v>
      </c>
    </row>
    <row r="504" spans="1:7" x14ac:dyDescent="0.25">
      <c r="A504" s="111" t="str">
        <f t="shared" si="7"/>
        <v>JDH4-02-007-MA-1890</v>
      </c>
      <c r="B504" t="s">
        <v>847</v>
      </c>
      <c r="C504" t="s">
        <v>848</v>
      </c>
      <c r="D504" s="1">
        <v>28182.47</v>
      </c>
      <c r="E504" s="3">
        <v>1</v>
      </c>
      <c r="F504" s="3">
        <v>1</v>
      </c>
      <c r="G504" s="1">
        <v>28182.47</v>
      </c>
    </row>
    <row r="505" spans="1:7" x14ac:dyDescent="0.25">
      <c r="A505" s="111" t="str">
        <f t="shared" si="7"/>
        <v>Local Control Panel/ Monitoring Control Panel</v>
      </c>
      <c r="B505" t="s">
        <v>625</v>
      </c>
      <c r="D505" s="1">
        <v>28182.47</v>
      </c>
      <c r="E505" s="3"/>
      <c r="F505" s="3">
        <v>1</v>
      </c>
      <c r="G505" s="1">
        <v>28182.47</v>
      </c>
    </row>
    <row r="506" spans="1:7" x14ac:dyDescent="0.25">
      <c r="A506" s="111" t="str">
        <f t="shared" si="7"/>
        <v>JDH4-02-007-MA-1900</v>
      </c>
      <c r="B506" t="s">
        <v>849</v>
      </c>
      <c r="C506" t="s">
        <v>850</v>
      </c>
      <c r="D506" s="1">
        <v>0</v>
      </c>
      <c r="E506" s="3">
        <v>1</v>
      </c>
      <c r="F506" s="3">
        <v>1</v>
      </c>
      <c r="G506">
        <v>0</v>
      </c>
    </row>
    <row r="507" spans="1:7" x14ac:dyDescent="0.25">
      <c r="A507" s="111" t="str">
        <f t="shared" si="7"/>
        <v>JDH4-02-007-MA-1910</v>
      </c>
      <c r="B507" t="s">
        <v>851</v>
      </c>
      <c r="C507" t="s">
        <v>852</v>
      </c>
      <c r="D507" s="1">
        <v>28182.47</v>
      </c>
      <c r="E507" s="3">
        <v>1</v>
      </c>
      <c r="F507" s="3">
        <v>1</v>
      </c>
      <c r="G507" s="1">
        <v>28182.47</v>
      </c>
    </row>
    <row r="508" spans="1:7" x14ac:dyDescent="0.25">
      <c r="A508" s="111" t="str">
        <f t="shared" si="7"/>
        <v>Engine Generators</v>
      </c>
      <c r="B508" t="s">
        <v>630</v>
      </c>
      <c r="D508" s="1">
        <v>28182.47</v>
      </c>
      <c r="E508" s="3"/>
      <c r="F508" s="3">
        <v>1</v>
      </c>
      <c r="G508" s="1">
        <v>28182.47</v>
      </c>
    </row>
    <row r="509" spans="1:7" x14ac:dyDescent="0.25">
      <c r="A509" s="111" t="str">
        <f t="shared" si="7"/>
        <v>JDH4-02-007-MA-2060</v>
      </c>
      <c r="B509" t="s">
        <v>853</v>
      </c>
      <c r="C509" t="s">
        <v>854</v>
      </c>
      <c r="D509" s="1">
        <v>0</v>
      </c>
      <c r="E509" s="3">
        <v>1</v>
      </c>
      <c r="F509" s="2">
        <v>1</v>
      </c>
      <c r="G509" s="1">
        <v>0</v>
      </c>
    </row>
    <row r="510" spans="1:7" x14ac:dyDescent="0.25">
      <c r="A510" s="111" t="str">
        <f t="shared" si="7"/>
        <v>JDH4-02-007-MA-2070</v>
      </c>
      <c r="B510" t="s">
        <v>855</v>
      </c>
      <c r="C510" t="s">
        <v>856</v>
      </c>
      <c r="D510" s="1">
        <v>28182.47</v>
      </c>
      <c r="E510" s="3">
        <v>1</v>
      </c>
      <c r="F510" s="3">
        <v>1</v>
      </c>
      <c r="G510" s="1">
        <v>28182.47</v>
      </c>
    </row>
    <row r="511" spans="1:7" x14ac:dyDescent="0.25">
      <c r="A511" s="111" t="str">
        <f t="shared" si="7"/>
        <v>Standby Diesel Generator</v>
      </c>
      <c r="B511" t="s">
        <v>635</v>
      </c>
      <c r="D511" s="1">
        <v>28182.47</v>
      </c>
      <c r="E511" s="3"/>
      <c r="F511" s="3">
        <v>1</v>
      </c>
      <c r="G511" s="1">
        <v>28182.47</v>
      </c>
    </row>
    <row r="512" spans="1:7" x14ac:dyDescent="0.25">
      <c r="A512" s="111" t="str">
        <f t="shared" si="7"/>
        <v>JDH4-02-007-MA-2040</v>
      </c>
      <c r="B512" t="s">
        <v>857</v>
      </c>
      <c r="C512" t="s">
        <v>858</v>
      </c>
      <c r="D512" s="1">
        <v>0</v>
      </c>
      <c r="E512" s="3">
        <v>1</v>
      </c>
      <c r="F512" s="3">
        <v>1</v>
      </c>
      <c r="G512" s="1">
        <v>0</v>
      </c>
    </row>
    <row r="513" spans="1:7" x14ac:dyDescent="0.25">
      <c r="A513" s="111" t="str">
        <f t="shared" si="7"/>
        <v>JDH4-02-007-MA-2050</v>
      </c>
      <c r="B513" t="s">
        <v>859</v>
      </c>
      <c r="C513" t="s">
        <v>860</v>
      </c>
      <c r="D513" s="1">
        <v>28182.47</v>
      </c>
      <c r="E513" s="3">
        <v>1</v>
      </c>
      <c r="F513" s="3">
        <v>1</v>
      </c>
      <c r="G513" s="1">
        <v>28182.47</v>
      </c>
    </row>
    <row r="514" spans="1:7" x14ac:dyDescent="0.25">
      <c r="A514" s="111" t="str">
        <f t="shared" si="7"/>
        <v>Power Factor Correction Capacitor Bank</v>
      </c>
      <c r="B514" t="s">
        <v>640</v>
      </c>
      <c r="D514" s="1">
        <v>28182.47</v>
      </c>
      <c r="E514" s="3"/>
      <c r="F514" s="3">
        <v>1</v>
      </c>
      <c r="G514" s="1">
        <v>28182.47</v>
      </c>
    </row>
    <row r="515" spans="1:7" x14ac:dyDescent="0.25">
      <c r="A515" s="111" t="str">
        <f t="shared" si="7"/>
        <v>JDH4-02-007-MA-2000</v>
      </c>
      <c r="B515" t="s">
        <v>861</v>
      </c>
      <c r="C515" t="s">
        <v>862</v>
      </c>
      <c r="D515" s="1">
        <v>0</v>
      </c>
      <c r="E515" s="3">
        <v>1</v>
      </c>
      <c r="F515" s="3">
        <v>1</v>
      </c>
      <c r="G515">
        <v>0</v>
      </c>
    </row>
    <row r="516" spans="1:7" x14ac:dyDescent="0.25">
      <c r="A516" s="111" t="str">
        <f t="shared" ref="A516:A579" si="8">TRIM(B516)</f>
        <v>JDH4-02-007-MA-2010</v>
      </c>
      <c r="B516" t="s">
        <v>863</v>
      </c>
      <c r="C516" t="s">
        <v>864</v>
      </c>
      <c r="D516" s="1">
        <v>28182.47</v>
      </c>
      <c r="E516" s="3">
        <v>1</v>
      </c>
      <c r="F516" s="3">
        <v>1</v>
      </c>
      <c r="G516" s="1">
        <v>28182.47</v>
      </c>
    </row>
    <row r="517" spans="1:7" x14ac:dyDescent="0.25">
      <c r="A517" s="111" t="str">
        <f t="shared" si="8"/>
        <v>Low-Voltage Electrical Power Conductors and Cables</v>
      </c>
      <c r="B517" t="s">
        <v>218</v>
      </c>
      <c r="D517" s="1">
        <v>28182.47</v>
      </c>
      <c r="E517" s="3"/>
      <c r="F517" s="3">
        <v>1</v>
      </c>
      <c r="G517" s="1">
        <v>28182.47</v>
      </c>
    </row>
    <row r="518" spans="1:7" x14ac:dyDescent="0.25">
      <c r="A518" s="111" t="str">
        <f t="shared" si="8"/>
        <v>JDH4-02-007-MA-2020</v>
      </c>
      <c r="B518" t="s">
        <v>865</v>
      </c>
      <c r="C518" t="s">
        <v>866</v>
      </c>
      <c r="D518" s="1">
        <v>0</v>
      </c>
      <c r="E518" s="3">
        <v>1</v>
      </c>
      <c r="F518" s="3">
        <v>1</v>
      </c>
      <c r="G518" s="1">
        <v>0</v>
      </c>
    </row>
    <row r="519" spans="1:7" x14ac:dyDescent="0.25">
      <c r="A519" s="111" t="str">
        <f t="shared" si="8"/>
        <v>JDH4-02-007-MA-2030</v>
      </c>
      <c r="B519" t="s">
        <v>867</v>
      </c>
      <c r="C519" t="s">
        <v>868</v>
      </c>
      <c r="D519" s="1">
        <v>28182.47</v>
      </c>
      <c r="E519" s="3">
        <v>1</v>
      </c>
      <c r="F519" s="3">
        <v>1</v>
      </c>
      <c r="G519" s="1">
        <v>28182.47</v>
      </c>
    </row>
    <row r="520" spans="1:7" x14ac:dyDescent="0.25">
      <c r="A520" s="111" t="str">
        <f t="shared" si="8"/>
        <v>Low Voltage Feeder Cable</v>
      </c>
      <c r="B520" t="s">
        <v>649</v>
      </c>
      <c r="D520" s="1">
        <v>28182.47</v>
      </c>
      <c r="E520" s="3"/>
      <c r="F520" s="3">
        <v>1</v>
      </c>
      <c r="G520" s="1">
        <v>28182.47</v>
      </c>
    </row>
    <row r="521" spans="1:7" x14ac:dyDescent="0.25">
      <c r="A521" s="111" t="str">
        <f t="shared" si="8"/>
        <v>JDH4-02-007-MA-1980</v>
      </c>
      <c r="B521" t="s">
        <v>869</v>
      </c>
      <c r="C521" t="s">
        <v>870</v>
      </c>
      <c r="D521" s="1">
        <v>0</v>
      </c>
      <c r="E521" s="3">
        <v>1</v>
      </c>
      <c r="F521" s="3">
        <v>1</v>
      </c>
      <c r="G521" s="1">
        <v>0</v>
      </c>
    </row>
    <row r="522" spans="1:7" x14ac:dyDescent="0.25">
      <c r="A522" s="111" t="str">
        <f t="shared" si="8"/>
        <v>JDH4-02-007-MA-1990</v>
      </c>
      <c r="B522" t="s">
        <v>871</v>
      </c>
      <c r="C522" t="s">
        <v>872</v>
      </c>
      <c r="D522" s="1">
        <v>28182.47</v>
      </c>
      <c r="E522" s="3">
        <v>1</v>
      </c>
      <c r="F522" s="3">
        <v>1</v>
      </c>
      <c r="G522" s="1">
        <v>28182.47</v>
      </c>
    </row>
    <row r="523" spans="1:7" x14ac:dyDescent="0.25">
      <c r="A523" s="111" t="str">
        <f t="shared" si="8"/>
        <v>Wiring Devices</v>
      </c>
      <c r="B523" t="s">
        <v>654</v>
      </c>
      <c r="D523" s="1">
        <v>28182.47</v>
      </c>
      <c r="E523" s="3"/>
      <c r="F523" s="3">
        <v>1</v>
      </c>
      <c r="G523" s="1">
        <v>28182.47</v>
      </c>
    </row>
    <row r="524" spans="1:7" x14ac:dyDescent="0.25">
      <c r="A524" s="111" t="str">
        <f t="shared" si="8"/>
        <v>JDH4-02-007-MA-1940</v>
      </c>
      <c r="B524" t="s">
        <v>873</v>
      </c>
      <c r="C524" t="s">
        <v>874</v>
      </c>
      <c r="D524" s="1">
        <v>0</v>
      </c>
      <c r="E524" s="3">
        <v>1</v>
      </c>
      <c r="F524" s="3">
        <v>1</v>
      </c>
      <c r="G524">
        <v>0</v>
      </c>
    </row>
    <row r="525" spans="1:7" x14ac:dyDescent="0.25">
      <c r="A525" s="111" t="str">
        <f t="shared" si="8"/>
        <v>JDH4-02-007-MA-1950</v>
      </c>
      <c r="B525" t="s">
        <v>875</v>
      </c>
      <c r="C525" t="s">
        <v>876</v>
      </c>
      <c r="D525" s="1">
        <v>28182.47</v>
      </c>
      <c r="E525" s="3">
        <v>1</v>
      </c>
      <c r="F525" s="3">
        <v>1</v>
      </c>
      <c r="G525" s="1">
        <v>28182.47</v>
      </c>
    </row>
    <row r="526" spans="1:7" x14ac:dyDescent="0.25">
      <c r="A526" s="111" t="str">
        <f t="shared" si="8"/>
        <v>Enclosed Switches and Circuit Breakers</v>
      </c>
      <c r="B526" t="s">
        <v>659</v>
      </c>
      <c r="D526" s="1">
        <v>28182.47</v>
      </c>
      <c r="E526" s="3"/>
      <c r="F526" s="3">
        <v>1</v>
      </c>
      <c r="G526" s="1">
        <v>28182.47</v>
      </c>
    </row>
    <row r="527" spans="1:7" x14ac:dyDescent="0.25">
      <c r="A527" s="111" t="str">
        <f t="shared" si="8"/>
        <v>JDH4-02-007-MA-1960</v>
      </c>
      <c r="B527" t="s">
        <v>877</v>
      </c>
      <c r="C527" t="s">
        <v>878</v>
      </c>
      <c r="D527" s="1">
        <v>0</v>
      </c>
      <c r="E527" s="3">
        <v>1</v>
      </c>
      <c r="F527" s="3">
        <v>1</v>
      </c>
      <c r="G527" s="1">
        <v>0</v>
      </c>
    </row>
    <row r="528" spans="1:7" x14ac:dyDescent="0.25">
      <c r="A528" s="111" t="str">
        <f t="shared" si="8"/>
        <v>JDH4-02-007-MA-1970</v>
      </c>
      <c r="B528" t="s">
        <v>879</v>
      </c>
      <c r="C528" t="s">
        <v>880</v>
      </c>
      <c r="D528" s="1">
        <v>28182.47</v>
      </c>
      <c r="E528" s="3">
        <v>1</v>
      </c>
      <c r="F528" s="3">
        <v>1</v>
      </c>
      <c r="G528" s="1">
        <v>28182.47</v>
      </c>
    </row>
    <row r="529" spans="1:7" x14ac:dyDescent="0.25">
      <c r="A529" s="111" t="str">
        <f t="shared" si="8"/>
        <v>Raceways for Electrical Systems</v>
      </c>
      <c r="B529" t="s">
        <v>664</v>
      </c>
      <c r="D529" s="1">
        <v>28182.47</v>
      </c>
      <c r="E529" s="3"/>
      <c r="F529" s="3">
        <v>1</v>
      </c>
      <c r="G529" s="1">
        <v>28182.47</v>
      </c>
    </row>
    <row r="530" spans="1:7" x14ac:dyDescent="0.25">
      <c r="A530" s="111" t="str">
        <f t="shared" si="8"/>
        <v>JDH4-02-007-MA-2100</v>
      </c>
      <c r="B530" t="s">
        <v>881</v>
      </c>
      <c r="C530" t="s">
        <v>882</v>
      </c>
      <c r="D530" s="1">
        <v>0</v>
      </c>
      <c r="E530" s="3">
        <v>1</v>
      </c>
      <c r="F530" s="3">
        <v>1</v>
      </c>
      <c r="G530">
        <v>0</v>
      </c>
    </row>
    <row r="531" spans="1:7" x14ac:dyDescent="0.25">
      <c r="A531" s="111" t="str">
        <f t="shared" si="8"/>
        <v>JDH4-02-007-MA-2110</v>
      </c>
      <c r="B531" t="s">
        <v>883</v>
      </c>
      <c r="C531" t="s">
        <v>884</v>
      </c>
      <c r="D531" s="1">
        <v>28182.47</v>
      </c>
      <c r="E531" s="3">
        <v>1</v>
      </c>
      <c r="F531" s="3">
        <v>1</v>
      </c>
      <c r="G531" s="1">
        <v>28182.47</v>
      </c>
    </row>
    <row r="532" spans="1:7" x14ac:dyDescent="0.25">
      <c r="A532" s="111" t="str">
        <f t="shared" si="8"/>
        <v>Electrical Manholes</v>
      </c>
      <c r="B532" t="s">
        <v>669</v>
      </c>
      <c r="D532" s="1">
        <v>28182.47</v>
      </c>
      <c r="E532" s="3"/>
      <c r="F532" s="3">
        <v>1</v>
      </c>
      <c r="G532" s="1">
        <v>28182.47</v>
      </c>
    </row>
    <row r="533" spans="1:7" x14ac:dyDescent="0.25">
      <c r="A533" s="111" t="str">
        <f t="shared" si="8"/>
        <v>JDH4-02-007-MA-2140</v>
      </c>
      <c r="B533" t="s">
        <v>885</v>
      </c>
      <c r="C533" t="s">
        <v>886</v>
      </c>
      <c r="D533" s="1">
        <v>0</v>
      </c>
      <c r="E533" s="3">
        <v>1</v>
      </c>
      <c r="F533" s="3">
        <v>1</v>
      </c>
      <c r="G533" s="1">
        <v>0</v>
      </c>
    </row>
    <row r="534" spans="1:7" x14ac:dyDescent="0.25">
      <c r="A534" s="111" t="str">
        <f t="shared" si="8"/>
        <v>JDH4-02-007-MA-2150</v>
      </c>
      <c r="B534" t="s">
        <v>887</v>
      </c>
      <c r="C534" t="s">
        <v>888</v>
      </c>
      <c r="D534" s="1">
        <v>28182.47</v>
      </c>
      <c r="E534" s="3">
        <v>1</v>
      </c>
      <c r="F534" s="3">
        <v>1</v>
      </c>
      <c r="G534" s="1">
        <v>28182.47</v>
      </c>
    </row>
    <row r="535" spans="1:7" x14ac:dyDescent="0.25">
      <c r="A535" s="111" t="str">
        <f t="shared" si="8"/>
        <v>Security System (CCTV System)</v>
      </c>
      <c r="B535" t="s">
        <v>674</v>
      </c>
      <c r="D535" s="1">
        <v>28182.47</v>
      </c>
      <c r="E535" s="3"/>
      <c r="F535" s="3">
        <v>1</v>
      </c>
      <c r="G535" s="1">
        <v>28182.47</v>
      </c>
    </row>
    <row r="536" spans="1:7" x14ac:dyDescent="0.25">
      <c r="A536" s="111" t="str">
        <f t="shared" si="8"/>
        <v>JDH4-02-007-MA-2080</v>
      </c>
      <c r="B536" t="s">
        <v>889</v>
      </c>
      <c r="C536" t="s">
        <v>890</v>
      </c>
      <c r="D536" s="1">
        <v>0</v>
      </c>
      <c r="E536" s="3">
        <v>1</v>
      </c>
      <c r="F536" s="3">
        <v>1</v>
      </c>
      <c r="G536" s="1">
        <v>0</v>
      </c>
    </row>
    <row r="537" spans="1:7" x14ac:dyDescent="0.25">
      <c r="A537" s="111" t="str">
        <f t="shared" si="8"/>
        <v>JDH4-02-007-MA-2090</v>
      </c>
      <c r="B537" t="s">
        <v>891</v>
      </c>
      <c r="C537" t="s">
        <v>892</v>
      </c>
      <c r="D537" s="1">
        <v>28182.47</v>
      </c>
      <c r="E537" s="3">
        <v>1</v>
      </c>
      <c r="F537" s="3">
        <v>1</v>
      </c>
      <c r="G537" s="1">
        <v>28182.47</v>
      </c>
    </row>
    <row r="538" spans="1:7" x14ac:dyDescent="0.25">
      <c r="A538" s="111" t="str">
        <f t="shared" si="8"/>
        <v>ICT (Data&amp; telephone System)</v>
      </c>
      <c r="B538" t="s">
        <v>679</v>
      </c>
      <c r="D538" s="1">
        <v>28182.47</v>
      </c>
      <c r="E538" s="3"/>
      <c r="F538" s="3">
        <v>1</v>
      </c>
      <c r="G538" s="1">
        <v>28182.47</v>
      </c>
    </row>
    <row r="539" spans="1:7" x14ac:dyDescent="0.25">
      <c r="A539" s="111" t="str">
        <f t="shared" si="8"/>
        <v>JDH4-02-007-MA-2120</v>
      </c>
      <c r="B539" t="s">
        <v>893</v>
      </c>
      <c r="C539" t="s">
        <v>894</v>
      </c>
      <c r="D539" s="1">
        <v>0</v>
      </c>
      <c r="E539" s="3">
        <v>1</v>
      </c>
      <c r="F539" s="3">
        <v>1</v>
      </c>
      <c r="G539" s="1">
        <v>0</v>
      </c>
    </row>
    <row r="540" spans="1:7" x14ac:dyDescent="0.25">
      <c r="A540" s="111" t="str">
        <f t="shared" si="8"/>
        <v>JDH4-02-007-MA-2130</v>
      </c>
      <c r="B540" t="s">
        <v>895</v>
      </c>
      <c r="C540" t="s">
        <v>896</v>
      </c>
      <c r="D540" s="1">
        <v>28182.47</v>
      </c>
      <c r="E540" s="3">
        <v>1</v>
      </c>
      <c r="F540" s="3">
        <v>1</v>
      </c>
      <c r="G540" s="1">
        <v>28182.47</v>
      </c>
    </row>
    <row r="541" spans="1:7" x14ac:dyDescent="0.25">
      <c r="A541" s="111" t="str">
        <f t="shared" si="8"/>
        <v>Programmable Logic Controllers</v>
      </c>
      <c r="B541" t="s">
        <v>684</v>
      </c>
      <c r="D541" s="1">
        <v>28182.47</v>
      </c>
      <c r="E541" s="3"/>
      <c r="F541" s="3">
        <v>1</v>
      </c>
      <c r="G541" s="1">
        <v>28182.47</v>
      </c>
    </row>
    <row r="542" spans="1:7" x14ac:dyDescent="0.25">
      <c r="A542" s="111" t="str">
        <f t="shared" si="8"/>
        <v>JDH4-02-007-MA-2200</v>
      </c>
      <c r="B542" t="s">
        <v>897</v>
      </c>
      <c r="C542" t="s">
        <v>898</v>
      </c>
      <c r="D542" s="1">
        <v>0</v>
      </c>
      <c r="E542" s="3">
        <v>1</v>
      </c>
      <c r="F542" s="3">
        <v>1</v>
      </c>
      <c r="G542" s="1">
        <v>0</v>
      </c>
    </row>
    <row r="543" spans="1:7" x14ac:dyDescent="0.25">
      <c r="A543" s="111" t="str">
        <f t="shared" si="8"/>
        <v>JDH4-02-007-MA-2210</v>
      </c>
      <c r="B543" t="s">
        <v>899</v>
      </c>
      <c r="C543" t="s">
        <v>900</v>
      </c>
      <c r="D543" s="1">
        <v>28182.47</v>
      </c>
      <c r="E543" s="3">
        <v>1</v>
      </c>
      <c r="F543" s="3">
        <v>1</v>
      </c>
      <c r="G543" s="1">
        <v>28182.47</v>
      </c>
    </row>
    <row r="544" spans="1:7" x14ac:dyDescent="0.25">
      <c r="A544" s="111" t="str">
        <f t="shared" si="8"/>
        <v>Process Control Wiring</v>
      </c>
      <c r="B544" t="s">
        <v>689</v>
      </c>
      <c r="D544" s="1">
        <v>28182.47</v>
      </c>
      <c r="E544" s="3"/>
      <c r="F544" s="3">
        <v>1</v>
      </c>
      <c r="G544" s="1">
        <v>28182.47</v>
      </c>
    </row>
    <row r="545" spans="1:7" x14ac:dyDescent="0.25">
      <c r="A545" s="111" t="str">
        <f t="shared" si="8"/>
        <v>JDH4-02-007-MA-2180</v>
      </c>
      <c r="B545" t="s">
        <v>901</v>
      </c>
      <c r="C545" t="s">
        <v>902</v>
      </c>
      <c r="D545" s="1">
        <v>0</v>
      </c>
      <c r="E545" s="3">
        <v>1</v>
      </c>
      <c r="F545" s="3">
        <v>1</v>
      </c>
      <c r="G545" s="1">
        <v>0</v>
      </c>
    </row>
    <row r="546" spans="1:7" x14ac:dyDescent="0.25">
      <c r="A546" s="111" t="str">
        <f t="shared" si="8"/>
        <v>JDH4-02-007-MA-2190</v>
      </c>
      <c r="B546" t="s">
        <v>903</v>
      </c>
      <c r="C546" t="s">
        <v>904</v>
      </c>
      <c r="D546" s="1">
        <v>28182.47</v>
      </c>
      <c r="E546" s="3">
        <v>1</v>
      </c>
      <c r="F546" s="3">
        <v>1</v>
      </c>
      <c r="G546" s="1">
        <v>28182.47</v>
      </c>
    </row>
    <row r="547" spans="1:7" x14ac:dyDescent="0.25">
      <c r="A547" s="111" t="str">
        <f t="shared" si="8"/>
        <v>Instrumentation for Process Systems</v>
      </c>
      <c r="B547" t="s">
        <v>694</v>
      </c>
      <c r="D547" s="1">
        <v>28182.47</v>
      </c>
      <c r="E547" s="3"/>
      <c r="F547" s="3">
        <v>1</v>
      </c>
      <c r="G547" s="1">
        <v>28182.47</v>
      </c>
    </row>
    <row r="548" spans="1:7" x14ac:dyDescent="0.25">
      <c r="A548" s="111" t="str">
        <f t="shared" si="8"/>
        <v>JDH4-02-007-MA-2160</v>
      </c>
      <c r="B548" t="s">
        <v>905</v>
      </c>
      <c r="C548" t="s">
        <v>906</v>
      </c>
      <c r="D548" s="1">
        <v>0</v>
      </c>
      <c r="E548" s="3">
        <v>1</v>
      </c>
      <c r="F548" s="3">
        <v>1</v>
      </c>
      <c r="G548" s="1">
        <v>0</v>
      </c>
    </row>
    <row r="549" spans="1:7" x14ac:dyDescent="0.25">
      <c r="A549" s="111" t="str">
        <f t="shared" si="8"/>
        <v>JDH4-02-007-MA-2170</v>
      </c>
      <c r="B549" t="s">
        <v>907</v>
      </c>
      <c r="C549" t="s">
        <v>908</v>
      </c>
      <c r="D549" s="1">
        <v>28182.47</v>
      </c>
      <c r="E549" s="3">
        <v>1</v>
      </c>
      <c r="F549" s="3">
        <v>1</v>
      </c>
      <c r="G549" s="1">
        <v>28182.47</v>
      </c>
    </row>
    <row r="550" spans="1:7" x14ac:dyDescent="0.25">
      <c r="A550" s="111" t="str">
        <f t="shared" si="8"/>
        <v>Procurement</v>
      </c>
      <c r="B550" t="s">
        <v>909</v>
      </c>
      <c r="D550" s="1">
        <v>11460869.58</v>
      </c>
      <c r="E550" s="3"/>
      <c r="F550" s="3">
        <v>1</v>
      </c>
      <c r="G550" s="1">
        <v>11460869.58</v>
      </c>
    </row>
    <row r="551" spans="1:7" x14ac:dyDescent="0.25">
      <c r="A551" s="111" t="str">
        <f t="shared" si="8"/>
        <v>Short Lead Item</v>
      </c>
      <c r="B551" t="s">
        <v>160</v>
      </c>
      <c r="D551" s="1">
        <v>5193206.43</v>
      </c>
      <c r="E551" s="3"/>
      <c r="F551" s="3">
        <v>1</v>
      </c>
      <c r="G551" s="1">
        <v>5193206.43</v>
      </c>
    </row>
    <row r="552" spans="1:7" x14ac:dyDescent="0.25">
      <c r="A552" s="111" t="str">
        <f t="shared" si="8"/>
        <v>Road Works - Civil</v>
      </c>
      <c r="B552" t="s">
        <v>161</v>
      </c>
      <c r="D552" s="1">
        <v>1611684.79</v>
      </c>
      <c r="F552" s="3">
        <v>1</v>
      </c>
      <c r="G552" s="1">
        <v>1611684.79</v>
      </c>
    </row>
    <row r="553" spans="1:7" x14ac:dyDescent="0.25">
      <c r="A553" s="111" t="str">
        <f t="shared" si="8"/>
        <v>Steel Reinforcement</v>
      </c>
      <c r="B553" t="s">
        <v>162</v>
      </c>
      <c r="D553" s="1">
        <v>179076.06</v>
      </c>
      <c r="E553" s="3"/>
      <c r="F553" s="3">
        <v>1</v>
      </c>
      <c r="G553" s="1">
        <v>179076.06</v>
      </c>
    </row>
    <row r="554" spans="1:7" x14ac:dyDescent="0.25">
      <c r="A554" s="111" t="str">
        <f t="shared" si="8"/>
        <v>JDH4-02-007-PR-1300</v>
      </c>
      <c r="B554" t="s">
        <v>910</v>
      </c>
      <c r="C554" t="s">
        <v>163</v>
      </c>
      <c r="D554" s="1">
        <v>0</v>
      </c>
      <c r="E554" s="3">
        <v>1</v>
      </c>
      <c r="F554" s="3">
        <v>1</v>
      </c>
      <c r="G554">
        <v>0</v>
      </c>
    </row>
    <row r="555" spans="1:7" x14ac:dyDescent="0.25">
      <c r="A555" s="111" t="str">
        <f t="shared" si="8"/>
        <v>JDH4-02-007-PR-1310</v>
      </c>
      <c r="B555" t="s">
        <v>911</v>
      </c>
      <c r="C555" t="s">
        <v>164</v>
      </c>
      <c r="D555" s="1">
        <v>0</v>
      </c>
      <c r="E555" s="3">
        <v>1</v>
      </c>
      <c r="F555" s="3">
        <v>1</v>
      </c>
      <c r="G555" s="1">
        <v>0</v>
      </c>
    </row>
    <row r="556" spans="1:7" x14ac:dyDescent="0.25">
      <c r="A556" s="111" t="str">
        <f t="shared" si="8"/>
        <v>JDH4-02-007-PR-1319</v>
      </c>
      <c r="B556" t="s">
        <v>912</v>
      </c>
      <c r="C556" t="s">
        <v>4016</v>
      </c>
      <c r="D556" s="1">
        <v>35815.22</v>
      </c>
      <c r="E556" s="3">
        <v>1</v>
      </c>
      <c r="F556" s="3">
        <v>1</v>
      </c>
      <c r="G556" s="1">
        <v>35815.22</v>
      </c>
    </row>
    <row r="557" spans="1:7" x14ac:dyDescent="0.25">
      <c r="A557" s="111" t="str">
        <f t="shared" si="8"/>
        <v>JDH4-02-007-PR-1319R</v>
      </c>
      <c r="B557" t="s">
        <v>4017</v>
      </c>
      <c r="C557" t="s">
        <v>913</v>
      </c>
      <c r="D557" s="1">
        <v>53722.79</v>
      </c>
      <c r="E557" s="3">
        <v>1</v>
      </c>
      <c r="F557" s="3">
        <v>1</v>
      </c>
      <c r="G557" s="1">
        <v>53722.79</v>
      </c>
    </row>
    <row r="558" spans="1:7" x14ac:dyDescent="0.25">
      <c r="A558" s="111" t="str">
        <f t="shared" si="8"/>
        <v>JDH4-02-007-PR-1320</v>
      </c>
      <c r="B558" t="s">
        <v>914</v>
      </c>
      <c r="C558" t="s">
        <v>915</v>
      </c>
      <c r="D558" s="1">
        <v>89538.05</v>
      </c>
      <c r="E558" s="3">
        <v>1</v>
      </c>
      <c r="F558" s="3">
        <v>1</v>
      </c>
      <c r="G558" s="1">
        <v>89538.05</v>
      </c>
    </row>
    <row r="559" spans="1:7" x14ac:dyDescent="0.25">
      <c r="A559" s="111" t="str">
        <f t="shared" si="8"/>
        <v>Ready Mixed Concrete</v>
      </c>
      <c r="B559" t="s">
        <v>165</v>
      </c>
      <c r="D559" s="1">
        <v>179076.09</v>
      </c>
      <c r="E559" s="3"/>
      <c r="F559" s="3">
        <v>1</v>
      </c>
      <c r="G559" s="1">
        <v>179076.09</v>
      </c>
    </row>
    <row r="560" spans="1:7" x14ac:dyDescent="0.25">
      <c r="A560" s="111" t="str">
        <f t="shared" si="8"/>
        <v>JDH4-02-007-PR-1330</v>
      </c>
      <c r="B560" t="s">
        <v>916</v>
      </c>
      <c r="C560" t="s">
        <v>166</v>
      </c>
      <c r="D560" s="1">
        <v>0</v>
      </c>
      <c r="E560" s="3">
        <v>1</v>
      </c>
      <c r="F560" s="3">
        <v>1</v>
      </c>
      <c r="G560">
        <v>0</v>
      </c>
    </row>
    <row r="561" spans="1:7" x14ac:dyDescent="0.25">
      <c r="A561" s="111" t="str">
        <f t="shared" si="8"/>
        <v>JDH4-02-007-PR-1340</v>
      </c>
      <c r="B561" t="s">
        <v>917</v>
      </c>
      <c r="C561" t="s">
        <v>167</v>
      </c>
      <c r="D561" s="1">
        <v>179076.09</v>
      </c>
      <c r="E561" s="3">
        <v>1</v>
      </c>
      <c r="F561" s="3">
        <v>1</v>
      </c>
      <c r="G561" s="1">
        <v>179076.09</v>
      </c>
    </row>
    <row r="562" spans="1:7" x14ac:dyDescent="0.25">
      <c r="A562" s="111" t="str">
        <f t="shared" si="8"/>
        <v>Water Proofing</v>
      </c>
      <c r="B562" t="s">
        <v>168</v>
      </c>
      <c r="D562" s="1">
        <v>179076.09</v>
      </c>
      <c r="E562" s="3"/>
      <c r="F562" s="3">
        <v>1</v>
      </c>
      <c r="G562" s="1">
        <v>179076.09</v>
      </c>
    </row>
    <row r="563" spans="1:7" x14ac:dyDescent="0.25">
      <c r="A563" s="111" t="str">
        <f t="shared" si="8"/>
        <v>JDH4-02-007-PR-1350</v>
      </c>
      <c r="B563" t="s">
        <v>918</v>
      </c>
      <c r="C563" t="s">
        <v>169</v>
      </c>
      <c r="D563" s="1">
        <v>0</v>
      </c>
      <c r="E563" s="3">
        <v>1</v>
      </c>
      <c r="F563" s="3">
        <v>1</v>
      </c>
      <c r="G563">
        <v>0</v>
      </c>
    </row>
    <row r="564" spans="1:7" x14ac:dyDescent="0.25">
      <c r="A564" s="111" t="str">
        <f t="shared" si="8"/>
        <v>JDH4-02-007-PR-1360</v>
      </c>
      <c r="B564" t="s">
        <v>919</v>
      </c>
      <c r="C564" t="s">
        <v>920</v>
      </c>
      <c r="D564" s="1">
        <v>0</v>
      </c>
      <c r="E564" s="3">
        <v>1</v>
      </c>
      <c r="F564" s="3">
        <v>1</v>
      </c>
      <c r="G564">
        <v>0</v>
      </c>
    </row>
    <row r="565" spans="1:7" x14ac:dyDescent="0.25">
      <c r="A565" s="111" t="str">
        <f t="shared" si="8"/>
        <v>JDH4-02-007-PR-1370</v>
      </c>
      <c r="B565" t="s">
        <v>921</v>
      </c>
      <c r="C565" t="s">
        <v>170</v>
      </c>
      <c r="D565" s="1">
        <v>179076.09</v>
      </c>
      <c r="E565" s="3">
        <v>1</v>
      </c>
      <c r="F565" s="3">
        <v>1</v>
      </c>
      <c r="G565" s="1">
        <v>179076.09</v>
      </c>
    </row>
    <row r="566" spans="1:7" x14ac:dyDescent="0.25">
      <c r="A566" s="111" t="str">
        <f t="shared" si="8"/>
        <v>Aggregate Base Course</v>
      </c>
      <c r="B566" t="s">
        <v>171</v>
      </c>
      <c r="D566" s="1">
        <v>179076.1</v>
      </c>
      <c r="E566" s="3"/>
      <c r="F566" s="3">
        <v>1</v>
      </c>
      <c r="G566" s="1">
        <v>179076.1</v>
      </c>
    </row>
    <row r="567" spans="1:7" x14ac:dyDescent="0.25">
      <c r="A567" s="111" t="str">
        <f t="shared" si="8"/>
        <v>JDH4-02-007-PR-1380</v>
      </c>
      <c r="B567" t="s">
        <v>922</v>
      </c>
      <c r="C567" t="s">
        <v>923</v>
      </c>
      <c r="D567" s="1">
        <v>0</v>
      </c>
      <c r="E567" s="3">
        <v>1</v>
      </c>
      <c r="F567" s="3">
        <v>1</v>
      </c>
      <c r="G567">
        <v>0</v>
      </c>
    </row>
    <row r="568" spans="1:7" x14ac:dyDescent="0.25">
      <c r="A568" s="111" t="str">
        <f t="shared" si="8"/>
        <v>JDH4-02-007-PR-1389</v>
      </c>
      <c r="B568" t="s">
        <v>924</v>
      </c>
      <c r="C568" t="s">
        <v>925</v>
      </c>
      <c r="D568" s="1">
        <v>89538.05</v>
      </c>
      <c r="E568" s="3">
        <v>1</v>
      </c>
      <c r="F568" s="3">
        <v>1</v>
      </c>
      <c r="G568" s="1">
        <v>89538.05</v>
      </c>
    </row>
    <row r="569" spans="1:7" x14ac:dyDescent="0.25">
      <c r="A569" s="111" t="str">
        <f t="shared" si="8"/>
        <v>JDH4-02-007-PR-1390</v>
      </c>
      <c r="B569" t="s">
        <v>926</v>
      </c>
      <c r="C569" t="s">
        <v>927</v>
      </c>
      <c r="D569" s="1">
        <v>89538.05</v>
      </c>
      <c r="E569" s="3">
        <v>1</v>
      </c>
      <c r="F569" s="3">
        <v>1</v>
      </c>
      <c r="G569" s="1">
        <v>89538.05</v>
      </c>
    </row>
    <row r="570" spans="1:7" x14ac:dyDescent="0.25">
      <c r="A570" s="111" t="str">
        <f t="shared" si="8"/>
        <v>Bituminous Base &amp; Wearing Course</v>
      </c>
      <c r="B570" t="s">
        <v>172</v>
      </c>
      <c r="D570" s="1">
        <v>179076.09</v>
      </c>
      <c r="E570" s="3"/>
      <c r="F570" s="3">
        <v>1</v>
      </c>
      <c r="G570" s="1">
        <v>179076.09</v>
      </c>
    </row>
    <row r="571" spans="1:7" x14ac:dyDescent="0.25">
      <c r="A571" s="111" t="str">
        <f t="shared" si="8"/>
        <v>JDH4-02-007-PR-1400</v>
      </c>
      <c r="B571" t="s">
        <v>928</v>
      </c>
      <c r="C571" t="s">
        <v>173</v>
      </c>
      <c r="D571" s="1">
        <v>0</v>
      </c>
      <c r="E571" s="3">
        <v>1</v>
      </c>
      <c r="F571" s="3">
        <v>1</v>
      </c>
      <c r="G571">
        <v>0</v>
      </c>
    </row>
    <row r="572" spans="1:7" x14ac:dyDescent="0.25">
      <c r="A572" s="111" t="str">
        <f t="shared" si="8"/>
        <v>JDH4-02-007-PR-1410</v>
      </c>
      <c r="B572" t="s">
        <v>929</v>
      </c>
      <c r="C572" t="s">
        <v>174</v>
      </c>
      <c r="D572" s="1">
        <v>179076.09</v>
      </c>
      <c r="E572" s="3">
        <v>1</v>
      </c>
      <c r="F572" s="3">
        <v>1</v>
      </c>
      <c r="G572" s="1">
        <v>179076.09</v>
      </c>
    </row>
    <row r="573" spans="1:7" x14ac:dyDescent="0.25">
      <c r="A573" s="111" t="str">
        <f t="shared" si="8"/>
        <v>Precast Concrete Kerb</v>
      </c>
      <c r="B573" t="s">
        <v>175</v>
      </c>
      <c r="D573" s="1">
        <v>179076.09</v>
      </c>
      <c r="E573" s="3"/>
      <c r="F573" s="3">
        <v>1</v>
      </c>
      <c r="G573" s="1">
        <v>179076.09</v>
      </c>
    </row>
    <row r="574" spans="1:7" x14ac:dyDescent="0.25">
      <c r="A574" s="111" t="str">
        <f t="shared" si="8"/>
        <v>JDH4-02-007-PR-1420</v>
      </c>
      <c r="B574" t="s">
        <v>930</v>
      </c>
      <c r="C574" t="s">
        <v>176</v>
      </c>
      <c r="D574" s="1">
        <v>0</v>
      </c>
      <c r="E574" s="3">
        <v>1</v>
      </c>
      <c r="F574" s="2">
        <v>1</v>
      </c>
      <c r="G574">
        <v>0</v>
      </c>
    </row>
    <row r="575" spans="1:7" x14ac:dyDescent="0.25">
      <c r="A575" s="111" t="str">
        <f t="shared" si="8"/>
        <v>JDH4-02-007-PR-1430</v>
      </c>
      <c r="B575" t="s">
        <v>931</v>
      </c>
      <c r="C575" t="s">
        <v>177</v>
      </c>
      <c r="D575" s="1">
        <v>0</v>
      </c>
      <c r="E575" s="3">
        <v>1</v>
      </c>
      <c r="F575" s="3">
        <v>1</v>
      </c>
      <c r="G575">
        <v>0</v>
      </c>
    </row>
    <row r="576" spans="1:7" x14ac:dyDescent="0.25">
      <c r="A576" s="111" t="str">
        <f t="shared" si="8"/>
        <v>JDH4-02-007-PR-1440</v>
      </c>
      <c r="B576" t="s">
        <v>932</v>
      </c>
      <c r="C576" t="s">
        <v>178</v>
      </c>
      <c r="D576" s="1">
        <v>179076.09</v>
      </c>
      <c r="E576" s="3">
        <v>1</v>
      </c>
      <c r="F576" s="3">
        <v>1</v>
      </c>
      <c r="G576" s="1">
        <v>179076.09</v>
      </c>
    </row>
    <row r="577" spans="1:7" x14ac:dyDescent="0.25">
      <c r="A577" s="111" t="str">
        <f t="shared" si="8"/>
        <v>Interlocking Block Pavers</v>
      </c>
      <c r="B577" t="s">
        <v>179</v>
      </c>
      <c r="D577" s="1">
        <v>179076.09</v>
      </c>
      <c r="E577" s="3"/>
      <c r="F577" s="3">
        <v>1</v>
      </c>
      <c r="G577" s="1">
        <v>179076.09</v>
      </c>
    </row>
    <row r="578" spans="1:7" x14ac:dyDescent="0.25">
      <c r="A578" s="111" t="str">
        <f t="shared" si="8"/>
        <v>JDH4-02-007-PR-1450</v>
      </c>
      <c r="B578" t="s">
        <v>933</v>
      </c>
      <c r="C578" t="s">
        <v>180</v>
      </c>
      <c r="D578" s="1">
        <v>0</v>
      </c>
      <c r="E578" s="3">
        <v>1</v>
      </c>
      <c r="F578" s="3">
        <v>1</v>
      </c>
      <c r="G578">
        <v>0</v>
      </c>
    </row>
    <row r="579" spans="1:7" x14ac:dyDescent="0.25">
      <c r="A579" s="111" t="str">
        <f t="shared" si="8"/>
        <v>JDH4-02-007-PR-1460</v>
      </c>
      <c r="B579" t="s">
        <v>934</v>
      </c>
      <c r="C579" t="s">
        <v>181</v>
      </c>
      <c r="D579" s="1">
        <v>0</v>
      </c>
      <c r="E579" s="3">
        <v>1</v>
      </c>
      <c r="F579" s="3">
        <v>1</v>
      </c>
      <c r="G579">
        <v>0</v>
      </c>
    </row>
    <row r="580" spans="1:7" x14ac:dyDescent="0.25">
      <c r="A580" s="111" t="str">
        <f t="shared" ref="A580:A643" si="9">TRIM(B580)</f>
        <v>JDH4-02-007-PR-1470</v>
      </c>
      <c r="B580" t="s">
        <v>935</v>
      </c>
      <c r="C580" t="s">
        <v>182</v>
      </c>
      <c r="D580" s="1">
        <v>179076.09</v>
      </c>
      <c r="E580" s="3">
        <v>1</v>
      </c>
      <c r="F580" s="3">
        <v>1</v>
      </c>
      <c r="G580" s="1">
        <v>179076.09</v>
      </c>
    </row>
    <row r="581" spans="1:7" x14ac:dyDescent="0.25">
      <c r="A581" s="111" t="str">
        <f t="shared" si="9"/>
        <v>Pavement Markings</v>
      </c>
      <c r="B581" t="s">
        <v>183</v>
      </c>
      <c r="D581" s="1">
        <v>179076.09</v>
      </c>
      <c r="E581" s="3"/>
      <c r="F581" s="3">
        <v>1</v>
      </c>
      <c r="G581" s="1">
        <v>179076.09</v>
      </c>
    </row>
    <row r="582" spans="1:7" x14ac:dyDescent="0.25">
      <c r="A582" s="111" t="str">
        <f t="shared" si="9"/>
        <v>JDH4-02-007-PR-1480</v>
      </c>
      <c r="B582" t="s">
        <v>936</v>
      </c>
      <c r="C582" t="s">
        <v>184</v>
      </c>
      <c r="D582" s="1">
        <v>0</v>
      </c>
      <c r="E582" s="3">
        <v>1</v>
      </c>
      <c r="F582" s="3">
        <v>1</v>
      </c>
      <c r="G582">
        <v>0</v>
      </c>
    </row>
    <row r="583" spans="1:7" x14ac:dyDescent="0.25">
      <c r="A583" s="111" t="str">
        <f t="shared" si="9"/>
        <v>JDH4-02-007-PR-1500</v>
      </c>
      <c r="B583" t="s">
        <v>939</v>
      </c>
      <c r="C583" t="s">
        <v>185</v>
      </c>
      <c r="D583" s="1">
        <v>179076.09</v>
      </c>
      <c r="E583" s="3">
        <v>1</v>
      </c>
      <c r="F583" s="3">
        <v>1</v>
      </c>
      <c r="G583" s="1">
        <v>179076.09</v>
      </c>
    </row>
    <row r="584" spans="1:7" x14ac:dyDescent="0.25">
      <c r="A584" s="111" t="str">
        <f t="shared" si="9"/>
        <v>JDH4-02-007-PR-1490</v>
      </c>
      <c r="B584" t="s">
        <v>937</v>
      </c>
      <c r="C584" t="s">
        <v>938</v>
      </c>
      <c r="D584" s="1">
        <v>0</v>
      </c>
      <c r="E584" s="3">
        <v>1</v>
      </c>
      <c r="F584" s="3">
        <v>1</v>
      </c>
      <c r="G584">
        <v>0</v>
      </c>
    </row>
    <row r="585" spans="1:7" x14ac:dyDescent="0.25">
      <c r="A585" s="111" t="str">
        <f t="shared" si="9"/>
        <v>Traffic Signs</v>
      </c>
      <c r="B585" t="s">
        <v>186</v>
      </c>
      <c r="D585" s="1">
        <v>179076.09</v>
      </c>
      <c r="E585" s="3"/>
      <c r="F585" s="3">
        <v>1</v>
      </c>
      <c r="G585" s="1">
        <v>179076.09</v>
      </c>
    </row>
    <row r="586" spans="1:7" x14ac:dyDescent="0.25">
      <c r="A586" s="111" t="str">
        <f t="shared" si="9"/>
        <v>JDH4-02-007-PR-1510</v>
      </c>
      <c r="B586" t="s">
        <v>940</v>
      </c>
      <c r="C586" t="s">
        <v>187</v>
      </c>
      <c r="D586" s="1">
        <v>0</v>
      </c>
      <c r="E586" s="3">
        <v>1</v>
      </c>
      <c r="F586" s="3">
        <v>1</v>
      </c>
      <c r="G586">
        <v>0</v>
      </c>
    </row>
    <row r="587" spans="1:7" x14ac:dyDescent="0.25">
      <c r="A587" s="111" t="str">
        <f t="shared" si="9"/>
        <v>JDH4-02-007-PR-1520</v>
      </c>
      <c r="B587" t="s">
        <v>941</v>
      </c>
      <c r="C587" t="s">
        <v>188</v>
      </c>
      <c r="D587" s="1">
        <v>0</v>
      </c>
      <c r="E587" s="3">
        <v>1</v>
      </c>
      <c r="F587" s="3">
        <v>1</v>
      </c>
      <c r="G587" s="1">
        <v>0</v>
      </c>
    </row>
    <row r="588" spans="1:7" x14ac:dyDescent="0.25">
      <c r="A588" s="111" t="str">
        <f t="shared" si="9"/>
        <v>JDH4-02-007-PR-1530</v>
      </c>
      <c r="B588" t="s">
        <v>942</v>
      </c>
      <c r="C588" t="s">
        <v>189</v>
      </c>
      <c r="D588" s="1">
        <v>179076.09</v>
      </c>
      <c r="E588" s="3">
        <v>1</v>
      </c>
      <c r="F588" s="3">
        <v>1</v>
      </c>
      <c r="G588" s="1">
        <v>179076.09</v>
      </c>
    </row>
    <row r="589" spans="1:7" x14ac:dyDescent="0.25">
      <c r="A589" s="111" t="str">
        <f t="shared" si="9"/>
        <v>Stormwater Utilities</v>
      </c>
      <c r="B589" t="s">
        <v>943</v>
      </c>
      <c r="D589" s="1">
        <v>716304.35</v>
      </c>
      <c r="E589" s="3"/>
      <c r="F589" s="3">
        <v>1</v>
      </c>
      <c r="G589" s="1">
        <v>716304.35</v>
      </c>
    </row>
    <row r="590" spans="1:7" x14ac:dyDescent="0.25">
      <c r="A590" s="111" t="str">
        <f t="shared" si="9"/>
        <v>Catch Basins</v>
      </c>
      <c r="B590" t="s">
        <v>944</v>
      </c>
      <c r="D590" s="1">
        <v>179076.09</v>
      </c>
      <c r="E590" s="3"/>
      <c r="F590" s="3">
        <v>1</v>
      </c>
      <c r="G590" s="1">
        <v>179076.09</v>
      </c>
    </row>
    <row r="591" spans="1:7" x14ac:dyDescent="0.25">
      <c r="A591" s="111" t="str">
        <f t="shared" si="9"/>
        <v>JDH4-02-007-PR-1720</v>
      </c>
      <c r="B591" t="s">
        <v>945</v>
      </c>
      <c r="C591" t="s">
        <v>946</v>
      </c>
      <c r="D591" s="1">
        <v>0</v>
      </c>
      <c r="E591" s="3">
        <v>1</v>
      </c>
      <c r="F591" s="3">
        <v>1</v>
      </c>
      <c r="G591" s="1">
        <v>0</v>
      </c>
    </row>
    <row r="592" spans="1:7" x14ac:dyDescent="0.25">
      <c r="A592" s="111" t="str">
        <f t="shared" si="9"/>
        <v>JDH4-02-007-PR-1729</v>
      </c>
      <c r="B592" t="s">
        <v>947</v>
      </c>
      <c r="C592" t="s">
        <v>948</v>
      </c>
      <c r="D592" s="1">
        <v>0</v>
      </c>
      <c r="E592" s="3">
        <v>1</v>
      </c>
      <c r="F592" s="3">
        <v>1</v>
      </c>
      <c r="G592">
        <v>0</v>
      </c>
    </row>
    <row r="593" spans="1:7" x14ac:dyDescent="0.25">
      <c r="A593" s="111" t="str">
        <f t="shared" si="9"/>
        <v>JDH4-02-007-PR-1740</v>
      </c>
      <c r="B593" t="s">
        <v>951</v>
      </c>
      <c r="C593" t="s">
        <v>4018</v>
      </c>
      <c r="D593" s="1">
        <v>53722.83</v>
      </c>
      <c r="E593" s="3">
        <v>1</v>
      </c>
      <c r="F593" s="3">
        <v>1</v>
      </c>
      <c r="G593" s="1">
        <v>53722.83</v>
      </c>
    </row>
    <row r="594" spans="1:7" x14ac:dyDescent="0.25">
      <c r="A594" s="111" t="str">
        <f t="shared" si="9"/>
        <v>JDH4-02-007-PR-1740R</v>
      </c>
      <c r="B594" t="s">
        <v>4019</v>
      </c>
      <c r="C594" t="s">
        <v>952</v>
      </c>
      <c r="D594" s="1">
        <v>125353.26</v>
      </c>
      <c r="E594" s="3">
        <v>1</v>
      </c>
      <c r="F594" s="3">
        <v>1</v>
      </c>
      <c r="G594" s="1">
        <v>125353.26</v>
      </c>
    </row>
    <row r="595" spans="1:7" x14ac:dyDescent="0.25">
      <c r="A595" s="111" t="str">
        <f t="shared" si="9"/>
        <v>JDH4-02-007-PR-1729R</v>
      </c>
      <c r="B595" t="s">
        <v>4020</v>
      </c>
      <c r="C595" t="s">
        <v>948</v>
      </c>
      <c r="D595" s="1">
        <v>0</v>
      </c>
      <c r="E595" s="3">
        <v>1</v>
      </c>
      <c r="F595" s="3">
        <v>1</v>
      </c>
      <c r="G595" s="1">
        <v>0</v>
      </c>
    </row>
    <row r="596" spans="1:7" x14ac:dyDescent="0.25">
      <c r="A596" s="111" t="str">
        <f t="shared" si="9"/>
        <v>JDH4-02-007-PR-1730</v>
      </c>
      <c r="B596" t="s">
        <v>949</v>
      </c>
      <c r="C596" t="s">
        <v>950</v>
      </c>
      <c r="D596" s="1">
        <v>0</v>
      </c>
      <c r="E596" s="3">
        <v>1</v>
      </c>
      <c r="F596" s="3">
        <v>1</v>
      </c>
      <c r="G596" s="1">
        <v>0</v>
      </c>
    </row>
    <row r="597" spans="1:7" x14ac:dyDescent="0.25">
      <c r="A597" s="111" t="str">
        <f t="shared" si="9"/>
        <v>JDH4-02-007-PR-1830</v>
      </c>
      <c r="B597" t="s">
        <v>953</v>
      </c>
      <c r="C597" t="s">
        <v>954</v>
      </c>
      <c r="D597" s="1">
        <v>0</v>
      </c>
      <c r="E597" s="3">
        <v>1</v>
      </c>
      <c r="F597" s="3">
        <v>1</v>
      </c>
      <c r="G597" s="1">
        <v>0</v>
      </c>
    </row>
    <row r="598" spans="1:7" x14ac:dyDescent="0.25">
      <c r="A598" s="111" t="str">
        <f t="shared" si="9"/>
        <v>GRP Pipes</v>
      </c>
      <c r="B598" t="s">
        <v>217</v>
      </c>
      <c r="D598" s="1">
        <v>358152.18</v>
      </c>
      <c r="E598" s="3"/>
      <c r="F598" s="3">
        <v>1</v>
      </c>
      <c r="G598" s="1">
        <v>358152.18</v>
      </c>
    </row>
    <row r="599" spans="1:7" x14ac:dyDescent="0.25">
      <c r="A599" s="111" t="str">
        <f t="shared" si="9"/>
        <v>JDH4-02-007-PR-1660</v>
      </c>
      <c r="B599" t="s">
        <v>955</v>
      </c>
      <c r="C599" t="s">
        <v>956</v>
      </c>
      <c r="D599">
        <v>0</v>
      </c>
      <c r="E599" s="3">
        <v>1</v>
      </c>
      <c r="F599" s="3">
        <v>1</v>
      </c>
      <c r="G599">
        <v>0</v>
      </c>
    </row>
    <row r="600" spans="1:7" x14ac:dyDescent="0.25">
      <c r="A600" s="111" t="str">
        <f t="shared" si="9"/>
        <v>JDH4-02-007-PR-1670</v>
      </c>
      <c r="B600" t="s">
        <v>957</v>
      </c>
      <c r="C600" t="s">
        <v>958</v>
      </c>
      <c r="D600">
        <v>0</v>
      </c>
      <c r="E600" s="3">
        <v>1</v>
      </c>
      <c r="F600" s="3">
        <v>1</v>
      </c>
      <c r="G600">
        <v>0</v>
      </c>
    </row>
    <row r="601" spans="1:7" x14ac:dyDescent="0.25">
      <c r="A601" s="111" t="str">
        <f t="shared" si="9"/>
        <v>JDH4-02-007-PR-1680</v>
      </c>
      <c r="B601" t="s">
        <v>959</v>
      </c>
      <c r="C601" t="s">
        <v>4021</v>
      </c>
      <c r="D601" s="1">
        <v>196983.7</v>
      </c>
      <c r="E601" s="3">
        <v>1</v>
      </c>
      <c r="F601" s="3">
        <v>1</v>
      </c>
      <c r="G601" s="1">
        <v>196983.7</v>
      </c>
    </row>
    <row r="602" spans="1:7" x14ac:dyDescent="0.25">
      <c r="A602" s="111" t="str">
        <f t="shared" si="9"/>
        <v>JDH4-02-007-PR-1670R</v>
      </c>
      <c r="B602" t="s">
        <v>4022</v>
      </c>
      <c r="C602" t="s">
        <v>958</v>
      </c>
      <c r="D602" s="1">
        <v>0</v>
      </c>
      <c r="E602" s="3">
        <v>1</v>
      </c>
      <c r="F602" s="3">
        <v>1</v>
      </c>
      <c r="G602" s="1">
        <v>0</v>
      </c>
    </row>
    <row r="603" spans="1:7" x14ac:dyDescent="0.25">
      <c r="A603" s="111" t="str">
        <f t="shared" si="9"/>
        <v>JDH4-02-007-PR-1680R</v>
      </c>
      <c r="B603" t="s">
        <v>4023</v>
      </c>
      <c r="C603" t="s">
        <v>960</v>
      </c>
      <c r="D603" s="1">
        <v>161168.48000000001</v>
      </c>
      <c r="E603" s="3">
        <v>1</v>
      </c>
      <c r="F603" s="3">
        <v>1</v>
      </c>
      <c r="G603" s="1">
        <v>161168.48000000001</v>
      </c>
    </row>
    <row r="604" spans="1:7" x14ac:dyDescent="0.25">
      <c r="A604" s="111" t="str">
        <f t="shared" si="9"/>
        <v>Inlet Manholes</v>
      </c>
      <c r="B604" t="s">
        <v>961</v>
      </c>
      <c r="D604" s="1">
        <v>179076.09</v>
      </c>
      <c r="E604" s="3"/>
      <c r="F604" s="3">
        <v>1</v>
      </c>
      <c r="G604" s="1">
        <v>179076.09</v>
      </c>
    </row>
    <row r="605" spans="1:7" x14ac:dyDescent="0.25">
      <c r="A605" s="111" t="str">
        <f t="shared" si="9"/>
        <v>JDH4-02-007-PR-1690</v>
      </c>
      <c r="B605" t="s">
        <v>962</v>
      </c>
      <c r="C605" t="s">
        <v>963</v>
      </c>
      <c r="D605">
        <v>0</v>
      </c>
      <c r="E605" s="3">
        <v>1</v>
      </c>
      <c r="F605" s="3">
        <v>1</v>
      </c>
      <c r="G605">
        <v>0</v>
      </c>
    </row>
    <row r="606" spans="1:7" x14ac:dyDescent="0.25">
      <c r="A606" s="111" t="str">
        <f t="shared" si="9"/>
        <v>JDH4-02-007-PR-1700</v>
      </c>
      <c r="B606" t="s">
        <v>964</v>
      </c>
      <c r="C606" t="s">
        <v>965</v>
      </c>
      <c r="D606" s="1">
        <v>0</v>
      </c>
      <c r="E606" s="3">
        <v>1</v>
      </c>
      <c r="F606" s="3">
        <v>1</v>
      </c>
      <c r="G606" s="1">
        <v>0</v>
      </c>
    </row>
    <row r="607" spans="1:7" x14ac:dyDescent="0.25">
      <c r="A607" s="111" t="str">
        <f t="shared" si="9"/>
        <v>JDH4-02-007-PR-1710</v>
      </c>
      <c r="B607" t="s">
        <v>966</v>
      </c>
      <c r="C607" t="s">
        <v>4024</v>
      </c>
      <c r="D607" s="1">
        <v>71630.44</v>
      </c>
      <c r="E607" s="3">
        <v>1</v>
      </c>
      <c r="F607" s="3">
        <v>1</v>
      </c>
      <c r="G607" s="1">
        <v>71630.44</v>
      </c>
    </row>
    <row r="608" spans="1:7" x14ac:dyDescent="0.25">
      <c r="A608" s="111" t="str">
        <f t="shared" si="9"/>
        <v>JDH4-02-007-PR-1700R</v>
      </c>
      <c r="B608" t="s">
        <v>4025</v>
      </c>
      <c r="C608" t="s">
        <v>965</v>
      </c>
      <c r="D608" s="1">
        <v>0</v>
      </c>
      <c r="E608" s="3">
        <v>1</v>
      </c>
      <c r="F608" s="3">
        <v>1</v>
      </c>
      <c r="G608" s="1">
        <v>0</v>
      </c>
    </row>
    <row r="609" spans="1:7" x14ac:dyDescent="0.25">
      <c r="A609" s="111" t="str">
        <f t="shared" si="9"/>
        <v>JDH4-02-007-PR-1710R</v>
      </c>
      <c r="B609" t="s">
        <v>4026</v>
      </c>
      <c r="C609" t="s">
        <v>967</v>
      </c>
      <c r="D609" s="1">
        <v>107445.65</v>
      </c>
      <c r="E609" s="3">
        <v>1</v>
      </c>
      <c r="F609" s="3">
        <v>1</v>
      </c>
      <c r="G609" s="1">
        <v>107445.65</v>
      </c>
    </row>
    <row r="610" spans="1:7" x14ac:dyDescent="0.25">
      <c r="A610" s="111" t="str">
        <f t="shared" si="9"/>
        <v>Sanitary Sewerage</v>
      </c>
      <c r="B610" t="s">
        <v>968</v>
      </c>
      <c r="D610" s="1">
        <v>716304.35</v>
      </c>
      <c r="E610" s="3"/>
      <c r="F610" s="3">
        <v>1</v>
      </c>
      <c r="G610" s="1">
        <v>716304.35</v>
      </c>
    </row>
    <row r="611" spans="1:7" x14ac:dyDescent="0.25">
      <c r="A611" s="111" t="str">
        <f t="shared" si="9"/>
        <v>GRP Pipes</v>
      </c>
      <c r="B611" t="s">
        <v>217</v>
      </c>
      <c r="D611" s="1">
        <v>358152.18</v>
      </c>
      <c r="E611" s="3"/>
      <c r="F611" s="3">
        <v>1</v>
      </c>
      <c r="G611" s="1">
        <v>358152.18</v>
      </c>
    </row>
    <row r="612" spans="1:7" x14ac:dyDescent="0.25">
      <c r="A612" s="111" t="str">
        <f t="shared" si="9"/>
        <v>JDH4-02-007-PR-1600</v>
      </c>
      <c r="B612" t="s">
        <v>969</v>
      </c>
      <c r="C612" t="s">
        <v>956</v>
      </c>
      <c r="D612" s="1">
        <v>0</v>
      </c>
      <c r="E612" s="3">
        <v>1</v>
      </c>
      <c r="F612" s="3">
        <v>1</v>
      </c>
      <c r="G612" s="1">
        <v>0</v>
      </c>
    </row>
    <row r="613" spans="1:7" x14ac:dyDescent="0.25">
      <c r="A613" s="111" t="str">
        <f t="shared" si="9"/>
        <v>JDH4-02-007-PR-1610</v>
      </c>
      <c r="B613" t="s">
        <v>970</v>
      </c>
      <c r="C613" t="s">
        <v>958</v>
      </c>
      <c r="D613" s="1">
        <v>0</v>
      </c>
      <c r="E613" s="3">
        <v>1</v>
      </c>
      <c r="F613" s="3">
        <v>1</v>
      </c>
      <c r="G613" s="1">
        <v>0</v>
      </c>
    </row>
    <row r="614" spans="1:7" x14ac:dyDescent="0.25">
      <c r="A614" s="111" t="str">
        <f t="shared" si="9"/>
        <v>JDH4-02-007-PR-1620</v>
      </c>
      <c r="B614" t="s">
        <v>971</v>
      </c>
      <c r="C614" t="s">
        <v>4021</v>
      </c>
      <c r="D614" s="1">
        <v>17907.61</v>
      </c>
      <c r="E614" s="3">
        <v>1</v>
      </c>
      <c r="F614" s="3">
        <v>1</v>
      </c>
      <c r="G614" s="1">
        <v>17907.61</v>
      </c>
    </row>
    <row r="615" spans="1:7" x14ac:dyDescent="0.25">
      <c r="A615" s="111" t="str">
        <f t="shared" si="9"/>
        <v>JDH4-02-007-PR-1610R</v>
      </c>
      <c r="B615" t="s">
        <v>4027</v>
      </c>
      <c r="C615" t="s">
        <v>958</v>
      </c>
      <c r="D615" s="1">
        <v>0</v>
      </c>
      <c r="E615" s="3">
        <v>1</v>
      </c>
      <c r="F615" s="3">
        <v>1</v>
      </c>
      <c r="G615" s="1">
        <v>0</v>
      </c>
    </row>
    <row r="616" spans="1:7" x14ac:dyDescent="0.25">
      <c r="A616" s="111" t="str">
        <f t="shared" si="9"/>
        <v>JDH4-02-007-PR-1620R</v>
      </c>
      <c r="B616" t="s">
        <v>4028</v>
      </c>
      <c r="C616" t="s">
        <v>960</v>
      </c>
      <c r="D616" s="1">
        <v>340244.57</v>
      </c>
      <c r="E616" s="3">
        <v>1</v>
      </c>
      <c r="F616" s="3">
        <v>1</v>
      </c>
      <c r="G616" s="1">
        <v>340244.57</v>
      </c>
    </row>
    <row r="617" spans="1:7" x14ac:dyDescent="0.25">
      <c r="A617" s="111" t="str">
        <f t="shared" si="9"/>
        <v>Manholes</v>
      </c>
      <c r="B617" t="s">
        <v>972</v>
      </c>
      <c r="D617" s="1">
        <v>358152.17</v>
      </c>
      <c r="E617" s="3"/>
      <c r="F617" s="3">
        <v>1</v>
      </c>
      <c r="G617" s="1">
        <v>358152.17</v>
      </c>
    </row>
    <row r="618" spans="1:7" x14ac:dyDescent="0.25">
      <c r="A618" s="111" t="str">
        <f t="shared" si="9"/>
        <v>JDH4-02-007-PR-1630</v>
      </c>
      <c r="B618" t="s">
        <v>973</v>
      </c>
      <c r="C618" t="s">
        <v>974</v>
      </c>
      <c r="D618" s="1">
        <v>0</v>
      </c>
      <c r="E618" s="3">
        <v>1</v>
      </c>
      <c r="F618" s="3">
        <v>1</v>
      </c>
      <c r="G618" s="1">
        <v>0</v>
      </c>
    </row>
    <row r="619" spans="1:7" x14ac:dyDescent="0.25">
      <c r="A619" s="111" t="str">
        <f t="shared" si="9"/>
        <v>JDH4-02-007-PR-1638</v>
      </c>
      <c r="B619" t="s">
        <v>975</v>
      </c>
      <c r="C619" t="s">
        <v>976</v>
      </c>
      <c r="D619" s="1">
        <v>0</v>
      </c>
      <c r="E619" s="3">
        <v>1</v>
      </c>
      <c r="F619" s="3">
        <v>1</v>
      </c>
      <c r="G619" s="1">
        <v>0</v>
      </c>
    </row>
    <row r="620" spans="1:7" x14ac:dyDescent="0.25">
      <c r="A620" s="111" t="str">
        <f t="shared" si="9"/>
        <v>JDH4-02-007-PR-1650</v>
      </c>
      <c r="B620" t="s">
        <v>981</v>
      </c>
      <c r="C620" t="s">
        <v>4029</v>
      </c>
      <c r="D620" s="1">
        <v>161168.48000000001</v>
      </c>
      <c r="E620" s="3">
        <v>1</v>
      </c>
      <c r="F620" s="3">
        <v>1</v>
      </c>
      <c r="G620" s="1">
        <v>161168.48000000001</v>
      </c>
    </row>
    <row r="621" spans="1:7" x14ac:dyDescent="0.25">
      <c r="A621" s="111" t="str">
        <f t="shared" si="9"/>
        <v>JDH4-02-007-PR-1650R</v>
      </c>
      <c r="B621" t="s">
        <v>4030</v>
      </c>
      <c r="C621" t="s">
        <v>982</v>
      </c>
      <c r="D621" s="1">
        <v>196983.69</v>
      </c>
      <c r="E621" s="3">
        <v>1</v>
      </c>
      <c r="F621" s="3">
        <v>1</v>
      </c>
      <c r="G621" s="1">
        <v>196983.69</v>
      </c>
    </row>
    <row r="622" spans="1:7" x14ac:dyDescent="0.25">
      <c r="A622" s="111" t="str">
        <f t="shared" si="9"/>
        <v>JDH4-02-007-PR-1639</v>
      </c>
      <c r="B622" t="s">
        <v>977</v>
      </c>
      <c r="C622" t="s">
        <v>978</v>
      </c>
      <c r="D622" s="1">
        <v>0</v>
      </c>
      <c r="E622" s="3">
        <v>1</v>
      </c>
      <c r="F622" s="3">
        <v>1</v>
      </c>
      <c r="G622" s="1">
        <v>0</v>
      </c>
    </row>
    <row r="623" spans="1:7" x14ac:dyDescent="0.25">
      <c r="A623" s="111" t="str">
        <f t="shared" si="9"/>
        <v>JDH4-02-007-PR-1640</v>
      </c>
      <c r="B623" t="s">
        <v>979</v>
      </c>
      <c r="C623" t="s">
        <v>980</v>
      </c>
      <c r="D623" s="1">
        <v>0</v>
      </c>
      <c r="E623" s="3">
        <v>1</v>
      </c>
      <c r="F623" s="3">
        <v>1</v>
      </c>
      <c r="G623" s="1">
        <v>0</v>
      </c>
    </row>
    <row r="624" spans="1:7" x14ac:dyDescent="0.25">
      <c r="A624" s="111" t="str">
        <f t="shared" si="9"/>
        <v>TSE Network</v>
      </c>
      <c r="B624" t="s">
        <v>983</v>
      </c>
      <c r="D624" s="1">
        <v>179076.09</v>
      </c>
      <c r="E624" s="3"/>
      <c r="F624" s="3">
        <v>1</v>
      </c>
      <c r="G624" s="1">
        <v>179076.09</v>
      </c>
    </row>
    <row r="625" spans="1:7" x14ac:dyDescent="0.25">
      <c r="A625" s="111" t="str">
        <f t="shared" si="9"/>
        <v>HDPE Pipe (PN 16)</v>
      </c>
      <c r="B625" t="s">
        <v>211</v>
      </c>
      <c r="D625" s="1">
        <v>179076.09</v>
      </c>
      <c r="E625" s="3"/>
      <c r="F625" s="3">
        <v>1</v>
      </c>
      <c r="G625" s="1">
        <v>179076.09</v>
      </c>
    </row>
    <row r="626" spans="1:7" x14ac:dyDescent="0.25">
      <c r="A626" s="111" t="str">
        <f t="shared" si="9"/>
        <v>JDH4-02-007-PR-1570</v>
      </c>
      <c r="B626" t="s">
        <v>984</v>
      </c>
      <c r="C626" t="s">
        <v>212</v>
      </c>
      <c r="D626">
        <v>0</v>
      </c>
      <c r="E626" s="3">
        <v>1</v>
      </c>
      <c r="F626" s="3">
        <v>1</v>
      </c>
      <c r="G626">
        <v>0</v>
      </c>
    </row>
    <row r="627" spans="1:7" x14ac:dyDescent="0.25">
      <c r="A627" s="111" t="str">
        <f t="shared" si="9"/>
        <v>JDH4-02-007-PR-1580</v>
      </c>
      <c r="B627" t="s">
        <v>985</v>
      </c>
      <c r="C627" t="s">
        <v>213</v>
      </c>
      <c r="D627" s="1">
        <v>0</v>
      </c>
      <c r="E627" s="3">
        <v>1</v>
      </c>
      <c r="F627" s="3">
        <v>1</v>
      </c>
      <c r="G627">
        <v>0</v>
      </c>
    </row>
    <row r="628" spans="1:7" x14ac:dyDescent="0.25">
      <c r="A628" s="111" t="str">
        <f t="shared" si="9"/>
        <v>JDH4-02-007-PR-1590</v>
      </c>
      <c r="B628" t="s">
        <v>986</v>
      </c>
      <c r="C628" t="s">
        <v>4031</v>
      </c>
      <c r="D628" s="1">
        <v>164750</v>
      </c>
      <c r="E628" s="3">
        <v>1</v>
      </c>
      <c r="F628" s="3">
        <v>1</v>
      </c>
      <c r="G628" s="1">
        <v>164750</v>
      </c>
    </row>
    <row r="629" spans="1:7" x14ac:dyDescent="0.25">
      <c r="A629" s="111" t="str">
        <f t="shared" si="9"/>
        <v>JDH4-02-007-PR-1580R</v>
      </c>
      <c r="B629" t="s">
        <v>4032</v>
      </c>
      <c r="C629" t="s">
        <v>213</v>
      </c>
      <c r="D629" s="1">
        <v>0</v>
      </c>
      <c r="E629" s="3">
        <v>1</v>
      </c>
      <c r="F629" s="3">
        <v>1</v>
      </c>
      <c r="G629" s="1">
        <v>0</v>
      </c>
    </row>
    <row r="630" spans="1:7" x14ac:dyDescent="0.25">
      <c r="A630" s="111" t="str">
        <f t="shared" si="9"/>
        <v>JDH4-02-007-PR-1590R</v>
      </c>
      <c r="B630" t="s">
        <v>4033</v>
      </c>
      <c r="C630" t="s">
        <v>214</v>
      </c>
      <c r="D630" s="1">
        <v>14326.09</v>
      </c>
      <c r="E630" s="3">
        <v>1</v>
      </c>
      <c r="F630" s="3">
        <v>1</v>
      </c>
      <c r="G630" s="1">
        <v>14326.09</v>
      </c>
    </row>
    <row r="631" spans="1:7" x14ac:dyDescent="0.25">
      <c r="A631" s="111" t="str">
        <f t="shared" si="9"/>
        <v>Potable Water Network</v>
      </c>
      <c r="B631" t="s">
        <v>987</v>
      </c>
      <c r="D631" s="1">
        <v>179076.09</v>
      </c>
      <c r="E631" s="3"/>
      <c r="F631" s="3">
        <v>1</v>
      </c>
      <c r="G631" s="1">
        <v>179076.09</v>
      </c>
    </row>
    <row r="632" spans="1:7" x14ac:dyDescent="0.25">
      <c r="A632" s="111" t="str">
        <f t="shared" si="9"/>
        <v>HDPE Pipe (PN 16)</v>
      </c>
      <c r="B632" t="s">
        <v>211</v>
      </c>
      <c r="D632" s="1">
        <v>179076.09</v>
      </c>
      <c r="E632" s="3"/>
      <c r="F632" s="3">
        <v>1</v>
      </c>
      <c r="G632" s="1">
        <v>179076.09</v>
      </c>
    </row>
    <row r="633" spans="1:7" x14ac:dyDescent="0.25">
      <c r="A633" s="111" t="str">
        <f t="shared" si="9"/>
        <v>JDH4-02-007-PR-1540</v>
      </c>
      <c r="B633" t="s">
        <v>988</v>
      </c>
      <c r="C633" t="s">
        <v>212</v>
      </c>
      <c r="D633" s="1">
        <v>0</v>
      </c>
      <c r="E633" s="3">
        <v>1</v>
      </c>
      <c r="F633" s="3">
        <v>1</v>
      </c>
      <c r="G633" s="1">
        <v>0</v>
      </c>
    </row>
    <row r="634" spans="1:7" x14ac:dyDescent="0.25">
      <c r="A634" s="111" t="str">
        <f t="shared" si="9"/>
        <v>JDH4-02-007-PR-1550</v>
      </c>
      <c r="B634" t="s">
        <v>989</v>
      </c>
      <c r="C634" t="s">
        <v>213</v>
      </c>
      <c r="D634" s="1">
        <v>0</v>
      </c>
      <c r="E634" s="3">
        <v>1</v>
      </c>
      <c r="F634" s="2">
        <v>1</v>
      </c>
      <c r="G634">
        <v>0</v>
      </c>
    </row>
    <row r="635" spans="1:7" x14ac:dyDescent="0.25">
      <c r="A635" s="111" t="str">
        <f t="shared" si="9"/>
        <v>JDH4-02-007-PR-1560</v>
      </c>
      <c r="B635" t="s">
        <v>990</v>
      </c>
      <c r="C635" t="s">
        <v>4031</v>
      </c>
      <c r="D635" s="1">
        <v>148633.15</v>
      </c>
      <c r="E635" s="3">
        <v>1</v>
      </c>
      <c r="F635" s="3">
        <v>1</v>
      </c>
      <c r="G635" s="1">
        <v>148633.15</v>
      </c>
    </row>
    <row r="636" spans="1:7" x14ac:dyDescent="0.25">
      <c r="A636" s="111" t="str">
        <f t="shared" si="9"/>
        <v>JDH4-02-007-PR-1550R</v>
      </c>
      <c r="B636" t="s">
        <v>4034</v>
      </c>
      <c r="C636" t="s">
        <v>213</v>
      </c>
      <c r="D636" s="1">
        <v>0</v>
      </c>
      <c r="E636" s="3">
        <v>1</v>
      </c>
      <c r="F636" s="3">
        <v>1</v>
      </c>
      <c r="G636" s="1">
        <v>0</v>
      </c>
    </row>
    <row r="637" spans="1:7" x14ac:dyDescent="0.25">
      <c r="A637" s="111" t="str">
        <f t="shared" si="9"/>
        <v>JDH4-02-007-PR-1560R</v>
      </c>
      <c r="B637" t="s">
        <v>4035</v>
      </c>
      <c r="C637" t="s">
        <v>214</v>
      </c>
      <c r="D637" s="1">
        <v>30442.94</v>
      </c>
      <c r="E637" s="3">
        <v>1</v>
      </c>
      <c r="F637" s="3">
        <v>1</v>
      </c>
      <c r="G637" s="1">
        <v>30442.94</v>
      </c>
    </row>
    <row r="638" spans="1:7" x14ac:dyDescent="0.25">
      <c r="A638" s="111" t="str">
        <f t="shared" si="9"/>
        <v>Electrical Network</v>
      </c>
      <c r="B638" t="s">
        <v>190</v>
      </c>
      <c r="D638" s="1">
        <v>358152.04</v>
      </c>
      <c r="E638" s="3"/>
      <c r="F638" s="3">
        <v>1</v>
      </c>
      <c r="G638" s="1">
        <v>358152.04</v>
      </c>
    </row>
    <row r="639" spans="1:7" x14ac:dyDescent="0.25">
      <c r="A639" s="111" t="str">
        <f t="shared" si="9"/>
        <v>Pipe for the Duct</v>
      </c>
      <c r="B639" t="s">
        <v>991</v>
      </c>
      <c r="D639" s="1">
        <v>179075.95</v>
      </c>
      <c r="E639" s="3"/>
      <c r="F639" s="3">
        <v>1</v>
      </c>
      <c r="G639" s="1">
        <v>179075.95</v>
      </c>
    </row>
    <row r="640" spans="1:7" x14ac:dyDescent="0.25">
      <c r="A640" s="111" t="str">
        <f t="shared" si="9"/>
        <v>JDH4-02-007-PR-1190</v>
      </c>
      <c r="B640" t="s">
        <v>992</v>
      </c>
      <c r="C640" t="s">
        <v>993</v>
      </c>
      <c r="D640" s="1">
        <v>0</v>
      </c>
      <c r="E640" s="3">
        <v>1</v>
      </c>
      <c r="F640" s="3">
        <v>1</v>
      </c>
      <c r="G640">
        <v>0</v>
      </c>
    </row>
    <row r="641" spans="1:7" x14ac:dyDescent="0.25">
      <c r="A641" s="111" t="str">
        <f t="shared" si="9"/>
        <v>JDH4-02-007-PR-1210</v>
      </c>
      <c r="B641" t="s">
        <v>994</v>
      </c>
      <c r="C641" t="s">
        <v>995</v>
      </c>
      <c r="D641">
        <v>0</v>
      </c>
      <c r="E641" s="3">
        <v>1</v>
      </c>
      <c r="F641" s="3">
        <v>1</v>
      </c>
      <c r="G641">
        <v>0</v>
      </c>
    </row>
    <row r="642" spans="1:7" x14ac:dyDescent="0.25">
      <c r="A642" s="111" t="str">
        <f t="shared" si="9"/>
        <v>JDH4-02-007-PR-1230</v>
      </c>
      <c r="B642" t="s">
        <v>996</v>
      </c>
      <c r="C642" t="s">
        <v>997</v>
      </c>
      <c r="D642" s="1">
        <v>179075.95</v>
      </c>
      <c r="E642" s="3">
        <v>1</v>
      </c>
      <c r="F642" s="3">
        <v>1</v>
      </c>
      <c r="G642" s="1">
        <v>179075.95</v>
      </c>
    </row>
    <row r="643" spans="1:7" x14ac:dyDescent="0.25">
      <c r="A643" s="111" t="str">
        <f t="shared" si="9"/>
        <v>Earthing System</v>
      </c>
      <c r="B643" t="s">
        <v>191</v>
      </c>
      <c r="D643" s="1">
        <v>179076.09</v>
      </c>
      <c r="E643" s="3"/>
      <c r="F643" s="3">
        <v>1</v>
      </c>
      <c r="G643" s="1">
        <v>179076.09</v>
      </c>
    </row>
    <row r="644" spans="1:7" x14ac:dyDescent="0.25">
      <c r="A644" s="111" t="str">
        <f t="shared" ref="A644:A707" si="10">TRIM(B644)</f>
        <v>JDH4-02-007-PR-1180</v>
      </c>
      <c r="B644" t="s">
        <v>998</v>
      </c>
      <c r="C644" t="s">
        <v>192</v>
      </c>
      <c r="D644" s="1">
        <v>0</v>
      </c>
      <c r="E644" s="3">
        <v>1</v>
      </c>
      <c r="F644" s="3">
        <v>1</v>
      </c>
      <c r="G644">
        <v>0</v>
      </c>
    </row>
    <row r="645" spans="1:7" x14ac:dyDescent="0.25">
      <c r="A645" s="111" t="str">
        <f t="shared" si="10"/>
        <v>JDH4-02-007-PR-1200</v>
      </c>
      <c r="B645" t="s">
        <v>999</v>
      </c>
      <c r="C645" t="s">
        <v>193</v>
      </c>
      <c r="D645" s="1">
        <v>0</v>
      </c>
      <c r="E645" s="3">
        <v>1</v>
      </c>
      <c r="F645" s="3">
        <v>1</v>
      </c>
      <c r="G645">
        <v>0</v>
      </c>
    </row>
    <row r="646" spans="1:7" x14ac:dyDescent="0.25">
      <c r="A646" s="111" t="str">
        <f t="shared" si="10"/>
        <v>JDH4-02-007-PR-1220</v>
      </c>
      <c r="B646" t="s">
        <v>1000</v>
      </c>
      <c r="C646" t="s">
        <v>194</v>
      </c>
      <c r="D646" s="1">
        <v>179076.09</v>
      </c>
      <c r="E646" s="3">
        <v>1</v>
      </c>
      <c r="F646" s="3">
        <v>1</v>
      </c>
      <c r="G646" s="1">
        <v>179076.09</v>
      </c>
    </row>
    <row r="647" spans="1:7" x14ac:dyDescent="0.25">
      <c r="A647" s="111" t="str">
        <f t="shared" si="10"/>
        <v>Telecommunications</v>
      </c>
      <c r="B647" t="s">
        <v>219</v>
      </c>
      <c r="D647" s="1">
        <v>179076.09</v>
      </c>
      <c r="E647" s="3"/>
      <c r="F647" s="3">
        <v>1</v>
      </c>
      <c r="G647" s="1">
        <v>179076.09</v>
      </c>
    </row>
    <row r="648" spans="1:7" x14ac:dyDescent="0.25">
      <c r="A648" s="111" t="str">
        <f t="shared" si="10"/>
        <v>Pipe for the Duct</v>
      </c>
      <c r="B648" t="s">
        <v>991</v>
      </c>
      <c r="D648" s="1">
        <v>179076.09</v>
      </c>
      <c r="E648" s="3"/>
      <c r="F648" s="3">
        <v>1</v>
      </c>
      <c r="G648" s="1">
        <v>179076.09</v>
      </c>
    </row>
    <row r="649" spans="1:7" x14ac:dyDescent="0.25">
      <c r="A649" s="111" t="str">
        <f t="shared" si="10"/>
        <v>JDH4-02-007-PR-2260</v>
      </c>
      <c r="B649" t="s">
        <v>1001</v>
      </c>
      <c r="C649" t="s">
        <v>993</v>
      </c>
      <c r="D649">
        <v>0</v>
      </c>
      <c r="E649" s="3">
        <v>1</v>
      </c>
      <c r="F649" s="3">
        <v>1</v>
      </c>
      <c r="G649">
        <v>0</v>
      </c>
    </row>
    <row r="650" spans="1:7" x14ac:dyDescent="0.25">
      <c r="A650" s="111" t="str">
        <f t="shared" si="10"/>
        <v>JDH4-02-007-PR-2270</v>
      </c>
      <c r="B650" t="s">
        <v>1002</v>
      </c>
      <c r="C650" t="s">
        <v>995</v>
      </c>
      <c r="D650">
        <v>0</v>
      </c>
      <c r="E650" s="3">
        <v>1</v>
      </c>
      <c r="F650" s="3">
        <v>1</v>
      </c>
      <c r="G650">
        <v>0</v>
      </c>
    </row>
    <row r="651" spans="1:7" x14ac:dyDescent="0.25">
      <c r="A651" s="111" t="str">
        <f t="shared" si="10"/>
        <v>JDH4-02-007-PR-2280</v>
      </c>
      <c r="B651" t="s">
        <v>1003</v>
      </c>
      <c r="C651" t="s">
        <v>4036</v>
      </c>
      <c r="D651" s="1">
        <v>71630.44</v>
      </c>
      <c r="E651" s="3">
        <v>1</v>
      </c>
      <c r="F651" s="3">
        <v>1</v>
      </c>
      <c r="G651" s="1">
        <v>71630.44</v>
      </c>
    </row>
    <row r="652" spans="1:7" x14ac:dyDescent="0.25">
      <c r="A652" s="111" t="str">
        <f t="shared" si="10"/>
        <v>JDH4-02-007-PR-2270R</v>
      </c>
      <c r="B652" t="s">
        <v>4037</v>
      </c>
      <c r="C652" t="s">
        <v>995</v>
      </c>
      <c r="D652" s="1">
        <v>0</v>
      </c>
      <c r="E652" s="3">
        <v>1</v>
      </c>
      <c r="F652" s="3">
        <v>1</v>
      </c>
      <c r="G652" s="1">
        <v>0</v>
      </c>
    </row>
    <row r="653" spans="1:7" x14ac:dyDescent="0.25">
      <c r="A653" s="111" t="str">
        <f t="shared" si="10"/>
        <v>JDH4-02-007-PR-2280R</v>
      </c>
      <c r="B653" t="s">
        <v>4038</v>
      </c>
      <c r="C653" t="s">
        <v>997</v>
      </c>
      <c r="D653" s="1">
        <v>107445.65</v>
      </c>
      <c r="E653" s="3">
        <v>1</v>
      </c>
      <c r="F653" s="3">
        <v>1</v>
      </c>
      <c r="G653" s="1">
        <v>107445.65</v>
      </c>
    </row>
    <row r="654" spans="1:7" x14ac:dyDescent="0.25">
      <c r="A654" s="111" t="str">
        <f t="shared" si="10"/>
        <v>Sewage Lift Station</v>
      </c>
      <c r="B654" t="s">
        <v>1004</v>
      </c>
      <c r="D654" s="1">
        <v>1253532.6299999999</v>
      </c>
      <c r="E654" s="3"/>
      <c r="F654" s="3">
        <v>1</v>
      </c>
      <c r="G654" s="1">
        <v>1253532.6299999999</v>
      </c>
    </row>
    <row r="655" spans="1:7" x14ac:dyDescent="0.25">
      <c r="A655" s="111" t="str">
        <f t="shared" si="10"/>
        <v>Thermal &amp; Moisture Protection</v>
      </c>
      <c r="B655" t="s">
        <v>1005</v>
      </c>
      <c r="D655" s="1">
        <v>179076.09</v>
      </c>
      <c r="E655" s="3"/>
      <c r="F655" s="3">
        <v>1</v>
      </c>
      <c r="G655" s="1">
        <v>179076.09</v>
      </c>
    </row>
    <row r="656" spans="1:7" x14ac:dyDescent="0.25">
      <c r="A656" s="111" t="str">
        <f t="shared" si="10"/>
        <v>JDH4-02-007-PR-2350</v>
      </c>
      <c r="B656" t="s">
        <v>1006</v>
      </c>
      <c r="C656" t="s">
        <v>1007</v>
      </c>
      <c r="D656" s="1">
        <v>0</v>
      </c>
      <c r="E656" s="3">
        <v>1</v>
      </c>
      <c r="F656" s="3">
        <v>1</v>
      </c>
      <c r="G656">
        <v>0</v>
      </c>
    </row>
    <row r="657" spans="1:7" x14ac:dyDescent="0.25">
      <c r="A657" s="111" t="str">
        <f t="shared" si="10"/>
        <v>JDH4-02-007-PR-2358</v>
      </c>
      <c r="B657" t="s">
        <v>1008</v>
      </c>
      <c r="C657" t="s">
        <v>1009</v>
      </c>
      <c r="D657">
        <v>0</v>
      </c>
      <c r="E657" s="3">
        <v>1</v>
      </c>
      <c r="F657" s="3">
        <v>1</v>
      </c>
      <c r="G657">
        <v>0</v>
      </c>
    </row>
    <row r="658" spans="1:7" x14ac:dyDescent="0.25">
      <c r="A658" s="111" t="str">
        <f t="shared" si="10"/>
        <v>JDH4-02-007-PR-2359</v>
      </c>
      <c r="B658" t="s">
        <v>1010</v>
      </c>
      <c r="C658" t="s">
        <v>1011</v>
      </c>
      <c r="D658">
        <v>0</v>
      </c>
      <c r="E658" s="3">
        <v>1</v>
      </c>
      <c r="F658" s="3">
        <v>1</v>
      </c>
      <c r="G658">
        <v>0</v>
      </c>
    </row>
    <row r="659" spans="1:7" x14ac:dyDescent="0.25">
      <c r="A659" s="111" t="str">
        <f t="shared" si="10"/>
        <v>JDH4-02-007-PR-2360</v>
      </c>
      <c r="B659" t="s">
        <v>1012</v>
      </c>
      <c r="C659" t="s">
        <v>1013</v>
      </c>
      <c r="D659" s="1">
        <v>0</v>
      </c>
      <c r="E659" s="3">
        <v>1</v>
      </c>
      <c r="F659" s="3">
        <v>1</v>
      </c>
      <c r="G659">
        <v>0</v>
      </c>
    </row>
    <row r="660" spans="1:7" x14ac:dyDescent="0.25">
      <c r="A660" s="111" t="str">
        <f t="shared" si="10"/>
        <v>JDH4-02-007-PR-2369</v>
      </c>
      <c r="B660" t="s">
        <v>1014</v>
      </c>
      <c r="C660" t="s">
        <v>1015</v>
      </c>
      <c r="D660" s="1">
        <v>0</v>
      </c>
      <c r="E660" s="3">
        <v>1</v>
      </c>
      <c r="F660" s="3">
        <v>1</v>
      </c>
      <c r="G660">
        <v>0</v>
      </c>
    </row>
    <row r="661" spans="1:7" x14ac:dyDescent="0.25">
      <c r="A661" s="111" t="str">
        <f t="shared" si="10"/>
        <v>JDH4-02-007-PR-2370</v>
      </c>
      <c r="B661" t="s">
        <v>1016</v>
      </c>
      <c r="C661" t="s">
        <v>1017</v>
      </c>
      <c r="D661" s="1">
        <v>179076.09</v>
      </c>
      <c r="E661" s="3">
        <v>1</v>
      </c>
      <c r="F661" s="3">
        <v>1</v>
      </c>
      <c r="G661" s="1">
        <v>179076.09</v>
      </c>
    </row>
    <row r="662" spans="1:7" x14ac:dyDescent="0.25">
      <c r="A662" s="111" t="str">
        <f t="shared" si="10"/>
        <v>Metals</v>
      </c>
      <c r="B662" t="s">
        <v>1018</v>
      </c>
      <c r="D662" s="1">
        <v>179076.09</v>
      </c>
      <c r="E662" s="3"/>
      <c r="F662" s="3">
        <v>1</v>
      </c>
      <c r="G662" s="1">
        <v>179076.09</v>
      </c>
    </row>
    <row r="663" spans="1:7" x14ac:dyDescent="0.25">
      <c r="A663" s="111" t="str">
        <f t="shared" si="10"/>
        <v>JDH4-02-007-PR-1840</v>
      </c>
      <c r="B663" t="s">
        <v>1019</v>
      </c>
      <c r="C663" t="s">
        <v>1020</v>
      </c>
      <c r="D663" s="1">
        <v>0</v>
      </c>
      <c r="E663" s="3">
        <v>1</v>
      </c>
      <c r="F663" s="3">
        <v>1</v>
      </c>
      <c r="G663">
        <v>0</v>
      </c>
    </row>
    <row r="664" spans="1:7" x14ac:dyDescent="0.25">
      <c r="A664" s="111" t="str">
        <f t="shared" si="10"/>
        <v>JDH4-02-007-PR-1848</v>
      </c>
      <c r="B664" t="s">
        <v>1021</v>
      </c>
      <c r="C664" t="s">
        <v>1022</v>
      </c>
      <c r="D664" s="1">
        <v>0</v>
      </c>
      <c r="E664" s="3">
        <v>1</v>
      </c>
      <c r="F664" s="3">
        <v>1</v>
      </c>
      <c r="G664">
        <v>0</v>
      </c>
    </row>
    <row r="665" spans="1:7" x14ac:dyDescent="0.25">
      <c r="A665" s="111" t="str">
        <f t="shared" si="10"/>
        <v>JDH4-02-007-PR-1849</v>
      </c>
      <c r="B665" t="s">
        <v>1023</v>
      </c>
      <c r="C665" t="s">
        <v>1024</v>
      </c>
      <c r="D665">
        <v>0</v>
      </c>
      <c r="E665" s="3">
        <v>1</v>
      </c>
      <c r="F665" s="3">
        <v>1</v>
      </c>
      <c r="G665">
        <v>0</v>
      </c>
    </row>
    <row r="666" spans="1:7" x14ac:dyDescent="0.25">
      <c r="A666" s="111" t="str">
        <f t="shared" si="10"/>
        <v>JDH4-02-007-PR-1850</v>
      </c>
      <c r="B666" t="s">
        <v>1025</v>
      </c>
      <c r="C666" t="s">
        <v>1026</v>
      </c>
      <c r="D666">
        <v>0</v>
      </c>
      <c r="E666" s="3">
        <v>1</v>
      </c>
      <c r="F666" s="3">
        <v>1</v>
      </c>
      <c r="G666">
        <v>0</v>
      </c>
    </row>
    <row r="667" spans="1:7" x14ac:dyDescent="0.25">
      <c r="A667" s="111" t="str">
        <f t="shared" si="10"/>
        <v>JDH4-02-007-PR-1860</v>
      </c>
      <c r="B667" t="s">
        <v>1029</v>
      </c>
      <c r="C667" t="s">
        <v>1030</v>
      </c>
      <c r="D667" s="1">
        <v>179076.09</v>
      </c>
      <c r="E667" s="3">
        <v>1</v>
      </c>
      <c r="F667" s="3">
        <v>1</v>
      </c>
      <c r="G667" s="1">
        <v>179076.09</v>
      </c>
    </row>
    <row r="668" spans="1:7" x14ac:dyDescent="0.25">
      <c r="A668" s="111" t="str">
        <f t="shared" si="10"/>
        <v>JDH4-02-007-PR-1859</v>
      </c>
      <c r="B668" t="s">
        <v>1027</v>
      </c>
      <c r="C668" t="s">
        <v>1028</v>
      </c>
      <c r="D668" s="1">
        <v>0</v>
      </c>
      <c r="E668" s="3">
        <v>1</v>
      </c>
      <c r="F668" s="2">
        <v>1</v>
      </c>
      <c r="G668">
        <v>0</v>
      </c>
    </row>
    <row r="669" spans="1:7" x14ac:dyDescent="0.25">
      <c r="A669" s="111" t="str">
        <f t="shared" si="10"/>
        <v>Pipes</v>
      </c>
      <c r="B669" t="s">
        <v>1031</v>
      </c>
      <c r="D669" s="1">
        <v>179076.09</v>
      </c>
      <c r="E669" s="3"/>
      <c r="F669" s="3">
        <v>1</v>
      </c>
      <c r="G669" s="1">
        <v>179076.09</v>
      </c>
    </row>
    <row r="670" spans="1:7" x14ac:dyDescent="0.25">
      <c r="A670" s="111" t="str">
        <f t="shared" si="10"/>
        <v>JDH4-02-007-PR-2290</v>
      </c>
      <c r="B670" t="s">
        <v>1032</v>
      </c>
      <c r="C670" t="s">
        <v>1033</v>
      </c>
      <c r="D670">
        <v>0</v>
      </c>
      <c r="E670" s="3">
        <v>1</v>
      </c>
      <c r="F670" s="3">
        <v>1</v>
      </c>
      <c r="G670">
        <v>0</v>
      </c>
    </row>
    <row r="671" spans="1:7" x14ac:dyDescent="0.25">
      <c r="A671" s="111" t="str">
        <f t="shared" si="10"/>
        <v>JDH4-02-007-PR-2300</v>
      </c>
      <c r="B671" t="s">
        <v>1034</v>
      </c>
      <c r="C671" t="s">
        <v>1035</v>
      </c>
      <c r="D671" s="1">
        <v>0</v>
      </c>
      <c r="E671" s="3">
        <v>1</v>
      </c>
      <c r="F671" s="3">
        <v>1</v>
      </c>
      <c r="G671">
        <v>0</v>
      </c>
    </row>
    <row r="672" spans="1:7" x14ac:dyDescent="0.25">
      <c r="A672" s="111" t="str">
        <f t="shared" si="10"/>
        <v>JDH4-02-007-PR-2310</v>
      </c>
      <c r="B672" t="s">
        <v>1036</v>
      </c>
      <c r="C672" t="s">
        <v>1037</v>
      </c>
      <c r="D672" s="1">
        <v>179076.09</v>
      </c>
      <c r="E672" s="3">
        <v>1</v>
      </c>
      <c r="F672" s="3">
        <v>1</v>
      </c>
      <c r="G672" s="1">
        <v>179076.09</v>
      </c>
    </row>
    <row r="673" spans="1:7" x14ac:dyDescent="0.25">
      <c r="A673" s="111" t="str">
        <f t="shared" si="10"/>
        <v>Air Conditioning and Ventilation</v>
      </c>
      <c r="B673" t="s">
        <v>1038</v>
      </c>
      <c r="D673" s="1">
        <v>179076.09</v>
      </c>
      <c r="F673" s="3">
        <v>1</v>
      </c>
      <c r="G673" s="1">
        <v>179076.09</v>
      </c>
    </row>
    <row r="674" spans="1:7" x14ac:dyDescent="0.25">
      <c r="A674" s="111" t="str">
        <f t="shared" si="10"/>
        <v>JDH4-02-007-PR-2380</v>
      </c>
      <c r="B674" t="s">
        <v>1039</v>
      </c>
      <c r="C674" t="s">
        <v>1040</v>
      </c>
      <c r="D674" s="1">
        <v>0</v>
      </c>
      <c r="E674" s="3">
        <v>1</v>
      </c>
      <c r="F674" s="3">
        <v>1</v>
      </c>
      <c r="G674">
        <v>0</v>
      </c>
    </row>
    <row r="675" spans="1:7" x14ac:dyDescent="0.25">
      <c r="A675" s="111" t="str">
        <f t="shared" si="10"/>
        <v>JDH4-02-007-PR-2390</v>
      </c>
      <c r="B675" t="s">
        <v>1041</v>
      </c>
      <c r="C675" t="s">
        <v>1042</v>
      </c>
      <c r="D675">
        <v>0</v>
      </c>
      <c r="E675" s="3">
        <v>1</v>
      </c>
      <c r="F675" s="3">
        <v>1</v>
      </c>
      <c r="G675">
        <v>0</v>
      </c>
    </row>
    <row r="676" spans="1:7" x14ac:dyDescent="0.25">
      <c r="A676" s="111" t="str">
        <f t="shared" si="10"/>
        <v>JDH4-02-007-PR-2400</v>
      </c>
      <c r="B676" t="s">
        <v>1043</v>
      </c>
      <c r="C676" t="s">
        <v>1044</v>
      </c>
      <c r="D676" s="1">
        <v>179076.09</v>
      </c>
      <c r="E676" s="3">
        <v>1</v>
      </c>
      <c r="F676" s="3">
        <v>1</v>
      </c>
      <c r="G676" s="1">
        <v>179076.09</v>
      </c>
    </row>
    <row r="677" spans="1:7" x14ac:dyDescent="0.25">
      <c r="A677" s="111" t="str">
        <f t="shared" si="10"/>
        <v>Fuel System</v>
      </c>
      <c r="B677" t="s">
        <v>1045</v>
      </c>
      <c r="D677" s="1">
        <v>179076.09</v>
      </c>
      <c r="E677" s="3"/>
      <c r="F677" s="3">
        <v>1</v>
      </c>
      <c r="G677" s="1">
        <v>179076.09</v>
      </c>
    </row>
    <row r="678" spans="1:7" x14ac:dyDescent="0.25">
      <c r="A678" s="111" t="str">
        <f t="shared" si="10"/>
        <v>JDH4-02-007-PR-1870</v>
      </c>
      <c r="B678" t="s">
        <v>1046</v>
      </c>
      <c r="C678" t="s">
        <v>4039</v>
      </c>
      <c r="D678">
        <v>0</v>
      </c>
      <c r="E678" s="3">
        <v>1</v>
      </c>
      <c r="F678" s="3">
        <v>1</v>
      </c>
      <c r="G678">
        <v>0</v>
      </c>
    </row>
    <row r="679" spans="1:7" x14ac:dyDescent="0.25">
      <c r="A679" s="111" t="str">
        <f t="shared" si="10"/>
        <v>JDH4-02-007-PR-1880</v>
      </c>
      <c r="B679" t="s">
        <v>1048</v>
      </c>
      <c r="C679" t="s">
        <v>1049</v>
      </c>
      <c r="D679">
        <v>0</v>
      </c>
      <c r="E679" s="3">
        <v>1</v>
      </c>
      <c r="F679" s="3">
        <v>1</v>
      </c>
      <c r="G679">
        <v>0</v>
      </c>
    </row>
    <row r="680" spans="1:7" x14ac:dyDescent="0.25">
      <c r="A680" s="111" t="str">
        <f t="shared" si="10"/>
        <v>JDH4-02-007-PR-1890</v>
      </c>
      <c r="B680" t="s">
        <v>1050</v>
      </c>
      <c r="C680" t="s">
        <v>1051</v>
      </c>
      <c r="D680" s="1">
        <v>179076.09</v>
      </c>
      <c r="E680" s="3">
        <v>1</v>
      </c>
      <c r="F680" s="3">
        <v>1</v>
      </c>
      <c r="G680" s="1">
        <v>179076.09</v>
      </c>
    </row>
    <row r="681" spans="1:7" x14ac:dyDescent="0.25">
      <c r="A681" s="111" t="str">
        <f t="shared" si="10"/>
        <v>Fire Fighting System</v>
      </c>
      <c r="B681" t="s">
        <v>1052</v>
      </c>
      <c r="D681" s="1">
        <v>179076.09</v>
      </c>
      <c r="E681" s="3"/>
      <c r="F681" s="2">
        <v>1</v>
      </c>
      <c r="G681" s="1">
        <v>179076.09</v>
      </c>
    </row>
    <row r="682" spans="1:7" x14ac:dyDescent="0.25">
      <c r="A682" s="111" t="str">
        <f t="shared" si="10"/>
        <v>JDH4-02-007-PR-2320</v>
      </c>
      <c r="B682" t="s">
        <v>1053</v>
      </c>
      <c r="C682" t="s">
        <v>1054</v>
      </c>
      <c r="D682" s="1">
        <v>0</v>
      </c>
      <c r="E682" s="3">
        <v>1</v>
      </c>
      <c r="F682" s="3">
        <v>1</v>
      </c>
      <c r="G682">
        <v>0</v>
      </c>
    </row>
    <row r="683" spans="1:7" x14ac:dyDescent="0.25">
      <c r="A683" s="111" t="str">
        <f t="shared" si="10"/>
        <v>JDH4-02-007-PR-2330</v>
      </c>
      <c r="B683" t="s">
        <v>1055</v>
      </c>
      <c r="C683" t="s">
        <v>1056</v>
      </c>
      <c r="D683">
        <v>0</v>
      </c>
      <c r="E683" s="3">
        <v>1</v>
      </c>
      <c r="F683" s="3">
        <v>1</v>
      </c>
      <c r="G683">
        <v>0</v>
      </c>
    </row>
    <row r="684" spans="1:7" x14ac:dyDescent="0.25">
      <c r="A684" s="111" t="str">
        <f t="shared" si="10"/>
        <v>JDH4-02-007-PR-2340</v>
      </c>
      <c r="B684" t="s">
        <v>1057</v>
      </c>
      <c r="C684" t="s">
        <v>1058</v>
      </c>
      <c r="D684" s="1">
        <v>179076.09</v>
      </c>
      <c r="E684" s="3">
        <v>1</v>
      </c>
      <c r="F684" s="3">
        <v>1</v>
      </c>
      <c r="G684" s="1">
        <v>179076.09</v>
      </c>
    </row>
    <row r="685" spans="1:7" x14ac:dyDescent="0.25">
      <c r="A685" s="111" t="str">
        <f t="shared" si="10"/>
        <v>Security System (CCTV System)</v>
      </c>
      <c r="B685" t="s">
        <v>1059</v>
      </c>
      <c r="D685" s="1">
        <v>179076.09</v>
      </c>
      <c r="E685" s="3"/>
      <c r="F685" s="3">
        <v>1</v>
      </c>
      <c r="G685" s="1">
        <v>179076.09</v>
      </c>
    </row>
    <row r="686" spans="1:7" x14ac:dyDescent="0.25">
      <c r="A686" s="111" t="str">
        <f t="shared" si="10"/>
        <v>JDH4-02-007-PR-2410</v>
      </c>
      <c r="B686" t="s">
        <v>1060</v>
      </c>
      <c r="C686" t="s">
        <v>1061</v>
      </c>
      <c r="D686" s="1">
        <v>0</v>
      </c>
      <c r="E686" s="3">
        <v>1</v>
      </c>
      <c r="F686" s="3">
        <v>1</v>
      </c>
      <c r="G686">
        <v>0</v>
      </c>
    </row>
    <row r="687" spans="1:7" x14ac:dyDescent="0.25">
      <c r="A687" s="111" t="str">
        <f t="shared" si="10"/>
        <v>JDH4-02-007-PR-2420</v>
      </c>
      <c r="B687" t="s">
        <v>1062</v>
      </c>
      <c r="C687" t="s">
        <v>1063</v>
      </c>
      <c r="D687">
        <v>0</v>
      </c>
      <c r="E687" s="3">
        <v>1</v>
      </c>
      <c r="F687" s="3">
        <v>1</v>
      </c>
      <c r="G687">
        <v>0</v>
      </c>
    </row>
    <row r="688" spans="1:7" x14ac:dyDescent="0.25">
      <c r="A688" s="111" t="str">
        <f t="shared" si="10"/>
        <v>JDH4-02-007-PR-2430</v>
      </c>
      <c r="B688" t="s">
        <v>1064</v>
      </c>
      <c r="C688" t="s">
        <v>1065</v>
      </c>
      <c r="D688" s="1">
        <v>179076.09</v>
      </c>
      <c r="E688" s="3">
        <v>1</v>
      </c>
      <c r="F688" s="3">
        <v>1</v>
      </c>
      <c r="G688" s="1">
        <v>179076.09</v>
      </c>
    </row>
    <row r="689" spans="1:7" x14ac:dyDescent="0.25">
      <c r="A689" s="111" t="str">
        <f t="shared" si="10"/>
        <v>Long Lead Item</v>
      </c>
      <c r="B689" t="s">
        <v>195</v>
      </c>
      <c r="D689" s="1">
        <v>6267663.1500000004</v>
      </c>
      <c r="E689" s="3"/>
      <c r="F689" s="3">
        <v>1</v>
      </c>
      <c r="G689" s="1">
        <v>6267663.1500000004</v>
      </c>
    </row>
    <row r="690" spans="1:7" x14ac:dyDescent="0.25">
      <c r="A690" s="111" t="str">
        <f t="shared" si="10"/>
        <v>TSE Network</v>
      </c>
      <c r="B690" t="s">
        <v>983</v>
      </c>
      <c r="D690" s="1">
        <v>358152.18</v>
      </c>
      <c r="F690" s="3">
        <v>1</v>
      </c>
      <c r="G690" s="1">
        <v>358152.18</v>
      </c>
    </row>
    <row r="691" spans="1:7" x14ac:dyDescent="0.25">
      <c r="A691" s="111" t="str">
        <f t="shared" si="10"/>
        <v>Valves / Chambers</v>
      </c>
      <c r="B691" t="s">
        <v>1066</v>
      </c>
      <c r="D691" s="1">
        <v>179076.09</v>
      </c>
      <c r="E691" s="3"/>
      <c r="F691" s="3">
        <v>1</v>
      </c>
      <c r="G691" s="1">
        <v>179076.09</v>
      </c>
    </row>
    <row r="692" spans="1:7" x14ac:dyDescent="0.25">
      <c r="A692" s="111" t="str">
        <f t="shared" si="10"/>
        <v>JDH4-02-007-PR-1270</v>
      </c>
      <c r="B692" t="s">
        <v>1067</v>
      </c>
      <c r="C692" t="s">
        <v>1068</v>
      </c>
      <c r="D692">
        <v>0</v>
      </c>
      <c r="E692" s="3">
        <v>1</v>
      </c>
      <c r="F692" s="3">
        <v>1</v>
      </c>
      <c r="G692">
        <v>0</v>
      </c>
    </row>
    <row r="693" spans="1:7" x14ac:dyDescent="0.25">
      <c r="A693" s="111" t="str">
        <f t="shared" si="10"/>
        <v>JDH4-02-007-PR-1277</v>
      </c>
      <c r="B693" t="s">
        <v>1069</v>
      </c>
      <c r="C693" t="s">
        <v>1070</v>
      </c>
      <c r="D693">
        <v>0</v>
      </c>
      <c r="E693" s="3">
        <v>1</v>
      </c>
      <c r="F693" s="3">
        <v>1</v>
      </c>
      <c r="G693">
        <v>0</v>
      </c>
    </row>
    <row r="694" spans="1:7" x14ac:dyDescent="0.25">
      <c r="A694" s="111" t="str">
        <f t="shared" si="10"/>
        <v>JDH4-02-007-PR-1278</v>
      </c>
      <c r="B694" t="s">
        <v>1071</v>
      </c>
      <c r="C694" t="s">
        <v>1072</v>
      </c>
      <c r="D694" s="1">
        <v>0</v>
      </c>
      <c r="E694" s="3">
        <v>1</v>
      </c>
      <c r="F694" s="2">
        <v>1</v>
      </c>
      <c r="G694">
        <v>0</v>
      </c>
    </row>
    <row r="695" spans="1:7" x14ac:dyDescent="0.25">
      <c r="A695" s="111" t="str">
        <f t="shared" si="10"/>
        <v>JDH4-02-007-PR-1279</v>
      </c>
      <c r="B695" t="s">
        <v>1073</v>
      </c>
      <c r="C695" t="s">
        <v>1074</v>
      </c>
      <c r="D695" s="1">
        <v>0</v>
      </c>
      <c r="E695" s="3">
        <v>1</v>
      </c>
      <c r="F695" s="3">
        <v>1</v>
      </c>
      <c r="G695">
        <v>0</v>
      </c>
    </row>
    <row r="696" spans="1:7" x14ac:dyDescent="0.25">
      <c r="A696" s="111" t="str">
        <f t="shared" si="10"/>
        <v>JDH4-02-007-PR-1280</v>
      </c>
      <c r="B696" t="s">
        <v>1075</v>
      </c>
      <c r="C696" t="s">
        <v>1076</v>
      </c>
      <c r="D696" s="1">
        <v>0</v>
      </c>
      <c r="E696" s="3">
        <v>1</v>
      </c>
      <c r="F696" s="3">
        <v>1</v>
      </c>
      <c r="G696">
        <v>0</v>
      </c>
    </row>
    <row r="697" spans="1:7" x14ac:dyDescent="0.25">
      <c r="A697" s="111" t="str">
        <f t="shared" si="10"/>
        <v>JDH4-02-007-PR-1290</v>
      </c>
      <c r="B697" t="s">
        <v>1077</v>
      </c>
      <c r="C697" t="s">
        <v>1078</v>
      </c>
      <c r="D697" s="1">
        <v>179076.09</v>
      </c>
      <c r="E697" s="3">
        <v>1</v>
      </c>
      <c r="F697" s="3">
        <v>1</v>
      </c>
      <c r="G697" s="1">
        <v>179076.09</v>
      </c>
    </row>
    <row r="698" spans="1:7" x14ac:dyDescent="0.25">
      <c r="A698" s="111" t="str">
        <f t="shared" si="10"/>
        <v>JDH4-02-007-PR-1820</v>
      </c>
      <c r="B698" t="s">
        <v>1079</v>
      </c>
      <c r="C698" t="s">
        <v>1080</v>
      </c>
      <c r="D698" s="1">
        <v>0</v>
      </c>
      <c r="E698" s="3">
        <v>1</v>
      </c>
      <c r="F698" s="3">
        <v>1</v>
      </c>
      <c r="G698">
        <v>0</v>
      </c>
    </row>
    <row r="699" spans="1:7" x14ac:dyDescent="0.25">
      <c r="A699" s="111" t="str">
        <f t="shared" si="10"/>
        <v>Risers</v>
      </c>
      <c r="B699" t="s">
        <v>1081</v>
      </c>
      <c r="D699" s="1">
        <v>179076.09</v>
      </c>
      <c r="E699" s="3"/>
      <c r="F699" s="3">
        <v>1</v>
      </c>
      <c r="G699" s="1">
        <v>179076.09</v>
      </c>
    </row>
    <row r="700" spans="1:7" x14ac:dyDescent="0.25">
      <c r="A700" s="111" t="str">
        <f t="shared" si="10"/>
        <v>JDH4-02-007-PR-1900</v>
      </c>
      <c r="B700" t="s">
        <v>1082</v>
      </c>
      <c r="C700" t="s">
        <v>1083</v>
      </c>
      <c r="D700">
        <v>0</v>
      </c>
      <c r="E700" s="3">
        <v>1</v>
      </c>
      <c r="F700" s="3">
        <v>1</v>
      </c>
      <c r="G700">
        <v>0</v>
      </c>
    </row>
    <row r="701" spans="1:7" x14ac:dyDescent="0.25">
      <c r="A701" s="111" t="str">
        <f t="shared" si="10"/>
        <v>JDH4-02-007-PR-1907</v>
      </c>
      <c r="B701" t="s">
        <v>1084</v>
      </c>
      <c r="C701" t="s">
        <v>1085</v>
      </c>
      <c r="D701">
        <v>0</v>
      </c>
      <c r="E701" s="3">
        <v>1</v>
      </c>
      <c r="F701" s="3">
        <v>1</v>
      </c>
      <c r="G701">
        <v>0</v>
      </c>
    </row>
    <row r="702" spans="1:7" x14ac:dyDescent="0.25">
      <c r="A702" s="111" t="str">
        <f t="shared" si="10"/>
        <v>JDH4-02-007-PR-1908</v>
      </c>
      <c r="B702" t="s">
        <v>1086</v>
      </c>
      <c r="C702" t="s">
        <v>1087</v>
      </c>
      <c r="D702" s="1">
        <v>0</v>
      </c>
      <c r="E702" s="3">
        <v>1</v>
      </c>
      <c r="F702" s="3">
        <v>1</v>
      </c>
      <c r="G702">
        <v>0</v>
      </c>
    </row>
    <row r="703" spans="1:7" x14ac:dyDescent="0.25">
      <c r="A703" s="111" t="str">
        <f t="shared" si="10"/>
        <v>JDH4-02-007-PR-1909</v>
      </c>
      <c r="B703" t="s">
        <v>1088</v>
      </c>
      <c r="C703" t="s">
        <v>1089</v>
      </c>
      <c r="D703" s="1">
        <v>0</v>
      </c>
      <c r="E703" s="3">
        <v>1</v>
      </c>
      <c r="F703" s="2">
        <v>1</v>
      </c>
      <c r="G703">
        <v>0</v>
      </c>
    </row>
    <row r="704" spans="1:7" x14ac:dyDescent="0.25">
      <c r="A704" s="111" t="str">
        <f t="shared" si="10"/>
        <v>JDH4-02-007-PR-1910</v>
      </c>
      <c r="B704" t="s">
        <v>1090</v>
      </c>
      <c r="C704" t="s">
        <v>1091</v>
      </c>
      <c r="D704" s="1">
        <v>0</v>
      </c>
      <c r="E704" s="3">
        <v>1</v>
      </c>
      <c r="F704" s="3">
        <v>1</v>
      </c>
      <c r="G704">
        <v>0</v>
      </c>
    </row>
    <row r="705" spans="1:7" x14ac:dyDescent="0.25">
      <c r="A705" s="111" t="str">
        <f t="shared" si="10"/>
        <v>JDH4-02-007-PR-1920</v>
      </c>
      <c r="B705" t="s">
        <v>1092</v>
      </c>
      <c r="C705" t="s">
        <v>1093</v>
      </c>
      <c r="D705" s="1">
        <v>179076.09</v>
      </c>
      <c r="E705" s="3">
        <v>1</v>
      </c>
      <c r="F705" s="3">
        <v>1</v>
      </c>
      <c r="G705" s="1">
        <v>179076.09</v>
      </c>
    </row>
    <row r="706" spans="1:7" x14ac:dyDescent="0.25">
      <c r="A706" s="111" t="str">
        <f t="shared" si="10"/>
        <v>JDH4-02-007-PR-1930</v>
      </c>
      <c r="B706" t="s">
        <v>1094</v>
      </c>
      <c r="C706" t="s">
        <v>1095</v>
      </c>
      <c r="D706" s="1">
        <v>0</v>
      </c>
      <c r="E706" s="3">
        <v>1</v>
      </c>
      <c r="F706" s="3">
        <v>1</v>
      </c>
      <c r="G706">
        <v>0</v>
      </c>
    </row>
    <row r="707" spans="1:7" x14ac:dyDescent="0.25">
      <c r="A707" s="111" t="str">
        <f t="shared" si="10"/>
        <v>Potable Water Network</v>
      </c>
      <c r="B707" t="s">
        <v>987</v>
      </c>
      <c r="D707" s="1">
        <v>358152.18</v>
      </c>
      <c r="E707" s="3"/>
      <c r="F707" s="3">
        <v>1</v>
      </c>
      <c r="G707" s="1">
        <v>358152.18</v>
      </c>
    </row>
    <row r="708" spans="1:7" x14ac:dyDescent="0.25">
      <c r="A708" s="111" t="str">
        <f t="shared" ref="A708:A771" si="11">TRIM(B708)</f>
        <v>Valves / Chambers</v>
      </c>
      <c r="B708" t="s">
        <v>1066</v>
      </c>
      <c r="D708" s="1">
        <v>179076.09</v>
      </c>
      <c r="E708" s="3"/>
      <c r="F708" s="3">
        <v>1</v>
      </c>
      <c r="G708" s="1">
        <v>179076.09</v>
      </c>
    </row>
    <row r="709" spans="1:7" x14ac:dyDescent="0.25">
      <c r="A709" s="111" t="str">
        <f t="shared" si="11"/>
        <v>JDH4-02-007-PR-1240</v>
      </c>
      <c r="B709" t="s">
        <v>1096</v>
      </c>
      <c r="C709" t="s">
        <v>1068</v>
      </c>
      <c r="D709">
        <v>0</v>
      </c>
      <c r="E709" s="3">
        <v>1</v>
      </c>
      <c r="F709" s="3">
        <v>1</v>
      </c>
      <c r="G709">
        <v>0</v>
      </c>
    </row>
    <row r="710" spans="1:7" x14ac:dyDescent="0.25">
      <c r="A710" s="111" t="str">
        <f t="shared" si="11"/>
        <v>JDH4-02-007-PR-1249</v>
      </c>
      <c r="B710" t="s">
        <v>1098</v>
      </c>
      <c r="C710" t="s">
        <v>1072</v>
      </c>
      <c r="D710">
        <v>0</v>
      </c>
      <c r="E710" s="3">
        <v>1</v>
      </c>
      <c r="F710" s="3">
        <v>1</v>
      </c>
      <c r="G710">
        <v>0</v>
      </c>
    </row>
    <row r="711" spans="1:7" x14ac:dyDescent="0.25">
      <c r="A711" s="111" t="str">
        <f t="shared" si="11"/>
        <v>JDH4-02-007-PR-1248</v>
      </c>
      <c r="B711" t="s">
        <v>1097</v>
      </c>
      <c r="C711" t="s">
        <v>1070</v>
      </c>
      <c r="D711" s="1">
        <v>0</v>
      </c>
      <c r="E711" s="3">
        <v>1</v>
      </c>
      <c r="F711" s="3">
        <v>1</v>
      </c>
      <c r="G711">
        <v>0</v>
      </c>
    </row>
    <row r="712" spans="1:7" x14ac:dyDescent="0.25">
      <c r="A712" s="111" t="str">
        <f t="shared" si="11"/>
        <v>JDH4-02-007-PR-1250</v>
      </c>
      <c r="B712" t="s">
        <v>1099</v>
      </c>
      <c r="C712" t="s">
        <v>1074</v>
      </c>
      <c r="D712" s="1">
        <v>0</v>
      </c>
      <c r="E712" s="3">
        <v>1</v>
      </c>
      <c r="F712" s="3">
        <v>1</v>
      </c>
      <c r="G712">
        <v>0</v>
      </c>
    </row>
    <row r="713" spans="1:7" x14ac:dyDescent="0.25">
      <c r="A713" s="111" t="str">
        <f t="shared" si="11"/>
        <v>JDH4-02-007-PR-1260</v>
      </c>
      <c r="B713" t="s">
        <v>1100</v>
      </c>
      <c r="C713" t="s">
        <v>1078</v>
      </c>
      <c r="D713" s="1">
        <v>179076.09</v>
      </c>
      <c r="E713" s="3">
        <v>1</v>
      </c>
      <c r="F713" s="3">
        <v>1</v>
      </c>
      <c r="G713" s="1">
        <v>179076.09</v>
      </c>
    </row>
    <row r="714" spans="1:7" x14ac:dyDescent="0.25">
      <c r="A714" s="111" t="str">
        <f t="shared" si="11"/>
        <v>JDH4-02-007-PR-1810</v>
      </c>
      <c r="B714" t="s">
        <v>1101</v>
      </c>
      <c r="C714" t="s">
        <v>1080</v>
      </c>
      <c r="D714">
        <v>0</v>
      </c>
      <c r="E714" s="3">
        <v>1</v>
      </c>
      <c r="F714" s="3">
        <v>1</v>
      </c>
      <c r="G714">
        <v>0</v>
      </c>
    </row>
    <row r="715" spans="1:7" x14ac:dyDescent="0.25">
      <c r="A715" s="111" t="str">
        <f t="shared" si="11"/>
        <v>Fire Hydrants</v>
      </c>
      <c r="B715" t="s">
        <v>1102</v>
      </c>
      <c r="D715" s="1">
        <v>179076.09</v>
      </c>
      <c r="E715" s="3"/>
      <c r="F715" s="3">
        <v>1</v>
      </c>
      <c r="G715" s="1">
        <v>179076.09</v>
      </c>
    </row>
    <row r="716" spans="1:7" x14ac:dyDescent="0.25">
      <c r="A716" s="111" t="str">
        <f t="shared" si="11"/>
        <v>JDH4-02-007-PR-2440</v>
      </c>
      <c r="B716" t="s">
        <v>1103</v>
      </c>
      <c r="C716" t="s">
        <v>215</v>
      </c>
      <c r="D716" s="1">
        <v>0</v>
      </c>
      <c r="E716" s="3">
        <v>1</v>
      </c>
      <c r="F716" s="3">
        <v>1</v>
      </c>
      <c r="G716">
        <v>0</v>
      </c>
    </row>
    <row r="717" spans="1:7" x14ac:dyDescent="0.25">
      <c r="A717" s="111" t="str">
        <f t="shared" si="11"/>
        <v>JDH4-02-007-PR-2447</v>
      </c>
      <c r="B717" t="s">
        <v>1104</v>
      </c>
      <c r="C717" t="s">
        <v>1105</v>
      </c>
      <c r="D717">
        <v>0</v>
      </c>
      <c r="E717" s="3">
        <v>1</v>
      </c>
      <c r="F717" s="3">
        <v>1</v>
      </c>
      <c r="G717">
        <v>0</v>
      </c>
    </row>
    <row r="718" spans="1:7" x14ac:dyDescent="0.25">
      <c r="A718" s="111" t="str">
        <f t="shared" si="11"/>
        <v>JDH4-02-007-PR-2448</v>
      </c>
      <c r="B718" t="s">
        <v>1106</v>
      </c>
      <c r="C718" t="s">
        <v>1107</v>
      </c>
      <c r="D718">
        <v>0</v>
      </c>
      <c r="E718" s="3">
        <v>1</v>
      </c>
      <c r="F718" s="3">
        <v>1</v>
      </c>
      <c r="G718">
        <v>0</v>
      </c>
    </row>
    <row r="719" spans="1:7" x14ac:dyDescent="0.25">
      <c r="A719" s="111" t="str">
        <f t="shared" si="11"/>
        <v>JDH4-02-007-PR-2449</v>
      </c>
      <c r="B719" t="s">
        <v>1108</v>
      </c>
      <c r="C719" t="s">
        <v>1109</v>
      </c>
      <c r="D719" s="1">
        <v>0</v>
      </c>
      <c r="E719" s="3">
        <v>1</v>
      </c>
      <c r="F719" s="3">
        <v>1</v>
      </c>
      <c r="G719">
        <v>0</v>
      </c>
    </row>
    <row r="720" spans="1:7" x14ac:dyDescent="0.25">
      <c r="A720" s="111" t="str">
        <f t="shared" si="11"/>
        <v>JDH4-02-007-PR-2450</v>
      </c>
      <c r="B720" t="s">
        <v>1110</v>
      </c>
      <c r="C720" t="s">
        <v>1111</v>
      </c>
      <c r="D720">
        <v>0</v>
      </c>
      <c r="E720" s="3">
        <v>1</v>
      </c>
      <c r="F720" s="3">
        <v>1</v>
      </c>
      <c r="G720">
        <v>0</v>
      </c>
    </row>
    <row r="721" spans="1:7" x14ac:dyDescent="0.25">
      <c r="A721" s="111" t="str">
        <f t="shared" si="11"/>
        <v>JDH4-02-007-PR-2460</v>
      </c>
      <c r="B721" t="s">
        <v>1112</v>
      </c>
      <c r="C721" t="s">
        <v>216</v>
      </c>
      <c r="D721" s="1">
        <v>179076.09</v>
      </c>
      <c r="E721" s="3">
        <v>1</v>
      </c>
      <c r="F721" s="3">
        <v>1</v>
      </c>
      <c r="G721" s="1">
        <v>179076.09</v>
      </c>
    </row>
    <row r="722" spans="1:7" x14ac:dyDescent="0.25">
      <c r="A722" s="111" t="str">
        <f t="shared" si="11"/>
        <v>JDH4-02-007-PR-2470</v>
      </c>
      <c r="B722" t="s">
        <v>1113</v>
      </c>
      <c r="C722" t="s">
        <v>1114</v>
      </c>
      <c r="D722">
        <v>0</v>
      </c>
      <c r="E722" s="3">
        <v>1</v>
      </c>
      <c r="F722" s="3">
        <v>1</v>
      </c>
      <c r="G722">
        <v>0</v>
      </c>
    </row>
    <row r="723" spans="1:7" x14ac:dyDescent="0.25">
      <c r="A723" s="111" t="str">
        <f t="shared" si="11"/>
        <v>Electrical Network</v>
      </c>
      <c r="B723" t="s">
        <v>190</v>
      </c>
      <c r="D723" s="1">
        <v>1432608.72</v>
      </c>
      <c r="E723" s="3"/>
      <c r="F723" s="3">
        <v>1</v>
      </c>
      <c r="G723" s="1">
        <v>1432608.72</v>
      </c>
    </row>
    <row r="724" spans="1:7" x14ac:dyDescent="0.25">
      <c r="A724" s="111" t="str">
        <f t="shared" si="11"/>
        <v>Medium Voltage Cable</v>
      </c>
      <c r="B724" t="s">
        <v>196</v>
      </c>
      <c r="D724" s="1">
        <v>179076.09</v>
      </c>
      <c r="E724" s="3"/>
      <c r="F724" s="3">
        <v>1</v>
      </c>
      <c r="G724" s="1">
        <v>179076.09</v>
      </c>
    </row>
    <row r="725" spans="1:7" x14ac:dyDescent="0.25">
      <c r="A725" s="111" t="str">
        <f t="shared" si="11"/>
        <v>JDH4-02-007-PR-1000</v>
      </c>
      <c r="B725" t="s">
        <v>1115</v>
      </c>
      <c r="C725" t="s">
        <v>197</v>
      </c>
      <c r="D725">
        <v>0</v>
      </c>
      <c r="E725" s="3">
        <v>1</v>
      </c>
      <c r="F725" s="3">
        <v>1</v>
      </c>
      <c r="G725">
        <v>0</v>
      </c>
    </row>
    <row r="726" spans="1:7" x14ac:dyDescent="0.25">
      <c r="A726" s="111" t="str">
        <f t="shared" si="11"/>
        <v>JDH4-02-007-PR-1060</v>
      </c>
      <c r="B726" t="s">
        <v>1118</v>
      </c>
      <c r="C726" t="s">
        <v>1119</v>
      </c>
      <c r="D726" s="1">
        <v>0</v>
      </c>
      <c r="E726" s="3">
        <v>1</v>
      </c>
      <c r="F726" s="3">
        <v>1</v>
      </c>
      <c r="G726">
        <v>0</v>
      </c>
    </row>
    <row r="727" spans="1:7" x14ac:dyDescent="0.25">
      <c r="A727" s="111" t="str">
        <f t="shared" si="11"/>
        <v>JDH4-02-007-PR-1059</v>
      </c>
      <c r="B727" t="s">
        <v>1116</v>
      </c>
      <c r="C727" t="s">
        <v>1117</v>
      </c>
      <c r="D727" s="1">
        <v>0</v>
      </c>
      <c r="E727" s="3">
        <v>1</v>
      </c>
      <c r="F727" s="3">
        <v>1</v>
      </c>
      <c r="G727">
        <v>0</v>
      </c>
    </row>
    <row r="728" spans="1:7" x14ac:dyDescent="0.25">
      <c r="A728" s="111" t="str">
        <f t="shared" si="11"/>
        <v>JDH4-02-007-PR-1120</v>
      </c>
      <c r="B728" t="s">
        <v>1120</v>
      </c>
      <c r="C728" t="s">
        <v>198</v>
      </c>
      <c r="D728" s="1">
        <v>179076.09</v>
      </c>
      <c r="E728" s="3">
        <v>1</v>
      </c>
      <c r="F728" s="3">
        <v>1</v>
      </c>
      <c r="G728" s="1">
        <v>179076.09</v>
      </c>
    </row>
    <row r="729" spans="1:7" x14ac:dyDescent="0.25">
      <c r="A729" s="111" t="str">
        <f t="shared" si="11"/>
        <v>JDH4-02-007-PR-1750</v>
      </c>
      <c r="B729" t="s">
        <v>1121</v>
      </c>
      <c r="C729" t="s">
        <v>1122</v>
      </c>
      <c r="D729">
        <v>0</v>
      </c>
      <c r="E729" s="3">
        <v>1</v>
      </c>
      <c r="F729" s="3">
        <v>1</v>
      </c>
      <c r="G729">
        <v>0</v>
      </c>
    </row>
    <row r="730" spans="1:7" x14ac:dyDescent="0.25">
      <c r="A730" s="111" t="str">
        <f t="shared" si="11"/>
        <v>Unit Sub Station</v>
      </c>
      <c r="B730" t="s">
        <v>1123</v>
      </c>
      <c r="D730" s="1">
        <v>179076.09</v>
      </c>
      <c r="E730" s="3"/>
      <c r="F730" s="3">
        <v>1</v>
      </c>
      <c r="G730" s="1">
        <v>179076.09</v>
      </c>
    </row>
    <row r="731" spans="1:7" x14ac:dyDescent="0.25">
      <c r="A731" s="111" t="str">
        <f t="shared" si="11"/>
        <v>JDH4-02-007-PR-1010</v>
      </c>
      <c r="B731" t="s">
        <v>1124</v>
      </c>
      <c r="C731" t="s">
        <v>1125</v>
      </c>
      <c r="D731" s="1">
        <v>0</v>
      </c>
      <c r="E731" s="3">
        <v>1</v>
      </c>
      <c r="F731" s="3">
        <v>1</v>
      </c>
      <c r="G731">
        <v>0</v>
      </c>
    </row>
    <row r="732" spans="1:7" x14ac:dyDescent="0.25">
      <c r="A732" s="111" t="str">
        <f t="shared" si="11"/>
        <v>JDH4-02-007-PR-1067</v>
      </c>
      <c r="B732" t="s">
        <v>1126</v>
      </c>
      <c r="C732" t="s">
        <v>1127</v>
      </c>
      <c r="D732">
        <v>0</v>
      </c>
      <c r="E732" s="3">
        <v>1</v>
      </c>
      <c r="F732" s="3">
        <v>1</v>
      </c>
      <c r="G732">
        <v>0</v>
      </c>
    </row>
    <row r="733" spans="1:7" x14ac:dyDescent="0.25">
      <c r="A733" s="111" t="str">
        <f t="shared" si="11"/>
        <v>JDH4-02-007-PR-1068</v>
      </c>
      <c r="B733" t="s">
        <v>1128</v>
      </c>
      <c r="C733" t="s">
        <v>1129</v>
      </c>
      <c r="D733" s="1">
        <v>0</v>
      </c>
      <c r="E733" s="3">
        <v>1</v>
      </c>
      <c r="F733" s="3">
        <v>1</v>
      </c>
      <c r="G733">
        <v>0</v>
      </c>
    </row>
    <row r="734" spans="1:7" x14ac:dyDescent="0.25">
      <c r="A734" s="111" t="str">
        <f t="shared" si="11"/>
        <v>JDH4-02-007-PR-1069</v>
      </c>
      <c r="B734" t="s">
        <v>1130</v>
      </c>
      <c r="C734" t="s">
        <v>1131</v>
      </c>
      <c r="D734" s="1">
        <v>0</v>
      </c>
      <c r="E734" s="3">
        <v>1</v>
      </c>
      <c r="F734" s="3">
        <v>1</v>
      </c>
      <c r="G734">
        <v>0</v>
      </c>
    </row>
    <row r="735" spans="1:7" x14ac:dyDescent="0.25">
      <c r="A735" s="111" t="str">
        <f t="shared" si="11"/>
        <v>JDH4-02-007-PR-1070</v>
      </c>
      <c r="B735" t="s">
        <v>1132</v>
      </c>
      <c r="C735" t="s">
        <v>1133</v>
      </c>
      <c r="D735" s="1">
        <v>0</v>
      </c>
      <c r="E735" s="3">
        <v>1</v>
      </c>
      <c r="F735" s="3">
        <v>1</v>
      </c>
      <c r="G735">
        <v>0</v>
      </c>
    </row>
    <row r="736" spans="1:7" x14ac:dyDescent="0.25">
      <c r="A736" s="111" t="str">
        <f t="shared" si="11"/>
        <v>JDH4-02-007-PR-1130</v>
      </c>
      <c r="B736" t="s">
        <v>1134</v>
      </c>
      <c r="C736" t="s">
        <v>1135</v>
      </c>
      <c r="D736" s="1">
        <v>179076.09</v>
      </c>
      <c r="E736" s="3">
        <v>1</v>
      </c>
      <c r="F736" s="3">
        <v>1</v>
      </c>
      <c r="G736" s="1">
        <v>179076.09</v>
      </c>
    </row>
    <row r="737" spans="1:7" x14ac:dyDescent="0.25">
      <c r="A737" s="111" t="str">
        <f t="shared" si="11"/>
        <v>JDH4-02-007-PR-1760</v>
      </c>
      <c r="B737" t="s">
        <v>1136</v>
      </c>
      <c r="C737" t="s">
        <v>1137</v>
      </c>
      <c r="D737">
        <v>0</v>
      </c>
      <c r="E737" s="3">
        <v>1</v>
      </c>
      <c r="F737" s="3">
        <v>1</v>
      </c>
      <c r="G737">
        <v>0</v>
      </c>
    </row>
    <row r="738" spans="1:7" x14ac:dyDescent="0.25">
      <c r="A738" s="111" t="str">
        <f t="shared" si="11"/>
        <v>Low Voltage Cables</v>
      </c>
      <c r="B738" t="s">
        <v>202</v>
      </c>
      <c r="D738" s="1">
        <v>179076.09</v>
      </c>
      <c r="E738" s="3"/>
      <c r="F738" s="3">
        <v>1</v>
      </c>
      <c r="G738" s="1">
        <v>179076.09</v>
      </c>
    </row>
    <row r="739" spans="1:7" x14ac:dyDescent="0.25">
      <c r="A739" s="111" t="str">
        <f t="shared" si="11"/>
        <v>JDH4-02-007-PR-1020</v>
      </c>
      <c r="B739" t="s">
        <v>1138</v>
      </c>
      <c r="C739" t="s">
        <v>203</v>
      </c>
      <c r="D739" s="1">
        <v>0</v>
      </c>
      <c r="E739" s="3">
        <v>1</v>
      </c>
      <c r="F739" s="3">
        <v>1</v>
      </c>
      <c r="G739">
        <v>0</v>
      </c>
    </row>
    <row r="740" spans="1:7" x14ac:dyDescent="0.25">
      <c r="A740" s="111" t="str">
        <f t="shared" si="11"/>
        <v>JDH4-02-007-PR-1078</v>
      </c>
      <c r="B740" t="s">
        <v>1139</v>
      </c>
      <c r="C740" t="s">
        <v>1140</v>
      </c>
      <c r="D740" s="1">
        <v>0</v>
      </c>
      <c r="E740" s="3">
        <v>1</v>
      </c>
      <c r="F740" s="3">
        <v>1</v>
      </c>
      <c r="G740">
        <v>0</v>
      </c>
    </row>
    <row r="741" spans="1:7" x14ac:dyDescent="0.25">
      <c r="A741" s="111" t="str">
        <f t="shared" si="11"/>
        <v>JDH4-02-007-PR-1079</v>
      </c>
      <c r="B741" t="s">
        <v>1141</v>
      </c>
      <c r="C741" t="s">
        <v>1142</v>
      </c>
      <c r="D741">
        <v>0</v>
      </c>
      <c r="E741" s="3">
        <v>1</v>
      </c>
      <c r="F741" s="3">
        <v>1</v>
      </c>
      <c r="G741">
        <v>0</v>
      </c>
    </row>
    <row r="742" spans="1:7" x14ac:dyDescent="0.25">
      <c r="A742" s="111" t="str">
        <f t="shared" si="11"/>
        <v>JDH4-02-007-PR-1080</v>
      </c>
      <c r="B742" t="s">
        <v>1143</v>
      </c>
      <c r="C742" t="s">
        <v>1144</v>
      </c>
      <c r="D742" s="1">
        <v>0</v>
      </c>
      <c r="E742" s="3">
        <v>1</v>
      </c>
      <c r="F742" s="3">
        <v>1</v>
      </c>
      <c r="G742">
        <v>0</v>
      </c>
    </row>
    <row r="743" spans="1:7" x14ac:dyDescent="0.25">
      <c r="A743" s="111" t="str">
        <f t="shared" si="11"/>
        <v>JDH4-02-007-PR-1140</v>
      </c>
      <c r="B743" t="s">
        <v>1145</v>
      </c>
      <c r="C743" t="s">
        <v>204</v>
      </c>
      <c r="D743" s="1">
        <v>179076.09</v>
      </c>
      <c r="E743" s="3">
        <v>1</v>
      </c>
      <c r="F743" s="3">
        <v>1</v>
      </c>
      <c r="G743" s="1">
        <v>179076.09</v>
      </c>
    </row>
    <row r="744" spans="1:7" x14ac:dyDescent="0.25">
      <c r="A744" s="111" t="str">
        <f t="shared" si="11"/>
        <v>JDH4-02-007-PR-1770</v>
      </c>
      <c r="B744" t="s">
        <v>1146</v>
      </c>
      <c r="C744" t="s">
        <v>1147</v>
      </c>
      <c r="D744">
        <v>0</v>
      </c>
      <c r="E744" s="3">
        <v>1</v>
      </c>
      <c r="F744" s="3">
        <v>1</v>
      </c>
      <c r="G744">
        <v>0</v>
      </c>
    </row>
    <row r="745" spans="1:7" x14ac:dyDescent="0.25">
      <c r="A745" s="111" t="str">
        <f t="shared" si="11"/>
        <v>Ring Main Unit</v>
      </c>
      <c r="B745" t="s">
        <v>199</v>
      </c>
      <c r="D745" s="1">
        <v>179076.09</v>
      </c>
      <c r="E745" s="3"/>
      <c r="F745" s="3">
        <v>1</v>
      </c>
      <c r="G745" s="1">
        <v>179076.09</v>
      </c>
    </row>
    <row r="746" spans="1:7" x14ac:dyDescent="0.25">
      <c r="A746" s="111" t="str">
        <f t="shared" si="11"/>
        <v>JDH4-02-007-PR-1940</v>
      </c>
      <c r="B746" t="s">
        <v>1148</v>
      </c>
      <c r="C746" t="s">
        <v>200</v>
      </c>
      <c r="D746" s="1">
        <v>0</v>
      </c>
      <c r="E746" s="3">
        <v>1</v>
      </c>
      <c r="F746" s="3">
        <v>1</v>
      </c>
      <c r="G746">
        <v>0</v>
      </c>
    </row>
    <row r="747" spans="1:7" x14ac:dyDescent="0.25">
      <c r="A747" s="111" t="str">
        <f t="shared" si="11"/>
        <v>JDH4-02-007-PR-1948</v>
      </c>
      <c r="B747" t="s">
        <v>1149</v>
      </c>
      <c r="C747" t="s">
        <v>1150</v>
      </c>
      <c r="D747" s="1">
        <v>0</v>
      </c>
      <c r="E747" s="3">
        <v>1</v>
      </c>
      <c r="F747" s="3">
        <v>1</v>
      </c>
      <c r="G747">
        <v>0</v>
      </c>
    </row>
    <row r="748" spans="1:7" x14ac:dyDescent="0.25">
      <c r="A748" s="111" t="str">
        <f t="shared" si="11"/>
        <v>JDH4-02-007-PR-1949</v>
      </c>
      <c r="B748" t="s">
        <v>1151</v>
      </c>
      <c r="C748" t="s">
        <v>1152</v>
      </c>
      <c r="D748">
        <v>0</v>
      </c>
      <c r="E748" s="3">
        <v>1</v>
      </c>
      <c r="F748" s="3">
        <v>1</v>
      </c>
      <c r="G748">
        <v>0</v>
      </c>
    </row>
    <row r="749" spans="1:7" x14ac:dyDescent="0.25">
      <c r="A749" s="111" t="str">
        <f t="shared" si="11"/>
        <v>JDH4-02-007-PR-1950</v>
      </c>
      <c r="B749" t="s">
        <v>1153</v>
      </c>
      <c r="C749" t="s">
        <v>1154</v>
      </c>
      <c r="D749" s="1">
        <v>0</v>
      </c>
      <c r="E749" s="3">
        <v>1</v>
      </c>
      <c r="F749" s="3">
        <v>1</v>
      </c>
      <c r="G749">
        <v>0</v>
      </c>
    </row>
    <row r="750" spans="1:7" x14ac:dyDescent="0.25">
      <c r="A750" s="111" t="str">
        <f t="shared" si="11"/>
        <v>JDH4-02-007-PR-1960</v>
      </c>
      <c r="B750" t="s">
        <v>1155</v>
      </c>
      <c r="C750" t="s">
        <v>201</v>
      </c>
      <c r="D750" s="1">
        <v>179076.09</v>
      </c>
      <c r="E750" s="3">
        <v>1</v>
      </c>
      <c r="F750" s="3">
        <v>1</v>
      </c>
      <c r="G750" s="1">
        <v>179076.09</v>
      </c>
    </row>
    <row r="751" spans="1:7" x14ac:dyDescent="0.25">
      <c r="A751" s="111" t="str">
        <f t="shared" si="11"/>
        <v>JDH4-02-007-PR-1970</v>
      </c>
      <c r="B751" t="s">
        <v>1156</v>
      </c>
      <c r="C751" t="s">
        <v>1157</v>
      </c>
      <c r="D751" s="1">
        <v>0</v>
      </c>
      <c r="E751" s="3">
        <v>1</v>
      </c>
      <c r="F751" s="3">
        <v>1</v>
      </c>
      <c r="G751">
        <v>0</v>
      </c>
    </row>
    <row r="752" spans="1:7" x14ac:dyDescent="0.25">
      <c r="A752" s="111" t="str">
        <f t="shared" si="11"/>
        <v>Lighting poles</v>
      </c>
      <c r="B752" t="s">
        <v>205</v>
      </c>
      <c r="D752" s="1">
        <v>179076.09</v>
      </c>
      <c r="E752" s="3"/>
      <c r="F752" s="3">
        <v>1</v>
      </c>
      <c r="G752" s="1">
        <v>179076.09</v>
      </c>
    </row>
    <row r="753" spans="1:7" x14ac:dyDescent="0.25">
      <c r="A753" s="111" t="str">
        <f t="shared" si="11"/>
        <v>JDH4-02-007-PR-1030</v>
      </c>
      <c r="B753" t="s">
        <v>1158</v>
      </c>
      <c r="C753" t="s">
        <v>206</v>
      </c>
      <c r="D753">
        <v>0</v>
      </c>
      <c r="E753" s="3">
        <v>1</v>
      </c>
      <c r="F753" s="3">
        <v>1</v>
      </c>
      <c r="G753">
        <v>0</v>
      </c>
    </row>
    <row r="754" spans="1:7" x14ac:dyDescent="0.25">
      <c r="A754" s="111" t="str">
        <f t="shared" si="11"/>
        <v>JDH4-02-007-PR-1088</v>
      </c>
      <c r="B754" t="s">
        <v>1159</v>
      </c>
      <c r="C754" t="s">
        <v>1160</v>
      </c>
      <c r="D754" s="1">
        <v>0</v>
      </c>
      <c r="E754" s="3">
        <v>1</v>
      </c>
      <c r="F754" s="3">
        <v>1</v>
      </c>
      <c r="G754">
        <v>0</v>
      </c>
    </row>
    <row r="755" spans="1:7" x14ac:dyDescent="0.25">
      <c r="A755" s="111" t="str">
        <f t="shared" si="11"/>
        <v>JDH4-02-007-PR-1090</v>
      </c>
      <c r="B755" t="s">
        <v>1163</v>
      </c>
      <c r="C755" t="s">
        <v>1164</v>
      </c>
      <c r="D755" s="1">
        <v>0</v>
      </c>
      <c r="E755" s="3">
        <v>1</v>
      </c>
      <c r="F755" s="3">
        <v>1</v>
      </c>
      <c r="G755">
        <v>0</v>
      </c>
    </row>
    <row r="756" spans="1:7" x14ac:dyDescent="0.25">
      <c r="A756" s="111" t="str">
        <f t="shared" si="11"/>
        <v>JDH4-02-007-PR-1089</v>
      </c>
      <c r="B756" t="s">
        <v>1161</v>
      </c>
      <c r="C756" t="s">
        <v>1162</v>
      </c>
      <c r="D756" s="1">
        <v>0</v>
      </c>
      <c r="E756" s="3">
        <v>1</v>
      </c>
      <c r="F756" s="3">
        <v>1</v>
      </c>
      <c r="G756" s="1">
        <v>0</v>
      </c>
    </row>
    <row r="757" spans="1:7" x14ac:dyDescent="0.25">
      <c r="A757" s="111" t="str">
        <f t="shared" si="11"/>
        <v>JDH4-02-007-PR-1150</v>
      </c>
      <c r="B757" t="s">
        <v>1165</v>
      </c>
      <c r="C757" t="s">
        <v>207</v>
      </c>
      <c r="D757" s="1">
        <v>179076.09</v>
      </c>
      <c r="E757" s="3">
        <v>1</v>
      </c>
      <c r="F757" s="3">
        <v>1</v>
      </c>
      <c r="G757" s="1">
        <v>179076.09</v>
      </c>
    </row>
    <row r="758" spans="1:7" x14ac:dyDescent="0.25">
      <c r="A758" s="111" t="str">
        <f t="shared" si="11"/>
        <v>JDH4-02-007-PR-1780</v>
      </c>
      <c r="B758" t="s">
        <v>1166</v>
      </c>
      <c r="C758" t="s">
        <v>1167</v>
      </c>
      <c r="D758" s="1">
        <v>0</v>
      </c>
      <c r="E758" s="3">
        <v>1</v>
      </c>
      <c r="F758" s="3">
        <v>1</v>
      </c>
      <c r="G758">
        <v>0</v>
      </c>
    </row>
    <row r="759" spans="1:7" x14ac:dyDescent="0.25">
      <c r="A759" s="111" t="str">
        <f t="shared" si="11"/>
        <v>Street Lighting Luminaire</v>
      </c>
      <c r="B759" t="s">
        <v>208</v>
      </c>
      <c r="D759" s="1">
        <v>179076.09</v>
      </c>
      <c r="E759" s="3"/>
      <c r="F759" s="3">
        <v>1</v>
      </c>
      <c r="G759" s="1">
        <v>179076.09</v>
      </c>
    </row>
    <row r="760" spans="1:7" x14ac:dyDescent="0.25">
      <c r="A760" s="111" t="str">
        <f t="shared" si="11"/>
        <v>JDH4-02-007-PR-1040</v>
      </c>
      <c r="B760" t="s">
        <v>1168</v>
      </c>
      <c r="C760" t="s">
        <v>209</v>
      </c>
      <c r="D760">
        <v>0</v>
      </c>
      <c r="E760" s="3">
        <v>1</v>
      </c>
      <c r="F760" s="3">
        <v>1</v>
      </c>
      <c r="G760">
        <v>0</v>
      </c>
    </row>
    <row r="761" spans="1:7" x14ac:dyDescent="0.25">
      <c r="A761" s="111" t="str">
        <f t="shared" si="11"/>
        <v>JDH4-02-007-PR-1098</v>
      </c>
      <c r="B761" t="s">
        <v>1169</v>
      </c>
      <c r="C761" t="s">
        <v>1170</v>
      </c>
      <c r="D761" s="1">
        <v>0</v>
      </c>
      <c r="E761" s="3">
        <v>1</v>
      </c>
      <c r="F761" s="3">
        <v>1</v>
      </c>
      <c r="G761">
        <v>0</v>
      </c>
    </row>
    <row r="762" spans="1:7" x14ac:dyDescent="0.25">
      <c r="A762" s="111" t="str">
        <f t="shared" si="11"/>
        <v>JDH4-02-007-PR-1099</v>
      </c>
      <c r="B762" t="s">
        <v>1171</v>
      </c>
      <c r="C762" t="s">
        <v>1172</v>
      </c>
      <c r="D762" s="1">
        <v>0</v>
      </c>
      <c r="E762" s="3">
        <v>1</v>
      </c>
      <c r="F762" s="3">
        <v>1</v>
      </c>
      <c r="G762" s="1">
        <v>0</v>
      </c>
    </row>
    <row r="763" spans="1:7" x14ac:dyDescent="0.25">
      <c r="A763" s="111" t="str">
        <f t="shared" si="11"/>
        <v>JDH4-02-007-PR-1100</v>
      </c>
      <c r="B763" t="s">
        <v>1173</v>
      </c>
      <c r="C763" t="s">
        <v>1174</v>
      </c>
      <c r="D763" s="1">
        <v>0</v>
      </c>
      <c r="E763" s="3">
        <v>1</v>
      </c>
      <c r="F763" s="3">
        <v>1</v>
      </c>
      <c r="G763" s="1">
        <v>0</v>
      </c>
    </row>
    <row r="764" spans="1:7" x14ac:dyDescent="0.25">
      <c r="A764" s="111" t="str">
        <f t="shared" si="11"/>
        <v>JDH4-02-007-PR-1160</v>
      </c>
      <c r="B764" t="s">
        <v>1175</v>
      </c>
      <c r="C764" t="s">
        <v>210</v>
      </c>
      <c r="D764" s="1">
        <v>179076.09</v>
      </c>
      <c r="E764" s="3">
        <v>1</v>
      </c>
      <c r="F764" s="3">
        <v>1</v>
      </c>
      <c r="G764" s="1">
        <v>179076.09</v>
      </c>
    </row>
    <row r="765" spans="1:7" x14ac:dyDescent="0.25">
      <c r="A765" s="111" t="str">
        <f t="shared" si="11"/>
        <v>JDH4-02-007-PR-1790</v>
      </c>
      <c r="B765" t="s">
        <v>1176</v>
      </c>
      <c r="C765" t="s">
        <v>1177</v>
      </c>
      <c r="D765">
        <v>0</v>
      </c>
      <c r="E765" s="3">
        <v>1</v>
      </c>
      <c r="F765" s="3">
        <v>1</v>
      </c>
      <c r="G765">
        <v>0</v>
      </c>
    </row>
    <row r="766" spans="1:7" x14ac:dyDescent="0.25">
      <c r="A766" s="111" t="str">
        <f t="shared" si="11"/>
        <v>Lighting panels/Feeder Pillers</v>
      </c>
      <c r="B766" t="s">
        <v>1178</v>
      </c>
      <c r="D766" s="1">
        <v>179076.09</v>
      </c>
      <c r="E766" s="3"/>
      <c r="F766" s="3">
        <v>1</v>
      </c>
      <c r="G766" s="1">
        <v>179076.09</v>
      </c>
    </row>
    <row r="767" spans="1:7" x14ac:dyDescent="0.25">
      <c r="A767" s="111" t="str">
        <f t="shared" si="11"/>
        <v>JDH4-02-007-PR-1050</v>
      </c>
      <c r="B767" t="s">
        <v>1179</v>
      </c>
      <c r="C767" t="s">
        <v>1180</v>
      </c>
      <c r="D767" s="1">
        <v>0</v>
      </c>
      <c r="E767" s="3">
        <v>1</v>
      </c>
      <c r="F767" s="3">
        <v>1</v>
      </c>
      <c r="G767">
        <v>0</v>
      </c>
    </row>
    <row r="768" spans="1:7" x14ac:dyDescent="0.25">
      <c r="A768" s="111" t="str">
        <f t="shared" si="11"/>
        <v>JDH4-02-007-PR-1108</v>
      </c>
      <c r="B768" t="s">
        <v>1181</v>
      </c>
      <c r="C768" t="s">
        <v>1182</v>
      </c>
      <c r="D768">
        <v>0</v>
      </c>
      <c r="E768" s="3">
        <v>1</v>
      </c>
      <c r="F768" s="3">
        <v>1</v>
      </c>
      <c r="G768">
        <v>0</v>
      </c>
    </row>
    <row r="769" spans="1:7" x14ac:dyDescent="0.25">
      <c r="A769" s="111" t="str">
        <f t="shared" si="11"/>
        <v>JDH4-02-007-PR-1110</v>
      </c>
      <c r="B769" t="s">
        <v>1185</v>
      </c>
      <c r="C769" t="s">
        <v>1186</v>
      </c>
      <c r="D769">
        <v>0</v>
      </c>
      <c r="E769" s="3">
        <v>1</v>
      </c>
      <c r="F769" s="3">
        <v>1</v>
      </c>
      <c r="G769">
        <v>0</v>
      </c>
    </row>
    <row r="770" spans="1:7" x14ac:dyDescent="0.25">
      <c r="A770" s="111" t="str">
        <f t="shared" si="11"/>
        <v>JDH4-02-007-PR-1170</v>
      </c>
      <c r="B770" t="s">
        <v>1187</v>
      </c>
      <c r="C770" t="s">
        <v>1188</v>
      </c>
      <c r="D770" s="1">
        <v>179076.09</v>
      </c>
      <c r="E770" s="3">
        <v>1</v>
      </c>
      <c r="F770" s="3">
        <v>1</v>
      </c>
      <c r="G770" s="1">
        <v>179076.09</v>
      </c>
    </row>
    <row r="771" spans="1:7" x14ac:dyDescent="0.25">
      <c r="A771" s="111" t="str">
        <f t="shared" si="11"/>
        <v>JDH4-02-007-PR-1109</v>
      </c>
      <c r="B771" t="s">
        <v>1183</v>
      </c>
      <c r="C771" t="s">
        <v>1184</v>
      </c>
      <c r="D771" s="1">
        <v>0</v>
      </c>
      <c r="E771" s="3">
        <v>1</v>
      </c>
      <c r="F771" s="3">
        <v>1</v>
      </c>
      <c r="G771">
        <v>0</v>
      </c>
    </row>
    <row r="772" spans="1:7" x14ac:dyDescent="0.25">
      <c r="A772" s="111" t="str">
        <f t="shared" ref="A772:A835" si="12">TRIM(B772)</f>
        <v>JDH4-02-007-PR-1800</v>
      </c>
      <c r="B772" t="s">
        <v>1189</v>
      </c>
      <c r="C772" t="s">
        <v>1190</v>
      </c>
      <c r="D772" s="1">
        <v>0</v>
      </c>
      <c r="E772" s="3">
        <v>1</v>
      </c>
      <c r="F772" s="3">
        <v>1</v>
      </c>
      <c r="G772">
        <v>0</v>
      </c>
    </row>
    <row r="773" spans="1:7" x14ac:dyDescent="0.25">
      <c r="A773" s="111" t="str">
        <f t="shared" si="12"/>
        <v>Low Voltage Distribution Panels</v>
      </c>
      <c r="B773" t="s">
        <v>1191</v>
      </c>
      <c r="D773" s="1">
        <v>179076.09</v>
      </c>
      <c r="E773" s="3"/>
      <c r="F773" s="3">
        <v>1</v>
      </c>
      <c r="G773" s="1">
        <v>179076.09</v>
      </c>
    </row>
    <row r="774" spans="1:7" x14ac:dyDescent="0.25">
      <c r="A774" s="111" t="str">
        <f t="shared" si="12"/>
        <v>JDH4-02-007-PR-2480</v>
      </c>
      <c r="B774" t="s">
        <v>1192</v>
      </c>
      <c r="C774" t="s">
        <v>1193</v>
      </c>
      <c r="D774" s="1">
        <v>0</v>
      </c>
      <c r="E774" s="3">
        <v>1</v>
      </c>
      <c r="F774" s="3">
        <v>1</v>
      </c>
      <c r="G774">
        <v>0</v>
      </c>
    </row>
    <row r="775" spans="1:7" x14ac:dyDescent="0.25">
      <c r="A775" s="111" t="str">
        <f t="shared" si="12"/>
        <v>JDH4-02-007-PR-2488</v>
      </c>
      <c r="B775" t="s">
        <v>1194</v>
      </c>
      <c r="C775" t="s">
        <v>1195</v>
      </c>
      <c r="D775">
        <v>0</v>
      </c>
      <c r="E775" s="3">
        <v>1</v>
      </c>
      <c r="F775" s="3">
        <v>1</v>
      </c>
      <c r="G775">
        <v>0</v>
      </c>
    </row>
    <row r="776" spans="1:7" x14ac:dyDescent="0.25">
      <c r="A776" s="111" t="str">
        <f t="shared" si="12"/>
        <v>JDH4-02-007-PR-2489</v>
      </c>
      <c r="B776" t="s">
        <v>1196</v>
      </c>
      <c r="C776" t="s">
        <v>1197</v>
      </c>
      <c r="D776">
        <v>0</v>
      </c>
      <c r="E776" s="3">
        <v>1</v>
      </c>
      <c r="F776" s="3">
        <v>1</v>
      </c>
      <c r="G776">
        <v>0</v>
      </c>
    </row>
    <row r="777" spans="1:7" x14ac:dyDescent="0.25">
      <c r="A777" s="111" t="str">
        <f t="shared" si="12"/>
        <v>JDH4-02-007-PR-2490</v>
      </c>
      <c r="B777" t="s">
        <v>1198</v>
      </c>
      <c r="C777" t="s">
        <v>1199</v>
      </c>
      <c r="D777">
        <v>0</v>
      </c>
      <c r="E777" s="3">
        <v>1</v>
      </c>
      <c r="F777" s="3">
        <v>1</v>
      </c>
      <c r="G777">
        <v>0</v>
      </c>
    </row>
    <row r="778" spans="1:7" x14ac:dyDescent="0.25">
      <c r="A778" s="111" t="str">
        <f t="shared" si="12"/>
        <v>JDH4-02-007-PR-2500</v>
      </c>
      <c r="B778" t="s">
        <v>1200</v>
      </c>
      <c r="C778" t="s">
        <v>1201</v>
      </c>
      <c r="D778" s="1">
        <v>179076.09</v>
      </c>
      <c r="E778" s="3">
        <v>1</v>
      </c>
      <c r="F778" s="3">
        <v>1</v>
      </c>
      <c r="G778" s="1">
        <v>179076.09</v>
      </c>
    </row>
    <row r="779" spans="1:7" x14ac:dyDescent="0.25">
      <c r="A779" s="111" t="str">
        <f t="shared" si="12"/>
        <v>JDH4-02-007-PR-2510</v>
      </c>
      <c r="B779" t="s">
        <v>1202</v>
      </c>
      <c r="C779" t="s">
        <v>1203</v>
      </c>
      <c r="D779" s="1">
        <v>0</v>
      </c>
      <c r="E779" s="3">
        <v>1</v>
      </c>
      <c r="F779" s="3">
        <v>1</v>
      </c>
      <c r="G779">
        <v>0</v>
      </c>
    </row>
    <row r="780" spans="1:7" x14ac:dyDescent="0.25">
      <c r="A780" s="111" t="str">
        <f t="shared" si="12"/>
        <v>Sewage Lift Station</v>
      </c>
      <c r="B780" t="s">
        <v>1004</v>
      </c>
      <c r="D780" s="1">
        <v>4118750.07</v>
      </c>
      <c r="E780" s="3"/>
      <c r="F780" s="3">
        <v>1</v>
      </c>
      <c r="G780" s="1">
        <v>4118750.07</v>
      </c>
    </row>
    <row r="781" spans="1:7" x14ac:dyDescent="0.25">
      <c r="A781" s="111" t="str">
        <f t="shared" si="12"/>
        <v>Odours scrubbing system</v>
      </c>
      <c r="B781" t="s">
        <v>1204</v>
      </c>
      <c r="D781" s="1">
        <v>179076.09</v>
      </c>
      <c r="E781" s="3"/>
      <c r="F781" s="3">
        <v>1</v>
      </c>
      <c r="G781" s="1">
        <v>179076.09</v>
      </c>
    </row>
    <row r="782" spans="1:7" x14ac:dyDescent="0.25">
      <c r="A782" s="111" t="str">
        <f t="shared" si="12"/>
        <v>JDH4-02-007-PR-1990</v>
      </c>
      <c r="B782" t="s">
        <v>1205</v>
      </c>
      <c r="C782" t="s">
        <v>1206</v>
      </c>
      <c r="D782" s="1">
        <v>0</v>
      </c>
      <c r="E782" s="3">
        <v>1</v>
      </c>
      <c r="F782" s="3">
        <v>1</v>
      </c>
      <c r="G782">
        <v>0</v>
      </c>
    </row>
    <row r="783" spans="1:7" x14ac:dyDescent="0.25">
      <c r="A783" s="111" t="str">
        <f t="shared" si="12"/>
        <v>JDH4-02-007-PR-2037</v>
      </c>
      <c r="B783" t="s">
        <v>1207</v>
      </c>
      <c r="C783" t="s">
        <v>1208</v>
      </c>
      <c r="D783" s="1">
        <v>0</v>
      </c>
      <c r="E783" s="3">
        <v>1</v>
      </c>
      <c r="F783" s="3">
        <v>1</v>
      </c>
      <c r="G783">
        <v>0</v>
      </c>
    </row>
    <row r="784" spans="1:7" x14ac:dyDescent="0.25">
      <c r="A784" s="111" t="str">
        <f t="shared" si="12"/>
        <v>JDH4-02-007-PR-2038</v>
      </c>
      <c r="B784" t="s">
        <v>1209</v>
      </c>
      <c r="C784" t="s">
        <v>1210</v>
      </c>
      <c r="D784">
        <v>0</v>
      </c>
      <c r="E784" s="3">
        <v>1</v>
      </c>
      <c r="F784" s="3">
        <v>1</v>
      </c>
      <c r="G784">
        <v>0</v>
      </c>
    </row>
    <row r="785" spans="1:7" x14ac:dyDescent="0.25">
      <c r="A785" s="111" t="str">
        <f t="shared" si="12"/>
        <v>JDH4-02-007-PR-2039</v>
      </c>
      <c r="B785" t="s">
        <v>1211</v>
      </c>
      <c r="C785" t="s">
        <v>1212</v>
      </c>
      <c r="D785">
        <v>0</v>
      </c>
      <c r="E785" s="3">
        <v>1</v>
      </c>
      <c r="F785" s="3">
        <v>1</v>
      </c>
      <c r="G785">
        <v>0</v>
      </c>
    </row>
    <row r="786" spans="1:7" x14ac:dyDescent="0.25">
      <c r="A786" s="111" t="str">
        <f t="shared" si="12"/>
        <v>JDH4-02-007-PR-2040</v>
      </c>
      <c r="B786" t="s">
        <v>1213</v>
      </c>
      <c r="C786" t="s">
        <v>1214</v>
      </c>
      <c r="D786" s="1">
        <v>0</v>
      </c>
      <c r="E786" s="3">
        <v>1</v>
      </c>
      <c r="F786" s="3">
        <v>1</v>
      </c>
      <c r="G786">
        <v>0</v>
      </c>
    </row>
    <row r="787" spans="1:7" x14ac:dyDescent="0.25">
      <c r="A787" s="111" t="str">
        <f t="shared" si="12"/>
        <v>JDH4-02-007-PR-2090</v>
      </c>
      <c r="B787" t="s">
        <v>1215</v>
      </c>
      <c r="C787" t="s">
        <v>1216</v>
      </c>
      <c r="D787" s="1">
        <v>179076.09</v>
      </c>
      <c r="E787" s="3">
        <v>1</v>
      </c>
      <c r="F787" s="3">
        <v>1</v>
      </c>
      <c r="G787" s="1">
        <v>179076.09</v>
      </c>
    </row>
    <row r="788" spans="1:7" x14ac:dyDescent="0.25">
      <c r="A788" s="111" t="str">
        <f t="shared" si="12"/>
        <v>JDH4-02-007-PR-2140</v>
      </c>
      <c r="B788" t="s">
        <v>1217</v>
      </c>
      <c r="C788" t="s">
        <v>1218</v>
      </c>
      <c r="D788" s="1">
        <v>0</v>
      </c>
      <c r="E788" s="3">
        <v>1</v>
      </c>
      <c r="F788" s="3">
        <v>1</v>
      </c>
      <c r="G788">
        <v>0</v>
      </c>
    </row>
    <row r="789" spans="1:7" x14ac:dyDescent="0.25">
      <c r="A789" s="111" t="str">
        <f t="shared" si="12"/>
        <v>Crane</v>
      </c>
      <c r="B789" t="s">
        <v>1219</v>
      </c>
      <c r="D789" s="1">
        <v>179076.09</v>
      </c>
      <c r="E789" s="3"/>
      <c r="F789" s="3">
        <v>1</v>
      </c>
      <c r="G789" s="1">
        <v>179076.09</v>
      </c>
    </row>
    <row r="790" spans="1:7" x14ac:dyDescent="0.25">
      <c r="A790" s="111" t="str">
        <f t="shared" si="12"/>
        <v>JDH4-02-007-PR-2180</v>
      </c>
      <c r="B790" t="s">
        <v>1220</v>
      </c>
      <c r="C790" t="s">
        <v>1221</v>
      </c>
      <c r="D790" s="1">
        <v>0</v>
      </c>
      <c r="E790" s="3">
        <v>1</v>
      </c>
      <c r="F790" s="3">
        <v>1</v>
      </c>
      <c r="G790">
        <v>0</v>
      </c>
    </row>
    <row r="791" spans="1:7" x14ac:dyDescent="0.25">
      <c r="A791" s="111" t="str">
        <f t="shared" si="12"/>
        <v>JDH4-02-007-PR-2187</v>
      </c>
      <c r="B791" t="s">
        <v>1222</v>
      </c>
      <c r="C791" t="s">
        <v>1223</v>
      </c>
      <c r="D791" s="1">
        <v>0</v>
      </c>
      <c r="E791" s="3">
        <v>1</v>
      </c>
      <c r="F791" s="3">
        <v>1</v>
      </c>
      <c r="G791">
        <v>0</v>
      </c>
    </row>
    <row r="792" spans="1:7" x14ac:dyDescent="0.25">
      <c r="A792" s="111" t="str">
        <f t="shared" si="12"/>
        <v>JDH4-02-007-PR-2188</v>
      </c>
      <c r="B792" t="s">
        <v>1224</v>
      </c>
      <c r="C792" t="s">
        <v>1225</v>
      </c>
      <c r="D792">
        <v>0</v>
      </c>
      <c r="E792" s="3">
        <v>1</v>
      </c>
      <c r="F792" s="3">
        <v>1</v>
      </c>
      <c r="G792">
        <v>0</v>
      </c>
    </row>
    <row r="793" spans="1:7" x14ac:dyDescent="0.25">
      <c r="A793" s="111" t="str">
        <f t="shared" si="12"/>
        <v>JDH4-02-007-PR-2189</v>
      </c>
      <c r="B793" t="s">
        <v>1226</v>
      </c>
      <c r="C793" t="s">
        <v>1227</v>
      </c>
      <c r="D793">
        <v>0</v>
      </c>
      <c r="E793" s="3">
        <v>1</v>
      </c>
      <c r="F793" s="3">
        <v>1</v>
      </c>
      <c r="G793">
        <v>0</v>
      </c>
    </row>
    <row r="794" spans="1:7" x14ac:dyDescent="0.25">
      <c r="A794" s="111" t="str">
        <f t="shared" si="12"/>
        <v>JDH4-02-007-PR-2190</v>
      </c>
      <c r="B794" t="s">
        <v>1228</v>
      </c>
      <c r="C794" t="s">
        <v>1229</v>
      </c>
      <c r="D794" s="1">
        <v>0</v>
      </c>
      <c r="E794" s="3">
        <v>1</v>
      </c>
      <c r="F794" s="3">
        <v>1</v>
      </c>
      <c r="G794">
        <v>0</v>
      </c>
    </row>
    <row r="795" spans="1:7" x14ac:dyDescent="0.25">
      <c r="A795" s="111" t="str">
        <f t="shared" si="12"/>
        <v>JDH4-02-007-PR-2200</v>
      </c>
      <c r="B795" t="s">
        <v>1230</v>
      </c>
      <c r="C795" t="s">
        <v>1231</v>
      </c>
      <c r="D795" s="1">
        <v>179076.09</v>
      </c>
      <c r="E795" s="3">
        <v>1</v>
      </c>
      <c r="F795" s="3">
        <v>1</v>
      </c>
      <c r="G795" s="1">
        <v>179076.09</v>
      </c>
    </row>
    <row r="796" spans="1:7" x14ac:dyDescent="0.25">
      <c r="A796" s="111" t="str">
        <f t="shared" si="12"/>
        <v>JDH4-02-007-PR-2210</v>
      </c>
      <c r="B796" t="s">
        <v>1232</v>
      </c>
      <c r="C796" t="s">
        <v>1233</v>
      </c>
      <c r="D796">
        <v>0</v>
      </c>
      <c r="E796" s="3">
        <v>1</v>
      </c>
      <c r="F796" s="3">
        <v>1</v>
      </c>
      <c r="G796">
        <v>0</v>
      </c>
    </row>
    <row r="797" spans="1:7" x14ac:dyDescent="0.25">
      <c r="A797" s="111" t="str">
        <f t="shared" si="12"/>
        <v>Air Vents</v>
      </c>
      <c r="B797" t="s">
        <v>1234</v>
      </c>
      <c r="D797" s="1">
        <v>179076.09</v>
      </c>
      <c r="E797" s="3"/>
      <c r="F797" s="3">
        <v>1</v>
      </c>
      <c r="G797" s="1">
        <v>179076.09</v>
      </c>
    </row>
    <row r="798" spans="1:7" x14ac:dyDescent="0.25">
      <c r="A798" s="111" t="str">
        <f t="shared" si="12"/>
        <v>JDH4-02-007-PR-2000</v>
      </c>
      <c r="B798" t="s">
        <v>1235</v>
      </c>
      <c r="C798" t="s">
        <v>1236</v>
      </c>
      <c r="D798" s="1">
        <v>0</v>
      </c>
      <c r="E798" s="3">
        <v>1</v>
      </c>
      <c r="F798" s="3">
        <v>1</v>
      </c>
      <c r="G798">
        <v>0</v>
      </c>
    </row>
    <row r="799" spans="1:7" x14ac:dyDescent="0.25">
      <c r="A799" s="111" t="str">
        <f t="shared" si="12"/>
        <v>JDH4-02-007-PR-2045</v>
      </c>
      <c r="B799" t="s">
        <v>1237</v>
      </c>
      <c r="C799" t="s">
        <v>1238</v>
      </c>
      <c r="D799" s="1">
        <v>0</v>
      </c>
      <c r="E799" s="3">
        <v>1</v>
      </c>
      <c r="F799" s="3">
        <v>1</v>
      </c>
      <c r="G799">
        <v>0</v>
      </c>
    </row>
    <row r="800" spans="1:7" x14ac:dyDescent="0.25">
      <c r="A800" s="111" t="str">
        <f t="shared" si="12"/>
        <v>JDH4-02-007-PR-2046</v>
      </c>
      <c r="B800" t="s">
        <v>1239</v>
      </c>
      <c r="C800" t="s">
        <v>1240</v>
      </c>
      <c r="D800" s="1">
        <v>0</v>
      </c>
      <c r="E800" s="3">
        <v>1</v>
      </c>
      <c r="F800" s="3">
        <v>1</v>
      </c>
      <c r="G800">
        <v>0</v>
      </c>
    </row>
    <row r="801" spans="1:7" x14ac:dyDescent="0.25">
      <c r="A801" s="111" t="str">
        <f t="shared" si="12"/>
        <v>JDH4-02-007-PR-2047</v>
      </c>
      <c r="B801" t="s">
        <v>1241</v>
      </c>
      <c r="C801" t="s">
        <v>1242</v>
      </c>
      <c r="D801">
        <v>0</v>
      </c>
      <c r="E801" s="3">
        <v>1</v>
      </c>
      <c r="F801" s="3">
        <v>1</v>
      </c>
      <c r="G801">
        <v>0</v>
      </c>
    </row>
    <row r="802" spans="1:7" x14ac:dyDescent="0.25">
      <c r="A802" s="111" t="str">
        <f t="shared" si="12"/>
        <v>JDH4-02-007-PR-2048</v>
      </c>
      <c r="B802" t="s">
        <v>1243</v>
      </c>
      <c r="C802" t="s">
        <v>1244</v>
      </c>
      <c r="D802" s="1">
        <v>0</v>
      </c>
      <c r="E802" s="3">
        <v>1</v>
      </c>
      <c r="F802" s="3">
        <v>1</v>
      </c>
      <c r="G802">
        <v>0</v>
      </c>
    </row>
    <row r="803" spans="1:7" x14ac:dyDescent="0.25">
      <c r="A803" s="111" t="str">
        <f t="shared" si="12"/>
        <v>JDH4-02-007-PR-2049</v>
      </c>
      <c r="B803" t="s">
        <v>1245</v>
      </c>
      <c r="C803" t="s">
        <v>1246</v>
      </c>
      <c r="D803" s="1">
        <v>0</v>
      </c>
      <c r="E803" s="3">
        <v>1</v>
      </c>
      <c r="F803" s="3">
        <v>1</v>
      </c>
      <c r="G803">
        <v>0</v>
      </c>
    </row>
    <row r="804" spans="1:7" x14ac:dyDescent="0.25">
      <c r="A804" s="111" t="str">
        <f t="shared" si="12"/>
        <v>JDH4-02-007-PR-2050</v>
      </c>
      <c r="B804" t="s">
        <v>1247</v>
      </c>
      <c r="C804" t="s">
        <v>1248</v>
      </c>
      <c r="D804" s="1">
        <v>0</v>
      </c>
      <c r="E804" s="3">
        <v>1</v>
      </c>
      <c r="F804" s="3">
        <v>1</v>
      </c>
      <c r="G804">
        <v>0</v>
      </c>
    </row>
    <row r="805" spans="1:7" x14ac:dyDescent="0.25">
      <c r="A805" s="111" t="str">
        <f t="shared" si="12"/>
        <v>JDH4-02-007-PR-2100</v>
      </c>
      <c r="B805" t="s">
        <v>1249</v>
      </c>
      <c r="C805" t="s">
        <v>1250</v>
      </c>
      <c r="D805" s="1">
        <v>179076.09</v>
      </c>
      <c r="E805" s="3">
        <v>1</v>
      </c>
      <c r="F805" s="3">
        <v>1</v>
      </c>
      <c r="G805" s="1">
        <v>179076.09</v>
      </c>
    </row>
    <row r="806" spans="1:7" x14ac:dyDescent="0.25">
      <c r="A806" s="111" t="str">
        <f t="shared" si="12"/>
        <v>JDH4-02-007-PR-2150</v>
      </c>
      <c r="B806" t="s">
        <v>1251</v>
      </c>
      <c r="C806" t="s">
        <v>1252</v>
      </c>
      <c r="D806" s="1">
        <v>0</v>
      </c>
      <c r="E806" s="3">
        <v>1</v>
      </c>
      <c r="F806" s="3">
        <v>1</v>
      </c>
      <c r="G806">
        <v>0</v>
      </c>
    </row>
    <row r="807" spans="1:7" x14ac:dyDescent="0.25">
      <c r="A807" s="111" t="str">
        <f t="shared" si="12"/>
        <v>Screening Container</v>
      </c>
      <c r="B807" t="s">
        <v>1253</v>
      </c>
      <c r="D807" s="1">
        <v>179076.09</v>
      </c>
      <c r="E807" s="3"/>
      <c r="F807" s="3">
        <v>1</v>
      </c>
      <c r="G807" s="1">
        <v>179076.09</v>
      </c>
    </row>
    <row r="808" spans="1:7" x14ac:dyDescent="0.25">
      <c r="A808" s="111" t="str">
        <f t="shared" si="12"/>
        <v>JDH4-02-007-PR-2220</v>
      </c>
      <c r="B808" t="s">
        <v>1254</v>
      </c>
      <c r="C808" t="s">
        <v>1255</v>
      </c>
      <c r="D808" s="1">
        <v>0</v>
      </c>
      <c r="E808" s="3">
        <v>1</v>
      </c>
      <c r="F808" s="3">
        <v>1</v>
      </c>
      <c r="G808" s="1">
        <v>0</v>
      </c>
    </row>
    <row r="809" spans="1:7" x14ac:dyDescent="0.25">
      <c r="A809" s="111" t="str">
        <f t="shared" si="12"/>
        <v>JDH4-02-007-PR-2225</v>
      </c>
      <c r="B809" t="s">
        <v>1256</v>
      </c>
      <c r="C809" t="s">
        <v>1257</v>
      </c>
      <c r="D809">
        <v>0</v>
      </c>
      <c r="E809" s="3">
        <v>1</v>
      </c>
      <c r="F809" s="3">
        <v>1</v>
      </c>
      <c r="G809">
        <v>0</v>
      </c>
    </row>
    <row r="810" spans="1:7" x14ac:dyDescent="0.25">
      <c r="A810" s="111" t="str">
        <f t="shared" si="12"/>
        <v>JDH4-02-007-PR-2226</v>
      </c>
      <c r="B810" t="s">
        <v>1258</v>
      </c>
      <c r="C810" t="s">
        <v>1259</v>
      </c>
      <c r="D810">
        <v>0</v>
      </c>
      <c r="E810" s="3">
        <v>1</v>
      </c>
      <c r="F810" s="3">
        <v>1</v>
      </c>
      <c r="G810">
        <v>0</v>
      </c>
    </row>
    <row r="811" spans="1:7" x14ac:dyDescent="0.25">
      <c r="A811" s="111" t="str">
        <f t="shared" si="12"/>
        <v>JDH4-02-007-PR-2227</v>
      </c>
      <c r="B811" t="s">
        <v>1260</v>
      </c>
      <c r="C811" t="s">
        <v>1261</v>
      </c>
      <c r="D811" s="1">
        <v>0</v>
      </c>
      <c r="E811" s="3">
        <v>1</v>
      </c>
      <c r="F811" s="3">
        <v>1</v>
      </c>
      <c r="G811">
        <v>0</v>
      </c>
    </row>
    <row r="812" spans="1:7" x14ac:dyDescent="0.25">
      <c r="A812" s="111" t="str">
        <f t="shared" si="12"/>
        <v>JDH4-02-007-PR-2230</v>
      </c>
      <c r="B812" t="s">
        <v>1266</v>
      </c>
      <c r="C812" t="s">
        <v>1267</v>
      </c>
      <c r="D812" s="1">
        <v>0</v>
      </c>
      <c r="E812" s="3">
        <v>1</v>
      </c>
      <c r="F812" s="2">
        <v>1</v>
      </c>
      <c r="G812">
        <v>0</v>
      </c>
    </row>
    <row r="813" spans="1:7" x14ac:dyDescent="0.25">
      <c r="A813" s="111" t="str">
        <f t="shared" si="12"/>
        <v>JDH4-02-007-PR-2229</v>
      </c>
      <c r="B813" t="s">
        <v>1264</v>
      </c>
      <c r="C813" t="s">
        <v>1265</v>
      </c>
      <c r="D813" s="1">
        <v>0</v>
      </c>
      <c r="E813" s="3">
        <v>1</v>
      </c>
      <c r="F813" s="2">
        <v>1</v>
      </c>
      <c r="G813">
        <v>0</v>
      </c>
    </row>
    <row r="814" spans="1:7" x14ac:dyDescent="0.25">
      <c r="A814" s="111" t="str">
        <f t="shared" si="12"/>
        <v>JDH4-02-007-PR-2228</v>
      </c>
      <c r="B814" t="s">
        <v>1262</v>
      </c>
      <c r="C814" t="s">
        <v>1263</v>
      </c>
      <c r="D814" s="1">
        <v>0</v>
      </c>
      <c r="E814" s="3">
        <v>1</v>
      </c>
      <c r="F814" s="2">
        <v>1</v>
      </c>
      <c r="G814">
        <v>0</v>
      </c>
    </row>
    <row r="815" spans="1:7" x14ac:dyDescent="0.25">
      <c r="A815" s="111" t="str">
        <f t="shared" si="12"/>
        <v>JDH4-02-007-PR-2240</v>
      </c>
      <c r="B815" t="s">
        <v>1268</v>
      </c>
      <c r="C815" t="s">
        <v>1269</v>
      </c>
      <c r="D815" s="1">
        <v>179076.09</v>
      </c>
      <c r="E815" s="3">
        <v>1</v>
      </c>
      <c r="F815" s="2">
        <v>1</v>
      </c>
      <c r="G815" s="1">
        <v>179076.09</v>
      </c>
    </row>
    <row r="816" spans="1:7" x14ac:dyDescent="0.25">
      <c r="A816" s="111" t="str">
        <f t="shared" si="12"/>
        <v>JDH4-02-007-PR-2250</v>
      </c>
      <c r="B816" t="s">
        <v>1270</v>
      </c>
      <c r="C816" t="s">
        <v>1271</v>
      </c>
      <c r="D816" s="1">
        <v>0</v>
      </c>
      <c r="E816" s="3">
        <v>1</v>
      </c>
      <c r="F816" s="2">
        <v>1</v>
      </c>
      <c r="G816" s="1">
        <v>0</v>
      </c>
    </row>
    <row r="817" spans="1:7" x14ac:dyDescent="0.25">
      <c r="A817" s="111" t="str">
        <f t="shared" si="12"/>
        <v>Baffle Plates</v>
      </c>
      <c r="B817" t="s">
        <v>1272</v>
      </c>
      <c r="D817" s="1">
        <v>179076.09</v>
      </c>
      <c r="E817" s="3"/>
      <c r="F817" s="2">
        <v>1</v>
      </c>
      <c r="G817" s="1">
        <v>179076.09</v>
      </c>
    </row>
    <row r="818" spans="1:7" x14ac:dyDescent="0.25">
      <c r="A818" s="111" t="str">
        <f t="shared" si="12"/>
        <v>JDH4-02-007-PR-2010</v>
      </c>
      <c r="B818" t="s">
        <v>1273</v>
      </c>
      <c r="C818" t="s">
        <v>1274</v>
      </c>
      <c r="D818" s="1">
        <v>0</v>
      </c>
      <c r="E818" s="3">
        <v>1</v>
      </c>
      <c r="F818" s="3">
        <v>1</v>
      </c>
      <c r="G818">
        <v>0</v>
      </c>
    </row>
    <row r="819" spans="1:7" x14ac:dyDescent="0.25">
      <c r="A819" s="111" t="str">
        <f t="shared" si="12"/>
        <v>JDH4-02-007-PR-2057</v>
      </c>
      <c r="B819" t="s">
        <v>1275</v>
      </c>
      <c r="C819" t="s">
        <v>1276</v>
      </c>
      <c r="D819" s="1">
        <v>0</v>
      </c>
      <c r="E819" s="3">
        <v>1</v>
      </c>
      <c r="F819" s="3">
        <v>1</v>
      </c>
      <c r="G819">
        <v>0</v>
      </c>
    </row>
    <row r="820" spans="1:7" x14ac:dyDescent="0.25">
      <c r="A820" s="111" t="str">
        <f t="shared" si="12"/>
        <v>JDH4-02-007-PR-2058</v>
      </c>
      <c r="B820" t="s">
        <v>1277</v>
      </c>
      <c r="C820" t="s">
        <v>1278</v>
      </c>
      <c r="D820" s="1">
        <v>0</v>
      </c>
      <c r="E820" s="3">
        <v>1</v>
      </c>
      <c r="F820" s="3">
        <v>1</v>
      </c>
      <c r="G820">
        <v>0</v>
      </c>
    </row>
    <row r="821" spans="1:7" x14ac:dyDescent="0.25">
      <c r="A821" s="111" t="str">
        <f t="shared" si="12"/>
        <v>JDH4-02-007-PR-2059</v>
      </c>
      <c r="B821" t="s">
        <v>1279</v>
      </c>
      <c r="C821" t="s">
        <v>1280</v>
      </c>
      <c r="D821" s="1">
        <v>0</v>
      </c>
      <c r="E821" s="3">
        <v>1</v>
      </c>
      <c r="F821" s="3">
        <v>1</v>
      </c>
      <c r="G821">
        <v>0</v>
      </c>
    </row>
    <row r="822" spans="1:7" x14ac:dyDescent="0.25">
      <c r="A822" s="111" t="str">
        <f t="shared" si="12"/>
        <v>JDH4-02-007-PR-2060</v>
      </c>
      <c r="B822" t="s">
        <v>1281</v>
      </c>
      <c r="C822" t="s">
        <v>1282</v>
      </c>
      <c r="D822" s="1">
        <v>0</v>
      </c>
      <c r="E822" s="3">
        <v>1</v>
      </c>
      <c r="F822" s="3">
        <v>1</v>
      </c>
      <c r="G822">
        <v>0</v>
      </c>
    </row>
    <row r="823" spans="1:7" x14ac:dyDescent="0.25">
      <c r="A823" s="111" t="str">
        <f t="shared" si="12"/>
        <v>JDH4-02-007-PR-2110</v>
      </c>
      <c r="B823" t="s">
        <v>1283</v>
      </c>
      <c r="C823" t="s">
        <v>1284</v>
      </c>
      <c r="D823" s="1">
        <v>179076.09</v>
      </c>
      <c r="E823" s="3">
        <v>1</v>
      </c>
      <c r="F823" s="3">
        <v>1</v>
      </c>
      <c r="G823" s="1">
        <v>179076.09</v>
      </c>
    </row>
    <row r="824" spans="1:7" x14ac:dyDescent="0.25">
      <c r="A824" s="111" t="str">
        <f t="shared" si="12"/>
        <v>JDH4-02-007-PR-2160</v>
      </c>
      <c r="B824" t="s">
        <v>1285</v>
      </c>
      <c r="C824" t="s">
        <v>1286</v>
      </c>
      <c r="D824" s="1">
        <v>0</v>
      </c>
      <c r="E824" s="3">
        <v>1</v>
      </c>
      <c r="F824" s="3">
        <v>1</v>
      </c>
      <c r="G824">
        <v>0</v>
      </c>
    </row>
    <row r="825" spans="1:7" x14ac:dyDescent="0.25">
      <c r="A825" s="111" t="str">
        <f t="shared" si="12"/>
        <v>Anti-Water Hammer Equipment</v>
      </c>
      <c r="B825" t="s">
        <v>1287</v>
      </c>
      <c r="D825" s="1">
        <v>179076.09</v>
      </c>
      <c r="E825" s="3"/>
      <c r="F825" s="3">
        <v>1</v>
      </c>
      <c r="G825" s="1">
        <v>179076.09</v>
      </c>
    </row>
    <row r="826" spans="1:7" x14ac:dyDescent="0.25">
      <c r="A826" s="111" t="str">
        <f t="shared" si="12"/>
        <v>JDH4-02-007-PR-2020</v>
      </c>
      <c r="B826" t="s">
        <v>1288</v>
      </c>
      <c r="C826" t="s">
        <v>1289</v>
      </c>
      <c r="D826" s="1">
        <v>0</v>
      </c>
      <c r="E826" s="3">
        <v>1</v>
      </c>
      <c r="F826" s="3">
        <v>1</v>
      </c>
      <c r="G826">
        <v>0</v>
      </c>
    </row>
    <row r="827" spans="1:7" x14ac:dyDescent="0.25">
      <c r="A827" s="111" t="str">
        <f t="shared" si="12"/>
        <v>JDH4-02-007-PR-2120</v>
      </c>
      <c r="B827" t="s">
        <v>1302</v>
      </c>
      <c r="C827" t="s">
        <v>1303</v>
      </c>
      <c r="D827" s="1">
        <v>179076.09</v>
      </c>
      <c r="E827" s="3">
        <v>1</v>
      </c>
      <c r="F827" s="3">
        <v>1</v>
      </c>
      <c r="G827" s="1">
        <v>179076.09</v>
      </c>
    </row>
    <row r="828" spans="1:7" x14ac:dyDescent="0.25">
      <c r="A828" s="111" t="str">
        <f t="shared" si="12"/>
        <v>JDH4-02-007-PR-2067</v>
      </c>
      <c r="B828" t="s">
        <v>1294</v>
      </c>
      <c r="C828" t="s">
        <v>1295</v>
      </c>
      <c r="D828" s="1">
        <v>0</v>
      </c>
      <c r="E828" s="3">
        <v>1</v>
      </c>
      <c r="F828" s="3">
        <v>1</v>
      </c>
      <c r="G828">
        <v>0</v>
      </c>
    </row>
    <row r="829" spans="1:7" x14ac:dyDescent="0.25">
      <c r="A829" s="111" t="str">
        <f t="shared" si="12"/>
        <v>JDH4-02-007-PR-2066</v>
      </c>
      <c r="B829" t="s">
        <v>1292</v>
      </c>
      <c r="C829" t="s">
        <v>1293</v>
      </c>
      <c r="D829" s="1">
        <v>0</v>
      </c>
      <c r="E829" s="3">
        <v>1</v>
      </c>
      <c r="F829" s="3">
        <v>1</v>
      </c>
      <c r="G829">
        <v>0</v>
      </c>
    </row>
    <row r="830" spans="1:7" x14ac:dyDescent="0.25">
      <c r="A830" s="111" t="str">
        <f t="shared" si="12"/>
        <v>JDH4-02-007-PR-2065</v>
      </c>
      <c r="B830" t="s">
        <v>1290</v>
      </c>
      <c r="C830" t="s">
        <v>1291</v>
      </c>
      <c r="D830" s="1">
        <v>0</v>
      </c>
      <c r="E830" s="3">
        <v>1</v>
      </c>
      <c r="F830" s="3">
        <v>1</v>
      </c>
      <c r="G830">
        <v>0</v>
      </c>
    </row>
    <row r="831" spans="1:7" x14ac:dyDescent="0.25">
      <c r="A831" s="111" t="str">
        <f t="shared" si="12"/>
        <v>JDH4-02-007-PR-2070</v>
      </c>
      <c r="B831" t="s">
        <v>1300</v>
      </c>
      <c r="C831" t="s">
        <v>1301</v>
      </c>
      <c r="D831" s="1">
        <v>0</v>
      </c>
      <c r="E831" s="3">
        <v>1</v>
      </c>
      <c r="F831" s="3">
        <v>1</v>
      </c>
      <c r="G831">
        <v>0</v>
      </c>
    </row>
    <row r="832" spans="1:7" x14ac:dyDescent="0.25">
      <c r="A832" s="111" t="str">
        <f t="shared" si="12"/>
        <v>JDH4-02-007-PR-2069</v>
      </c>
      <c r="B832" t="s">
        <v>1298</v>
      </c>
      <c r="C832" t="s">
        <v>1299</v>
      </c>
      <c r="D832" s="1">
        <v>0</v>
      </c>
      <c r="E832" s="3">
        <v>1</v>
      </c>
      <c r="F832" s="3">
        <v>1</v>
      </c>
      <c r="G832">
        <v>0</v>
      </c>
    </row>
    <row r="833" spans="1:7" x14ac:dyDescent="0.25">
      <c r="A833" s="111" t="str">
        <f t="shared" si="12"/>
        <v>JDH4-02-007-PR-2068</v>
      </c>
      <c r="B833" t="s">
        <v>1296</v>
      </c>
      <c r="C833" t="s">
        <v>1297</v>
      </c>
      <c r="D833" s="1">
        <v>0</v>
      </c>
      <c r="E833" s="3">
        <v>1</v>
      </c>
      <c r="F833" s="3">
        <v>1</v>
      </c>
      <c r="G833" s="1">
        <v>0</v>
      </c>
    </row>
    <row r="834" spans="1:7" x14ac:dyDescent="0.25">
      <c r="A834" s="111" t="str">
        <f t="shared" si="12"/>
        <v>JDH4-02-007-PR-2170</v>
      </c>
      <c r="B834" t="s">
        <v>1304</v>
      </c>
      <c r="C834" t="s">
        <v>1305</v>
      </c>
      <c r="D834" s="1">
        <v>0</v>
      </c>
      <c r="E834" s="3">
        <v>1</v>
      </c>
      <c r="F834" s="3">
        <v>1</v>
      </c>
      <c r="G834">
        <v>0</v>
      </c>
    </row>
    <row r="835" spans="1:7" x14ac:dyDescent="0.25">
      <c r="A835" s="111" t="str">
        <f t="shared" si="12"/>
        <v>Pumps</v>
      </c>
      <c r="B835" t="s">
        <v>1306</v>
      </c>
      <c r="D835" s="1">
        <v>179076.09</v>
      </c>
      <c r="E835" s="3"/>
      <c r="F835" s="3">
        <v>1</v>
      </c>
      <c r="G835" s="1">
        <v>179076.09</v>
      </c>
    </row>
    <row r="836" spans="1:7" x14ac:dyDescent="0.25">
      <c r="A836" s="111" t="str">
        <f t="shared" ref="A836:A899" si="13">TRIM(B836)</f>
        <v>JDH4-02-007-PR-1980</v>
      </c>
      <c r="B836" t="s">
        <v>1307</v>
      </c>
      <c r="C836" t="s">
        <v>1308</v>
      </c>
      <c r="D836" s="1">
        <v>0</v>
      </c>
      <c r="E836" s="3">
        <v>1</v>
      </c>
      <c r="F836" s="3">
        <v>1</v>
      </c>
      <c r="G836">
        <v>0</v>
      </c>
    </row>
    <row r="837" spans="1:7" x14ac:dyDescent="0.25">
      <c r="A837" s="111" t="str">
        <f t="shared" si="13"/>
        <v>JDH4-02-007-PR-2026</v>
      </c>
      <c r="B837" t="s">
        <v>1309</v>
      </c>
      <c r="C837" t="s">
        <v>1310</v>
      </c>
      <c r="D837" s="1">
        <v>0</v>
      </c>
      <c r="E837" s="3">
        <v>1</v>
      </c>
      <c r="F837" s="3">
        <v>1</v>
      </c>
      <c r="G837">
        <v>0</v>
      </c>
    </row>
    <row r="838" spans="1:7" x14ac:dyDescent="0.25">
      <c r="A838" s="111" t="str">
        <f t="shared" si="13"/>
        <v>JDH4-02-007-PR-2027</v>
      </c>
      <c r="B838" t="s">
        <v>1311</v>
      </c>
      <c r="C838" t="s">
        <v>1312</v>
      </c>
      <c r="D838" s="1">
        <v>0</v>
      </c>
      <c r="E838" s="3">
        <v>1</v>
      </c>
      <c r="F838" s="3">
        <v>1</v>
      </c>
      <c r="G838">
        <v>0</v>
      </c>
    </row>
    <row r="839" spans="1:7" x14ac:dyDescent="0.25">
      <c r="A839" s="111" t="str">
        <f t="shared" si="13"/>
        <v>JDH4-02-007-PR-2028</v>
      </c>
      <c r="B839" t="s">
        <v>1313</v>
      </c>
      <c r="C839" t="s">
        <v>1314</v>
      </c>
      <c r="D839" s="1">
        <v>0</v>
      </c>
      <c r="E839" s="3">
        <v>1</v>
      </c>
      <c r="F839" s="3">
        <v>1</v>
      </c>
      <c r="G839">
        <v>0</v>
      </c>
    </row>
    <row r="840" spans="1:7" x14ac:dyDescent="0.25">
      <c r="A840" s="111" t="str">
        <f t="shared" si="13"/>
        <v>JDH4-02-007-PR-2029</v>
      </c>
      <c r="B840" t="s">
        <v>1315</v>
      </c>
      <c r="C840" t="s">
        <v>1316</v>
      </c>
      <c r="D840" s="1">
        <v>0</v>
      </c>
      <c r="E840" s="3">
        <v>1</v>
      </c>
      <c r="F840" s="3">
        <v>1</v>
      </c>
      <c r="G840">
        <v>0</v>
      </c>
    </row>
    <row r="841" spans="1:7" x14ac:dyDescent="0.25">
      <c r="A841" s="111" t="str">
        <f t="shared" si="13"/>
        <v>JDH4-02-007-PR-2030</v>
      </c>
      <c r="B841" t="s">
        <v>1317</v>
      </c>
      <c r="C841" t="s">
        <v>1318</v>
      </c>
      <c r="D841" s="1">
        <v>0</v>
      </c>
      <c r="E841" s="3">
        <v>1</v>
      </c>
      <c r="F841" s="3">
        <v>1</v>
      </c>
      <c r="G841">
        <v>0</v>
      </c>
    </row>
    <row r="842" spans="1:7" x14ac:dyDescent="0.25">
      <c r="A842" s="111" t="str">
        <f t="shared" si="13"/>
        <v>JDH4-02-007-PR-2080</v>
      </c>
      <c r="B842" t="s">
        <v>1319</v>
      </c>
      <c r="C842" t="s">
        <v>1320</v>
      </c>
      <c r="D842" s="1">
        <v>179076.09</v>
      </c>
      <c r="E842" s="3">
        <v>1</v>
      </c>
      <c r="F842" s="3">
        <v>1</v>
      </c>
      <c r="G842" s="1">
        <v>179076.09</v>
      </c>
    </row>
    <row r="843" spans="1:7" x14ac:dyDescent="0.25">
      <c r="A843" s="111" t="str">
        <f t="shared" si="13"/>
        <v>JDH4-02-007-PR-2130</v>
      </c>
      <c r="B843" t="s">
        <v>1321</v>
      </c>
      <c r="C843" t="s">
        <v>1322</v>
      </c>
      <c r="D843" s="1">
        <v>0</v>
      </c>
      <c r="E843" s="3">
        <v>1</v>
      </c>
      <c r="F843" s="3">
        <v>1</v>
      </c>
      <c r="G843">
        <v>0</v>
      </c>
    </row>
    <row r="844" spans="1:7" x14ac:dyDescent="0.25">
      <c r="A844" s="111" t="str">
        <f t="shared" si="13"/>
        <v>Main Distribution Board /MCC panels</v>
      </c>
      <c r="B844" t="s">
        <v>1323</v>
      </c>
      <c r="D844" s="1">
        <v>179076.09</v>
      </c>
      <c r="E844" s="3"/>
      <c r="F844" s="3">
        <v>1</v>
      </c>
      <c r="G844" s="1">
        <v>179076.09</v>
      </c>
    </row>
    <row r="845" spans="1:7" x14ac:dyDescent="0.25">
      <c r="A845" s="111" t="str">
        <f t="shared" si="13"/>
        <v>JDH4-02-007-PR-2530</v>
      </c>
      <c r="B845" t="s">
        <v>1324</v>
      </c>
      <c r="C845" t="s">
        <v>1325</v>
      </c>
      <c r="D845" s="1">
        <v>0</v>
      </c>
      <c r="E845" s="3">
        <v>1</v>
      </c>
      <c r="F845" s="3">
        <v>1</v>
      </c>
      <c r="G845">
        <v>0</v>
      </c>
    </row>
    <row r="846" spans="1:7" x14ac:dyDescent="0.25">
      <c r="A846" s="111" t="str">
        <f t="shared" si="13"/>
        <v>JDH4-02-007-PR-2567</v>
      </c>
      <c r="B846" t="s">
        <v>1326</v>
      </c>
      <c r="C846" t="s">
        <v>1327</v>
      </c>
      <c r="D846" s="1">
        <v>0</v>
      </c>
      <c r="E846" s="3">
        <v>1</v>
      </c>
      <c r="F846" s="3">
        <v>1</v>
      </c>
      <c r="G846">
        <v>0</v>
      </c>
    </row>
    <row r="847" spans="1:7" x14ac:dyDescent="0.25">
      <c r="A847" s="111" t="str">
        <f t="shared" si="13"/>
        <v>JDH4-02-007-PR-2568</v>
      </c>
      <c r="B847" t="s">
        <v>1328</v>
      </c>
      <c r="C847" t="s">
        <v>1329</v>
      </c>
      <c r="D847" s="1">
        <v>0</v>
      </c>
      <c r="E847" s="3">
        <v>1</v>
      </c>
      <c r="F847" s="3">
        <v>1</v>
      </c>
      <c r="G847">
        <v>0</v>
      </c>
    </row>
    <row r="848" spans="1:7" x14ac:dyDescent="0.25">
      <c r="A848" s="111" t="str">
        <f t="shared" si="13"/>
        <v>JDH4-02-007-PR-2570</v>
      </c>
      <c r="B848" t="s">
        <v>1332</v>
      </c>
      <c r="C848" t="s">
        <v>1333</v>
      </c>
      <c r="D848" s="1">
        <v>0</v>
      </c>
      <c r="E848" s="3">
        <v>1</v>
      </c>
      <c r="F848" s="3">
        <v>1</v>
      </c>
      <c r="G848">
        <v>0</v>
      </c>
    </row>
    <row r="849" spans="1:7" x14ac:dyDescent="0.25">
      <c r="A849" s="111" t="str">
        <f t="shared" si="13"/>
        <v>JDH4-02-007-PR-2569</v>
      </c>
      <c r="B849" t="s">
        <v>1330</v>
      </c>
      <c r="C849" t="s">
        <v>1331</v>
      </c>
      <c r="D849" s="1">
        <v>0</v>
      </c>
      <c r="E849" s="3">
        <v>1</v>
      </c>
      <c r="F849" s="3">
        <v>1</v>
      </c>
      <c r="G849">
        <v>0</v>
      </c>
    </row>
    <row r="850" spans="1:7" x14ac:dyDescent="0.25">
      <c r="A850" s="111" t="str">
        <f t="shared" si="13"/>
        <v>JDH4-02-007-PR-2610</v>
      </c>
      <c r="B850" t="s">
        <v>1334</v>
      </c>
      <c r="C850" t="s">
        <v>1335</v>
      </c>
      <c r="D850" s="1">
        <v>179076.09</v>
      </c>
      <c r="E850" s="3">
        <v>1</v>
      </c>
      <c r="F850" s="3">
        <v>1</v>
      </c>
      <c r="G850" s="1">
        <v>179076.09</v>
      </c>
    </row>
    <row r="851" spans="1:7" x14ac:dyDescent="0.25">
      <c r="A851" s="111" t="str">
        <f t="shared" si="13"/>
        <v>JDH4-02-007-PR-2650</v>
      </c>
      <c r="B851" t="s">
        <v>1336</v>
      </c>
      <c r="C851" t="s">
        <v>1337</v>
      </c>
      <c r="D851" s="1">
        <v>0</v>
      </c>
      <c r="E851" s="3">
        <v>1</v>
      </c>
      <c r="F851" s="3">
        <v>1</v>
      </c>
      <c r="G851">
        <v>0</v>
      </c>
    </row>
    <row r="852" spans="1:7" x14ac:dyDescent="0.25">
      <c r="A852" s="111" t="str">
        <f t="shared" si="13"/>
        <v>Final Panel boards</v>
      </c>
      <c r="B852" t="s">
        <v>1338</v>
      </c>
      <c r="D852" s="1">
        <v>179076.09</v>
      </c>
      <c r="F852" s="3">
        <v>1</v>
      </c>
      <c r="G852" s="1">
        <v>179076.09</v>
      </c>
    </row>
    <row r="853" spans="1:7" x14ac:dyDescent="0.25">
      <c r="A853" s="111" t="str">
        <f t="shared" si="13"/>
        <v>JDH4-02-007-PR-2680</v>
      </c>
      <c r="B853" t="s">
        <v>1339</v>
      </c>
      <c r="C853" t="s">
        <v>1340</v>
      </c>
      <c r="D853" s="1">
        <v>0</v>
      </c>
      <c r="E853" s="3">
        <v>1</v>
      </c>
      <c r="F853" s="3">
        <v>1</v>
      </c>
      <c r="G853">
        <v>0</v>
      </c>
    </row>
    <row r="854" spans="1:7" x14ac:dyDescent="0.25">
      <c r="A854" s="111" t="str">
        <f t="shared" si="13"/>
        <v>JDH4-02-007-PR-2687</v>
      </c>
      <c r="B854" t="s">
        <v>1341</v>
      </c>
      <c r="C854" t="s">
        <v>1342</v>
      </c>
      <c r="D854" s="1">
        <v>0</v>
      </c>
      <c r="E854" s="3">
        <v>1</v>
      </c>
      <c r="F854" s="3">
        <v>1</v>
      </c>
      <c r="G854">
        <v>0</v>
      </c>
    </row>
    <row r="855" spans="1:7" x14ac:dyDescent="0.25">
      <c r="A855" s="111" t="str">
        <f t="shared" si="13"/>
        <v>JDH4-02-007-PR-2688</v>
      </c>
      <c r="B855" t="s">
        <v>1343</v>
      </c>
      <c r="C855" t="s">
        <v>1344</v>
      </c>
      <c r="D855" s="1">
        <v>0</v>
      </c>
      <c r="E855" s="3">
        <v>1</v>
      </c>
      <c r="F855" s="3">
        <v>1</v>
      </c>
      <c r="G855">
        <v>0</v>
      </c>
    </row>
    <row r="856" spans="1:7" x14ac:dyDescent="0.25">
      <c r="A856" s="111" t="str">
        <f t="shared" si="13"/>
        <v>JDH4-02-007-PR-2690</v>
      </c>
      <c r="B856" t="s">
        <v>1347</v>
      </c>
      <c r="C856" t="s">
        <v>1348</v>
      </c>
      <c r="D856" s="1">
        <v>0</v>
      </c>
      <c r="E856" s="3">
        <v>1</v>
      </c>
      <c r="F856" s="2">
        <v>1</v>
      </c>
      <c r="G856">
        <v>0</v>
      </c>
    </row>
    <row r="857" spans="1:7" x14ac:dyDescent="0.25">
      <c r="A857" s="111" t="str">
        <f t="shared" si="13"/>
        <v>JDH4-02-007-PR-2689</v>
      </c>
      <c r="B857" t="s">
        <v>1345</v>
      </c>
      <c r="C857" t="s">
        <v>1346</v>
      </c>
      <c r="D857" s="1">
        <v>0</v>
      </c>
      <c r="E857" s="3">
        <v>1</v>
      </c>
      <c r="F857" s="2">
        <v>1</v>
      </c>
      <c r="G857">
        <v>0</v>
      </c>
    </row>
    <row r="858" spans="1:7" x14ac:dyDescent="0.25">
      <c r="A858" s="111" t="str">
        <f t="shared" si="13"/>
        <v>JDH4-02-007-PR-2700</v>
      </c>
      <c r="B858" t="s">
        <v>1349</v>
      </c>
      <c r="C858" t="s">
        <v>1350</v>
      </c>
      <c r="D858" s="1">
        <v>179076.09</v>
      </c>
      <c r="E858" s="3">
        <v>1</v>
      </c>
      <c r="F858" s="3">
        <v>1</v>
      </c>
      <c r="G858" s="1">
        <v>179076.09</v>
      </c>
    </row>
    <row r="859" spans="1:7" x14ac:dyDescent="0.25">
      <c r="A859" s="111" t="str">
        <f t="shared" si="13"/>
        <v>JDH4-02-007-PR-2710</v>
      </c>
      <c r="B859" t="s">
        <v>1351</v>
      </c>
      <c r="C859" t="s">
        <v>1352</v>
      </c>
      <c r="D859" s="1">
        <v>0</v>
      </c>
      <c r="E859" s="3">
        <v>1</v>
      </c>
      <c r="F859" s="3">
        <v>1</v>
      </c>
      <c r="G859">
        <v>0</v>
      </c>
    </row>
    <row r="860" spans="1:7" x14ac:dyDescent="0.25">
      <c r="A860" s="111" t="str">
        <f t="shared" si="13"/>
        <v>Local Control Panel/ Monitoring Control Panel</v>
      </c>
      <c r="B860" t="s">
        <v>1353</v>
      </c>
      <c r="D860" s="1">
        <v>179076.09</v>
      </c>
      <c r="E860" s="3"/>
      <c r="F860" s="3">
        <v>1</v>
      </c>
      <c r="G860" s="1">
        <v>179076.09</v>
      </c>
    </row>
    <row r="861" spans="1:7" x14ac:dyDescent="0.25">
      <c r="A861" s="111" t="str">
        <f t="shared" si="13"/>
        <v>JDH4-02-007-PR-2540</v>
      </c>
      <c r="B861" t="s">
        <v>1354</v>
      </c>
      <c r="C861" t="s">
        <v>1355</v>
      </c>
      <c r="D861" s="1">
        <v>0</v>
      </c>
      <c r="E861" s="3">
        <v>1</v>
      </c>
      <c r="F861" s="3">
        <v>1</v>
      </c>
      <c r="G861">
        <v>0</v>
      </c>
    </row>
    <row r="862" spans="1:7" x14ac:dyDescent="0.25">
      <c r="A862" s="111" t="str">
        <f t="shared" si="13"/>
        <v>JDH4-02-007-PR-2576</v>
      </c>
      <c r="B862" t="s">
        <v>1356</v>
      </c>
      <c r="C862" t="s">
        <v>1357</v>
      </c>
      <c r="D862" s="1">
        <v>0</v>
      </c>
      <c r="E862" s="3">
        <v>1</v>
      </c>
      <c r="F862" s="2">
        <v>1</v>
      </c>
      <c r="G862">
        <v>0</v>
      </c>
    </row>
    <row r="863" spans="1:7" x14ac:dyDescent="0.25">
      <c r="A863" s="111" t="str">
        <f t="shared" si="13"/>
        <v>JDH4-02-007-PR-2577</v>
      </c>
      <c r="B863" t="s">
        <v>1358</v>
      </c>
      <c r="C863" t="s">
        <v>1359</v>
      </c>
      <c r="D863" s="1">
        <v>0</v>
      </c>
      <c r="E863" s="3">
        <v>1</v>
      </c>
      <c r="F863" s="3">
        <v>1</v>
      </c>
      <c r="G863">
        <v>0</v>
      </c>
    </row>
    <row r="864" spans="1:7" x14ac:dyDescent="0.25">
      <c r="A864" s="111" t="str">
        <f t="shared" si="13"/>
        <v>JDH4-02-007-PR-2578</v>
      </c>
      <c r="B864" t="s">
        <v>1360</v>
      </c>
      <c r="C864" t="s">
        <v>1361</v>
      </c>
      <c r="D864" s="1">
        <v>0</v>
      </c>
      <c r="E864" s="3">
        <v>1</v>
      </c>
      <c r="F864" s="3">
        <v>1</v>
      </c>
      <c r="G864">
        <v>0</v>
      </c>
    </row>
    <row r="865" spans="1:7" x14ac:dyDescent="0.25">
      <c r="A865" s="111" t="str">
        <f t="shared" si="13"/>
        <v>JDH4-02-007-PR-2580</v>
      </c>
      <c r="B865" t="s">
        <v>1364</v>
      </c>
      <c r="C865" t="s">
        <v>1365</v>
      </c>
      <c r="D865" s="1">
        <v>0</v>
      </c>
      <c r="E865" s="3">
        <v>1</v>
      </c>
      <c r="F865" s="3">
        <v>1</v>
      </c>
      <c r="G865">
        <v>0</v>
      </c>
    </row>
    <row r="866" spans="1:7" x14ac:dyDescent="0.25">
      <c r="A866" s="111" t="str">
        <f t="shared" si="13"/>
        <v>JDH4-02-007-PR-2579</v>
      </c>
      <c r="B866" t="s">
        <v>1362</v>
      </c>
      <c r="C866" t="s">
        <v>1363</v>
      </c>
      <c r="D866" s="1">
        <v>0</v>
      </c>
      <c r="E866" s="3">
        <v>1</v>
      </c>
      <c r="F866" s="3">
        <v>1</v>
      </c>
      <c r="G866">
        <v>0</v>
      </c>
    </row>
    <row r="867" spans="1:7" x14ac:dyDescent="0.25">
      <c r="A867" s="111" t="str">
        <f t="shared" si="13"/>
        <v>JDH4-02-007-PR-2620</v>
      </c>
      <c r="B867" t="s">
        <v>1366</v>
      </c>
      <c r="C867" t="s">
        <v>1367</v>
      </c>
      <c r="D867" s="1">
        <v>179076.09</v>
      </c>
      <c r="E867" s="3">
        <v>1</v>
      </c>
      <c r="F867" s="3">
        <v>1</v>
      </c>
      <c r="G867" s="1">
        <v>179076.09</v>
      </c>
    </row>
    <row r="868" spans="1:7" x14ac:dyDescent="0.25">
      <c r="A868" s="111" t="str">
        <f t="shared" si="13"/>
        <v>JDH4-02-007-PR-2660</v>
      </c>
      <c r="B868" t="s">
        <v>1368</v>
      </c>
      <c r="C868" t="s">
        <v>1369</v>
      </c>
      <c r="D868" s="1">
        <v>0</v>
      </c>
      <c r="E868" s="3">
        <v>1</v>
      </c>
      <c r="F868" s="3">
        <v>1</v>
      </c>
      <c r="G868">
        <v>0</v>
      </c>
    </row>
    <row r="869" spans="1:7" x14ac:dyDescent="0.25">
      <c r="A869" s="111" t="str">
        <f t="shared" si="13"/>
        <v>Engine Generators</v>
      </c>
      <c r="B869" t="s">
        <v>1370</v>
      </c>
      <c r="D869" s="1">
        <v>179076.09</v>
      </c>
      <c r="E869" s="3"/>
      <c r="F869" s="3">
        <v>1</v>
      </c>
      <c r="G869" s="1">
        <v>179076.09</v>
      </c>
    </row>
    <row r="870" spans="1:7" x14ac:dyDescent="0.25">
      <c r="A870" s="111" t="str">
        <f t="shared" si="13"/>
        <v>JDH4-02-007-PR-2720</v>
      </c>
      <c r="B870" t="s">
        <v>1371</v>
      </c>
      <c r="C870" t="s">
        <v>1372</v>
      </c>
      <c r="D870" s="1">
        <v>0</v>
      </c>
      <c r="E870" s="3">
        <v>1</v>
      </c>
      <c r="F870" s="3">
        <v>1</v>
      </c>
      <c r="G870">
        <v>0</v>
      </c>
    </row>
    <row r="871" spans="1:7" x14ac:dyDescent="0.25">
      <c r="A871" s="111" t="str">
        <f t="shared" si="13"/>
        <v>JDH4-02-007-PR-2726</v>
      </c>
      <c r="B871" t="s">
        <v>1373</v>
      </c>
      <c r="C871" t="s">
        <v>1374</v>
      </c>
      <c r="D871" s="1">
        <v>0</v>
      </c>
      <c r="E871" s="3">
        <v>1</v>
      </c>
      <c r="F871" s="2">
        <v>1</v>
      </c>
      <c r="G871">
        <v>0</v>
      </c>
    </row>
    <row r="872" spans="1:7" x14ac:dyDescent="0.25">
      <c r="A872" s="111" t="str">
        <f t="shared" si="13"/>
        <v>JDH4-02-007-PR-2727</v>
      </c>
      <c r="B872" t="s">
        <v>1375</v>
      </c>
      <c r="C872" t="s">
        <v>1376</v>
      </c>
      <c r="D872" s="1">
        <v>0</v>
      </c>
      <c r="E872" s="3">
        <v>1</v>
      </c>
      <c r="F872" s="2">
        <v>1</v>
      </c>
      <c r="G872">
        <v>0</v>
      </c>
    </row>
    <row r="873" spans="1:7" x14ac:dyDescent="0.25">
      <c r="A873" s="111" t="str">
        <f t="shared" si="13"/>
        <v>JDH4-02-007-PR-2728</v>
      </c>
      <c r="B873" t="s">
        <v>1377</v>
      </c>
      <c r="C873" t="s">
        <v>1378</v>
      </c>
      <c r="D873" s="1">
        <v>0</v>
      </c>
      <c r="E873" s="3">
        <v>1</v>
      </c>
      <c r="F873" s="3">
        <v>1</v>
      </c>
      <c r="G873">
        <v>0</v>
      </c>
    </row>
    <row r="874" spans="1:7" x14ac:dyDescent="0.25">
      <c r="A874" s="111" t="str">
        <f t="shared" si="13"/>
        <v>JDH4-02-007-PR-2729</v>
      </c>
      <c r="B874" t="s">
        <v>1379</v>
      </c>
      <c r="C874" t="s">
        <v>1380</v>
      </c>
      <c r="D874" s="1">
        <v>0</v>
      </c>
      <c r="E874" s="3">
        <v>1</v>
      </c>
      <c r="F874" s="3">
        <v>1</v>
      </c>
      <c r="G874">
        <v>0</v>
      </c>
    </row>
    <row r="875" spans="1:7" x14ac:dyDescent="0.25">
      <c r="A875" s="111" t="str">
        <f t="shared" si="13"/>
        <v>JDH4-02-007-PR-2730</v>
      </c>
      <c r="B875" t="s">
        <v>1381</v>
      </c>
      <c r="C875" t="s">
        <v>1382</v>
      </c>
      <c r="D875" s="1">
        <v>0</v>
      </c>
      <c r="E875" s="3">
        <v>1</v>
      </c>
      <c r="F875" s="3">
        <v>1</v>
      </c>
      <c r="G875">
        <v>0</v>
      </c>
    </row>
    <row r="876" spans="1:7" x14ac:dyDescent="0.25">
      <c r="A876" s="111" t="str">
        <f t="shared" si="13"/>
        <v>JDH4-02-007-PR-2740</v>
      </c>
      <c r="B876" t="s">
        <v>1383</v>
      </c>
      <c r="C876" t="s">
        <v>1384</v>
      </c>
      <c r="D876" s="1">
        <v>179076.09</v>
      </c>
      <c r="E876" s="3">
        <v>1</v>
      </c>
      <c r="F876" s="3">
        <v>1</v>
      </c>
      <c r="G876" s="1">
        <v>179076.09</v>
      </c>
    </row>
    <row r="877" spans="1:7" x14ac:dyDescent="0.25">
      <c r="A877" s="111" t="str">
        <f t="shared" si="13"/>
        <v>JDH4-02-007-PR-2750</v>
      </c>
      <c r="B877" t="s">
        <v>1385</v>
      </c>
      <c r="C877" t="s">
        <v>1386</v>
      </c>
      <c r="D877" s="1">
        <v>0</v>
      </c>
      <c r="E877" s="3">
        <v>1</v>
      </c>
      <c r="F877" s="2">
        <v>1</v>
      </c>
      <c r="G877">
        <v>0</v>
      </c>
    </row>
    <row r="878" spans="1:7" x14ac:dyDescent="0.25">
      <c r="A878" s="111" t="str">
        <f t="shared" si="13"/>
        <v>Standby Diesel Generator</v>
      </c>
      <c r="B878" t="s">
        <v>1387</v>
      </c>
      <c r="D878" s="1">
        <v>179076.09</v>
      </c>
      <c r="E878" s="3"/>
      <c r="F878" s="3">
        <v>1</v>
      </c>
      <c r="G878" s="1">
        <v>179076.09</v>
      </c>
    </row>
    <row r="879" spans="1:7" x14ac:dyDescent="0.25">
      <c r="A879" s="111" t="str">
        <f t="shared" si="13"/>
        <v>JDH4-02-007-PR-2550</v>
      </c>
      <c r="B879" t="s">
        <v>1388</v>
      </c>
      <c r="C879" t="s">
        <v>1389</v>
      </c>
      <c r="D879" s="1">
        <v>0</v>
      </c>
      <c r="E879" s="3">
        <v>1</v>
      </c>
      <c r="F879" s="3">
        <v>1</v>
      </c>
      <c r="G879">
        <v>0</v>
      </c>
    </row>
    <row r="880" spans="1:7" x14ac:dyDescent="0.25">
      <c r="A880" s="111" t="str">
        <f t="shared" si="13"/>
        <v>JDH4-02-007-PR-2587</v>
      </c>
      <c r="B880" t="s">
        <v>1390</v>
      </c>
      <c r="C880" t="s">
        <v>1391</v>
      </c>
      <c r="D880" s="1">
        <v>0</v>
      </c>
      <c r="E880" s="3">
        <v>1</v>
      </c>
      <c r="F880" s="3">
        <v>1</v>
      </c>
      <c r="G880">
        <v>0</v>
      </c>
    </row>
    <row r="881" spans="1:7" x14ac:dyDescent="0.25">
      <c r="A881" s="111" t="str">
        <f t="shared" si="13"/>
        <v>JDH4-02-007-PR-2588</v>
      </c>
      <c r="B881" t="s">
        <v>1392</v>
      </c>
      <c r="C881" t="s">
        <v>1393</v>
      </c>
      <c r="D881" s="1">
        <v>0</v>
      </c>
      <c r="E881" s="3">
        <v>1</v>
      </c>
      <c r="F881" s="3">
        <v>1</v>
      </c>
      <c r="G881">
        <v>0</v>
      </c>
    </row>
    <row r="882" spans="1:7" x14ac:dyDescent="0.25">
      <c r="A882" s="111" t="str">
        <f t="shared" si="13"/>
        <v>JDH4-02-007-PR-2589</v>
      </c>
      <c r="B882" t="s">
        <v>1394</v>
      </c>
      <c r="C882" t="s">
        <v>1395</v>
      </c>
      <c r="D882" s="1">
        <v>0</v>
      </c>
      <c r="E882" s="3">
        <v>1</v>
      </c>
      <c r="F882" s="3">
        <v>1</v>
      </c>
      <c r="G882">
        <v>0</v>
      </c>
    </row>
    <row r="883" spans="1:7" x14ac:dyDescent="0.25">
      <c r="A883" s="111" t="str">
        <f t="shared" si="13"/>
        <v>JDH4-02-007-PR-2590</v>
      </c>
      <c r="B883" t="s">
        <v>1396</v>
      </c>
      <c r="C883" t="s">
        <v>1397</v>
      </c>
      <c r="D883" s="1">
        <v>0</v>
      </c>
      <c r="E883" s="3">
        <v>1</v>
      </c>
      <c r="F883" s="3">
        <v>1</v>
      </c>
      <c r="G883">
        <v>0</v>
      </c>
    </row>
    <row r="884" spans="1:7" x14ac:dyDescent="0.25">
      <c r="A884" s="111" t="str">
        <f t="shared" si="13"/>
        <v>JDH4-02-007-PR-2630</v>
      </c>
      <c r="B884" t="s">
        <v>1398</v>
      </c>
      <c r="C884" t="s">
        <v>1399</v>
      </c>
      <c r="D884" s="1">
        <v>179076.09</v>
      </c>
      <c r="E884" s="3">
        <v>1</v>
      </c>
      <c r="F884" s="3">
        <v>1</v>
      </c>
      <c r="G884" s="1">
        <v>179076.09</v>
      </c>
    </row>
    <row r="885" spans="1:7" x14ac:dyDescent="0.25">
      <c r="A885" s="111" t="str">
        <f t="shared" si="13"/>
        <v>JDH4-02-007-PR-2670</v>
      </c>
      <c r="B885" t="s">
        <v>1400</v>
      </c>
      <c r="C885" t="s">
        <v>1401</v>
      </c>
      <c r="D885" s="1">
        <v>0</v>
      </c>
      <c r="E885" s="3">
        <v>1</v>
      </c>
      <c r="F885" s="3">
        <v>1</v>
      </c>
      <c r="G885">
        <v>0</v>
      </c>
    </row>
    <row r="886" spans="1:7" x14ac:dyDescent="0.25">
      <c r="A886" s="111" t="str">
        <f t="shared" si="13"/>
        <v>Power Factor Correction Capacitor Bank</v>
      </c>
      <c r="B886" t="s">
        <v>1402</v>
      </c>
      <c r="D886" s="1">
        <v>179076.09</v>
      </c>
      <c r="E886" s="3"/>
      <c r="F886" s="2">
        <v>1</v>
      </c>
      <c r="G886" s="1">
        <v>179076.09</v>
      </c>
    </row>
    <row r="887" spans="1:7" x14ac:dyDescent="0.25">
      <c r="A887" s="111" t="str">
        <f t="shared" si="13"/>
        <v>JDH4-02-007-PR-2760</v>
      </c>
      <c r="B887" t="s">
        <v>1403</v>
      </c>
      <c r="C887" t="s">
        <v>1404</v>
      </c>
      <c r="D887" s="1">
        <v>0</v>
      </c>
      <c r="E887" s="3">
        <v>1</v>
      </c>
      <c r="F887" s="3">
        <v>1</v>
      </c>
      <c r="G887">
        <v>0</v>
      </c>
    </row>
    <row r="888" spans="1:7" x14ac:dyDescent="0.25">
      <c r="A888" s="111" t="str">
        <f t="shared" si="13"/>
        <v>JDH4-02-007-PR-2795</v>
      </c>
      <c r="B888" t="s">
        <v>1405</v>
      </c>
      <c r="C888" t="s">
        <v>1406</v>
      </c>
      <c r="D888" s="1">
        <v>0</v>
      </c>
      <c r="E888" s="3">
        <v>1</v>
      </c>
      <c r="F888" s="3">
        <v>1</v>
      </c>
      <c r="G888">
        <v>0</v>
      </c>
    </row>
    <row r="889" spans="1:7" x14ac:dyDescent="0.25">
      <c r="A889" s="111" t="str">
        <f t="shared" si="13"/>
        <v>JDH4-02-007-PR-2796</v>
      </c>
      <c r="B889" t="s">
        <v>1407</v>
      </c>
      <c r="C889" t="s">
        <v>1408</v>
      </c>
      <c r="D889" s="1">
        <v>0</v>
      </c>
      <c r="E889" s="3">
        <v>1</v>
      </c>
      <c r="F889" s="3">
        <v>1</v>
      </c>
      <c r="G889">
        <v>0</v>
      </c>
    </row>
    <row r="890" spans="1:7" x14ac:dyDescent="0.25">
      <c r="A890" s="111" t="str">
        <f t="shared" si="13"/>
        <v>JDH4-02-007-PR-2797</v>
      </c>
      <c r="B890" t="s">
        <v>1409</v>
      </c>
      <c r="C890" t="s">
        <v>1410</v>
      </c>
      <c r="D890" s="1">
        <v>0</v>
      </c>
      <c r="E890" s="3">
        <v>1</v>
      </c>
      <c r="F890" s="3">
        <v>1</v>
      </c>
      <c r="G890">
        <v>0</v>
      </c>
    </row>
    <row r="891" spans="1:7" x14ac:dyDescent="0.25">
      <c r="A891" s="111" t="str">
        <f t="shared" si="13"/>
        <v>JDH4-02-007-PR-2798</v>
      </c>
      <c r="B891" t="s">
        <v>1411</v>
      </c>
      <c r="C891" t="s">
        <v>1412</v>
      </c>
      <c r="D891" s="1">
        <v>0</v>
      </c>
      <c r="E891" s="3">
        <v>1</v>
      </c>
      <c r="F891" s="3">
        <v>1</v>
      </c>
      <c r="G891">
        <v>0</v>
      </c>
    </row>
    <row r="892" spans="1:7" x14ac:dyDescent="0.25">
      <c r="A892" s="111" t="str">
        <f t="shared" si="13"/>
        <v>JDH4-02-007-PR-2800</v>
      </c>
      <c r="B892" t="s">
        <v>1415</v>
      </c>
      <c r="C892" t="s">
        <v>1416</v>
      </c>
      <c r="D892" s="1">
        <v>0</v>
      </c>
      <c r="E892" s="3">
        <v>1</v>
      </c>
      <c r="F892" s="3">
        <v>1</v>
      </c>
      <c r="G892">
        <v>0</v>
      </c>
    </row>
    <row r="893" spans="1:7" x14ac:dyDescent="0.25">
      <c r="A893" s="111" t="str">
        <f t="shared" si="13"/>
        <v>JDH4-02-007-PR-2799</v>
      </c>
      <c r="B893" t="s">
        <v>1413</v>
      </c>
      <c r="C893" t="s">
        <v>1414</v>
      </c>
      <c r="D893" s="1">
        <v>0</v>
      </c>
      <c r="E893" s="3">
        <v>1</v>
      </c>
      <c r="F893" s="3">
        <v>1</v>
      </c>
      <c r="G893">
        <v>0</v>
      </c>
    </row>
    <row r="894" spans="1:7" x14ac:dyDescent="0.25">
      <c r="A894" s="111" t="str">
        <f t="shared" si="13"/>
        <v>JDH4-02-007-PR-2840</v>
      </c>
      <c r="B894" t="s">
        <v>1417</v>
      </c>
      <c r="C894" t="s">
        <v>1418</v>
      </c>
      <c r="D894" s="1">
        <v>179076.09</v>
      </c>
      <c r="E894" s="3">
        <v>1</v>
      </c>
      <c r="F894" s="3">
        <v>1</v>
      </c>
      <c r="G894" s="1">
        <v>179076.09</v>
      </c>
    </row>
    <row r="895" spans="1:7" x14ac:dyDescent="0.25">
      <c r="A895" s="111" t="str">
        <f t="shared" si="13"/>
        <v>JDH4-02-007-PR-2880</v>
      </c>
      <c r="B895" t="s">
        <v>1419</v>
      </c>
      <c r="C895" t="s">
        <v>1420</v>
      </c>
      <c r="D895" s="1">
        <v>0</v>
      </c>
      <c r="E895" s="3">
        <v>1</v>
      </c>
      <c r="F895" s="3">
        <v>1</v>
      </c>
      <c r="G895">
        <v>0</v>
      </c>
    </row>
    <row r="896" spans="1:7" x14ac:dyDescent="0.25">
      <c r="A896" s="111" t="str">
        <f t="shared" si="13"/>
        <v>Low-Voltage Electrical Power Conductors and Cables</v>
      </c>
      <c r="B896" t="s">
        <v>1421</v>
      </c>
      <c r="D896" s="1">
        <v>179076.09</v>
      </c>
      <c r="E896" s="3"/>
      <c r="F896" s="3">
        <v>1</v>
      </c>
      <c r="G896" s="1">
        <v>179076.09</v>
      </c>
    </row>
    <row r="897" spans="1:7" x14ac:dyDescent="0.25">
      <c r="A897" s="111" t="str">
        <f t="shared" si="13"/>
        <v>JDH4-02-007-PR-2770</v>
      </c>
      <c r="B897" t="s">
        <v>1422</v>
      </c>
      <c r="C897" t="s">
        <v>1423</v>
      </c>
      <c r="D897" s="1">
        <v>0</v>
      </c>
      <c r="E897" s="3">
        <v>1</v>
      </c>
      <c r="F897" s="3">
        <v>1</v>
      </c>
      <c r="G897">
        <v>0</v>
      </c>
    </row>
    <row r="898" spans="1:7" x14ac:dyDescent="0.25">
      <c r="A898" s="111" t="str">
        <f t="shared" si="13"/>
        <v>JDH4-02-007-PR-2807</v>
      </c>
      <c r="B898" t="s">
        <v>1424</v>
      </c>
      <c r="C898" t="s">
        <v>1425</v>
      </c>
      <c r="D898" s="1">
        <v>0</v>
      </c>
      <c r="E898" s="3">
        <v>1</v>
      </c>
      <c r="F898" s="3">
        <v>1</v>
      </c>
      <c r="G898">
        <v>0</v>
      </c>
    </row>
    <row r="899" spans="1:7" x14ac:dyDescent="0.25">
      <c r="A899" s="111" t="str">
        <f t="shared" si="13"/>
        <v>JDH4-02-007-PR-2808</v>
      </c>
      <c r="B899" t="s">
        <v>1426</v>
      </c>
      <c r="C899" t="s">
        <v>1427</v>
      </c>
      <c r="D899" s="1">
        <v>0</v>
      </c>
      <c r="E899" s="3">
        <v>1</v>
      </c>
      <c r="F899" s="3">
        <v>1</v>
      </c>
      <c r="G899">
        <v>0</v>
      </c>
    </row>
    <row r="900" spans="1:7" x14ac:dyDescent="0.25">
      <c r="A900" s="111" t="str">
        <f t="shared" ref="A900:A963" si="14">TRIM(B900)</f>
        <v>JDH4-02-007-PR-2809</v>
      </c>
      <c r="B900" t="s">
        <v>1428</v>
      </c>
      <c r="C900" t="s">
        <v>1429</v>
      </c>
      <c r="D900" s="1">
        <v>0</v>
      </c>
      <c r="E900" s="3">
        <v>1</v>
      </c>
      <c r="F900" s="3">
        <v>1</v>
      </c>
      <c r="G900">
        <v>0</v>
      </c>
    </row>
    <row r="901" spans="1:7" x14ac:dyDescent="0.25">
      <c r="A901" s="111" t="str">
        <f t="shared" si="14"/>
        <v>JDH4-02-007-PR-2810</v>
      </c>
      <c r="B901" t="s">
        <v>1430</v>
      </c>
      <c r="C901" t="s">
        <v>1431</v>
      </c>
      <c r="D901" s="1">
        <v>0</v>
      </c>
      <c r="E901" s="3">
        <v>1</v>
      </c>
      <c r="F901" s="3">
        <v>1</v>
      </c>
      <c r="G901">
        <v>0</v>
      </c>
    </row>
    <row r="902" spans="1:7" x14ac:dyDescent="0.25">
      <c r="A902" s="111" t="str">
        <f t="shared" si="14"/>
        <v>JDH4-02-007-PR-2850</v>
      </c>
      <c r="B902" t="s">
        <v>1432</v>
      </c>
      <c r="C902" t="s">
        <v>1433</v>
      </c>
      <c r="D902" s="1">
        <v>179076.09</v>
      </c>
      <c r="E902" s="3">
        <v>1</v>
      </c>
      <c r="F902" s="3">
        <v>1</v>
      </c>
      <c r="G902" s="1">
        <v>179076.09</v>
      </c>
    </row>
    <row r="903" spans="1:7" x14ac:dyDescent="0.25">
      <c r="A903" s="111" t="str">
        <f t="shared" si="14"/>
        <v>JDH4-02-007-PR-2890</v>
      </c>
      <c r="B903" t="s">
        <v>1434</v>
      </c>
      <c r="C903" t="s">
        <v>1435</v>
      </c>
      <c r="D903" s="1">
        <v>0</v>
      </c>
      <c r="E903" s="3">
        <v>1</v>
      </c>
      <c r="F903" s="3">
        <v>1</v>
      </c>
      <c r="G903">
        <v>0</v>
      </c>
    </row>
    <row r="904" spans="1:7" x14ac:dyDescent="0.25">
      <c r="A904" s="111" t="str">
        <f t="shared" si="14"/>
        <v>Low Voltage Feeder Cable</v>
      </c>
      <c r="B904" t="s">
        <v>1436</v>
      </c>
      <c r="D904" s="1">
        <v>179076.09</v>
      </c>
      <c r="E904" s="3"/>
      <c r="F904" s="3">
        <v>1</v>
      </c>
      <c r="G904" s="1">
        <v>179076.09</v>
      </c>
    </row>
    <row r="905" spans="1:7" x14ac:dyDescent="0.25">
      <c r="A905" s="111" t="str">
        <f t="shared" si="14"/>
        <v>JDH4-02-007-PR-2920</v>
      </c>
      <c r="B905" t="s">
        <v>1437</v>
      </c>
      <c r="C905" t="s">
        <v>1438</v>
      </c>
      <c r="D905" s="1">
        <v>0</v>
      </c>
      <c r="E905" s="3">
        <v>1</v>
      </c>
      <c r="F905" s="3">
        <v>1</v>
      </c>
      <c r="G905">
        <v>0</v>
      </c>
    </row>
    <row r="906" spans="1:7" x14ac:dyDescent="0.25">
      <c r="A906" s="111" t="str">
        <f t="shared" si="14"/>
        <v>JDH4-02-007-PR-2927</v>
      </c>
      <c r="B906" t="s">
        <v>1439</v>
      </c>
      <c r="C906" t="s">
        <v>1440</v>
      </c>
      <c r="D906" s="1">
        <v>0</v>
      </c>
      <c r="E906" s="3">
        <v>1</v>
      </c>
      <c r="F906" s="3">
        <v>1</v>
      </c>
      <c r="G906">
        <v>0</v>
      </c>
    </row>
    <row r="907" spans="1:7" x14ac:dyDescent="0.25">
      <c r="A907" s="111" t="str">
        <f t="shared" si="14"/>
        <v>JDH4-02-007-PR-2928</v>
      </c>
      <c r="B907" t="s">
        <v>1441</v>
      </c>
      <c r="C907" t="s">
        <v>1442</v>
      </c>
      <c r="D907" s="1">
        <v>0</v>
      </c>
      <c r="E907" s="3">
        <v>1</v>
      </c>
      <c r="F907" s="3">
        <v>1</v>
      </c>
      <c r="G907">
        <v>0</v>
      </c>
    </row>
    <row r="908" spans="1:7" x14ac:dyDescent="0.25">
      <c r="A908" s="111" t="str">
        <f t="shared" si="14"/>
        <v>JDH4-02-007-PR-2929</v>
      </c>
      <c r="B908" t="s">
        <v>1443</v>
      </c>
      <c r="C908" t="s">
        <v>1444</v>
      </c>
      <c r="D908" s="1">
        <v>0</v>
      </c>
      <c r="E908" s="3">
        <v>1</v>
      </c>
      <c r="F908" s="3">
        <v>1</v>
      </c>
      <c r="G908">
        <v>0</v>
      </c>
    </row>
    <row r="909" spans="1:7" x14ac:dyDescent="0.25">
      <c r="A909" s="111" t="str">
        <f t="shared" si="14"/>
        <v>JDH4-02-007-PR-2930</v>
      </c>
      <c r="B909" t="s">
        <v>1445</v>
      </c>
      <c r="C909" t="s">
        <v>1446</v>
      </c>
      <c r="D909" s="1">
        <v>0</v>
      </c>
      <c r="E909" s="3">
        <v>1</v>
      </c>
      <c r="F909" s="3">
        <v>1</v>
      </c>
      <c r="G909">
        <v>0</v>
      </c>
    </row>
    <row r="910" spans="1:7" x14ac:dyDescent="0.25">
      <c r="A910" s="111" t="str">
        <f t="shared" si="14"/>
        <v>JDH4-02-007-PR-2940</v>
      </c>
      <c r="B910" t="s">
        <v>1447</v>
      </c>
      <c r="C910" t="s">
        <v>1448</v>
      </c>
      <c r="D910" s="1">
        <v>179076.09</v>
      </c>
      <c r="E910" s="3">
        <v>1</v>
      </c>
      <c r="F910" s="3">
        <v>1</v>
      </c>
      <c r="G910" s="1">
        <v>179076.09</v>
      </c>
    </row>
    <row r="911" spans="1:7" x14ac:dyDescent="0.25">
      <c r="A911" s="111" t="str">
        <f t="shared" si="14"/>
        <v>JDH4-02-007-PR-2950</v>
      </c>
      <c r="B911" t="s">
        <v>1449</v>
      </c>
      <c r="C911" t="s">
        <v>1450</v>
      </c>
      <c r="D911" s="1">
        <v>0</v>
      </c>
      <c r="E911" s="3">
        <v>1</v>
      </c>
      <c r="F911" s="3">
        <v>1</v>
      </c>
      <c r="G911">
        <v>0</v>
      </c>
    </row>
    <row r="912" spans="1:7" x14ac:dyDescent="0.25">
      <c r="A912" s="111" t="str">
        <f t="shared" si="14"/>
        <v>Wiring Devices</v>
      </c>
      <c r="B912" t="s">
        <v>1451</v>
      </c>
      <c r="D912" s="1">
        <v>179076.09</v>
      </c>
      <c r="E912" s="3"/>
      <c r="F912" s="3">
        <v>1</v>
      </c>
      <c r="G912" s="1">
        <v>179076.09</v>
      </c>
    </row>
    <row r="913" spans="1:7" x14ac:dyDescent="0.25">
      <c r="A913" s="111" t="str">
        <f t="shared" si="14"/>
        <v>JDH4-02-007-PR-2780</v>
      </c>
      <c r="B913" t="s">
        <v>1452</v>
      </c>
      <c r="C913" t="s">
        <v>1453</v>
      </c>
      <c r="D913" s="1">
        <v>0</v>
      </c>
      <c r="E913" s="3">
        <v>1</v>
      </c>
      <c r="F913" s="3">
        <v>1</v>
      </c>
      <c r="G913">
        <v>0</v>
      </c>
    </row>
    <row r="914" spans="1:7" x14ac:dyDescent="0.25">
      <c r="A914" s="111" t="str">
        <f t="shared" si="14"/>
        <v>JDH4-02-007-PR-2815</v>
      </c>
      <c r="B914" t="s">
        <v>1454</v>
      </c>
      <c r="C914" t="s">
        <v>1455</v>
      </c>
      <c r="D914" s="1">
        <v>0</v>
      </c>
      <c r="E914" s="3">
        <v>1</v>
      </c>
      <c r="F914" s="3">
        <v>1</v>
      </c>
      <c r="G914">
        <v>0</v>
      </c>
    </row>
    <row r="915" spans="1:7" x14ac:dyDescent="0.25">
      <c r="A915" s="111" t="str">
        <f t="shared" si="14"/>
        <v>JDH4-02-007-PR-2816</v>
      </c>
      <c r="B915" t="s">
        <v>1456</v>
      </c>
      <c r="C915" t="s">
        <v>1457</v>
      </c>
      <c r="D915" s="1">
        <v>0</v>
      </c>
      <c r="E915" s="3">
        <v>1</v>
      </c>
      <c r="F915" s="3">
        <v>1</v>
      </c>
      <c r="G915">
        <v>0</v>
      </c>
    </row>
    <row r="916" spans="1:7" x14ac:dyDescent="0.25">
      <c r="A916" s="111" t="str">
        <f t="shared" si="14"/>
        <v>JDH4-02-007-PR-2817</v>
      </c>
      <c r="B916" t="s">
        <v>1458</v>
      </c>
      <c r="C916" t="s">
        <v>1459</v>
      </c>
      <c r="D916" s="1">
        <v>0</v>
      </c>
      <c r="E916" s="3">
        <v>1</v>
      </c>
      <c r="F916" s="3">
        <v>1</v>
      </c>
      <c r="G916">
        <v>0</v>
      </c>
    </row>
    <row r="917" spans="1:7" x14ac:dyDescent="0.25">
      <c r="A917" s="111" t="str">
        <f t="shared" si="14"/>
        <v>JDH4-02-007-PR-2818</v>
      </c>
      <c r="B917" t="s">
        <v>1460</v>
      </c>
      <c r="C917" t="s">
        <v>1461</v>
      </c>
      <c r="D917" s="1">
        <v>0</v>
      </c>
      <c r="E917" s="3">
        <v>1</v>
      </c>
      <c r="F917" s="3">
        <v>1</v>
      </c>
      <c r="G917">
        <v>0</v>
      </c>
    </row>
    <row r="918" spans="1:7" x14ac:dyDescent="0.25">
      <c r="A918" s="111" t="str">
        <f t="shared" si="14"/>
        <v>JDH4-02-007-PR-2819</v>
      </c>
      <c r="B918" t="s">
        <v>1462</v>
      </c>
      <c r="C918" t="s">
        <v>1463</v>
      </c>
      <c r="D918" s="1">
        <v>0</v>
      </c>
      <c r="E918" s="3">
        <v>1</v>
      </c>
      <c r="F918" s="3">
        <v>1</v>
      </c>
      <c r="G918">
        <v>0</v>
      </c>
    </row>
    <row r="919" spans="1:7" x14ac:dyDescent="0.25">
      <c r="A919" s="111" t="str">
        <f t="shared" si="14"/>
        <v>JDH4-02-007-PR-2820</v>
      </c>
      <c r="B919" t="s">
        <v>1464</v>
      </c>
      <c r="C919" t="s">
        <v>1465</v>
      </c>
      <c r="D919" s="1">
        <v>0</v>
      </c>
      <c r="E919" s="3">
        <v>1</v>
      </c>
      <c r="F919" s="3">
        <v>1</v>
      </c>
      <c r="G919">
        <v>0</v>
      </c>
    </row>
    <row r="920" spans="1:7" x14ac:dyDescent="0.25">
      <c r="A920" s="111" t="str">
        <f t="shared" si="14"/>
        <v>JDH4-02-007-PR-2860</v>
      </c>
      <c r="B920" t="s">
        <v>1466</v>
      </c>
      <c r="C920" t="s">
        <v>1467</v>
      </c>
      <c r="D920" s="1">
        <v>179076.09</v>
      </c>
      <c r="E920" s="3">
        <v>1</v>
      </c>
      <c r="F920" s="3">
        <v>1</v>
      </c>
      <c r="G920" s="1">
        <v>179076.09</v>
      </c>
    </row>
    <row r="921" spans="1:7" x14ac:dyDescent="0.25">
      <c r="A921" s="111" t="str">
        <f t="shared" si="14"/>
        <v>JDH4-02-007-PR-2900</v>
      </c>
      <c r="B921" t="s">
        <v>1468</v>
      </c>
      <c r="C921" t="s">
        <v>1469</v>
      </c>
      <c r="D921" s="1">
        <v>0</v>
      </c>
      <c r="E921" s="3">
        <v>1</v>
      </c>
      <c r="F921" s="2">
        <v>1</v>
      </c>
      <c r="G921">
        <v>0</v>
      </c>
    </row>
    <row r="922" spans="1:7" x14ac:dyDescent="0.25">
      <c r="A922" s="111" t="str">
        <f t="shared" si="14"/>
        <v>Enclosed Switches and Circuit Breakers</v>
      </c>
      <c r="B922" t="s">
        <v>1470</v>
      </c>
      <c r="D922" s="1">
        <v>179076.09</v>
      </c>
      <c r="E922" s="3"/>
      <c r="F922" s="3">
        <v>1</v>
      </c>
      <c r="G922" s="1">
        <v>179076.09</v>
      </c>
    </row>
    <row r="923" spans="1:7" x14ac:dyDescent="0.25">
      <c r="A923" s="111" t="str">
        <f t="shared" si="14"/>
        <v>JDH4-02-007-PR-2960</v>
      </c>
      <c r="B923" t="s">
        <v>1471</v>
      </c>
      <c r="C923" t="s">
        <v>1472</v>
      </c>
      <c r="D923" s="1">
        <v>0</v>
      </c>
      <c r="E923" s="3">
        <v>1</v>
      </c>
      <c r="F923" s="3">
        <v>1</v>
      </c>
      <c r="G923">
        <v>0</v>
      </c>
    </row>
    <row r="924" spans="1:7" x14ac:dyDescent="0.25">
      <c r="A924" s="111" t="str">
        <f t="shared" si="14"/>
        <v>JDH4-02-007-PR-2965</v>
      </c>
      <c r="B924" t="s">
        <v>1473</v>
      </c>
      <c r="C924" t="s">
        <v>1474</v>
      </c>
      <c r="D924" s="1">
        <v>0</v>
      </c>
      <c r="E924" s="3">
        <v>1</v>
      </c>
      <c r="F924" s="3">
        <v>1</v>
      </c>
      <c r="G924">
        <v>0</v>
      </c>
    </row>
    <row r="925" spans="1:7" x14ac:dyDescent="0.25">
      <c r="A925" s="111" t="str">
        <f t="shared" si="14"/>
        <v>JDH4-02-007-PR-2966</v>
      </c>
      <c r="B925" t="s">
        <v>1475</v>
      </c>
      <c r="C925" t="s">
        <v>1476</v>
      </c>
      <c r="D925" s="1">
        <v>0</v>
      </c>
      <c r="E925" s="3">
        <v>1</v>
      </c>
      <c r="F925" s="3">
        <v>1</v>
      </c>
      <c r="G925">
        <v>0</v>
      </c>
    </row>
    <row r="926" spans="1:7" x14ac:dyDescent="0.25">
      <c r="A926" s="111" t="str">
        <f t="shared" si="14"/>
        <v>JDH4-02-007-PR-2967</v>
      </c>
      <c r="B926" t="s">
        <v>1477</v>
      </c>
      <c r="C926" t="s">
        <v>1478</v>
      </c>
      <c r="D926" s="1">
        <v>0</v>
      </c>
      <c r="E926" s="3">
        <v>1</v>
      </c>
      <c r="F926" s="3">
        <v>1</v>
      </c>
      <c r="G926">
        <v>0</v>
      </c>
    </row>
    <row r="927" spans="1:7" x14ac:dyDescent="0.25">
      <c r="A927" s="111" t="str">
        <f t="shared" si="14"/>
        <v>JDH4-02-007-PR-2970</v>
      </c>
      <c r="B927" t="s">
        <v>1483</v>
      </c>
      <c r="C927" t="s">
        <v>1484</v>
      </c>
      <c r="D927" s="1">
        <v>0</v>
      </c>
      <c r="E927" s="3">
        <v>1</v>
      </c>
      <c r="F927" s="3">
        <v>1</v>
      </c>
      <c r="G927">
        <v>0</v>
      </c>
    </row>
    <row r="928" spans="1:7" x14ac:dyDescent="0.25">
      <c r="A928" s="111" t="str">
        <f t="shared" si="14"/>
        <v>JDH4-02-007-PR-2969</v>
      </c>
      <c r="B928" t="s">
        <v>1481</v>
      </c>
      <c r="C928" t="s">
        <v>1482</v>
      </c>
      <c r="D928" s="1">
        <v>0</v>
      </c>
      <c r="E928" s="3">
        <v>1</v>
      </c>
      <c r="F928" s="3">
        <v>1</v>
      </c>
      <c r="G928">
        <v>0</v>
      </c>
    </row>
    <row r="929" spans="1:7" x14ac:dyDescent="0.25">
      <c r="A929" s="111" t="str">
        <f t="shared" si="14"/>
        <v>JDH4-02-007-PR-2968</v>
      </c>
      <c r="B929" t="s">
        <v>1479</v>
      </c>
      <c r="C929" t="s">
        <v>1480</v>
      </c>
      <c r="D929" s="1">
        <v>0</v>
      </c>
      <c r="E929" s="3">
        <v>1</v>
      </c>
      <c r="F929" s="3">
        <v>1</v>
      </c>
      <c r="G929">
        <v>0</v>
      </c>
    </row>
    <row r="930" spans="1:7" x14ac:dyDescent="0.25">
      <c r="A930" s="111" t="str">
        <f t="shared" si="14"/>
        <v>JDH4-02-007-PR-2980</v>
      </c>
      <c r="B930" t="s">
        <v>1485</v>
      </c>
      <c r="C930" t="s">
        <v>1486</v>
      </c>
      <c r="D930" s="1">
        <v>179076.09</v>
      </c>
      <c r="E930" s="3">
        <v>1</v>
      </c>
      <c r="F930" s="3">
        <v>1</v>
      </c>
      <c r="G930" s="1">
        <v>179076.09</v>
      </c>
    </row>
    <row r="931" spans="1:7" x14ac:dyDescent="0.25">
      <c r="A931" s="111" t="str">
        <f t="shared" si="14"/>
        <v>JDH4-02-007-PR-2990</v>
      </c>
      <c r="B931" t="s">
        <v>1487</v>
      </c>
      <c r="C931" t="s">
        <v>1488</v>
      </c>
      <c r="D931" s="1">
        <v>0</v>
      </c>
      <c r="E931" s="3">
        <v>1</v>
      </c>
      <c r="F931" s="3">
        <v>1</v>
      </c>
      <c r="G931">
        <v>0</v>
      </c>
    </row>
    <row r="932" spans="1:7" x14ac:dyDescent="0.25">
      <c r="A932" s="111" t="str">
        <f t="shared" si="14"/>
        <v>Raceways for Electrical Systems</v>
      </c>
      <c r="B932" t="s">
        <v>1489</v>
      </c>
      <c r="D932" s="1">
        <v>179076.09</v>
      </c>
      <c r="E932" s="3"/>
      <c r="F932" s="3">
        <v>1</v>
      </c>
      <c r="G932" s="1">
        <v>179076.09</v>
      </c>
    </row>
    <row r="933" spans="1:7" x14ac:dyDescent="0.25">
      <c r="A933" s="111" t="str">
        <f t="shared" si="14"/>
        <v>JDH4-02-007-PR-2790</v>
      </c>
      <c r="B933" t="s">
        <v>1490</v>
      </c>
      <c r="C933" t="s">
        <v>1491</v>
      </c>
      <c r="D933" s="1">
        <v>0</v>
      </c>
      <c r="E933" s="3">
        <v>1</v>
      </c>
      <c r="F933" s="3">
        <v>1</v>
      </c>
      <c r="G933">
        <v>0</v>
      </c>
    </row>
    <row r="934" spans="1:7" x14ac:dyDescent="0.25">
      <c r="A934" s="111" t="str">
        <f t="shared" si="14"/>
        <v>JDH4-02-007-PR-2827</v>
      </c>
      <c r="B934" t="s">
        <v>1492</v>
      </c>
      <c r="C934" t="s">
        <v>1493</v>
      </c>
      <c r="D934" s="1">
        <v>0</v>
      </c>
      <c r="E934" s="3">
        <v>1</v>
      </c>
      <c r="F934" s="3">
        <v>1</v>
      </c>
      <c r="G934">
        <v>0</v>
      </c>
    </row>
    <row r="935" spans="1:7" x14ac:dyDescent="0.25">
      <c r="A935" s="111" t="str">
        <f t="shared" si="14"/>
        <v>JDH4-02-007-PR-2828</v>
      </c>
      <c r="B935" t="s">
        <v>1494</v>
      </c>
      <c r="C935" t="s">
        <v>1495</v>
      </c>
      <c r="D935" s="1">
        <v>0</v>
      </c>
      <c r="E935" s="3">
        <v>1</v>
      </c>
      <c r="F935" s="3">
        <v>1</v>
      </c>
      <c r="G935">
        <v>0</v>
      </c>
    </row>
    <row r="936" spans="1:7" x14ac:dyDescent="0.25">
      <c r="A936" s="111" t="str">
        <f t="shared" si="14"/>
        <v>JDH4-02-007-PR-2829</v>
      </c>
      <c r="B936" t="s">
        <v>1496</v>
      </c>
      <c r="C936" t="s">
        <v>1497</v>
      </c>
      <c r="D936" s="1">
        <v>0</v>
      </c>
      <c r="E936" s="3">
        <v>1</v>
      </c>
      <c r="F936" s="3">
        <v>1</v>
      </c>
      <c r="G936">
        <v>0</v>
      </c>
    </row>
    <row r="937" spans="1:7" x14ac:dyDescent="0.25">
      <c r="A937" s="111" t="str">
        <f t="shared" si="14"/>
        <v>JDH4-02-007-PR-2830</v>
      </c>
      <c r="B937" t="s">
        <v>1498</v>
      </c>
      <c r="C937" t="s">
        <v>1499</v>
      </c>
      <c r="D937" s="1">
        <v>0</v>
      </c>
      <c r="E937" s="3">
        <v>1</v>
      </c>
      <c r="F937" s="3">
        <v>1</v>
      </c>
      <c r="G937">
        <v>0</v>
      </c>
    </row>
    <row r="938" spans="1:7" x14ac:dyDescent="0.25">
      <c r="A938" s="111" t="str">
        <f t="shared" si="14"/>
        <v>JDH4-02-007-PR-2870</v>
      </c>
      <c r="B938" t="s">
        <v>1500</v>
      </c>
      <c r="C938" t="s">
        <v>1501</v>
      </c>
      <c r="D938" s="1">
        <v>179076.09</v>
      </c>
      <c r="E938" s="3">
        <v>1</v>
      </c>
      <c r="F938" s="3">
        <v>1</v>
      </c>
      <c r="G938" s="1">
        <v>179076.09</v>
      </c>
    </row>
    <row r="939" spans="1:7" x14ac:dyDescent="0.25">
      <c r="A939" s="111" t="str">
        <f t="shared" si="14"/>
        <v>JDH4-02-007-PR-2910</v>
      </c>
      <c r="B939" t="s">
        <v>1502</v>
      </c>
      <c r="C939" t="s">
        <v>1503</v>
      </c>
      <c r="D939" s="1">
        <v>0</v>
      </c>
      <c r="E939" s="3">
        <v>1</v>
      </c>
      <c r="F939" s="3">
        <v>1</v>
      </c>
      <c r="G939">
        <v>0</v>
      </c>
    </row>
    <row r="940" spans="1:7" x14ac:dyDescent="0.25">
      <c r="A940" s="111" t="str">
        <f t="shared" si="14"/>
        <v>Electrical Manholes</v>
      </c>
      <c r="B940" t="s">
        <v>1504</v>
      </c>
      <c r="D940" s="1">
        <v>179076.09</v>
      </c>
      <c r="E940" s="3"/>
      <c r="F940" s="3">
        <v>1</v>
      </c>
      <c r="G940" s="1">
        <v>179076.09</v>
      </c>
    </row>
    <row r="941" spans="1:7" x14ac:dyDescent="0.25">
      <c r="A941" s="111" t="str">
        <f t="shared" si="14"/>
        <v>JDH4-02-007-PR-2520</v>
      </c>
      <c r="B941" t="s">
        <v>1505</v>
      </c>
      <c r="C941" t="s">
        <v>1506</v>
      </c>
      <c r="D941" s="1">
        <v>0</v>
      </c>
      <c r="E941" s="3">
        <v>1</v>
      </c>
      <c r="F941" s="3">
        <v>1</v>
      </c>
      <c r="G941">
        <v>0</v>
      </c>
    </row>
    <row r="942" spans="1:7" x14ac:dyDescent="0.25">
      <c r="A942" s="111" t="str">
        <f t="shared" si="14"/>
        <v>JDH4-02-007-PR-2555</v>
      </c>
      <c r="B942" t="s">
        <v>1507</v>
      </c>
      <c r="C942" t="s">
        <v>1508</v>
      </c>
      <c r="D942" s="1">
        <v>0</v>
      </c>
      <c r="E942" s="3">
        <v>1</v>
      </c>
      <c r="F942" s="3">
        <v>1</v>
      </c>
      <c r="G942">
        <v>0</v>
      </c>
    </row>
    <row r="943" spans="1:7" x14ac:dyDescent="0.25">
      <c r="A943" s="111" t="str">
        <f t="shared" si="14"/>
        <v>JDH4-02-007-PR-2557</v>
      </c>
      <c r="B943" t="s">
        <v>1511</v>
      </c>
      <c r="C943" t="s">
        <v>1512</v>
      </c>
      <c r="D943" s="1">
        <v>0</v>
      </c>
      <c r="E943" s="3">
        <v>1</v>
      </c>
      <c r="F943" s="3">
        <v>1</v>
      </c>
      <c r="G943">
        <v>0</v>
      </c>
    </row>
    <row r="944" spans="1:7" x14ac:dyDescent="0.25">
      <c r="A944" s="111" t="str">
        <f t="shared" si="14"/>
        <v>JDH4-02-007-PR-2556</v>
      </c>
      <c r="B944" t="s">
        <v>1509</v>
      </c>
      <c r="C944" t="s">
        <v>1510</v>
      </c>
      <c r="D944" s="1">
        <v>0</v>
      </c>
      <c r="E944" s="3">
        <v>1</v>
      </c>
      <c r="F944" s="3">
        <v>1</v>
      </c>
      <c r="G944">
        <v>0</v>
      </c>
    </row>
    <row r="945" spans="1:7" x14ac:dyDescent="0.25">
      <c r="A945" s="111" t="str">
        <f t="shared" si="14"/>
        <v>JDH4-02-007-PR-2558</v>
      </c>
      <c r="B945" t="s">
        <v>1513</v>
      </c>
      <c r="C945" t="s">
        <v>1514</v>
      </c>
      <c r="D945" s="1">
        <v>0</v>
      </c>
      <c r="E945" s="3">
        <v>1</v>
      </c>
      <c r="F945" s="2">
        <v>1</v>
      </c>
      <c r="G945">
        <v>0</v>
      </c>
    </row>
    <row r="946" spans="1:7" x14ac:dyDescent="0.25">
      <c r="A946" s="111" t="str">
        <f t="shared" si="14"/>
        <v>JDH4-02-007-PR-2559</v>
      </c>
      <c r="B946" t="s">
        <v>1515</v>
      </c>
      <c r="C946" t="s">
        <v>1516</v>
      </c>
      <c r="D946" s="1">
        <v>0</v>
      </c>
      <c r="E946" s="3">
        <v>1</v>
      </c>
      <c r="F946" s="3">
        <v>1</v>
      </c>
      <c r="G946">
        <v>0</v>
      </c>
    </row>
    <row r="947" spans="1:7" x14ac:dyDescent="0.25">
      <c r="A947" s="111" t="str">
        <f t="shared" si="14"/>
        <v>JDH4-02-007-PR-2560</v>
      </c>
      <c r="B947" t="s">
        <v>1517</v>
      </c>
      <c r="C947" t="s">
        <v>1518</v>
      </c>
      <c r="D947" s="1">
        <v>0</v>
      </c>
      <c r="E947" s="3">
        <v>1</v>
      </c>
      <c r="F947" s="3">
        <v>1</v>
      </c>
      <c r="G947">
        <v>0</v>
      </c>
    </row>
    <row r="948" spans="1:7" x14ac:dyDescent="0.25">
      <c r="A948" s="111" t="str">
        <f t="shared" si="14"/>
        <v>JDH4-02-007-PR-2600</v>
      </c>
      <c r="B948" t="s">
        <v>1519</v>
      </c>
      <c r="C948" t="s">
        <v>1520</v>
      </c>
      <c r="D948" s="1">
        <v>179076.09</v>
      </c>
      <c r="E948" s="3">
        <v>1</v>
      </c>
      <c r="F948" s="3">
        <v>1</v>
      </c>
      <c r="G948" s="1">
        <v>179076.09</v>
      </c>
    </row>
    <row r="949" spans="1:7" x14ac:dyDescent="0.25">
      <c r="A949" s="111" t="str">
        <f t="shared" si="14"/>
        <v>JDH4-02-007-PR-2640</v>
      </c>
      <c r="B949" t="s">
        <v>1521</v>
      </c>
      <c r="C949" t="s">
        <v>1522</v>
      </c>
      <c r="D949" s="1">
        <v>0</v>
      </c>
      <c r="E949" s="3">
        <v>1</v>
      </c>
      <c r="F949" s="3">
        <v>1</v>
      </c>
      <c r="G949">
        <v>0</v>
      </c>
    </row>
    <row r="950" spans="1:7" x14ac:dyDescent="0.25">
      <c r="A950" s="111" t="str">
        <f t="shared" si="14"/>
        <v>ICT (Data&amp; telephone System)</v>
      </c>
      <c r="B950" t="s">
        <v>1523</v>
      </c>
      <c r="D950" s="1">
        <v>179076.09</v>
      </c>
      <c r="E950" s="3"/>
      <c r="F950" s="3">
        <v>1</v>
      </c>
      <c r="G950" s="1">
        <v>179076.09</v>
      </c>
    </row>
    <row r="951" spans="1:7" x14ac:dyDescent="0.25">
      <c r="A951" s="111" t="str">
        <f t="shared" si="14"/>
        <v>JDH4-02-007-PR-3040</v>
      </c>
      <c r="B951" t="s">
        <v>1524</v>
      </c>
      <c r="C951" t="s">
        <v>1525</v>
      </c>
      <c r="D951" s="1">
        <v>0</v>
      </c>
      <c r="E951" s="3">
        <v>1</v>
      </c>
      <c r="F951" s="3">
        <v>1</v>
      </c>
      <c r="G951">
        <v>0</v>
      </c>
    </row>
    <row r="952" spans="1:7" x14ac:dyDescent="0.25">
      <c r="A952" s="111" t="str">
        <f t="shared" si="14"/>
        <v>JDH4-02-007-PR-3055</v>
      </c>
      <c r="B952" t="s">
        <v>1526</v>
      </c>
      <c r="C952" t="s">
        <v>1527</v>
      </c>
      <c r="D952" s="1">
        <v>0</v>
      </c>
      <c r="E952" s="3">
        <v>1</v>
      </c>
      <c r="F952" s="3">
        <v>1</v>
      </c>
      <c r="G952">
        <v>0</v>
      </c>
    </row>
    <row r="953" spans="1:7" x14ac:dyDescent="0.25">
      <c r="A953" s="111" t="str">
        <f t="shared" si="14"/>
        <v>JDH4-02-007-PR-3056</v>
      </c>
      <c r="B953" t="s">
        <v>1528</v>
      </c>
      <c r="C953" t="s">
        <v>1529</v>
      </c>
      <c r="D953" s="1">
        <v>0</v>
      </c>
      <c r="E953" s="3">
        <v>1</v>
      </c>
      <c r="F953" s="3">
        <v>1</v>
      </c>
      <c r="G953">
        <v>0</v>
      </c>
    </row>
    <row r="954" spans="1:7" x14ac:dyDescent="0.25">
      <c r="A954" s="111" t="str">
        <f t="shared" si="14"/>
        <v>JDH4-02-007-PR-3057</v>
      </c>
      <c r="B954" t="s">
        <v>1530</v>
      </c>
      <c r="C954" t="s">
        <v>1531</v>
      </c>
      <c r="D954" s="1">
        <v>0</v>
      </c>
      <c r="E954" s="3">
        <v>1</v>
      </c>
      <c r="F954" s="3">
        <v>1</v>
      </c>
      <c r="G954">
        <v>0</v>
      </c>
    </row>
    <row r="955" spans="1:7" x14ac:dyDescent="0.25">
      <c r="A955" s="111" t="str">
        <f t="shared" si="14"/>
        <v>JDH4-02-007-PR-3058</v>
      </c>
      <c r="B955" t="s">
        <v>1532</v>
      </c>
      <c r="C955" t="s">
        <v>1533</v>
      </c>
      <c r="D955" s="1">
        <v>0</v>
      </c>
      <c r="E955" s="3">
        <v>1</v>
      </c>
      <c r="F955" s="3">
        <v>1</v>
      </c>
      <c r="G955">
        <v>0</v>
      </c>
    </row>
    <row r="956" spans="1:7" x14ac:dyDescent="0.25">
      <c r="A956" s="111" t="str">
        <f t="shared" si="14"/>
        <v>JDH4-02-007-PR-3059</v>
      </c>
      <c r="B956" t="s">
        <v>1534</v>
      </c>
      <c r="C956" t="s">
        <v>1535</v>
      </c>
      <c r="D956" s="1">
        <v>0</v>
      </c>
      <c r="E956" s="3">
        <v>1</v>
      </c>
      <c r="F956" s="3">
        <v>1</v>
      </c>
      <c r="G956">
        <v>0</v>
      </c>
    </row>
    <row r="957" spans="1:7" x14ac:dyDescent="0.25">
      <c r="A957" s="111" t="str">
        <f t="shared" si="14"/>
        <v>JDH4-02-007-PR-3060</v>
      </c>
      <c r="B957" t="s">
        <v>1536</v>
      </c>
      <c r="C957" t="s">
        <v>1537</v>
      </c>
      <c r="D957" s="1">
        <v>0</v>
      </c>
      <c r="E957" s="3">
        <v>1</v>
      </c>
      <c r="F957" s="3">
        <v>1</v>
      </c>
      <c r="G957">
        <v>0</v>
      </c>
    </row>
    <row r="958" spans="1:7" x14ac:dyDescent="0.25">
      <c r="A958" s="111" t="str">
        <f t="shared" si="14"/>
        <v>JDH4-02-007-PR-3080</v>
      </c>
      <c r="B958" t="s">
        <v>1538</v>
      </c>
      <c r="C958" t="s">
        <v>1539</v>
      </c>
      <c r="D958" s="1">
        <v>179076.09</v>
      </c>
      <c r="E958" s="3">
        <v>1</v>
      </c>
      <c r="F958" s="3">
        <v>1</v>
      </c>
      <c r="G958" s="1">
        <v>179076.09</v>
      </c>
    </row>
    <row r="959" spans="1:7" x14ac:dyDescent="0.25">
      <c r="A959" s="111" t="str">
        <f t="shared" si="14"/>
        <v>JDH4-02-007-PR-3100</v>
      </c>
      <c r="B959" t="s">
        <v>1540</v>
      </c>
      <c r="C959" t="s">
        <v>1541</v>
      </c>
      <c r="D959" s="1">
        <v>0</v>
      </c>
      <c r="E959" s="3">
        <v>1</v>
      </c>
      <c r="F959" s="3">
        <v>1</v>
      </c>
      <c r="G959">
        <v>0</v>
      </c>
    </row>
    <row r="960" spans="1:7" x14ac:dyDescent="0.25">
      <c r="A960" s="111" t="str">
        <f t="shared" si="14"/>
        <v>Programmable Logic Controllers</v>
      </c>
      <c r="B960" t="s">
        <v>1542</v>
      </c>
      <c r="D960" s="1">
        <v>179076.09</v>
      </c>
      <c r="E960" s="3"/>
      <c r="F960" s="3">
        <v>1</v>
      </c>
      <c r="G960" s="1">
        <v>179076.09</v>
      </c>
    </row>
    <row r="961" spans="1:7" x14ac:dyDescent="0.25">
      <c r="A961" s="111" t="str">
        <f t="shared" si="14"/>
        <v>JDH4-02-007-PR-3120</v>
      </c>
      <c r="B961" t="s">
        <v>1543</v>
      </c>
      <c r="C961" t="s">
        <v>1544</v>
      </c>
      <c r="D961" s="1">
        <v>0</v>
      </c>
      <c r="E961" s="3">
        <v>1</v>
      </c>
      <c r="F961" s="3">
        <v>1</v>
      </c>
      <c r="G961">
        <v>0</v>
      </c>
    </row>
    <row r="962" spans="1:7" x14ac:dyDescent="0.25">
      <c r="A962" s="111" t="str">
        <f t="shared" si="14"/>
        <v>JDH4-02-007-PR-3125</v>
      </c>
      <c r="B962" t="s">
        <v>1545</v>
      </c>
      <c r="C962" t="s">
        <v>1546</v>
      </c>
      <c r="D962" s="1">
        <v>0</v>
      </c>
      <c r="E962" s="3">
        <v>1</v>
      </c>
      <c r="F962" s="3">
        <v>1</v>
      </c>
      <c r="G962">
        <v>0</v>
      </c>
    </row>
    <row r="963" spans="1:7" x14ac:dyDescent="0.25">
      <c r="A963" s="111" t="str">
        <f t="shared" si="14"/>
        <v>JDH4-02-007-PR-3126</v>
      </c>
      <c r="B963" t="s">
        <v>1547</v>
      </c>
      <c r="C963" t="s">
        <v>1548</v>
      </c>
      <c r="D963" s="1">
        <v>0</v>
      </c>
      <c r="E963" s="3">
        <v>1</v>
      </c>
      <c r="F963" s="3">
        <v>1</v>
      </c>
      <c r="G963">
        <v>0</v>
      </c>
    </row>
    <row r="964" spans="1:7" x14ac:dyDescent="0.25">
      <c r="A964" s="111" t="str">
        <f t="shared" ref="A964:A1027" si="15">TRIM(B964)</f>
        <v>JDH4-02-007-PR-3127</v>
      </c>
      <c r="B964" t="s">
        <v>1549</v>
      </c>
      <c r="C964" t="s">
        <v>1550</v>
      </c>
      <c r="D964" s="1">
        <v>0</v>
      </c>
      <c r="E964" s="3">
        <v>1</v>
      </c>
      <c r="F964" s="3">
        <v>1</v>
      </c>
      <c r="G964">
        <v>0</v>
      </c>
    </row>
    <row r="965" spans="1:7" x14ac:dyDescent="0.25">
      <c r="A965" s="111" t="str">
        <f t="shared" si="15"/>
        <v>JDH4-02-007-PR-3130</v>
      </c>
      <c r="B965" t="s">
        <v>1555</v>
      </c>
      <c r="C965" t="s">
        <v>1556</v>
      </c>
      <c r="D965" s="1">
        <v>0</v>
      </c>
      <c r="E965" s="3">
        <v>1</v>
      </c>
      <c r="F965" s="3">
        <v>1</v>
      </c>
      <c r="G965">
        <v>0</v>
      </c>
    </row>
    <row r="966" spans="1:7" x14ac:dyDescent="0.25">
      <c r="A966" s="111" t="str">
        <f t="shared" si="15"/>
        <v>JDH4-02-007-PR-3129</v>
      </c>
      <c r="B966" t="s">
        <v>1553</v>
      </c>
      <c r="C966" t="s">
        <v>1554</v>
      </c>
      <c r="D966" s="1">
        <v>0</v>
      </c>
      <c r="E966" s="3">
        <v>1</v>
      </c>
      <c r="F966" s="3">
        <v>1</v>
      </c>
      <c r="G966">
        <v>0</v>
      </c>
    </row>
    <row r="967" spans="1:7" x14ac:dyDescent="0.25">
      <c r="A967" s="111" t="str">
        <f t="shared" si="15"/>
        <v>JDH4-02-007-PR-3128</v>
      </c>
      <c r="B967" t="s">
        <v>1551</v>
      </c>
      <c r="C967" t="s">
        <v>1552</v>
      </c>
      <c r="D967" s="1">
        <v>0</v>
      </c>
      <c r="E967" s="3">
        <v>1</v>
      </c>
      <c r="F967" s="3">
        <v>1</v>
      </c>
      <c r="G967">
        <v>0</v>
      </c>
    </row>
    <row r="968" spans="1:7" x14ac:dyDescent="0.25">
      <c r="A968" s="111" t="str">
        <f t="shared" si="15"/>
        <v>JDH4-02-007-PR-3140</v>
      </c>
      <c r="B968" t="s">
        <v>1557</v>
      </c>
      <c r="C968" t="s">
        <v>1558</v>
      </c>
      <c r="D968" s="1">
        <v>179076.09</v>
      </c>
      <c r="E968" s="3">
        <v>1</v>
      </c>
      <c r="F968" s="3">
        <v>1</v>
      </c>
      <c r="G968" s="1">
        <v>179076.09</v>
      </c>
    </row>
    <row r="969" spans="1:7" x14ac:dyDescent="0.25">
      <c r="A969" s="111" t="str">
        <f t="shared" si="15"/>
        <v>JDH4-02-007-PR-3150</v>
      </c>
      <c r="B969" t="s">
        <v>1559</v>
      </c>
      <c r="C969" t="s">
        <v>1560</v>
      </c>
      <c r="D969" s="1">
        <v>0</v>
      </c>
      <c r="E969" s="3">
        <v>1</v>
      </c>
      <c r="F969" s="3">
        <v>1</v>
      </c>
      <c r="G969">
        <v>0</v>
      </c>
    </row>
    <row r="970" spans="1:7" x14ac:dyDescent="0.25">
      <c r="A970" s="111" t="str">
        <f t="shared" si="15"/>
        <v>Process Control Wiring</v>
      </c>
      <c r="B970" t="s">
        <v>1561</v>
      </c>
      <c r="D970" s="1">
        <v>179076.09</v>
      </c>
      <c r="E970" s="3"/>
      <c r="F970" s="3">
        <v>1</v>
      </c>
      <c r="G970" s="1">
        <v>179076.09</v>
      </c>
    </row>
    <row r="971" spans="1:7" x14ac:dyDescent="0.25">
      <c r="A971" s="111" t="str">
        <f t="shared" si="15"/>
        <v>JDH4-02-007-PR-3050</v>
      </c>
      <c r="B971" t="s">
        <v>1562</v>
      </c>
      <c r="C971" t="s">
        <v>1563</v>
      </c>
      <c r="D971" s="1">
        <v>0</v>
      </c>
      <c r="E971" s="3">
        <v>1</v>
      </c>
      <c r="F971" s="3">
        <v>1</v>
      </c>
      <c r="G971" s="1">
        <v>0</v>
      </c>
    </row>
    <row r="972" spans="1:7" x14ac:dyDescent="0.25">
      <c r="A972" s="111" t="str">
        <f t="shared" si="15"/>
        <v>JDH4-02-007-PR-3067</v>
      </c>
      <c r="B972" t="s">
        <v>1564</v>
      </c>
      <c r="C972" t="s">
        <v>1565</v>
      </c>
      <c r="D972" s="1">
        <v>0</v>
      </c>
      <c r="E972" s="3">
        <v>1</v>
      </c>
      <c r="F972" s="3">
        <v>1</v>
      </c>
      <c r="G972" s="1">
        <v>0</v>
      </c>
    </row>
    <row r="973" spans="1:7" x14ac:dyDescent="0.25">
      <c r="A973" s="111" t="str">
        <f t="shared" si="15"/>
        <v>JDH4-02-007-PR-3068</v>
      </c>
      <c r="B973" t="s">
        <v>1566</v>
      </c>
      <c r="C973" t="s">
        <v>1567</v>
      </c>
      <c r="D973" s="1">
        <v>0</v>
      </c>
      <c r="E973" s="3">
        <v>1</v>
      </c>
      <c r="F973" s="3">
        <v>1</v>
      </c>
      <c r="G973" s="1">
        <v>0</v>
      </c>
    </row>
    <row r="974" spans="1:7" x14ac:dyDescent="0.25">
      <c r="A974" s="111" t="str">
        <f t="shared" si="15"/>
        <v>JDH4-02-007-PR-3069</v>
      </c>
      <c r="B974" t="s">
        <v>1568</v>
      </c>
      <c r="C974" t="s">
        <v>1569</v>
      </c>
      <c r="D974" s="1">
        <v>0</v>
      </c>
      <c r="E974" s="3">
        <v>1</v>
      </c>
      <c r="F974" s="3">
        <v>1</v>
      </c>
      <c r="G974" s="1">
        <v>0</v>
      </c>
    </row>
    <row r="975" spans="1:7" x14ac:dyDescent="0.25">
      <c r="A975" s="111" t="str">
        <f t="shared" si="15"/>
        <v>JDH4-02-007-PR-3070</v>
      </c>
      <c r="B975" t="s">
        <v>1570</v>
      </c>
      <c r="C975" t="s">
        <v>1571</v>
      </c>
      <c r="D975" s="1">
        <v>0</v>
      </c>
      <c r="E975" s="3">
        <v>1</v>
      </c>
      <c r="F975" s="3">
        <v>1</v>
      </c>
      <c r="G975">
        <v>0</v>
      </c>
    </row>
    <row r="976" spans="1:7" x14ac:dyDescent="0.25">
      <c r="A976" s="111" t="str">
        <f t="shared" si="15"/>
        <v>JDH4-02-007-PR-3090</v>
      </c>
      <c r="B976" t="s">
        <v>1572</v>
      </c>
      <c r="C976" t="s">
        <v>1573</v>
      </c>
      <c r="D976" s="1">
        <v>179076.09</v>
      </c>
      <c r="E976" s="3">
        <v>1</v>
      </c>
      <c r="F976" s="3">
        <v>1</v>
      </c>
      <c r="G976" s="1">
        <v>179076.09</v>
      </c>
    </row>
    <row r="977" spans="1:7" x14ac:dyDescent="0.25">
      <c r="A977" s="111" t="str">
        <f t="shared" si="15"/>
        <v>JDH4-02-007-PR-3110</v>
      </c>
      <c r="B977" t="s">
        <v>1574</v>
      </c>
      <c r="C977" t="s">
        <v>1575</v>
      </c>
      <c r="D977" s="1">
        <v>0</v>
      </c>
      <c r="E977" s="3">
        <v>1</v>
      </c>
      <c r="F977" s="3">
        <v>1</v>
      </c>
      <c r="G977">
        <v>0</v>
      </c>
    </row>
    <row r="978" spans="1:7" x14ac:dyDescent="0.25">
      <c r="A978" s="111" t="str">
        <f t="shared" si="15"/>
        <v>Instrumentation for Process Systems</v>
      </c>
      <c r="B978" t="s">
        <v>1576</v>
      </c>
      <c r="D978" s="1">
        <v>179076.09</v>
      </c>
      <c r="E978" s="3"/>
      <c r="F978" s="3">
        <v>1</v>
      </c>
      <c r="G978" s="1">
        <v>179076.09</v>
      </c>
    </row>
    <row r="979" spans="1:7" x14ac:dyDescent="0.25">
      <c r="A979" s="111" t="str">
        <f t="shared" si="15"/>
        <v>JDH4-02-007-PR-3000</v>
      </c>
      <c r="B979" t="s">
        <v>1577</v>
      </c>
      <c r="C979" t="s">
        <v>1578</v>
      </c>
      <c r="D979" s="1">
        <v>0</v>
      </c>
      <c r="E979" s="3">
        <v>1</v>
      </c>
      <c r="F979" s="3">
        <v>1</v>
      </c>
      <c r="G979" s="1">
        <v>0</v>
      </c>
    </row>
    <row r="980" spans="1:7" x14ac:dyDescent="0.25">
      <c r="A980" s="111" t="str">
        <f t="shared" si="15"/>
        <v>JDH4-02-007-PR-3005</v>
      </c>
      <c r="B980" t="s">
        <v>1579</v>
      </c>
      <c r="C980" t="s">
        <v>1580</v>
      </c>
      <c r="D980" s="1">
        <v>0</v>
      </c>
      <c r="E980" s="3">
        <v>1</v>
      </c>
      <c r="F980" s="3">
        <v>1</v>
      </c>
      <c r="G980" s="1">
        <v>0</v>
      </c>
    </row>
    <row r="981" spans="1:7" x14ac:dyDescent="0.25">
      <c r="A981" s="111" t="str">
        <f t="shared" si="15"/>
        <v>JDH4-02-007-PR-3006</v>
      </c>
      <c r="B981" t="s">
        <v>1581</v>
      </c>
      <c r="C981" t="s">
        <v>1582</v>
      </c>
      <c r="D981" s="1">
        <v>0</v>
      </c>
      <c r="E981" s="3">
        <v>1</v>
      </c>
      <c r="F981" s="3">
        <v>1</v>
      </c>
      <c r="G981" s="1">
        <v>0</v>
      </c>
    </row>
    <row r="982" spans="1:7" x14ac:dyDescent="0.25">
      <c r="A982" s="111" t="str">
        <f t="shared" si="15"/>
        <v>JDH4-02-007-PR-3007</v>
      </c>
      <c r="B982" t="s">
        <v>1583</v>
      </c>
      <c r="C982" t="s">
        <v>1584</v>
      </c>
      <c r="D982" s="1">
        <v>0</v>
      </c>
      <c r="E982" s="3">
        <v>1</v>
      </c>
      <c r="F982" s="3">
        <v>1</v>
      </c>
      <c r="G982" s="1">
        <v>0</v>
      </c>
    </row>
    <row r="983" spans="1:7" x14ac:dyDescent="0.25">
      <c r="A983" s="111" t="str">
        <f t="shared" si="15"/>
        <v>JDH4-02-007-PR-3010</v>
      </c>
      <c r="B983" t="s">
        <v>1589</v>
      </c>
      <c r="C983" t="s">
        <v>1590</v>
      </c>
      <c r="D983" s="1">
        <v>0</v>
      </c>
      <c r="E983" s="3">
        <v>1</v>
      </c>
      <c r="F983" s="3">
        <v>1</v>
      </c>
      <c r="G983" s="1">
        <v>0</v>
      </c>
    </row>
    <row r="984" spans="1:7" x14ac:dyDescent="0.25">
      <c r="A984" s="111" t="str">
        <f t="shared" si="15"/>
        <v>JDH4-02-007-PR-3009</v>
      </c>
      <c r="B984" t="s">
        <v>1587</v>
      </c>
      <c r="C984" t="s">
        <v>1588</v>
      </c>
      <c r="D984" s="1">
        <v>0</v>
      </c>
      <c r="E984" s="3">
        <v>1</v>
      </c>
      <c r="F984" s="3">
        <v>1</v>
      </c>
      <c r="G984" s="1">
        <v>0</v>
      </c>
    </row>
    <row r="985" spans="1:7" x14ac:dyDescent="0.25">
      <c r="A985" s="111" t="str">
        <f t="shared" si="15"/>
        <v>JDH4-02-007-PR-3008</v>
      </c>
      <c r="B985" t="s">
        <v>1585</v>
      </c>
      <c r="C985" t="s">
        <v>1586</v>
      </c>
      <c r="D985" s="1">
        <v>0</v>
      </c>
      <c r="E985" s="3">
        <v>1</v>
      </c>
      <c r="F985" s="3">
        <v>1</v>
      </c>
      <c r="G985" s="1">
        <v>0</v>
      </c>
    </row>
    <row r="986" spans="1:7" x14ac:dyDescent="0.25">
      <c r="A986" s="111" t="str">
        <f t="shared" si="15"/>
        <v>JDH4-02-007-PR-3020</v>
      </c>
      <c r="B986" t="s">
        <v>1591</v>
      </c>
      <c r="C986" t="s">
        <v>1592</v>
      </c>
      <c r="D986" s="1">
        <v>179076.09</v>
      </c>
      <c r="E986" s="3">
        <v>1</v>
      </c>
      <c r="F986" s="3">
        <v>1</v>
      </c>
      <c r="G986" s="1">
        <v>179076.09</v>
      </c>
    </row>
    <row r="987" spans="1:7" x14ac:dyDescent="0.25">
      <c r="A987" s="111" t="str">
        <f t="shared" si="15"/>
        <v>JDH4-02-007-PR-3030</v>
      </c>
      <c r="B987" t="s">
        <v>1593</v>
      </c>
      <c r="C987" t="s">
        <v>1594</v>
      </c>
      <c r="D987" s="1">
        <v>0</v>
      </c>
      <c r="E987" s="3">
        <v>1</v>
      </c>
      <c r="F987" s="3">
        <v>1</v>
      </c>
      <c r="G987" s="1">
        <v>0</v>
      </c>
    </row>
    <row r="988" spans="1:7" x14ac:dyDescent="0.25">
      <c r="A988" s="111" t="str">
        <f t="shared" si="15"/>
        <v>Construction</v>
      </c>
      <c r="B988" t="s">
        <v>1595</v>
      </c>
      <c r="D988" s="1">
        <v>38393913.07</v>
      </c>
      <c r="E988" s="3"/>
      <c r="F988" s="3">
        <v>0.94379999999999997</v>
      </c>
      <c r="G988" s="1">
        <v>36236320.310000002</v>
      </c>
    </row>
    <row r="989" spans="1:7" x14ac:dyDescent="0.25">
      <c r="A989" s="111" t="str">
        <f t="shared" si="15"/>
        <v>Demolition Works</v>
      </c>
      <c r="B989" t="s">
        <v>1596</v>
      </c>
      <c r="D989" s="1">
        <v>505616.54</v>
      </c>
      <c r="E989" s="3"/>
      <c r="F989" s="3">
        <v>1</v>
      </c>
      <c r="G989" s="1">
        <v>505616.54</v>
      </c>
    </row>
    <row r="990" spans="1:7" x14ac:dyDescent="0.25">
      <c r="A990" s="111" t="str">
        <f t="shared" si="15"/>
        <v>Demolition in Road network</v>
      </c>
      <c r="B990" t="s">
        <v>1597</v>
      </c>
      <c r="D990" s="1">
        <v>127411.78</v>
      </c>
      <c r="E990" s="3"/>
      <c r="F990" s="3">
        <v>1</v>
      </c>
      <c r="G990" s="1">
        <v>127411.78</v>
      </c>
    </row>
    <row r="991" spans="1:7" x14ac:dyDescent="0.25">
      <c r="A991" s="111" t="str">
        <f t="shared" si="15"/>
        <v>JDH4-02-007-CN-1000</v>
      </c>
      <c r="B991" t="s">
        <v>1598</v>
      </c>
      <c r="C991" t="s">
        <v>1599</v>
      </c>
      <c r="D991" s="1">
        <v>26491.56</v>
      </c>
      <c r="E991" s="3">
        <v>1</v>
      </c>
      <c r="F991" s="3">
        <v>1</v>
      </c>
      <c r="G991" s="1">
        <v>26491.56</v>
      </c>
    </row>
    <row r="992" spans="1:7" x14ac:dyDescent="0.25">
      <c r="A992" s="111" t="str">
        <f t="shared" si="15"/>
        <v>JDH4-02-007-CN-1110</v>
      </c>
      <c r="B992" t="s">
        <v>1602</v>
      </c>
      <c r="C992" t="s">
        <v>1603</v>
      </c>
      <c r="D992" s="1">
        <v>25230.06</v>
      </c>
      <c r="E992" s="3">
        <v>1</v>
      </c>
      <c r="F992" s="3">
        <v>1</v>
      </c>
      <c r="G992" s="1">
        <v>25230.06</v>
      </c>
    </row>
    <row r="993" spans="1:7" x14ac:dyDescent="0.25">
      <c r="A993" s="111" t="str">
        <f t="shared" si="15"/>
        <v>JDH4-02-007-CN-1080</v>
      </c>
      <c r="B993" t="s">
        <v>1600</v>
      </c>
      <c r="C993" t="s">
        <v>1601</v>
      </c>
      <c r="D993" s="1">
        <v>37845.08</v>
      </c>
      <c r="E993" s="3">
        <v>1</v>
      </c>
      <c r="F993" s="3">
        <v>1</v>
      </c>
      <c r="G993" s="1">
        <v>37845.08</v>
      </c>
    </row>
    <row r="994" spans="1:7" x14ac:dyDescent="0.25">
      <c r="A994" s="111" t="str">
        <f t="shared" si="15"/>
        <v>JDH4-02-007-CN-1170</v>
      </c>
      <c r="B994" t="s">
        <v>1604</v>
      </c>
      <c r="C994" t="s">
        <v>1605</v>
      </c>
      <c r="D994" s="1">
        <v>37845.08</v>
      </c>
      <c r="E994" s="3">
        <v>1</v>
      </c>
      <c r="F994" s="3">
        <v>1</v>
      </c>
      <c r="G994" s="1">
        <v>37845.08</v>
      </c>
    </row>
    <row r="995" spans="1:7" x14ac:dyDescent="0.25">
      <c r="A995" s="111" t="str">
        <f t="shared" si="15"/>
        <v>Demolition in TSE network</v>
      </c>
      <c r="B995" t="s">
        <v>1606</v>
      </c>
      <c r="D995" s="1">
        <v>92720.45</v>
      </c>
      <c r="E995" s="3"/>
      <c r="F995" s="3">
        <v>1</v>
      </c>
      <c r="G995" s="1">
        <v>92720.45</v>
      </c>
    </row>
    <row r="996" spans="1:7" x14ac:dyDescent="0.25">
      <c r="A996" s="111" t="str">
        <f t="shared" si="15"/>
        <v>JDH4-02-007-CN-1480</v>
      </c>
      <c r="B996" t="s">
        <v>1607</v>
      </c>
      <c r="C996" t="s">
        <v>1608</v>
      </c>
      <c r="D996" s="1">
        <v>1892.25</v>
      </c>
      <c r="E996" s="3">
        <v>1</v>
      </c>
      <c r="F996" s="3">
        <v>1</v>
      </c>
      <c r="G996" s="1">
        <v>1892.25</v>
      </c>
    </row>
    <row r="997" spans="1:7" x14ac:dyDescent="0.25">
      <c r="A997" s="111" t="str">
        <f t="shared" si="15"/>
        <v>JDH4-02-007-CN-1560</v>
      </c>
      <c r="B997" t="s">
        <v>1609</v>
      </c>
      <c r="C997" t="s">
        <v>1610</v>
      </c>
      <c r="D997" s="1">
        <v>47937.11</v>
      </c>
      <c r="E997" s="3">
        <v>1</v>
      </c>
      <c r="F997" s="3">
        <v>1</v>
      </c>
      <c r="G997" s="1">
        <v>47937.11</v>
      </c>
    </row>
    <row r="998" spans="1:7" x14ac:dyDescent="0.25">
      <c r="A998" s="111" t="str">
        <f t="shared" si="15"/>
        <v>JDH4-02-007-CN-1610</v>
      </c>
      <c r="B998" t="s">
        <v>1613</v>
      </c>
      <c r="C998" t="s">
        <v>1614</v>
      </c>
      <c r="D998" s="1">
        <v>20184.04</v>
      </c>
      <c r="E998" s="3">
        <v>1</v>
      </c>
      <c r="F998" s="3">
        <v>1</v>
      </c>
      <c r="G998" s="1">
        <v>20184.04</v>
      </c>
    </row>
    <row r="999" spans="1:7" x14ac:dyDescent="0.25">
      <c r="A999" s="111" t="str">
        <f t="shared" si="15"/>
        <v>JDH4-02-007-CN-1620</v>
      </c>
      <c r="B999" t="s">
        <v>1615</v>
      </c>
      <c r="C999" t="s">
        <v>1616</v>
      </c>
      <c r="D999" s="1">
        <v>3784.51</v>
      </c>
      <c r="E999" s="3">
        <v>1</v>
      </c>
      <c r="F999" s="3">
        <v>1</v>
      </c>
      <c r="G999" s="1">
        <v>3784.51</v>
      </c>
    </row>
    <row r="1000" spans="1:7" x14ac:dyDescent="0.25">
      <c r="A1000" s="111" t="str">
        <f t="shared" si="15"/>
        <v>JDH4-02-007-CN-1590</v>
      </c>
      <c r="B1000" t="s">
        <v>1611</v>
      </c>
      <c r="C1000" t="s">
        <v>1612</v>
      </c>
      <c r="D1000" s="1">
        <v>18922.54</v>
      </c>
      <c r="E1000" s="3">
        <v>1</v>
      </c>
      <c r="F1000" s="3">
        <v>1</v>
      </c>
      <c r="G1000" s="1">
        <v>18922.54</v>
      </c>
    </row>
    <row r="1001" spans="1:7" x14ac:dyDescent="0.25">
      <c r="A1001" s="111" t="str">
        <f t="shared" si="15"/>
        <v>Demolition in Storm water network</v>
      </c>
      <c r="B1001" t="s">
        <v>1617</v>
      </c>
      <c r="D1001" s="1">
        <v>56073.8</v>
      </c>
      <c r="E1001" s="3"/>
      <c r="F1001" s="3">
        <v>1</v>
      </c>
      <c r="G1001" s="1">
        <v>56073.8</v>
      </c>
    </row>
    <row r="1002" spans="1:7" x14ac:dyDescent="0.25">
      <c r="A1002" s="111" t="str">
        <f t="shared" si="15"/>
        <v>JDH4-02-007-CN-1670</v>
      </c>
      <c r="B1002" t="s">
        <v>1618</v>
      </c>
      <c r="C1002" t="s">
        <v>1619</v>
      </c>
      <c r="D1002" s="1">
        <v>8830.52</v>
      </c>
      <c r="E1002" s="3">
        <v>1</v>
      </c>
      <c r="F1002" s="3">
        <v>1</v>
      </c>
      <c r="G1002" s="1">
        <v>8830.52</v>
      </c>
    </row>
    <row r="1003" spans="1:7" x14ac:dyDescent="0.25">
      <c r="A1003" s="111" t="str">
        <f t="shared" si="15"/>
        <v>JDH4-02-007-CN-1690</v>
      </c>
      <c r="B1003" t="s">
        <v>1622</v>
      </c>
      <c r="C1003" t="s">
        <v>1623</v>
      </c>
      <c r="D1003" s="1">
        <v>14128.83</v>
      </c>
      <c r="E1003" s="3">
        <v>1</v>
      </c>
      <c r="F1003" s="3">
        <v>1</v>
      </c>
      <c r="G1003" s="1">
        <v>14128.83</v>
      </c>
    </row>
    <row r="1004" spans="1:7" x14ac:dyDescent="0.25">
      <c r="A1004" s="111" t="str">
        <f t="shared" si="15"/>
        <v>JDH4-02-007-CN-1700</v>
      </c>
      <c r="B1004" t="s">
        <v>1624</v>
      </c>
      <c r="C1004" t="s">
        <v>1625</v>
      </c>
      <c r="D1004" s="1">
        <v>14191.91</v>
      </c>
      <c r="E1004" s="3">
        <v>1</v>
      </c>
      <c r="F1004" s="3">
        <v>1</v>
      </c>
      <c r="G1004" s="1">
        <v>14191.91</v>
      </c>
    </row>
    <row r="1005" spans="1:7" x14ac:dyDescent="0.25">
      <c r="A1005" s="111" t="str">
        <f t="shared" si="15"/>
        <v>JDH4-02-007-CN-1680</v>
      </c>
      <c r="B1005" t="s">
        <v>1620</v>
      </c>
      <c r="C1005" t="s">
        <v>1621</v>
      </c>
      <c r="D1005" s="1">
        <v>18922.54</v>
      </c>
      <c r="E1005" s="3">
        <v>1</v>
      </c>
      <c r="F1005" s="3">
        <v>1</v>
      </c>
      <c r="G1005" s="1">
        <v>18922.54</v>
      </c>
    </row>
    <row r="1006" spans="1:7" x14ac:dyDescent="0.25">
      <c r="A1006" s="111" t="str">
        <f t="shared" si="15"/>
        <v>Demolition in Sewerage network</v>
      </c>
      <c r="B1006" t="s">
        <v>1626</v>
      </c>
      <c r="D1006" s="1">
        <v>93225.07</v>
      </c>
      <c r="E1006" s="3"/>
      <c r="F1006" s="3">
        <v>1</v>
      </c>
      <c r="G1006" s="1">
        <v>93225.07</v>
      </c>
    </row>
    <row r="1007" spans="1:7" x14ac:dyDescent="0.25">
      <c r="A1007" s="111" t="str">
        <f t="shared" si="15"/>
        <v>JDH4-02-007-CN-1630</v>
      </c>
      <c r="B1007" t="s">
        <v>1627</v>
      </c>
      <c r="C1007" t="s">
        <v>1628</v>
      </c>
      <c r="D1007" s="1">
        <v>26491.56</v>
      </c>
      <c r="E1007" s="3">
        <v>1</v>
      </c>
      <c r="F1007" s="3">
        <v>1</v>
      </c>
      <c r="G1007" s="1">
        <v>26491.56</v>
      </c>
    </row>
    <row r="1008" spans="1:7" x14ac:dyDescent="0.25">
      <c r="A1008" s="111" t="str">
        <f t="shared" si="15"/>
        <v>JDH4-02-007-CN-1640</v>
      </c>
      <c r="B1008" t="s">
        <v>1629</v>
      </c>
      <c r="C1008" t="s">
        <v>1630</v>
      </c>
      <c r="D1008" s="1">
        <v>38349.69</v>
      </c>
      <c r="E1008" s="3">
        <v>1</v>
      </c>
      <c r="F1008" s="3">
        <v>1</v>
      </c>
      <c r="G1008" s="1">
        <v>38349.69</v>
      </c>
    </row>
    <row r="1009" spans="1:7" x14ac:dyDescent="0.25">
      <c r="A1009" s="111" t="str">
        <f t="shared" si="15"/>
        <v>JDH4-02-007-CN-1650</v>
      </c>
      <c r="B1009" t="s">
        <v>1631</v>
      </c>
      <c r="C1009" t="s">
        <v>1632</v>
      </c>
      <c r="D1009" s="1">
        <v>12615.03</v>
      </c>
      <c r="E1009" s="3">
        <v>1</v>
      </c>
      <c r="F1009" s="3">
        <v>1</v>
      </c>
      <c r="G1009" s="1">
        <v>12615.03</v>
      </c>
    </row>
    <row r="1010" spans="1:7" x14ac:dyDescent="0.25">
      <c r="A1010" s="111" t="str">
        <f t="shared" si="15"/>
        <v>JDH4-02-007-CN-1660</v>
      </c>
      <c r="B1010" t="s">
        <v>1633</v>
      </c>
      <c r="C1010" t="s">
        <v>1634</v>
      </c>
      <c r="D1010" s="1">
        <v>15768.79</v>
      </c>
      <c r="E1010" s="3">
        <v>1</v>
      </c>
      <c r="F1010" s="3">
        <v>1</v>
      </c>
      <c r="G1010" s="1">
        <v>15768.79</v>
      </c>
    </row>
    <row r="1011" spans="1:7" x14ac:dyDescent="0.25">
      <c r="A1011" s="111" t="str">
        <f t="shared" si="15"/>
        <v>Demolition in Potable water network</v>
      </c>
      <c r="B1011" t="s">
        <v>1635</v>
      </c>
      <c r="D1011" s="1">
        <v>46990.99</v>
      </c>
      <c r="E1011" s="3"/>
      <c r="F1011" s="3">
        <v>1</v>
      </c>
      <c r="G1011" s="1">
        <v>46990.99</v>
      </c>
    </row>
    <row r="1012" spans="1:7" x14ac:dyDescent="0.25">
      <c r="A1012" s="111" t="str">
        <f t="shared" si="15"/>
        <v>JDH4-02-007-CN-1340</v>
      </c>
      <c r="B1012" t="s">
        <v>1636</v>
      </c>
      <c r="C1012" t="s">
        <v>1637</v>
      </c>
      <c r="D1012" s="1">
        <v>15768.79</v>
      </c>
      <c r="E1012" s="3">
        <v>1</v>
      </c>
      <c r="F1012" s="3">
        <v>1</v>
      </c>
      <c r="G1012" s="1">
        <v>15768.79</v>
      </c>
    </row>
    <row r="1013" spans="1:7" x14ac:dyDescent="0.25">
      <c r="A1013" s="111" t="str">
        <f t="shared" si="15"/>
        <v>JDH4-02-007-CN-1400</v>
      </c>
      <c r="B1013" t="s">
        <v>1638</v>
      </c>
      <c r="C1013" t="s">
        <v>1639</v>
      </c>
      <c r="D1013" s="1">
        <v>15453.41</v>
      </c>
      <c r="E1013" s="3">
        <v>1</v>
      </c>
      <c r="F1013" s="3">
        <v>1</v>
      </c>
      <c r="G1013" s="1">
        <v>15453.41</v>
      </c>
    </row>
    <row r="1014" spans="1:7" x14ac:dyDescent="0.25">
      <c r="A1014" s="111" t="str">
        <f t="shared" si="15"/>
        <v>JDH4-02-007-CN-1430</v>
      </c>
      <c r="B1014" t="s">
        <v>1640</v>
      </c>
      <c r="C1014" t="s">
        <v>1641</v>
      </c>
      <c r="D1014" s="1">
        <v>15768.79</v>
      </c>
      <c r="E1014" s="3">
        <v>1</v>
      </c>
      <c r="F1014" s="3">
        <v>1</v>
      </c>
      <c r="G1014" s="1">
        <v>15768.79</v>
      </c>
    </row>
    <row r="1015" spans="1:7" x14ac:dyDescent="0.25">
      <c r="A1015" s="111" t="str">
        <f t="shared" si="15"/>
        <v>Demolition in Electrical works</v>
      </c>
      <c r="B1015" t="s">
        <v>1642</v>
      </c>
      <c r="D1015" s="1">
        <v>89194.45</v>
      </c>
      <c r="F1015" s="3">
        <v>1</v>
      </c>
      <c r="G1015" s="1">
        <v>89194.45</v>
      </c>
    </row>
    <row r="1016" spans="1:7" x14ac:dyDescent="0.25">
      <c r="A1016" s="111" t="str">
        <f t="shared" si="15"/>
        <v>JDH4-02-007-CN-1250</v>
      </c>
      <c r="B1016" t="s">
        <v>1643</v>
      </c>
      <c r="C1016" t="s">
        <v>4040</v>
      </c>
      <c r="D1016" s="1">
        <v>17002.05</v>
      </c>
      <c r="E1016" s="3">
        <v>1</v>
      </c>
      <c r="F1016" s="3">
        <v>1</v>
      </c>
      <c r="G1016" s="1">
        <v>17002.05</v>
      </c>
    </row>
    <row r="1017" spans="1:7" x14ac:dyDescent="0.25">
      <c r="A1017" s="111" t="str">
        <f t="shared" si="15"/>
        <v>JDH4-02-007-CN-3020</v>
      </c>
      <c r="B1017" t="s">
        <v>1645</v>
      </c>
      <c r="C1017" t="s">
        <v>4041</v>
      </c>
      <c r="D1017" s="1">
        <v>14036.17</v>
      </c>
      <c r="E1017" s="3">
        <v>1</v>
      </c>
      <c r="F1017" s="3">
        <v>1</v>
      </c>
      <c r="G1017" s="1">
        <v>14036.17</v>
      </c>
    </row>
    <row r="1018" spans="1:7" x14ac:dyDescent="0.25">
      <c r="A1018" s="111" t="str">
        <f t="shared" si="15"/>
        <v>JDH4-02-007-CN-3020R</v>
      </c>
      <c r="B1018" t="s">
        <v>4042</v>
      </c>
      <c r="C1018" t="s">
        <v>1646</v>
      </c>
      <c r="D1018" s="1">
        <v>27536.54</v>
      </c>
      <c r="E1018" s="3">
        <v>1</v>
      </c>
      <c r="F1018" s="3">
        <v>1</v>
      </c>
      <c r="G1018" s="1">
        <v>27536.54</v>
      </c>
    </row>
    <row r="1019" spans="1:7" x14ac:dyDescent="0.25">
      <c r="A1019" s="111" t="str">
        <f t="shared" si="15"/>
        <v>JDH4-02-007-CN-1250R</v>
      </c>
      <c r="B1019" t="s">
        <v>4043</v>
      </c>
      <c r="C1019" t="s">
        <v>1644</v>
      </c>
      <c r="D1019" s="1">
        <v>3812.75</v>
      </c>
      <c r="E1019" s="3">
        <v>1</v>
      </c>
      <c r="F1019" s="3">
        <v>1</v>
      </c>
      <c r="G1019" s="1">
        <v>3812.75</v>
      </c>
    </row>
    <row r="1020" spans="1:7" x14ac:dyDescent="0.25">
      <c r="A1020" s="111" t="str">
        <f t="shared" si="15"/>
        <v>JDH4-02-007-CN-3040</v>
      </c>
      <c r="B1020" t="s">
        <v>1649</v>
      </c>
      <c r="C1020" t="s">
        <v>1650</v>
      </c>
      <c r="D1020" s="1">
        <v>12615.03</v>
      </c>
      <c r="E1020" s="3">
        <v>1</v>
      </c>
      <c r="F1020" s="3">
        <v>1</v>
      </c>
      <c r="G1020" s="1">
        <v>12615.03</v>
      </c>
    </row>
    <row r="1021" spans="1:7" x14ac:dyDescent="0.25">
      <c r="A1021" s="111" t="str">
        <f t="shared" si="15"/>
        <v>JDH4-02-007-CN-3030</v>
      </c>
      <c r="B1021" t="s">
        <v>1647</v>
      </c>
      <c r="C1021" t="s">
        <v>1648</v>
      </c>
      <c r="D1021" s="1">
        <v>4730.6400000000003</v>
      </c>
      <c r="E1021" s="3">
        <v>1</v>
      </c>
      <c r="F1021" s="3">
        <v>1</v>
      </c>
      <c r="G1021" s="1">
        <v>4730.6400000000003</v>
      </c>
    </row>
    <row r="1022" spans="1:7" x14ac:dyDescent="0.25">
      <c r="A1022" s="111" t="str">
        <f t="shared" si="15"/>
        <v>JDH4-02-007-CN-3050</v>
      </c>
      <c r="B1022" t="s">
        <v>1651</v>
      </c>
      <c r="C1022" t="s">
        <v>1652</v>
      </c>
      <c r="D1022" s="1">
        <v>9461.27</v>
      </c>
      <c r="E1022" s="3">
        <v>1</v>
      </c>
      <c r="F1022" s="3">
        <v>1</v>
      </c>
      <c r="G1022" s="1">
        <v>9461.27</v>
      </c>
    </row>
    <row r="1023" spans="1:7" x14ac:dyDescent="0.25">
      <c r="A1023" s="111" t="str">
        <f t="shared" si="15"/>
        <v>Plots</v>
      </c>
      <c r="B1023" t="s">
        <v>1653</v>
      </c>
      <c r="D1023" s="1">
        <v>4337407.5199999996</v>
      </c>
      <c r="E1023" s="3"/>
      <c r="F1023" s="3">
        <v>1</v>
      </c>
      <c r="G1023" s="1">
        <v>4337407.5199999996</v>
      </c>
    </row>
    <row r="1024" spans="1:7" x14ac:dyDescent="0.25">
      <c r="A1024" s="111" t="str">
        <f t="shared" si="15"/>
        <v>Excavation</v>
      </c>
      <c r="B1024" t="s">
        <v>1654</v>
      </c>
      <c r="D1024" s="1">
        <v>282577.06</v>
      </c>
      <c r="E1024" s="3"/>
      <c r="F1024" s="3">
        <v>1</v>
      </c>
      <c r="G1024" s="1">
        <v>282577.06</v>
      </c>
    </row>
    <row r="1025" spans="1:7" x14ac:dyDescent="0.25">
      <c r="A1025" s="111" t="str">
        <f t="shared" si="15"/>
        <v>JDH4-02-007-CN-1760</v>
      </c>
      <c r="B1025" t="s">
        <v>1655</v>
      </c>
      <c r="C1025" t="s">
        <v>1656</v>
      </c>
      <c r="D1025" s="1">
        <v>282577.06</v>
      </c>
      <c r="E1025" s="3">
        <v>1</v>
      </c>
      <c r="F1025" s="3">
        <v>1</v>
      </c>
      <c r="G1025" s="1">
        <v>282577.06</v>
      </c>
    </row>
    <row r="1026" spans="1:7" x14ac:dyDescent="0.25">
      <c r="A1026" s="111" t="str">
        <f t="shared" si="15"/>
        <v>Backfilling</v>
      </c>
      <c r="B1026" t="s">
        <v>1657</v>
      </c>
      <c r="D1026" s="1">
        <v>4054830.46</v>
      </c>
      <c r="E1026" s="3"/>
      <c r="F1026" s="3">
        <v>1</v>
      </c>
      <c r="G1026" s="1">
        <v>4054830.46</v>
      </c>
    </row>
    <row r="1027" spans="1:7" x14ac:dyDescent="0.25">
      <c r="A1027" s="111" t="str">
        <f t="shared" si="15"/>
        <v>JDH4-02-007-CN-1820</v>
      </c>
      <c r="B1027" t="s">
        <v>1658</v>
      </c>
      <c r="C1027" t="s">
        <v>1659</v>
      </c>
      <c r="D1027" s="1">
        <v>1013707.62</v>
      </c>
      <c r="E1027" s="3">
        <v>1</v>
      </c>
      <c r="F1027" s="3">
        <v>1</v>
      </c>
      <c r="G1027" s="1">
        <v>1013707.62</v>
      </c>
    </row>
    <row r="1028" spans="1:7" x14ac:dyDescent="0.25">
      <c r="A1028" s="111" t="str">
        <f t="shared" ref="A1028:A1091" si="16">TRIM(B1028)</f>
        <v>JDH4-02-007-CN-1830</v>
      </c>
      <c r="B1028" t="s">
        <v>1660</v>
      </c>
      <c r="C1028" t="s">
        <v>4044</v>
      </c>
      <c r="D1028" s="1">
        <v>709608.44</v>
      </c>
      <c r="E1028" s="3">
        <v>1</v>
      </c>
      <c r="F1028" s="3">
        <v>1</v>
      </c>
      <c r="G1028" s="1">
        <v>709608.44</v>
      </c>
    </row>
    <row r="1029" spans="1:7" x14ac:dyDescent="0.25">
      <c r="A1029" s="111" t="str">
        <f t="shared" si="16"/>
        <v>JDH4-02-007-CN-1840</v>
      </c>
      <c r="B1029" t="s">
        <v>1662</v>
      </c>
      <c r="C1029" t="s">
        <v>4045</v>
      </c>
      <c r="D1029" s="1">
        <v>202739.5</v>
      </c>
      <c r="E1029" s="3">
        <v>1</v>
      </c>
      <c r="F1029" s="3">
        <v>1</v>
      </c>
      <c r="G1029" s="1">
        <v>202739.5</v>
      </c>
    </row>
    <row r="1030" spans="1:7" x14ac:dyDescent="0.25">
      <c r="A1030" s="111" t="str">
        <f t="shared" si="16"/>
        <v>JDH4-02-007-CN-1830R</v>
      </c>
      <c r="B1030" t="s">
        <v>4046</v>
      </c>
      <c r="C1030" t="s">
        <v>1661</v>
      </c>
      <c r="D1030" s="1">
        <v>304109.26</v>
      </c>
      <c r="E1030" s="3">
        <v>1</v>
      </c>
      <c r="F1030" s="3">
        <v>1</v>
      </c>
      <c r="G1030" s="1">
        <v>304109.26</v>
      </c>
    </row>
    <row r="1031" spans="1:7" x14ac:dyDescent="0.25">
      <c r="A1031" s="111" t="str">
        <f t="shared" si="16"/>
        <v>JDH4-02-007-CN-1840R</v>
      </c>
      <c r="B1031" t="s">
        <v>4047</v>
      </c>
      <c r="C1031" t="s">
        <v>1663</v>
      </c>
      <c r="D1031" s="1">
        <v>810958.02</v>
      </c>
      <c r="E1031" s="3">
        <v>1</v>
      </c>
      <c r="F1031" s="3">
        <v>1</v>
      </c>
      <c r="G1031" s="1">
        <v>810958.02</v>
      </c>
    </row>
    <row r="1032" spans="1:7" x14ac:dyDescent="0.25">
      <c r="A1032" s="111" t="str">
        <f t="shared" si="16"/>
        <v>JDH4-02-007-CN-1850</v>
      </c>
      <c r="B1032" t="s">
        <v>1664</v>
      </c>
      <c r="C1032" t="s">
        <v>1665</v>
      </c>
      <c r="D1032" s="1">
        <v>1013707.62</v>
      </c>
      <c r="E1032" s="3">
        <v>1</v>
      </c>
      <c r="F1032" s="3">
        <v>1</v>
      </c>
      <c r="G1032" s="1">
        <v>1013707.62</v>
      </c>
    </row>
    <row r="1033" spans="1:7" x14ac:dyDescent="0.25">
      <c r="A1033" s="111" t="str">
        <f t="shared" si="16"/>
        <v>Roads</v>
      </c>
      <c r="B1033" t="s">
        <v>1672</v>
      </c>
      <c r="D1033" s="1">
        <v>21997203.899999999</v>
      </c>
      <c r="F1033" s="3">
        <v>0.99760000000000004</v>
      </c>
      <c r="G1033" s="1">
        <v>21943757.219999999</v>
      </c>
    </row>
    <row r="1034" spans="1:7" x14ac:dyDescent="0.25">
      <c r="A1034" s="111" t="str">
        <f t="shared" si="16"/>
        <v>Road 04-R</v>
      </c>
      <c r="B1034" t="s">
        <v>1673</v>
      </c>
      <c r="D1034" s="1">
        <v>5772635.7199999997</v>
      </c>
      <c r="E1034" s="3"/>
      <c r="F1034" s="3">
        <v>1</v>
      </c>
      <c r="G1034" s="1">
        <v>5772635.7199999997</v>
      </c>
    </row>
    <row r="1035" spans="1:7" x14ac:dyDescent="0.25">
      <c r="A1035" s="111" t="str">
        <f t="shared" si="16"/>
        <v>Box Culvert</v>
      </c>
      <c r="B1035" t="s">
        <v>1674</v>
      </c>
      <c r="D1035" s="1">
        <v>499735.96</v>
      </c>
      <c r="E1035" s="3"/>
      <c r="F1035" s="3">
        <v>1</v>
      </c>
      <c r="G1035" s="1">
        <v>499735.96</v>
      </c>
    </row>
    <row r="1036" spans="1:7" x14ac:dyDescent="0.25">
      <c r="A1036" s="111" t="str">
        <f t="shared" si="16"/>
        <v>JDH4-02-007-CN-5580</v>
      </c>
      <c r="B1036" t="s">
        <v>1675</v>
      </c>
      <c r="C1036" t="s">
        <v>1676</v>
      </c>
      <c r="D1036" s="1">
        <v>47552.35</v>
      </c>
      <c r="E1036" s="3">
        <v>1</v>
      </c>
      <c r="F1036" s="3">
        <v>1</v>
      </c>
      <c r="G1036" s="1">
        <v>47552.35</v>
      </c>
    </row>
    <row r="1037" spans="1:7" x14ac:dyDescent="0.25">
      <c r="A1037" s="111" t="str">
        <f t="shared" si="16"/>
        <v>JDH4-02-007-CN-5590</v>
      </c>
      <c r="B1037" t="s">
        <v>1677</v>
      </c>
      <c r="C1037" t="s">
        <v>1678</v>
      </c>
      <c r="D1037" s="1">
        <v>30578.83</v>
      </c>
      <c r="E1037" s="3">
        <v>1</v>
      </c>
      <c r="F1037" s="3">
        <v>1</v>
      </c>
      <c r="G1037" s="1">
        <v>30578.83</v>
      </c>
    </row>
    <row r="1038" spans="1:7" x14ac:dyDescent="0.25">
      <c r="A1038" s="111" t="str">
        <f t="shared" si="16"/>
        <v>JDH4-02-007-CN-5600</v>
      </c>
      <c r="B1038" t="s">
        <v>1679</v>
      </c>
      <c r="C1038" t="s">
        <v>1680</v>
      </c>
      <c r="D1038" s="1">
        <v>19679.439999999999</v>
      </c>
      <c r="E1038" s="3">
        <v>1</v>
      </c>
      <c r="F1038" s="3">
        <v>1</v>
      </c>
      <c r="G1038" s="1">
        <v>19679.439999999999</v>
      </c>
    </row>
    <row r="1039" spans="1:7" x14ac:dyDescent="0.25">
      <c r="A1039" s="111" t="str">
        <f t="shared" si="16"/>
        <v>JDH4-02-007-CN-5610</v>
      </c>
      <c r="B1039" t="s">
        <v>1681</v>
      </c>
      <c r="C1039" t="s">
        <v>4048</v>
      </c>
      <c r="D1039" s="1">
        <v>33891.120000000003</v>
      </c>
      <c r="E1039" s="3">
        <v>1</v>
      </c>
      <c r="F1039" s="3">
        <v>1</v>
      </c>
      <c r="G1039" s="1">
        <v>33891.120000000003</v>
      </c>
    </row>
    <row r="1040" spans="1:7" x14ac:dyDescent="0.25">
      <c r="A1040" s="111" t="str">
        <f t="shared" si="16"/>
        <v>JDH4-02-007-CN-5610R</v>
      </c>
      <c r="B1040" t="s">
        <v>4049</v>
      </c>
      <c r="C1040" t="s">
        <v>1682</v>
      </c>
      <c r="D1040" s="1">
        <v>135564.48000000001</v>
      </c>
      <c r="E1040" s="3">
        <v>1</v>
      </c>
      <c r="F1040" s="3">
        <v>1</v>
      </c>
      <c r="G1040" s="1">
        <v>135564.48000000001</v>
      </c>
    </row>
    <row r="1041" spans="1:7" x14ac:dyDescent="0.25">
      <c r="A1041" s="111" t="str">
        <f t="shared" si="16"/>
        <v>JDH4-02-007-CN-5620</v>
      </c>
      <c r="B1041" t="s">
        <v>1683</v>
      </c>
      <c r="C1041" t="s">
        <v>1684</v>
      </c>
      <c r="D1041" s="1">
        <v>232469.74</v>
      </c>
      <c r="E1041" s="3">
        <v>1</v>
      </c>
      <c r="F1041" s="3">
        <v>1</v>
      </c>
      <c r="G1041" s="1">
        <v>232469.74</v>
      </c>
    </row>
    <row r="1042" spans="1:7" x14ac:dyDescent="0.25">
      <c r="A1042" s="111" t="str">
        <f t="shared" si="16"/>
        <v>Road Works + Roundabout</v>
      </c>
      <c r="B1042" t="s">
        <v>1685</v>
      </c>
      <c r="D1042" s="1">
        <v>3655865.47</v>
      </c>
      <c r="E1042" s="3"/>
      <c r="F1042" s="3">
        <v>1</v>
      </c>
      <c r="G1042" s="1">
        <v>3655865.47</v>
      </c>
    </row>
    <row r="1043" spans="1:7" x14ac:dyDescent="0.25">
      <c r="A1043" s="111" t="str">
        <f t="shared" si="16"/>
        <v>Eartworks &amp; Site grading</v>
      </c>
      <c r="B1043" t="s">
        <v>1686</v>
      </c>
      <c r="D1043" s="1">
        <v>1552916.51</v>
      </c>
      <c r="E1043" s="3"/>
      <c r="F1043" s="3">
        <v>1</v>
      </c>
      <c r="G1043" s="1">
        <v>1552916.51</v>
      </c>
    </row>
    <row r="1044" spans="1:7" x14ac:dyDescent="0.25">
      <c r="A1044" s="111" t="str">
        <f t="shared" si="16"/>
        <v>JDH4-02-007-CN-1810</v>
      </c>
      <c r="B1044" t="s">
        <v>1689</v>
      </c>
      <c r="C1044" t="s">
        <v>4050</v>
      </c>
      <c r="D1044" s="1">
        <v>551521.49</v>
      </c>
      <c r="E1044" s="3">
        <v>1</v>
      </c>
      <c r="F1044" s="3">
        <v>1</v>
      </c>
      <c r="G1044" s="1">
        <v>551521.49</v>
      </c>
    </row>
    <row r="1045" spans="1:7" x14ac:dyDescent="0.25">
      <c r="A1045" s="111" t="str">
        <f t="shared" si="16"/>
        <v>JDH4-02-007-CN-1750</v>
      </c>
      <c r="B1045" t="s">
        <v>1687</v>
      </c>
      <c r="C1045" t="s">
        <v>4051</v>
      </c>
      <c r="D1045" s="1">
        <v>14012.87</v>
      </c>
      <c r="E1045" s="3">
        <v>1</v>
      </c>
      <c r="F1045" s="3">
        <v>1</v>
      </c>
      <c r="G1045" s="1">
        <v>14012.87</v>
      </c>
    </row>
    <row r="1046" spans="1:7" x14ac:dyDescent="0.25">
      <c r="A1046" s="111" t="str">
        <f t="shared" si="16"/>
        <v>JDH4-02-007-CN-1810R</v>
      </c>
      <c r="B1046" t="s">
        <v>4052</v>
      </c>
      <c r="C1046" t="s">
        <v>1690</v>
      </c>
      <c r="D1046" s="1">
        <v>827282.24</v>
      </c>
      <c r="E1046" s="3">
        <v>1</v>
      </c>
      <c r="F1046" s="3">
        <v>1</v>
      </c>
      <c r="G1046" s="1">
        <v>827282.24</v>
      </c>
    </row>
    <row r="1047" spans="1:7" x14ac:dyDescent="0.25">
      <c r="A1047" s="111" t="str">
        <f t="shared" si="16"/>
        <v>JDH4-02-007-CN-1750R</v>
      </c>
      <c r="B1047" t="s">
        <v>4053</v>
      </c>
      <c r="C1047" t="s">
        <v>1688</v>
      </c>
      <c r="D1047" s="1">
        <v>21019.3</v>
      </c>
      <c r="E1047" s="2">
        <v>1</v>
      </c>
      <c r="F1047" s="3">
        <v>1</v>
      </c>
      <c r="G1047" s="1">
        <v>21019.3</v>
      </c>
    </row>
    <row r="1048" spans="1:7" x14ac:dyDescent="0.25">
      <c r="A1048" s="111" t="str">
        <f t="shared" si="16"/>
        <v>JDH4-02-007-CN-1930</v>
      </c>
      <c r="B1048" t="s">
        <v>1691</v>
      </c>
      <c r="C1048" t="s">
        <v>1692</v>
      </c>
      <c r="D1048" s="1">
        <v>139080.6</v>
      </c>
      <c r="E1048" s="3">
        <v>1</v>
      </c>
      <c r="F1048" s="3">
        <v>1</v>
      </c>
      <c r="G1048" s="1">
        <v>139080.6</v>
      </c>
    </row>
    <row r="1049" spans="1:7" x14ac:dyDescent="0.25">
      <c r="A1049" s="111" t="str">
        <f t="shared" si="16"/>
        <v>Asphalt Works</v>
      </c>
      <c r="B1049" t="s">
        <v>1693</v>
      </c>
      <c r="D1049" s="1">
        <v>931597.75</v>
      </c>
      <c r="E1049" s="3"/>
      <c r="F1049" s="3">
        <v>1</v>
      </c>
      <c r="G1049" s="1">
        <v>931597.75</v>
      </c>
    </row>
    <row r="1050" spans="1:7" x14ac:dyDescent="0.25">
      <c r="A1050" s="111" t="str">
        <f t="shared" si="16"/>
        <v>JDH4-02-007-CN-1990</v>
      </c>
      <c r="B1050" t="s">
        <v>1694</v>
      </c>
      <c r="C1050" t="s">
        <v>1695</v>
      </c>
      <c r="D1050" s="1">
        <v>141644.69</v>
      </c>
      <c r="E1050" s="3">
        <v>1</v>
      </c>
      <c r="F1050" s="3">
        <v>1</v>
      </c>
      <c r="G1050" s="1">
        <v>141644.69</v>
      </c>
    </row>
    <row r="1051" spans="1:7" x14ac:dyDescent="0.25">
      <c r="A1051" s="111" t="str">
        <f t="shared" si="16"/>
        <v>JDH4-02-007-CN-2040</v>
      </c>
      <c r="B1051" t="s">
        <v>1696</v>
      </c>
      <c r="C1051" t="s">
        <v>1697</v>
      </c>
      <c r="D1051" s="1">
        <v>78995.31</v>
      </c>
      <c r="E1051" s="3">
        <v>1</v>
      </c>
      <c r="F1051" s="3">
        <v>1</v>
      </c>
      <c r="G1051" s="1">
        <v>78995.31</v>
      </c>
    </row>
    <row r="1052" spans="1:7" x14ac:dyDescent="0.25">
      <c r="A1052" s="111" t="str">
        <f t="shared" si="16"/>
        <v>JDH4-02-007-CN-2090</v>
      </c>
      <c r="B1052" t="s">
        <v>1698</v>
      </c>
      <c r="C1052" t="s">
        <v>1699</v>
      </c>
      <c r="D1052" s="1">
        <v>710957.75</v>
      </c>
      <c r="E1052" s="3">
        <v>1</v>
      </c>
      <c r="F1052" s="3">
        <v>1</v>
      </c>
      <c r="G1052" s="1">
        <v>710957.75</v>
      </c>
    </row>
    <row r="1053" spans="1:7" x14ac:dyDescent="0.25">
      <c r="A1053" s="111" t="str">
        <f t="shared" si="16"/>
        <v>Finishing Works</v>
      </c>
      <c r="B1053" t="s">
        <v>1700</v>
      </c>
      <c r="D1053" s="1">
        <v>1171351.21</v>
      </c>
      <c r="E1053" s="3"/>
      <c r="F1053" s="3">
        <v>1</v>
      </c>
      <c r="G1053" s="1">
        <v>1171351.21</v>
      </c>
    </row>
    <row r="1054" spans="1:7" x14ac:dyDescent="0.25">
      <c r="A1054" s="111" t="str">
        <f t="shared" si="16"/>
        <v>Asphalt Wearing Course</v>
      </c>
      <c r="B1054" t="s">
        <v>1701</v>
      </c>
      <c r="D1054" s="1">
        <v>418188.18</v>
      </c>
      <c r="E1054" s="3"/>
      <c r="F1054" s="3">
        <v>1</v>
      </c>
      <c r="G1054" s="1">
        <v>418188.18</v>
      </c>
    </row>
    <row r="1055" spans="1:7" x14ac:dyDescent="0.25">
      <c r="A1055" s="111" t="str">
        <f t="shared" si="16"/>
        <v>JDH4-02-007-CN-2140</v>
      </c>
      <c r="B1055" t="s">
        <v>1702</v>
      </c>
      <c r="C1055" t="s">
        <v>1703</v>
      </c>
      <c r="D1055" s="1">
        <v>41818.82</v>
      </c>
      <c r="E1055" s="3">
        <v>1</v>
      </c>
      <c r="F1055" s="3">
        <v>1</v>
      </c>
      <c r="G1055" s="1">
        <v>41818.82</v>
      </c>
    </row>
    <row r="1056" spans="1:7" x14ac:dyDescent="0.25">
      <c r="A1056" s="111" t="str">
        <f t="shared" si="16"/>
        <v>JDH4-02-007-CN-2190</v>
      </c>
      <c r="B1056" t="s">
        <v>1704</v>
      </c>
      <c r="C1056" t="s">
        <v>1705</v>
      </c>
      <c r="D1056" s="1">
        <v>376369.36</v>
      </c>
      <c r="E1056" s="3">
        <v>1</v>
      </c>
      <c r="F1056" s="3">
        <v>1</v>
      </c>
      <c r="G1056" s="1">
        <v>376369.36</v>
      </c>
    </row>
    <row r="1057" spans="1:7" x14ac:dyDescent="0.25">
      <c r="A1057" s="111" t="str">
        <f t="shared" si="16"/>
        <v>Precast Concrete Curb</v>
      </c>
      <c r="B1057" t="s">
        <v>1706</v>
      </c>
      <c r="D1057" s="1">
        <v>260761.75</v>
      </c>
      <c r="F1057" s="3">
        <v>1</v>
      </c>
      <c r="G1057" s="1">
        <v>260761.75</v>
      </c>
    </row>
    <row r="1058" spans="1:7" x14ac:dyDescent="0.25">
      <c r="A1058" s="111" t="str">
        <f t="shared" si="16"/>
        <v>JDH4-02-007-CN-2240</v>
      </c>
      <c r="B1058" t="s">
        <v>1707</v>
      </c>
      <c r="C1058" t="s">
        <v>1708</v>
      </c>
      <c r="D1058" s="1">
        <v>260761.75</v>
      </c>
      <c r="E1058" s="3">
        <v>1</v>
      </c>
      <c r="F1058" s="3">
        <v>1</v>
      </c>
      <c r="G1058" s="1">
        <v>260761.75</v>
      </c>
    </row>
    <row r="1059" spans="1:7" x14ac:dyDescent="0.25">
      <c r="A1059" s="111" t="str">
        <f t="shared" si="16"/>
        <v>Precast Interlocking block pavers</v>
      </c>
      <c r="B1059" t="s">
        <v>1709</v>
      </c>
      <c r="D1059" s="1">
        <v>247979.91</v>
      </c>
      <c r="E1059" s="3"/>
      <c r="F1059" s="3">
        <v>1</v>
      </c>
      <c r="G1059" s="1">
        <v>247979.91</v>
      </c>
    </row>
    <row r="1060" spans="1:7" x14ac:dyDescent="0.25">
      <c r="A1060" s="111" t="str">
        <f t="shared" si="16"/>
        <v>JDH4-02-007-CN-2290</v>
      </c>
      <c r="B1060" t="s">
        <v>1710</v>
      </c>
      <c r="C1060" t="s">
        <v>1711</v>
      </c>
      <c r="D1060" s="1">
        <v>247979.91</v>
      </c>
      <c r="E1060" s="3">
        <v>1</v>
      </c>
      <c r="F1060" s="3">
        <v>1</v>
      </c>
      <c r="G1060" s="1">
        <v>247979.91</v>
      </c>
    </row>
    <row r="1061" spans="1:7" x14ac:dyDescent="0.25">
      <c r="A1061" s="111" t="str">
        <f t="shared" si="16"/>
        <v>Pavement Markings</v>
      </c>
      <c r="B1061" t="s">
        <v>1712</v>
      </c>
      <c r="D1061" s="1">
        <v>70108.710000000006</v>
      </c>
      <c r="E1061" s="3"/>
      <c r="F1061" s="3">
        <v>1</v>
      </c>
      <c r="G1061" s="1">
        <v>70108.710000000006</v>
      </c>
    </row>
    <row r="1062" spans="1:7" x14ac:dyDescent="0.25">
      <c r="A1062" s="111" t="str">
        <f t="shared" si="16"/>
        <v>JDH4-02-007-CN-2340</v>
      </c>
      <c r="B1062" t="s">
        <v>1713</v>
      </c>
      <c r="C1062" t="s">
        <v>1714</v>
      </c>
      <c r="D1062" s="1">
        <v>70108.710000000006</v>
      </c>
      <c r="E1062" s="3">
        <v>1</v>
      </c>
      <c r="F1062" s="3">
        <v>1</v>
      </c>
      <c r="G1062" s="1">
        <v>70108.710000000006</v>
      </c>
    </row>
    <row r="1063" spans="1:7" x14ac:dyDescent="0.25">
      <c r="A1063" s="111" t="str">
        <f t="shared" si="16"/>
        <v>Traffic Signage</v>
      </c>
      <c r="B1063" t="s">
        <v>1715</v>
      </c>
      <c r="D1063" s="1">
        <v>119121.91</v>
      </c>
      <c r="E1063" s="3"/>
      <c r="F1063" s="3">
        <v>1</v>
      </c>
      <c r="G1063" s="1">
        <v>119121.91</v>
      </c>
    </row>
    <row r="1064" spans="1:7" x14ac:dyDescent="0.25">
      <c r="A1064" s="111" t="str">
        <f t="shared" si="16"/>
        <v>JDH4-02-007-CN-2390</v>
      </c>
      <c r="B1064" t="s">
        <v>1716</v>
      </c>
      <c r="C1064" t="s">
        <v>1717</v>
      </c>
      <c r="D1064" s="1">
        <v>119121.91</v>
      </c>
      <c r="E1064" s="3">
        <v>1</v>
      </c>
      <c r="F1064" s="3">
        <v>1</v>
      </c>
      <c r="G1064" s="1">
        <v>119121.91</v>
      </c>
    </row>
    <row r="1065" spans="1:7" x14ac:dyDescent="0.25">
      <c r="A1065" s="111" t="str">
        <f t="shared" si="16"/>
        <v>Guardrail</v>
      </c>
      <c r="B1065" t="s">
        <v>1718</v>
      </c>
      <c r="D1065" s="1">
        <v>55190.75</v>
      </c>
      <c r="E1065" s="3"/>
      <c r="F1065" s="3">
        <v>1</v>
      </c>
      <c r="G1065" s="1">
        <v>55190.75</v>
      </c>
    </row>
    <row r="1066" spans="1:7" x14ac:dyDescent="0.25">
      <c r="A1066" s="111" t="str">
        <f t="shared" si="16"/>
        <v>JDH4-02-007-CN-2400</v>
      </c>
      <c r="B1066" t="s">
        <v>1719</v>
      </c>
      <c r="C1066" t="s">
        <v>1720</v>
      </c>
      <c r="D1066" s="1">
        <v>55190.75</v>
      </c>
      <c r="E1066" s="3">
        <v>1</v>
      </c>
      <c r="F1066" s="3">
        <v>1</v>
      </c>
      <c r="G1066" s="1">
        <v>55190.75</v>
      </c>
    </row>
    <row r="1067" spans="1:7" x14ac:dyDescent="0.25">
      <c r="A1067" s="111" t="str">
        <f t="shared" si="16"/>
        <v>Storm Water Drainage</v>
      </c>
      <c r="B1067" t="s">
        <v>1721</v>
      </c>
      <c r="D1067" s="1">
        <v>616227.34</v>
      </c>
      <c r="E1067" s="3"/>
      <c r="F1067" s="3">
        <v>1</v>
      </c>
      <c r="G1067" s="1">
        <v>616227.34</v>
      </c>
    </row>
    <row r="1068" spans="1:7" x14ac:dyDescent="0.25">
      <c r="A1068" s="111" t="str">
        <f t="shared" si="16"/>
        <v>Pipe Works</v>
      </c>
      <c r="B1068" t="s">
        <v>1722</v>
      </c>
      <c r="D1068" s="1">
        <v>372950.21</v>
      </c>
      <c r="E1068" s="3"/>
      <c r="F1068" s="3">
        <v>1</v>
      </c>
      <c r="G1068" s="1">
        <v>372950.21</v>
      </c>
    </row>
    <row r="1069" spans="1:7" x14ac:dyDescent="0.25">
      <c r="A1069" s="111" t="str">
        <f t="shared" si="16"/>
        <v>JDH4-02-007-CN-5370</v>
      </c>
      <c r="B1069" t="s">
        <v>1723</v>
      </c>
      <c r="C1069" t="s">
        <v>4054</v>
      </c>
      <c r="D1069" s="1">
        <v>13055.44</v>
      </c>
      <c r="E1069" s="3">
        <v>1</v>
      </c>
      <c r="F1069" s="3">
        <v>1</v>
      </c>
      <c r="G1069" s="1">
        <v>13055.44</v>
      </c>
    </row>
    <row r="1070" spans="1:7" x14ac:dyDescent="0.25">
      <c r="A1070" s="111" t="str">
        <f t="shared" si="16"/>
        <v>JDH4-02-007-CN-5420</v>
      </c>
      <c r="B1070" t="s">
        <v>1725</v>
      </c>
      <c r="C1070" t="s">
        <v>4055</v>
      </c>
      <c r="D1070" s="1">
        <v>6527.73</v>
      </c>
      <c r="E1070" s="3">
        <v>1</v>
      </c>
      <c r="F1070" s="3">
        <v>1</v>
      </c>
      <c r="G1070" s="1">
        <v>6527.73</v>
      </c>
    </row>
    <row r="1071" spans="1:7" x14ac:dyDescent="0.25">
      <c r="A1071" s="111" t="str">
        <f t="shared" si="16"/>
        <v>JDH4-02-007-CN-5470</v>
      </c>
      <c r="B1071" t="s">
        <v>1727</v>
      </c>
      <c r="C1071" t="s">
        <v>4056</v>
      </c>
      <c r="D1071" s="1">
        <v>91388.14</v>
      </c>
      <c r="E1071" s="3">
        <v>1</v>
      </c>
      <c r="F1071" s="3">
        <v>1</v>
      </c>
      <c r="G1071" s="1">
        <v>91388.14</v>
      </c>
    </row>
    <row r="1072" spans="1:7" x14ac:dyDescent="0.25">
      <c r="A1072" s="111" t="str">
        <f t="shared" si="16"/>
        <v>JDH4-02-007-CN-5520</v>
      </c>
      <c r="B1072" t="s">
        <v>1729</v>
      </c>
      <c r="C1072" t="s">
        <v>1730</v>
      </c>
      <c r="D1072" s="1">
        <v>18629.79</v>
      </c>
      <c r="E1072" s="3">
        <v>1</v>
      </c>
      <c r="F1072" s="3">
        <v>1</v>
      </c>
      <c r="G1072" s="1">
        <v>18629.79</v>
      </c>
    </row>
    <row r="1073" spans="1:7" x14ac:dyDescent="0.25">
      <c r="A1073" s="111" t="str">
        <f t="shared" si="16"/>
        <v>JDH4-02-007-CN-5570</v>
      </c>
      <c r="B1073" t="s">
        <v>1731</v>
      </c>
      <c r="C1073" t="s">
        <v>1732</v>
      </c>
      <c r="D1073" s="1">
        <v>37259.53</v>
      </c>
      <c r="E1073" s="3">
        <v>1</v>
      </c>
      <c r="F1073" s="3">
        <v>1</v>
      </c>
      <c r="G1073" s="1">
        <v>37259.53</v>
      </c>
    </row>
    <row r="1074" spans="1:7" x14ac:dyDescent="0.25">
      <c r="A1074" s="111" t="str">
        <f t="shared" si="16"/>
        <v>JDH4-02-007-CN-5370R</v>
      </c>
      <c r="B1074" t="s">
        <v>4057</v>
      </c>
      <c r="C1074" t="s">
        <v>1724</v>
      </c>
      <c r="D1074" s="1">
        <v>24245.82</v>
      </c>
      <c r="E1074" s="3">
        <v>1</v>
      </c>
      <c r="F1074" s="3">
        <v>1</v>
      </c>
      <c r="G1074" s="1">
        <v>24245.82</v>
      </c>
    </row>
    <row r="1075" spans="1:7" x14ac:dyDescent="0.25">
      <c r="A1075" s="111" t="str">
        <f t="shared" si="16"/>
        <v>JDH4-02-007-CN-5420R</v>
      </c>
      <c r="B1075" t="s">
        <v>4058</v>
      </c>
      <c r="C1075" t="s">
        <v>1726</v>
      </c>
      <c r="D1075" s="1">
        <v>12122.92</v>
      </c>
      <c r="E1075" s="2">
        <v>1</v>
      </c>
      <c r="F1075" s="3">
        <v>1</v>
      </c>
      <c r="G1075" s="1">
        <v>12122.92</v>
      </c>
    </row>
    <row r="1076" spans="1:7" x14ac:dyDescent="0.25">
      <c r="A1076" s="111" t="str">
        <f t="shared" si="16"/>
        <v>JDH4-02-007-CN-5470R</v>
      </c>
      <c r="B1076" t="s">
        <v>4059</v>
      </c>
      <c r="C1076" t="s">
        <v>1728</v>
      </c>
      <c r="D1076" s="1">
        <v>169720.83</v>
      </c>
      <c r="E1076" s="3">
        <v>1</v>
      </c>
      <c r="F1076" s="3">
        <v>1</v>
      </c>
      <c r="G1076" s="1">
        <v>169720.83</v>
      </c>
    </row>
    <row r="1077" spans="1:7" x14ac:dyDescent="0.25">
      <c r="A1077" s="111" t="str">
        <f t="shared" si="16"/>
        <v>Pipe Encasement</v>
      </c>
      <c r="B1077" t="s">
        <v>1733</v>
      </c>
      <c r="D1077" s="1">
        <v>13406.24</v>
      </c>
      <c r="E1077" s="3"/>
      <c r="F1077" s="3">
        <v>1</v>
      </c>
      <c r="G1077" s="1">
        <v>13406.24</v>
      </c>
    </row>
    <row r="1078" spans="1:7" x14ac:dyDescent="0.25">
      <c r="A1078" s="111" t="str">
        <f t="shared" si="16"/>
        <v>JDH4-02-007-CN-5840</v>
      </c>
      <c r="B1078" t="s">
        <v>1734</v>
      </c>
      <c r="C1078" t="s">
        <v>1735</v>
      </c>
      <c r="D1078" s="1">
        <v>13406.24</v>
      </c>
      <c r="E1078" s="3">
        <v>1</v>
      </c>
      <c r="F1078" s="3">
        <v>1</v>
      </c>
      <c r="G1078" s="1">
        <v>13406.24</v>
      </c>
    </row>
    <row r="1079" spans="1:7" x14ac:dyDescent="0.25">
      <c r="A1079" s="111" t="str">
        <f t="shared" si="16"/>
        <v>Manholes</v>
      </c>
      <c r="B1079" t="s">
        <v>486</v>
      </c>
      <c r="D1079" s="1">
        <v>130842.92</v>
      </c>
      <c r="E1079" s="3"/>
      <c r="F1079" s="3">
        <v>1</v>
      </c>
      <c r="G1079" s="1">
        <v>130842.92</v>
      </c>
    </row>
    <row r="1080" spans="1:7" x14ac:dyDescent="0.25">
      <c r="A1080" s="111" t="str">
        <f t="shared" si="16"/>
        <v>JDH4-02-007-CN-5670</v>
      </c>
      <c r="B1080" t="s">
        <v>1736</v>
      </c>
      <c r="C1080" t="s">
        <v>1737</v>
      </c>
      <c r="D1080" s="1">
        <v>130842.92</v>
      </c>
      <c r="E1080" s="3">
        <v>1</v>
      </c>
      <c r="F1080" s="3">
        <v>1</v>
      </c>
      <c r="G1080" s="1">
        <v>130842.92</v>
      </c>
    </row>
    <row r="1081" spans="1:7" x14ac:dyDescent="0.25">
      <c r="A1081" s="111" t="str">
        <f t="shared" si="16"/>
        <v>Precast Acces Openinig</v>
      </c>
      <c r="B1081" t="s">
        <v>1738</v>
      </c>
      <c r="D1081" s="1">
        <v>7569.02</v>
      </c>
      <c r="E1081" s="3"/>
      <c r="F1081" s="3">
        <v>1</v>
      </c>
      <c r="G1081" s="1">
        <v>7569.02</v>
      </c>
    </row>
    <row r="1082" spans="1:7" x14ac:dyDescent="0.25">
      <c r="A1082" s="111" t="str">
        <f t="shared" si="16"/>
        <v>JDH4-02-007-CN-5720</v>
      </c>
      <c r="B1082" t="s">
        <v>1739</v>
      </c>
      <c r="C1082" t="s">
        <v>1740</v>
      </c>
      <c r="D1082" s="1">
        <v>7569.02</v>
      </c>
      <c r="E1082" s="3">
        <v>1</v>
      </c>
      <c r="F1082" s="3">
        <v>1</v>
      </c>
      <c r="G1082" s="1">
        <v>7569.02</v>
      </c>
    </row>
    <row r="1083" spans="1:7" x14ac:dyDescent="0.25">
      <c r="A1083" s="111" t="str">
        <f t="shared" si="16"/>
        <v>Catch Basins</v>
      </c>
      <c r="B1083" t="s">
        <v>1741</v>
      </c>
      <c r="D1083" s="1">
        <v>40998.839999999997</v>
      </c>
      <c r="E1083" s="3"/>
      <c r="F1083" s="3">
        <v>1</v>
      </c>
      <c r="G1083" s="1">
        <v>40998.839999999997</v>
      </c>
    </row>
    <row r="1084" spans="1:7" x14ac:dyDescent="0.25">
      <c r="A1084" s="111" t="str">
        <f t="shared" si="16"/>
        <v>JDH4-02-007-CN-5760</v>
      </c>
      <c r="B1084" t="s">
        <v>1742</v>
      </c>
      <c r="C1084" t="s">
        <v>1743</v>
      </c>
      <c r="D1084" s="1">
        <v>40998.839999999997</v>
      </c>
      <c r="E1084" s="3">
        <v>1</v>
      </c>
      <c r="F1084" s="3">
        <v>1</v>
      </c>
      <c r="G1084" s="1">
        <v>40998.839999999997</v>
      </c>
    </row>
    <row r="1085" spans="1:7" x14ac:dyDescent="0.25">
      <c r="A1085" s="111" t="str">
        <f t="shared" si="16"/>
        <v>Concrete Outfalls</v>
      </c>
      <c r="B1085" t="s">
        <v>1744</v>
      </c>
      <c r="D1085" s="1">
        <v>50460.11</v>
      </c>
      <c r="E1085" s="3"/>
      <c r="F1085" s="3">
        <v>1</v>
      </c>
      <c r="G1085" s="1">
        <v>50460.11</v>
      </c>
    </row>
    <row r="1086" spans="1:7" x14ac:dyDescent="0.25">
      <c r="A1086" s="111" t="str">
        <f t="shared" si="16"/>
        <v>JDH4-02-007-CN-5790</v>
      </c>
      <c r="B1086" t="s">
        <v>1745</v>
      </c>
      <c r="C1086" t="s">
        <v>1746</v>
      </c>
      <c r="D1086" s="1">
        <v>50460.11</v>
      </c>
      <c r="E1086" s="3">
        <v>1</v>
      </c>
      <c r="F1086" s="3">
        <v>1</v>
      </c>
      <c r="G1086" s="1">
        <v>50460.11</v>
      </c>
    </row>
    <row r="1087" spans="1:7" x14ac:dyDescent="0.25">
      <c r="A1087" s="111" t="str">
        <f t="shared" si="16"/>
        <v>Sewerage Network</v>
      </c>
      <c r="B1087" t="s">
        <v>221</v>
      </c>
      <c r="D1087" s="1">
        <v>233847.07</v>
      </c>
      <c r="E1087" s="3"/>
      <c r="F1087" s="3">
        <v>1</v>
      </c>
      <c r="G1087" s="1">
        <v>233847.07</v>
      </c>
    </row>
    <row r="1088" spans="1:7" x14ac:dyDescent="0.25">
      <c r="A1088" s="111" t="str">
        <f t="shared" si="16"/>
        <v>Pipe Works</v>
      </c>
      <c r="B1088" t="s">
        <v>1722</v>
      </c>
      <c r="D1088" s="1">
        <v>151982.41</v>
      </c>
      <c r="E1088" s="3"/>
      <c r="F1088" s="3">
        <v>1</v>
      </c>
      <c r="G1088" s="1">
        <v>151982.41</v>
      </c>
    </row>
    <row r="1089" spans="1:7" x14ac:dyDescent="0.25">
      <c r="A1089" s="111" t="str">
        <f t="shared" si="16"/>
        <v>JDH4-02-007-CN-4820</v>
      </c>
      <c r="B1089" t="s">
        <v>1747</v>
      </c>
      <c r="C1089" t="s">
        <v>4060</v>
      </c>
      <c r="D1089" s="1">
        <v>759.81</v>
      </c>
      <c r="E1089" s="3">
        <v>1</v>
      </c>
      <c r="F1089" s="3">
        <v>1</v>
      </c>
      <c r="G1089">
        <v>759.81</v>
      </c>
    </row>
    <row r="1090" spans="1:7" x14ac:dyDescent="0.25">
      <c r="A1090" s="111" t="str">
        <f t="shared" si="16"/>
        <v>JDH4-02-007-CN-4820R</v>
      </c>
      <c r="B1090" t="s">
        <v>4061</v>
      </c>
      <c r="C1090" t="s">
        <v>1748</v>
      </c>
      <c r="D1090" s="1">
        <v>14436.45</v>
      </c>
      <c r="E1090" s="3">
        <v>1</v>
      </c>
      <c r="F1090" s="3">
        <v>1</v>
      </c>
      <c r="G1090" s="1">
        <v>14436.45</v>
      </c>
    </row>
    <row r="1091" spans="1:7" x14ac:dyDescent="0.25">
      <c r="A1091" s="111" t="str">
        <f t="shared" si="16"/>
        <v>JDH4-02-007-CN-4890</v>
      </c>
      <c r="B1091" t="s">
        <v>1749</v>
      </c>
      <c r="C1091" t="s">
        <v>1726</v>
      </c>
      <c r="D1091" s="1">
        <v>7599.22</v>
      </c>
      <c r="E1091" s="3">
        <v>1</v>
      </c>
      <c r="F1091" s="3">
        <v>1</v>
      </c>
      <c r="G1091" s="1">
        <v>7599.22</v>
      </c>
    </row>
    <row r="1092" spans="1:7" x14ac:dyDescent="0.25">
      <c r="A1092" s="111" t="str">
        <f t="shared" ref="A1092:A1155" si="17">TRIM(B1092)</f>
        <v>JDH4-02-007-CN-4960</v>
      </c>
      <c r="B1092" t="s">
        <v>1750</v>
      </c>
      <c r="C1092" t="s">
        <v>1751</v>
      </c>
      <c r="D1092" s="1">
        <v>75992.31</v>
      </c>
      <c r="E1092" s="3">
        <v>1</v>
      </c>
      <c r="F1092" s="3">
        <v>1</v>
      </c>
      <c r="G1092" s="1">
        <v>75992.31</v>
      </c>
    </row>
    <row r="1093" spans="1:7" x14ac:dyDescent="0.25">
      <c r="A1093" s="111" t="str">
        <f t="shared" si="17"/>
        <v>JDH4-02-007-CN-5030</v>
      </c>
      <c r="B1093" t="s">
        <v>1752</v>
      </c>
      <c r="C1093" t="s">
        <v>1753</v>
      </c>
      <c r="D1093" s="1">
        <v>30396.93</v>
      </c>
      <c r="E1093" s="3">
        <v>1</v>
      </c>
      <c r="F1093" s="3">
        <v>1</v>
      </c>
      <c r="G1093" s="1">
        <v>30396.93</v>
      </c>
    </row>
    <row r="1094" spans="1:7" x14ac:dyDescent="0.25">
      <c r="A1094" s="111" t="str">
        <f t="shared" si="17"/>
        <v>JDH4-02-007-CN-5100</v>
      </c>
      <c r="B1094" t="s">
        <v>1754</v>
      </c>
      <c r="C1094" t="s">
        <v>1730</v>
      </c>
      <c r="D1094" s="1">
        <v>7599.22</v>
      </c>
      <c r="E1094" s="3">
        <v>1</v>
      </c>
      <c r="F1094" s="3">
        <v>1</v>
      </c>
      <c r="G1094" s="1">
        <v>7599.22</v>
      </c>
    </row>
    <row r="1095" spans="1:7" x14ac:dyDescent="0.25">
      <c r="A1095" s="111" t="str">
        <f t="shared" si="17"/>
        <v>JDH4-02-007-CN-5170</v>
      </c>
      <c r="B1095" t="s">
        <v>1755</v>
      </c>
      <c r="C1095" t="s">
        <v>1732</v>
      </c>
      <c r="D1095" s="1">
        <v>15198.47</v>
      </c>
      <c r="E1095" s="3">
        <v>1</v>
      </c>
      <c r="F1095" s="3">
        <v>1</v>
      </c>
      <c r="G1095" s="1">
        <v>15198.47</v>
      </c>
    </row>
    <row r="1096" spans="1:7" x14ac:dyDescent="0.25">
      <c r="A1096" s="111" t="str">
        <f t="shared" si="17"/>
        <v>Pipe Encasement</v>
      </c>
      <c r="B1096" t="s">
        <v>1733</v>
      </c>
      <c r="D1096" s="1">
        <v>760.54</v>
      </c>
      <c r="E1096" s="3"/>
      <c r="F1096" s="3">
        <v>1</v>
      </c>
      <c r="G1096">
        <v>760.54</v>
      </c>
    </row>
    <row r="1097" spans="1:7" x14ac:dyDescent="0.25">
      <c r="A1097" s="111" t="str">
        <f t="shared" si="17"/>
        <v>JDH4-02-007-CN-5310</v>
      </c>
      <c r="B1097" t="s">
        <v>1756</v>
      </c>
      <c r="C1097" t="s">
        <v>1735</v>
      </c>
      <c r="D1097" s="1">
        <v>760.54</v>
      </c>
      <c r="E1097" s="3">
        <v>1</v>
      </c>
      <c r="F1097" s="3">
        <v>1</v>
      </c>
      <c r="G1097">
        <v>760.54</v>
      </c>
    </row>
    <row r="1098" spans="1:7" x14ac:dyDescent="0.25">
      <c r="A1098" s="111" t="str">
        <f t="shared" si="17"/>
        <v>Manholes</v>
      </c>
      <c r="B1098" t="s">
        <v>486</v>
      </c>
      <c r="D1098" s="1">
        <v>81104.12</v>
      </c>
      <c r="E1098" s="3"/>
      <c r="F1098" s="3">
        <v>1</v>
      </c>
      <c r="G1098" s="1">
        <v>81104.12</v>
      </c>
    </row>
    <row r="1099" spans="1:7" x14ac:dyDescent="0.25">
      <c r="A1099" s="111" t="str">
        <f t="shared" si="17"/>
        <v>JDH4-02-007-CN-5240</v>
      </c>
      <c r="B1099" t="s">
        <v>1757</v>
      </c>
      <c r="C1099" t="s">
        <v>1758</v>
      </c>
      <c r="D1099" s="1">
        <v>81104.12</v>
      </c>
      <c r="E1099" s="3">
        <v>1</v>
      </c>
      <c r="F1099" s="3">
        <v>1</v>
      </c>
      <c r="G1099" s="1">
        <v>81104.12</v>
      </c>
    </row>
    <row r="1100" spans="1:7" x14ac:dyDescent="0.25">
      <c r="A1100" s="111" t="str">
        <f t="shared" si="17"/>
        <v>TSE Network</v>
      </c>
      <c r="B1100" t="s">
        <v>491</v>
      </c>
      <c r="D1100" s="1">
        <v>186231.54</v>
      </c>
      <c r="E1100" s="3"/>
      <c r="F1100" s="3">
        <v>1</v>
      </c>
      <c r="G1100" s="1">
        <v>186231.54</v>
      </c>
    </row>
    <row r="1101" spans="1:7" x14ac:dyDescent="0.25">
      <c r="A1101" s="111" t="str">
        <f t="shared" si="17"/>
        <v>Pipe Works</v>
      </c>
      <c r="B1101" t="s">
        <v>1722</v>
      </c>
      <c r="D1101" s="1">
        <v>160003.07999999999</v>
      </c>
      <c r="E1101" s="3"/>
      <c r="F1101" s="3">
        <v>1</v>
      </c>
      <c r="G1101" s="1">
        <v>160003.07999999999</v>
      </c>
    </row>
    <row r="1102" spans="1:7" x14ac:dyDescent="0.25">
      <c r="A1102" s="111" t="str">
        <f t="shared" si="17"/>
        <v>JDH4-02-007-CN-4040</v>
      </c>
      <c r="B1102" t="s">
        <v>1759</v>
      </c>
      <c r="C1102" t="s">
        <v>1724</v>
      </c>
      <c r="D1102" s="1">
        <v>15169.19</v>
      </c>
      <c r="E1102" s="3">
        <v>1</v>
      </c>
      <c r="F1102" s="3">
        <v>1</v>
      </c>
      <c r="G1102" s="1">
        <v>15169.19</v>
      </c>
    </row>
    <row r="1103" spans="1:7" x14ac:dyDescent="0.25">
      <c r="A1103" s="111" t="str">
        <f t="shared" si="17"/>
        <v>JDH4-02-007-CN-4110</v>
      </c>
      <c r="B1103" t="s">
        <v>1760</v>
      </c>
      <c r="C1103" t="s">
        <v>1726</v>
      </c>
      <c r="D1103" s="1">
        <v>7584.62</v>
      </c>
      <c r="E1103" s="3">
        <v>1</v>
      </c>
      <c r="F1103" s="3">
        <v>1</v>
      </c>
      <c r="G1103" s="1">
        <v>7584.62</v>
      </c>
    </row>
    <row r="1104" spans="1:7" x14ac:dyDescent="0.25">
      <c r="A1104" s="111" t="str">
        <f t="shared" si="17"/>
        <v>JDH4-02-007-CN-4180</v>
      </c>
      <c r="B1104" t="s">
        <v>1761</v>
      </c>
      <c r="C1104" t="s">
        <v>1762</v>
      </c>
      <c r="D1104" s="1">
        <v>75846</v>
      </c>
      <c r="E1104" s="3">
        <v>1</v>
      </c>
      <c r="F1104" s="3">
        <v>1</v>
      </c>
      <c r="G1104" s="1">
        <v>75846</v>
      </c>
    </row>
    <row r="1105" spans="1:7" x14ac:dyDescent="0.25">
      <c r="A1105" s="111" t="str">
        <f t="shared" si="17"/>
        <v>JDH4-02-007-CN-4250</v>
      </c>
      <c r="B1105" t="s">
        <v>1763</v>
      </c>
      <c r="C1105" t="s">
        <v>1764</v>
      </c>
      <c r="D1105" s="1">
        <v>30338.38</v>
      </c>
      <c r="E1105" s="3">
        <v>1</v>
      </c>
      <c r="F1105" s="3">
        <v>1</v>
      </c>
      <c r="G1105" s="1">
        <v>30338.38</v>
      </c>
    </row>
    <row r="1106" spans="1:7" x14ac:dyDescent="0.25">
      <c r="A1106" s="111" t="str">
        <f t="shared" si="17"/>
        <v>JDH4-02-007-CN-4320</v>
      </c>
      <c r="B1106" t="s">
        <v>1767</v>
      </c>
      <c r="C1106" t="s">
        <v>1768</v>
      </c>
      <c r="D1106" s="1">
        <v>7584.62</v>
      </c>
      <c r="E1106" s="3">
        <v>1</v>
      </c>
      <c r="F1106" s="3">
        <v>1</v>
      </c>
      <c r="G1106" s="1">
        <v>7584.62</v>
      </c>
    </row>
    <row r="1107" spans="1:7" x14ac:dyDescent="0.25">
      <c r="A1107" s="111" t="str">
        <f t="shared" si="17"/>
        <v>JDH4-02-007-CN-4390</v>
      </c>
      <c r="B1107" t="s">
        <v>1769</v>
      </c>
      <c r="C1107" t="s">
        <v>1732</v>
      </c>
      <c r="D1107" s="1">
        <v>15169.19</v>
      </c>
      <c r="E1107" s="3">
        <v>1</v>
      </c>
      <c r="F1107" s="3">
        <v>1</v>
      </c>
      <c r="G1107" s="1">
        <v>15169.19</v>
      </c>
    </row>
    <row r="1108" spans="1:7" x14ac:dyDescent="0.25">
      <c r="A1108" s="111" t="str">
        <f t="shared" si="17"/>
        <v>JDH4-02-007-CN-4700</v>
      </c>
      <c r="B1108" t="s">
        <v>1765</v>
      </c>
      <c r="C1108" t="s">
        <v>1766</v>
      </c>
      <c r="D1108" s="1">
        <v>8311.08</v>
      </c>
      <c r="E1108" s="3">
        <v>1</v>
      </c>
      <c r="F1108" s="3">
        <v>1</v>
      </c>
      <c r="G1108" s="1">
        <v>8311.08</v>
      </c>
    </row>
    <row r="1109" spans="1:7" x14ac:dyDescent="0.25">
      <c r="A1109" s="111" t="str">
        <f t="shared" si="17"/>
        <v>Pipe Encasement</v>
      </c>
      <c r="B1109" t="s">
        <v>1733</v>
      </c>
      <c r="D1109" s="1">
        <v>7554.9</v>
      </c>
      <c r="E1109" s="3"/>
      <c r="F1109" s="3">
        <v>1</v>
      </c>
      <c r="G1109" s="1">
        <v>7554.9</v>
      </c>
    </row>
    <row r="1110" spans="1:7" x14ac:dyDescent="0.25">
      <c r="A1110" s="111" t="str">
        <f t="shared" si="17"/>
        <v>JDH4-02-007-CN-4460</v>
      </c>
      <c r="B1110" t="s">
        <v>1770</v>
      </c>
      <c r="C1110" t="s">
        <v>1771</v>
      </c>
      <c r="D1110" s="1">
        <v>7554.9</v>
      </c>
      <c r="E1110" s="3">
        <v>1</v>
      </c>
      <c r="F1110" s="3">
        <v>1</v>
      </c>
      <c r="G1110" s="1">
        <v>7554.9</v>
      </c>
    </row>
    <row r="1111" spans="1:7" x14ac:dyDescent="0.25">
      <c r="A1111" s="111" t="str">
        <f t="shared" si="17"/>
        <v>Valves</v>
      </c>
      <c r="B1111" t="s">
        <v>127</v>
      </c>
      <c r="D1111" s="1">
        <v>18673.560000000001</v>
      </c>
      <c r="E1111" s="3"/>
      <c r="F1111" s="3">
        <v>1</v>
      </c>
      <c r="G1111" s="1">
        <v>18673.560000000001</v>
      </c>
    </row>
    <row r="1112" spans="1:7" x14ac:dyDescent="0.25">
      <c r="A1112" s="111" t="str">
        <f t="shared" si="17"/>
        <v>JDH4-02-007-CN-4530</v>
      </c>
      <c r="B1112" t="s">
        <v>1772</v>
      </c>
      <c r="C1112" t="s">
        <v>1773</v>
      </c>
      <c r="D1112" s="1">
        <v>18673.560000000001</v>
      </c>
      <c r="E1112" s="3">
        <v>1</v>
      </c>
      <c r="F1112" s="3">
        <v>1</v>
      </c>
      <c r="G1112" s="1">
        <v>18673.560000000001</v>
      </c>
    </row>
    <row r="1113" spans="1:7" x14ac:dyDescent="0.25">
      <c r="A1113" s="111" t="str">
        <f t="shared" si="17"/>
        <v>Potable Network</v>
      </c>
      <c r="B1113" t="s">
        <v>120</v>
      </c>
      <c r="D1113" s="1">
        <v>193744.83</v>
      </c>
      <c r="E1113" s="3"/>
      <c r="F1113" s="3">
        <v>1</v>
      </c>
      <c r="G1113" s="1">
        <v>193744.83</v>
      </c>
    </row>
    <row r="1114" spans="1:7" x14ac:dyDescent="0.25">
      <c r="A1114" s="111" t="str">
        <f t="shared" si="17"/>
        <v>Pipe Works</v>
      </c>
      <c r="B1114" t="s">
        <v>1722</v>
      </c>
      <c r="D1114" s="1">
        <v>124027.28</v>
      </c>
      <c r="F1114" s="3">
        <v>1</v>
      </c>
      <c r="G1114" s="1">
        <v>124027.28</v>
      </c>
    </row>
    <row r="1115" spans="1:7" x14ac:dyDescent="0.25">
      <c r="A1115" s="111" t="str">
        <f t="shared" si="17"/>
        <v>JDH4-02-007-CN-3360</v>
      </c>
      <c r="B1115" t="s">
        <v>1774</v>
      </c>
      <c r="C1115" t="s">
        <v>1724</v>
      </c>
      <c r="D1115" s="1">
        <v>12402.74</v>
      </c>
      <c r="E1115" s="3">
        <v>1</v>
      </c>
      <c r="F1115" s="3">
        <v>1</v>
      </c>
      <c r="G1115" s="1">
        <v>12402.74</v>
      </c>
    </row>
    <row r="1116" spans="1:7" x14ac:dyDescent="0.25">
      <c r="A1116" s="111" t="str">
        <f t="shared" si="17"/>
        <v>JDH4-02-007-CN-3430</v>
      </c>
      <c r="B1116" t="s">
        <v>1775</v>
      </c>
      <c r="C1116" t="s">
        <v>1726</v>
      </c>
      <c r="D1116" s="1">
        <v>6201.37</v>
      </c>
      <c r="E1116" s="3">
        <v>1</v>
      </c>
      <c r="F1116" s="3">
        <v>1</v>
      </c>
      <c r="G1116" s="1">
        <v>6201.37</v>
      </c>
    </row>
    <row r="1117" spans="1:7" x14ac:dyDescent="0.25">
      <c r="A1117" s="111" t="str">
        <f t="shared" si="17"/>
        <v>JDH4-02-007-CN-3500</v>
      </c>
      <c r="B1117" t="s">
        <v>1776</v>
      </c>
      <c r="C1117" t="s">
        <v>1762</v>
      </c>
      <c r="D1117" s="1">
        <v>62013.62</v>
      </c>
      <c r="E1117" s="3">
        <v>1</v>
      </c>
      <c r="F1117" s="3">
        <v>1</v>
      </c>
      <c r="G1117" s="1">
        <v>62013.62</v>
      </c>
    </row>
    <row r="1118" spans="1:7" x14ac:dyDescent="0.25">
      <c r="A1118" s="111" t="str">
        <f t="shared" si="17"/>
        <v>JDH4-02-007-CN-3570</v>
      </c>
      <c r="B1118" t="s">
        <v>1777</v>
      </c>
      <c r="C1118" t="s">
        <v>1764</v>
      </c>
      <c r="D1118" s="1">
        <v>24805.439999999999</v>
      </c>
      <c r="E1118" s="3">
        <v>1</v>
      </c>
      <c r="F1118" s="3">
        <v>1</v>
      </c>
      <c r="G1118" s="1">
        <v>24805.439999999999</v>
      </c>
    </row>
    <row r="1119" spans="1:7" x14ac:dyDescent="0.25">
      <c r="A1119" s="111" t="str">
        <f t="shared" si="17"/>
        <v>JDH4-02-007-CN-3640</v>
      </c>
      <c r="B1119" t="s">
        <v>1778</v>
      </c>
      <c r="C1119" t="s">
        <v>1730</v>
      </c>
      <c r="D1119" s="1">
        <v>6201.37</v>
      </c>
      <c r="E1119" s="3">
        <v>1</v>
      </c>
      <c r="F1119" s="3">
        <v>1</v>
      </c>
      <c r="G1119" s="1">
        <v>6201.37</v>
      </c>
    </row>
    <row r="1120" spans="1:7" x14ac:dyDescent="0.25">
      <c r="A1120" s="111" t="str">
        <f t="shared" si="17"/>
        <v>JDH4-02-007-CN-3710</v>
      </c>
      <c r="B1120" t="s">
        <v>1779</v>
      </c>
      <c r="C1120" t="s">
        <v>1780</v>
      </c>
      <c r="D1120" s="1">
        <v>12402.74</v>
      </c>
      <c r="E1120" s="3">
        <v>1</v>
      </c>
      <c r="F1120" s="3">
        <v>1</v>
      </c>
      <c r="G1120" s="1">
        <v>12402.74</v>
      </c>
    </row>
    <row r="1121" spans="1:7" x14ac:dyDescent="0.25">
      <c r="A1121" s="111" t="str">
        <f t="shared" si="17"/>
        <v>Pipe Encasement</v>
      </c>
      <c r="B1121" t="s">
        <v>1733</v>
      </c>
      <c r="D1121" s="1">
        <v>9796.16</v>
      </c>
      <c r="E1121" s="3"/>
      <c r="F1121" s="3">
        <v>1</v>
      </c>
      <c r="G1121" s="1">
        <v>9796.16</v>
      </c>
    </row>
    <row r="1122" spans="1:7" x14ac:dyDescent="0.25">
      <c r="A1122" s="111" t="str">
        <f t="shared" si="17"/>
        <v>JDH4-02-007-CN-3780</v>
      </c>
      <c r="B1122" t="s">
        <v>1781</v>
      </c>
      <c r="C1122" t="s">
        <v>1771</v>
      </c>
      <c r="D1122" s="1">
        <v>9796.16</v>
      </c>
      <c r="E1122" s="3">
        <v>1</v>
      </c>
      <c r="F1122" s="3">
        <v>1</v>
      </c>
      <c r="G1122" s="1">
        <v>9796.16</v>
      </c>
    </row>
    <row r="1123" spans="1:7" x14ac:dyDescent="0.25">
      <c r="A1123" s="111" t="str">
        <f t="shared" si="17"/>
        <v>Valves</v>
      </c>
      <c r="B1123" t="s">
        <v>127</v>
      </c>
      <c r="D1123" s="1">
        <v>15768.79</v>
      </c>
      <c r="E1123" s="3"/>
      <c r="F1123" s="3">
        <v>1</v>
      </c>
      <c r="G1123" s="1">
        <v>15768.79</v>
      </c>
    </row>
    <row r="1124" spans="1:7" x14ac:dyDescent="0.25">
      <c r="A1124" s="111" t="str">
        <f t="shared" si="17"/>
        <v>JDH4-02-007-CN-3850</v>
      </c>
      <c r="B1124" t="s">
        <v>1782</v>
      </c>
      <c r="C1124" t="s">
        <v>1773</v>
      </c>
      <c r="D1124" s="1">
        <v>15768.79</v>
      </c>
      <c r="E1124" s="3">
        <v>1</v>
      </c>
      <c r="F1124" s="3">
        <v>1</v>
      </c>
      <c r="G1124" s="1">
        <v>15768.79</v>
      </c>
    </row>
    <row r="1125" spans="1:7" x14ac:dyDescent="0.25">
      <c r="A1125" s="111" t="str">
        <f t="shared" si="17"/>
        <v>Fire Hydrant</v>
      </c>
      <c r="B1125" t="s">
        <v>124</v>
      </c>
      <c r="D1125" s="1">
        <v>44152.6</v>
      </c>
      <c r="E1125" s="3"/>
      <c r="F1125" s="3">
        <v>1</v>
      </c>
      <c r="G1125" s="1">
        <v>44152.6</v>
      </c>
    </row>
    <row r="1126" spans="1:7" x14ac:dyDescent="0.25">
      <c r="A1126" s="111" t="str">
        <f t="shared" si="17"/>
        <v>JDH4-02-007-CN-3940</v>
      </c>
      <c r="B1126" t="s">
        <v>1783</v>
      </c>
      <c r="C1126" t="s">
        <v>1784</v>
      </c>
      <c r="D1126" s="1">
        <v>44152.6</v>
      </c>
      <c r="E1126" s="3">
        <v>1</v>
      </c>
      <c r="F1126" s="3">
        <v>1</v>
      </c>
      <c r="G1126" s="1">
        <v>44152.6</v>
      </c>
    </row>
    <row r="1127" spans="1:7" x14ac:dyDescent="0.25">
      <c r="A1127" s="111" t="str">
        <f t="shared" si="17"/>
        <v>Electrical Works</v>
      </c>
      <c r="B1127" t="s">
        <v>1785</v>
      </c>
      <c r="D1127" s="1">
        <v>386983.51</v>
      </c>
      <c r="E1127" s="3"/>
      <c r="F1127" s="3">
        <v>1</v>
      </c>
      <c r="G1127" s="1">
        <v>386983.51</v>
      </c>
    </row>
    <row r="1128" spans="1:7" x14ac:dyDescent="0.25">
      <c r="A1128" s="111" t="str">
        <f t="shared" si="17"/>
        <v>Street Lighting</v>
      </c>
      <c r="B1128" t="s">
        <v>1786</v>
      </c>
      <c r="D1128" s="1">
        <v>173158.79</v>
      </c>
      <c r="F1128" s="3">
        <v>1</v>
      </c>
      <c r="G1128" s="1">
        <v>173158.79</v>
      </c>
    </row>
    <row r="1129" spans="1:7" x14ac:dyDescent="0.25">
      <c r="A1129" s="111" t="str">
        <f t="shared" si="17"/>
        <v>JDH4-02-007-CN-2830</v>
      </c>
      <c r="B1129" t="s">
        <v>1789</v>
      </c>
      <c r="C1129" t="s">
        <v>1790</v>
      </c>
      <c r="D1129" s="1">
        <v>17941.62</v>
      </c>
      <c r="E1129" s="3">
        <v>1</v>
      </c>
      <c r="F1129" s="3">
        <v>1</v>
      </c>
      <c r="G1129" s="1">
        <v>17941.62</v>
      </c>
    </row>
    <row r="1130" spans="1:7" x14ac:dyDescent="0.25">
      <c r="A1130" s="111" t="str">
        <f t="shared" si="17"/>
        <v>JDH4-02-007-CN-2820</v>
      </c>
      <c r="B1130" t="s">
        <v>1787</v>
      </c>
      <c r="C1130" t="s">
        <v>1788</v>
      </c>
      <c r="D1130" s="1">
        <v>9991.1</v>
      </c>
      <c r="E1130" s="3">
        <v>1</v>
      </c>
      <c r="F1130" s="3">
        <v>1</v>
      </c>
      <c r="G1130" s="1">
        <v>9991.1</v>
      </c>
    </row>
    <row r="1131" spans="1:7" x14ac:dyDescent="0.25">
      <c r="A1131" s="111" t="str">
        <f t="shared" si="17"/>
        <v>JDH4-02-007-CN-2880</v>
      </c>
      <c r="B1131" t="s">
        <v>1791</v>
      </c>
      <c r="C1131" t="s">
        <v>1792</v>
      </c>
      <c r="D1131" s="1">
        <v>50825.95</v>
      </c>
      <c r="E1131" s="3">
        <v>1</v>
      </c>
      <c r="F1131" s="3">
        <v>1</v>
      </c>
      <c r="G1131" s="1">
        <v>50825.95</v>
      </c>
    </row>
    <row r="1132" spans="1:7" x14ac:dyDescent="0.25">
      <c r="A1132" s="111" t="str">
        <f t="shared" si="17"/>
        <v>JDH4-02-007-CN-2920</v>
      </c>
      <c r="B1132" t="s">
        <v>1793</v>
      </c>
      <c r="C1132" t="s">
        <v>1794</v>
      </c>
      <c r="D1132" s="1">
        <v>73193.61</v>
      </c>
      <c r="E1132" s="3">
        <v>1</v>
      </c>
      <c r="F1132" s="3">
        <v>1</v>
      </c>
      <c r="G1132" s="1">
        <v>73193.61</v>
      </c>
    </row>
    <row r="1133" spans="1:7" x14ac:dyDescent="0.25">
      <c r="A1133" s="111" t="str">
        <f t="shared" si="17"/>
        <v>JDH4-02-007-CN-2960</v>
      </c>
      <c r="B1133" t="s">
        <v>1795</v>
      </c>
      <c r="C1133" t="s">
        <v>1796</v>
      </c>
      <c r="D1133" s="1">
        <v>17422</v>
      </c>
      <c r="E1133" s="3">
        <v>1</v>
      </c>
      <c r="F1133" s="3">
        <v>1</v>
      </c>
      <c r="G1133" s="1">
        <v>17422</v>
      </c>
    </row>
    <row r="1134" spans="1:7" x14ac:dyDescent="0.25">
      <c r="A1134" s="111" t="str">
        <f t="shared" si="17"/>
        <v>JDH4-02-007-CN-2990</v>
      </c>
      <c r="B1134" t="s">
        <v>1797</v>
      </c>
      <c r="C1134" t="s">
        <v>1798</v>
      </c>
      <c r="D1134" s="1">
        <v>3784.51</v>
      </c>
      <c r="E1134" s="3">
        <v>1</v>
      </c>
      <c r="F1134" s="3">
        <v>1</v>
      </c>
      <c r="G1134" s="1">
        <v>3784.51</v>
      </c>
    </row>
    <row r="1135" spans="1:7" x14ac:dyDescent="0.25">
      <c r="A1135" s="111" t="str">
        <f t="shared" si="17"/>
        <v>Telecommunication</v>
      </c>
      <c r="B1135" t="s">
        <v>1799</v>
      </c>
      <c r="D1135" s="1">
        <v>213824.72</v>
      </c>
      <c r="E1135" s="3"/>
      <c r="F1135" s="2">
        <v>1</v>
      </c>
      <c r="G1135" s="1">
        <v>213824.72</v>
      </c>
    </row>
    <row r="1136" spans="1:7" x14ac:dyDescent="0.25">
      <c r="A1136" s="111" t="str">
        <f t="shared" si="17"/>
        <v>JDH4-02-007-CN-3110</v>
      </c>
      <c r="B1136" t="s">
        <v>1800</v>
      </c>
      <c r="C1136" t="s">
        <v>1801</v>
      </c>
      <c r="D1136" s="1">
        <v>182034.85</v>
      </c>
      <c r="E1136" s="3">
        <v>1</v>
      </c>
      <c r="F1136" s="2">
        <v>1</v>
      </c>
      <c r="G1136" s="1">
        <v>182034.85</v>
      </c>
    </row>
    <row r="1137" spans="1:7" x14ac:dyDescent="0.25">
      <c r="A1137" s="111" t="str">
        <f t="shared" si="17"/>
        <v>JDH4-02-007-CN-3180</v>
      </c>
      <c r="B1137" t="s">
        <v>1802</v>
      </c>
      <c r="C1137" t="s">
        <v>1803</v>
      </c>
      <c r="D1137" s="1">
        <v>3406.06</v>
      </c>
      <c r="E1137" s="3">
        <v>1</v>
      </c>
      <c r="F1137" s="3">
        <v>1</v>
      </c>
      <c r="G1137" s="1">
        <v>3406.06</v>
      </c>
    </row>
    <row r="1138" spans="1:7" x14ac:dyDescent="0.25">
      <c r="A1138" s="111" t="str">
        <f t="shared" si="17"/>
        <v>JDH4-02-007-CN-3290</v>
      </c>
      <c r="B1138" t="s">
        <v>1804</v>
      </c>
      <c r="C1138" t="s">
        <v>1758</v>
      </c>
      <c r="D1138" s="1">
        <v>28383.81</v>
      </c>
      <c r="E1138" s="3">
        <v>1</v>
      </c>
      <c r="F1138" s="3">
        <v>1</v>
      </c>
      <c r="G1138" s="1">
        <v>28383.81</v>
      </c>
    </row>
    <row r="1139" spans="1:7" x14ac:dyDescent="0.25">
      <c r="A1139" s="111" t="str">
        <f t="shared" si="17"/>
        <v>Road 08</v>
      </c>
      <c r="B1139" t="s">
        <v>1805</v>
      </c>
      <c r="D1139" s="1">
        <v>5696664.3600000003</v>
      </c>
      <c r="E1139" s="3"/>
      <c r="F1139" s="3">
        <v>1</v>
      </c>
      <c r="G1139" s="1">
        <v>5696664.3600000003</v>
      </c>
    </row>
    <row r="1140" spans="1:7" x14ac:dyDescent="0.25">
      <c r="A1140" s="111" t="str">
        <f t="shared" si="17"/>
        <v>Road Works + Roundabout</v>
      </c>
      <c r="B1140" t="s">
        <v>1685</v>
      </c>
      <c r="D1140" s="1">
        <v>3190850.42</v>
      </c>
      <c r="E1140" s="3"/>
      <c r="F1140" s="3">
        <v>1</v>
      </c>
      <c r="G1140" s="1">
        <v>3190850.42</v>
      </c>
    </row>
    <row r="1141" spans="1:7" x14ac:dyDescent="0.25">
      <c r="A1141" s="111" t="str">
        <f t="shared" si="17"/>
        <v>Eartworks &amp; Site grading</v>
      </c>
      <c r="B1141" t="s">
        <v>1686</v>
      </c>
      <c r="D1141" s="1">
        <v>1378559.54</v>
      </c>
      <c r="E1141" s="3"/>
      <c r="F1141" s="3">
        <v>1</v>
      </c>
      <c r="G1141" s="1">
        <v>1378559.54</v>
      </c>
    </row>
    <row r="1142" spans="1:7" x14ac:dyDescent="0.25">
      <c r="A1142" s="111" t="str">
        <f t="shared" si="17"/>
        <v>JDH4-02-007-CN-1710</v>
      </c>
      <c r="B1142" t="s">
        <v>1808</v>
      </c>
      <c r="C1142" t="s">
        <v>4062</v>
      </c>
      <c r="D1142" s="1">
        <v>21754.74</v>
      </c>
      <c r="E1142" s="3">
        <v>1</v>
      </c>
      <c r="F1142" s="3">
        <v>1</v>
      </c>
      <c r="G1142" s="1">
        <v>21754.74</v>
      </c>
    </row>
    <row r="1143" spans="1:7" x14ac:dyDescent="0.25">
      <c r="A1143" s="111" t="str">
        <f t="shared" si="17"/>
        <v>JDH4-02-007-CN-1770</v>
      </c>
      <c r="B1143" t="s">
        <v>1806</v>
      </c>
      <c r="C1143" t="s">
        <v>4063</v>
      </c>
      <c r="D1143" s="1">
        <v>673400.08</v>
      </c>
      <c r="E1143" s="3">
        <v>1</v>
      </c>
      <c r="F1143" s="3">
        <v>1</v>
      </c>
      <c r="G1143" s="1">
        <v>673400.08</v>
      </c>
    </row>
    <row r="1144" spans="1:7" x14ac:dyDescent="0.25">
      <c r="A1144" s="111" t="str">
        <f t="shared" si="17"/>
        <v>JDH4-02-007-CN-1770R</v>
      </c>
      <c r="B1144" t="s">
        <v>4064</v>
      </c>
      <c r="C1144" t="s">
        <v>1807</v>
      </c>
      <c r="D1144" s="1">
        <v>550963.69999999995</v>
      </c>
      <c r="E1144" s="3">
        <v>1</v>
      </c>
      <c r="F1144" s="3">
        <v>1</v>
      </c>
      <c r="G1144" s="1">
        <v>550963.69999999995</v>
      </c>
    </row>
    <row r="1145" spans="1:7" x14ac:dyDescent="0.25">
      <c r="A1145" s="111" t="str">
        <f t="shared" si="17"/>
        <v>JDH4-02-007-CN-1710R</v>
      </c>
      <c r="B1145" t="s">
        <v>4065</v>
      </c>
      <c r="C1145" t="s">
        <v>1809</v>
      </c>
      <c r="D1145" s="1">
        <v>9323.4599999999991</v>
      </c>
      <c r="E1145" s="3">
        <v>1</v>
      </c>
      <c r="F1145" s="2">
        <v>1</v>
      </c>
      <c r="G1145" s="1">
        <v>9323.4599999999991</v>
      </c>
    </row>
    <row r="1146" spans="1:7" x14ac:dyDescent="0.25">
      <c r="A1146" s="111" t="str">
        <f t="shared" si="17"/>
        <v>JDH4-02-007-CN-1890</v>
      </c>
      <c r="B1146" t="s">
        <v>1810</v>
      </c>
      <c r="C1146" t="s">
        <v>1811</v>
      </c>
      <c r="D1146" s="1">
        <v>123117.55</v>
      </c>
      <c r="E1146" s="3">
        <v>1</v>
      </c>
      <c r="F1146" s="3">
        <v>1</v>
      </c>
      <c r="G1146" s="1">
        <v>123117.55</v>
      </c>
    </row>
    <row r="1147" spans="1:7" x14ac:dyDescent="0.25">
      <c r="A1147" s="111" t="str">
        <f t="shared" si="17"/>
        <v>Asphalt Works</v>
      </c>
      <c r="B1147" t="s">
        <v>1693</v>
      </c>
      <c r="D1147" s="1">
        <v>825025.99</v>
      </c>
      <c r="E1147" s="3"/>
      <c r="F1147" s="3">
        <v>1</v>
      </c>
      <c r="G1147" s="1">
        <v>825025.99</v>
      </c>
    </row>
    <row r="1148" spans="1:7" x14ac:dyDescent="0.25">
      <c r="A1148" s="111" t="str">
        <f t="shared" si="17"/>
        <v>JDH4-02-007-CN-1950</v>
      </c>
      <c r="B1148" t="s">
        <v>1812</v>
      </c>
      <c r="C1148" t="s">
        <v>1813</v>
      </c>
      <c r="D1148" s="1">
        <v>125409.15</v>
      </c>
      <c r="E1148" s="3">
        <v>1</v>
      </c>
      <c r="F1148" s="3">
        <v>1</v>
      </c>
      <c r="G1148" s="1">
        <v>125409.15</v>
      </c>
    </row>
    <row r="1149" spans="1:7" x14ac:dyDescent="0.25">
      <c r="A1149" s="111" t="str">
        <f t="shared" si="17"/>
        <v>JDH4-02-007-CN-2000</v>
      </c>
      <c r="B1149" t="s">
        <v>1814</v>
      </c>
      <c r="C1149" t="s">
        <v>1815</v>
      </c>
      <c r="D1149" s="1">
        <v>70000.789999999994</v>
      </c>
      <c r="E1149" s="3">
        <v>1</v>
      </c>
      <c r="F1149" s="3">
        <v>1</v>
      </c>
      <c r="G1149" s="1">
        <v>70000.789999999994</v>
      </c>
    </row>
    <row r="1150" spans="1:7" x14ac:dyDescent="0.25">
      <c r="A1150" s="111" t="str">
        <f t="shared" si="17"/>
        <v>JDH4-02-007-CN-2050</v>
      </c>
      <c r="B1150" t="s">
        <v>1816</v>
      </c>
      <c r="C1150" t="s">
        <v>1817</v>
      </c>
      <c r="D1150" s="1">
        <v>629616.05000000005</v>
      </c>
      <c r="E1150" s="3">
        <v>1</v>
      </c>
      <c r="F1150" s="3">
        <v>1</v>
      </c>
      <c r="G1150" s="1">
        <v>629616.05000000005</v>
      </c>
    </row>
    <row r="1151" spans="1:7" x14ac:dyDescent="0.25">
      <c r="A1151" s="111" t="str">
        <f t="shared" si="17"/>
        <v>Finishing Works</v>
      </c>
      <c r="B1151" t="s">
        <v>1700</v>
      </c>
      <c r="D1151" s="1">
        <v>987264.89</v>
      </c>
      <c r="E1151" s="3"/>
      <c r="F1151" s="3">
        <v>1</v>
      </c>
      <c r="G1151" s="1">
        <v>987264.89</v>
      </c>
    </row>
    <row r="1152" spans="1:7" x14ac:dyDescent="0.25">
      <c r="A1152" s="111" t="str">
        <f t="shared" si="17"/>
        <v>Asphalt Wearing Course</v>
      </c>
      <c r="B1152" t="s">
        <v>1701</v>
      </c>
      <c r="D1152" s="1">
        <v>370629.53</v>
      </c>
      <c r="E1152" s="3"/>
      <c r="F1152" s="3">
        <v>1</v>
      </c>
      <c r="G1152" s="1">
        <v>370629.53</v>
      </c>
    </row>
    <row r="1153" spans="1:7" x14ac:dyDescent="0.25">
      <c r="A1153" s="111" t="str">
        <f t="shared" si="17"/>
        <v>JDH4-02-007-CN-2100</v>
      </c>
      <c r="B1153" t="s">
        <v>1818</v>
      </c>
      <c r="C1153" t="s">
        <v>1819</v>
      </c>
      <c r="D1153" s="1">
        <v>36898.959999999999</v>
      </c>
      <c r="E1153" s="3">
        <v>1</v>
      </c>
      <c r="F1153" s="3">
        <v>1</v>
      </c>
      <c r="G1153" s="1">
        <v>36898.959999999999</v>
      </c>
    </row>
    <row r="1154" spans="1:7" x14ac:dyDescent="0.25">
      <c r="A1154" s="111" t="str">
        <f t="shared" si="17"/>
        <v>JDH4-02-007-CN-2150</v>
      </c>
      <c r="B1154" t="s">
        <v>1820</v>
      </c>
      <c r="C1154" t="s">
        <v>1821</v>
      </c>
      <c r="D1154" s="1">
        <v>333730.57</v>
      </c>
      <c r="E1154" s="3">
        <v>1</v>
      </c>
      <c r="F1154" s="2">
        <v>1</v>
      </c>
      <c r="G1154" s="1">
        <v>333730.57</v>
      </c>
    </row>
    <row r="1155" spans="1:7" x14ac:dyDescent="0.25">
      <c r="A1155" s="111" t="str">
        <f t="shared" si="17"/>
        <v>Precast Concrete Curb</v>
      </c>
      <c r="B1155" t="s">
        <v>1706</v>
      </c>
      <c r="D1155" s="1">
        <v>231115.34</v>
      </c>
      <c r="E1155" s="3"/>
      <c r="F1155" s="3">
        <v>1</v>
      </c>
      <c r="G1155" s="1">
        <v>231115.34</v>
      </c>
    </row>
    <row r="1156" spans="1:7" x14ac:dyDescent="0.25">
      <c r="A1156" s="111" t="str">
        <f t="shared" ref="A1156:A1219" si="18">TRIM(B1156)</f>
        <v>JDH4-02-007-CN-2200</v>
      </c>
      <c r="B1156" t="s">
        <v>1822</v>
      </c>
      <c r="C1156" t="s">
        <v>1823</v>
      </c>
      <c r="D1156" s="1">
        <v>231115.34</v>
      </c>
      <c r="E1156" s="3">
        <v>1</v>
      </c>
      <c r="F1156" s="3">
        <v>1</v>
      </c>
      <c r="G1156" s="1">
        <v>231115.34</v>
      </c>
    </row>
    <row r="1157" spans="1:7" x14ac:dyDescent="0.25">
      <c r="A1157" s="111" t="str">
        <f t="shared" si="18"/>
        <v>Precast Interlocking block pavers</v>
      </c>
      <c r="B1157" t="s">
        <v>1709</v>
      </c>
      <c r="D1157" s="1">
        <v>219785.33</v>
      </c>
      <c r="E1157" s="3"/>
      <c r="F1157" s="3">
        <v>1</v>
      </c>
      <c r="G1157" s="1">
        <v>219785.33</v>
      </c>
    </row>
    <row r="1158" spans="1:7" x14ac:dyDescent="0.25">
      <c r="A1158" s="111" t="str">
        <f t="shared" si="18"/>
        <v>JDH4-02-007-CN-2250</v>
      </c>
      <c r="B1158" t="s">
        <v>1824</v>
      </c>
      <c r="C1158" t="s">
        <v>1825</v>
      </c>
      <c r="D1158" s="1">
        <v>219785.33</v>
      </c>
      <c r="E1158" s="3">
        <v>1</v>
      </c>
      <c r="F1158" s="3">
        <v>1</v>
      </c>
      <c r="G1158" s="1">
        <v>219785.33</v>
      </c>
    </row>
    <row r="1159" spans="1:7" x14ac:dyDescent="0.25">
      <c r="A1159" s="111" t="str">
        <f t="shared" si="18"/>
        <v>Pavement Markings</v>
      </c>
      <c r="B1159" t="s">
        <v>1712</v>
      </c>
      <c r="D1159" s="1">
        <v>62150.42</v>
      </c>
      <c r="E1159" s="3"/>
      <c r="F1159" s="3">
        <v>1</v>
      </c>
      <c r="G1159" s="1">
        <v>62150.42</v>
      </c>
    </row>
    <row r="1160" spans="1:7" x14ac:dyDescent="0.25">
      <c r="A1160" s="111" t="str">
        <f t="shared" si="18"/>
        <v>JDH4-02-007-CN-2300</v>
      </c>
      <c r="B1160" t="s">
        <v>1826</v>
      </c>
      <c r="C1160" t="s">
        <v>1827</v>
      </c>
      <c r="D1160" s="1">
        <v>62150.42</v>
      </c>
      <c r="E1160" s="3">
        <v>1</v>
      </c>
      <c r="F1160" s="3">
        <v>1</v>
      </c>
      <c r="G1160" s="1">
        <v>62150.42</v>
      </c>
    </row>
    <row r="1161" spans="1:7" x14ac:dyDescent="0.25">
      <c r="A1161" s="111" t="str">
        <f t="shared" si="18"/>
        <v>Traffic Signage</v>
      </c>
      <c r="B1161" t="s">
        <v>1715</v>
      </c>
      <c r="D1161" s="1">
        <v>103584.27</v>
      </c>
      <c r="E1161" s="3"/>
      <c r="F1161" s="3">
        <v>1</v>
      </c>
      <c r="G1161" s="1">
        <v>103584.27</v>
      </c>
    </row>
    <row r="1162" spans="1:7" x14ac:dyDescent="0.25">
      <c r="A1162" s="111" t="str">
        <f t="shared" si="18"/>
        <v>JDH4-02-007-CN-2350</v>
      </c>
      <c r="B1162" t="s">
        <v>1828</v>
      </c>
      <c r="C1162" t="s">
        <v>1829</v>
      </c>
      <c r="D1162" s="1">
        <v>103584.27</v>
      </c>
      <c r="E1162" s="3">
        <v>1</v>
      </c>
      <c r="F1162" s="3">
        <v>1</v>
      </c>
      <c r="G1162" s="1">
        <v>103584.27</v>
      </c>
    </row>
    <row r="1163" spans="1:7" x14ac:dyDescent="0.25">
      <c r="A1163" s="111" t="str">
        <f t="shared" si="18"/>
        <v>Storm Water Drainage</v>
      </c>
      <c r="B1163" t="s">
        <v>1721</v>
      </c>
      <c r="D1163" s="1">
        <v>873781.35</v>
      </c>
      <c r="F1163" s="2">
        <v>1</v>
      </c>
      <c r="G1163" s="1">
        <v>873781.35</v>
      </c>
    </row>
    <row r="1164" spans="1:7" x14ac:dyDescent="0.25">
      <c r="A1164" s="111" t="str">
        <f t="shared" si="18"/>
        <v>Pipe Works</v>
      </c>
      <c r="B1164" t="s">
        <v>1722</v>
      </c>
      <c r="D1164" s="1">
        <v>547596.42000000004</v>
      </c>
      <c r="E1164" s="3"/>
      <c r="F1164" s="3">
        <v>1</v>
      </c>
      <c r="G1164" s="1">
        <v>547596.42000000004</v>
      </c>
    </row>
    <row r="1165" spans="1:7" x14ac:dyDescent="0.25">
      <c r="A1165" s="111" t="str">
        <f t="shared" si="18"/>
        <v>JDH4-02-007-CN-5330</v>
      </c>
      <c r="B1165" t="s">
        <v>1830</v>
      </c>
      <c r="C1165" t="s">
        <v>4066</v>
      </c>
      <c r="D1165" s="1">
        <v>8213.94</v>
      </c>
      <c r="E1165" s="3">
        <v>1</v>
      </c>
      <c r="F1165" s="3">
        <v>1</v>
      </c>
      <c r="G1165" s="1">
        <v>8213.94</v>
      </c>
    </row>
    <row r="1166" spans="1:7" x14ac:dyDescent="0.25">
      <c r="A1166" s="111" t="str">
        <f t="shared" si="18"/>
        <v>JDH4-02-007-CN-5380</v>
      </c>
      <c r="B1166" t="s">
        <v>1832</v>
      </c>
      <c r="C1166" t="s">
        <v>4067</v>
      </c>
      <c r="D1166" s="1">
        <v>4106.9799999999996</v>
      </c>
      <c r="E1166" s="3">
        <v>1</v>
      </c>
      <c r="F1166" s="3">
        <v>1</v>
      </c>
      <c r="G1166" s="1">
        <v>4106.9799999999996</v>
      </c>
    </row>
    <row r="1167" spans="1:7" x14ac:dyDescent="0.25">
      <c r="A1167" s="111" t="str">
        <f t="shared" si="18"/>
        <v>JDH4-02-007-CN-5430</v>
      </c>
      <c r="B1167" t="s">
        <v>1834</v>
      </c>
      <c r="C1167" t="s">
        <v>4068</v>
      </c>
      <c r="D1167" s="1">
        <v>57497.63</v>
      </c>
      <c r="E1167" s="3">
        <v>1</v>
      </c>
      <c r="F1167" s="3">
        <v>1</v>
      </c>
      <c r="G1167" s="1">
        <v>57497.63</v>
      </c>
    </row>
    <row r="1168" spans="1:7" x14ac:dyDescent="0.25">
      <c r="A1168" s="111" t="str">
        <f t="shared" si="18"/>
        <v>JDH4-02-007-CN-5480</v>
      </c>
      <c r="B1168" t="s">
        <v>1836</v>
      </c>
      <c r="C1168" t="s">
        <v>4069</v>
      </c>
      <c r="D1168" s="1">
        <v>4106.9799999999996</v>
      </c>
      <c r="E1168" s="3">
        <v>1</v>
      </c>
      <c r="F1168" s="3">
        <v>1</v>
      </c>
      <c r="G1168" s="1">
        <v>4106.9799999999996</v>
      </c>
    </row>
    <row r="1169" spans="1:7" x14ac:dyDescent="0.25">
      <c r="A1169" s="111" t="str">
        <f t="shared" si="18"/>
        <v>JDH4-02-007-CN-5530</v>
      </c>
      <c r="B1169" t="s">
        <v>1838</v>
      </c>
      <c r="C1169" t="s">
        <v>4070</v>
      </c>
      <c r="D1169" s="1">
        <v>8213.94</v>
      </c>
      <c r="E1169" s="3">
        <v>1</v>
      </c>
      <c r="F1169" s="3">
        <v>1</v>
      </c>
      <c r="G1169" s="1">
        <v>8213.94</v>
      </c>
    </row>
    <row r="1170" spans="1:7" x14ac:dyDescent="0.25">
      <c r="A1170" s="111" t="str">
        <f t="shared" si="18"/>
        <v>JDH4-02-007-CN-5330R</v>
      </c>
      <c r="B1170" t="s">
        <v>4071</v>
      </c>
      <c r="C1170" t="s">
        <v>1831</v>
      </c>
      <c r="D1170" s="1">
        <v>46545.67</v>
      </c>
      <c r="E1170" s="3">
        <v>1</v>
      </c>
      <c r="F1170" s="3">
        <v>1</v>
      </c>
      <c r="G1170" s="1">
        <v>46545.67</v>
      </c>
    </row>
    <row r="1171" spans="1:7" x14ac:dyDescent="0.25">
      <c r="A1171" s="111" t="str">
        <f t="shared" si="18"/>
        <v>JDH4-02-007-CN-5380R</v>
      </c>
      <c r="B1171" t="s">
        <v>4072</v>
      </c>
      <c r="C1171" t="s">
        <v>1833</v>
      </c>
      <c r="D1171" s="1">
        <v>23272.86</v>
      </c>
      <c r="E1171" s="3">
        <v>1</v>
      </c>
      <c r="F1171" s="3">
        <v>1</v>
      </c>
      <c r="G1171" s="1">
        <v>23272.86</v>
      </c>
    </row>
    <row r="1172" spans="1:7" x14ac:dyDescent="0.25">
      <c r="A1172" s="111" t="str">
        <f t="shared" si="18"/>
        <v>JDH4-02-007-CN-5430R</v>
      </c>
      <c r="B1172" t="s">
        <v>4073</v>
      </c>
      <c r="C1172" t="s">
        <v>1835</v>
      </c>
      <c r="D1172" s="1">
        <v>325819.88</v>
      </c>
      <c r="E1172" s="2">
        <v>1</v>
      </c>
      <c r="F1172" s="3">
        <v>1</v>
      </c>
      <c r="G1172" s="1">
        <v>325819.88</v>
      </c>
    </row>
    <row r="1173" spans="1:7" x14ac:dyDescent="0.25">
      <c r="A1173" s="111" t="str">
        <f t="shared" si="18"/>
        <v>JDH4-02-007-CN-5530R</v>
      </c>
      <c r="B1173" t="s">
        <v>4074</v>
      </c>
      <c r="C1173" t="s">
        <v>1839</v>
      </c>
      <c r="D1173" s="1">
        <v>46545.67</v>
      </c>
      <c r="E1173" s="3">
        <v>1</v>
      </c>
      <c r="F1173" s="3">
        <v>1</v>
      </c>
      <c r="G1173" s="1">
        <v>46545.67</v>
      </c>
    </row>
    <row r="1174" spans="1:7" x14ac:dyDescent="0.25">
      <c r="A1174" s="111" t="str">
        <f t="shared" si="18"/>
        <v>JDH4-02-007-CN-5480R</v>
      </c>
      <c r="B1174" t="s">
        <v>4075</v>
      </c>
      <c r="C1174" t="s">
        <v>1837</v>
      </c>
      <c r="D1174" s="1">
        <v>23272.86</v>
      </c>
      <c r="E1174" s="3">
        <v>1</v>
      </c>
      <c r="F1174" s="3">
        <v>1</v>
      </c>
      <c r="G1174" s="1">
        <v>23272.86</v>
      </c>
    </row>
    <row r="1175" spans="1:7" x14ac:dyDescent="0.25">
      <c r="A1175" s="111" t="str">
        <f t="shared" si="18"/>
        <v>Pipe Encasement</v>
      </c>
      <c r="B1175" t="s">
        <v>1733</v>
      </c>
      <c r="D1175" s="1">
        <v>20926.82</v>
      </c>
      <c r="E1175" s="3"/>
      <c r="F1175" s="3">
        <v>1</v>
      </c>
      <c r="G1175" s="1">
        <v>20926.82</v>
      </c>
    </row>
    <row r="1176" spans="1:7" x14ac:dyDescent="0.25">
      <c r="A1176" s="111" t="str">
        <f t="shared" si="18"/>
        <v>JDH4-02-007-CN-5800</v>
      </c>
      <c r="B1176" t="s">
        <v>1840</v>
      </c>
      <c r="C1176" t="s">
        <v>1841</v>
      </c>
      <c r="D1176" s="1">
        <v>20926.82</v>
      </c>
      <c r="E1176" s="3">
        <v>1</v>
      </c>
      <c r="F1176" s="3">
        <v>1</v>
      </c>
      <c r="G1176" s="1">
        <v>20926.82</v>
      </c>
    </row>
    <row r="1177" spans="1:7" x14ac:dyDescent="0.25">
      <c r="A1177" s="111" t="str">
        <f t="shared" si="18"/>
        <v>Manholes</v>
      </c>
      <c r="B1177" t="s">
        <v>486</v>
      </c>
      <c r="D1177" s="1">
        <v>224206.55</v>
      </c>
      <c r="E1177" s="3"/>
      <c r="F1177" s="3">
        <v>1</v>
      </c>
      <c r="G1177" s="1">
        <v>224206.55</v>
      </c>
    </row>
    <row r="1178" spans="1:7" x14ac:dyDescent="0.25">
      <c r="A1178" s="111" t="str">
        <f t="shared" si="18"/>
        <v>JDH4-02-007-CN-5630</v>
      </c>
      <c r="B1178" t="s">
        <v>1842</v>
      </c>
      <c r="C1178" t="s">
        <v>1843</v>
      </c>
      <c r="D1178" s="1">
        <v>224206.55</v>
      </c>
      <c r="E1178" s="3">
        <v>1</v>
      </c>
      <c r="F1178" s="3">
        <v>1</v>
      </c>
      <c r="G1178" s="1">
        <v>224206.55</v>
      </c>
    </row>
    <row r="1179" spans="1:7" x14ac:dyDescent="0.25">
      <c r="A1179" s="111" t="str">
        <f t="shared" si="18"/>
        <v>Precast Acces Openinig</v>
      </c>
      <c r="B1179" t="s">
        <v>1738</v>
      </c>
      <c r="D1179" s="1">
        <v>11353.53</v>
      </c>
      <c r="E1179" s="3"/>
      <c r="F1179" s="3">
        <v>1</v>
      </c>
      <c r="G1179" s="1">
        <v>11353.53</v>
      </c>
    </row>
    <row r="1180" spans="1:7" x14ac:dyDescent="0.25">
      <c r="A1180" s="111" t="str">
        <f t="shared" si="18"/>
        <v>JDH4-02-007-CN-5680</v>
      </c>
      <c r="B1180" t="s">
        <v>1844</v>
      </c>
      <c r="C1180" t="s">
        <v>1845</v>
      </c>
      <c r="D1180" s="1">
        <v>11353.53</v>
      </c>
      <c r="E1180" s="3">
        <v>1</v>
      </c>
      <c r="F1180" s="3">
        <v>1</v>
      </c>
      <c r="G1180" s="1">
        <v>11353.53</v>
      </c>
    </row>
    <row r="1181" spans="1:7" x14ac:dyDescent="0.25">
      <c r="A1181" s="111" t="str">
        <f t="shared" si="18"/>
        <v>Catch Basins</v>
      </c>
      <c r="B1181" t="s">
        <v>1741</v>
      </c>
      <c r="D1181" s="1">
        <v>69698.03</v>
      </c>
      <c r="E1181" s="3"/>
      <c r="F1181" s="2">
        <v>1</v>
      </c>
      <c r="G1181" s="1">
        <v>69698.03</v>
      </c>
    </row>
    <row r="1182" spans="1:7" x14ac:dyDescent="0.25">
      <c r="A1182" s="111" t="str">
        <f t="shared" si="18"/>
        <v>JDH4-02-007-CN-5730</v>
      </c>
      <c r="B1182" t="s">
        <v>1846</v>
      </c>
      <c r="C1182" t="s">
        <v>1847</v>
      </c>
      <c r="D1182" s="1">
        <v>69698.03</v>
      </c>
      <c r="E1182" s="3">
        <v>1</v>
      </c>
      <c r="F1182" s="2">
        <v>1</v>
      </c>
      <c r="G1182" s="1">
        <v>69698.03</v>
      </c>
    </row>
    <row r="1183" spans="1:7" x14ac:dyDescent="0.25">
      <c r="A1183" s="111" t="str">
        <f t="shared" si="18"/>
        <v>Sewerage Network</v>
      </c>
      <c r="B1183" t="s">
        <v>221</v>
      </c>
      <c r="D1183" s="1">
        <v>558310.64</v>
      </c>
      <c r="E1183" s="3"/>
      <c r="F1183" s="2">
        <v>1</v>
      </c>
      <c r="G1183" s="1">
        <v>558310.64</v>
      </c>
    </row>
    <row r="1184" spans="1:7" x14ac:dyDescent="0.25">
      <c r="A1184" s="111" t="str">
        <f t="shared" si="18"/>
        <v>Pipe Works</v>
      </c>
      <c r="B1184" t="s">
        <v>1722</v>
      </c>
      <c r="D1184" s="1">
        <v>329545.92</v>
      </c>
      <c r="E1184" s="3"/>
      <c r="F1184" s="2">
        <v>1</v>
      </c>
      <c r="G1184" s="1">
        <v>329545.92</v>
      </c>
    </row>
    <row r="1185" spans="1:7" x14ac:dyDescent="0.25">
      <c r="A1185" s="111" t="str">
        <f t="shared" si="18"/>
        <v>JDH4-02-007-CN-4780</v>
      </c>
      <c r="B1185" t="s">
        <v>1848</v>
      </c>
      <c r="C1185" t="s">
        <v>1849</v>
      </c>
      <c r="D1185" s="1">
        <v>32954.6</v>
      </c>
      <c r="E1185" s="3">
        <v>1</v>
      </c>
      <c r="F1185" s="3">
        <v>1</v>
      </c>
      <c r="G1185" s="1">
        <v>32954.6</v>
      </c>
    </row>
    <row r="1186" spans="1:7" x14ac:dyDescent="0.25">
      <c r="A1186" s="111" t="str">
        <f t="shared" si="18"/>
        <v>JDH4-02-007-CN-4850</v>
      </c>
      <c r="B1186" t="s">
        <v>1850</v>
      </c>
      <c r="C1186" t="s">
        <v>1833</v>
      </c>
      <c r="D1186" s="1">
        <v>16477.28</v>
      </c>
      <c r="E1186" s="3">
        <v>1</v>
      </c>
      <c r="F1186" s="3">
        <v>1</v>
      </c>
      <c r="G1186" s="1">
        <v>16477.28</v>
      </c>
    </row>
    <row r="1187" spans="1:7" x14ac:dyDescent="0.25">
      <c r="A1187" s="111" t="str">
        <f t="shared" si="18"/>
        <v>JDH4-02-007-CN-4920</v>
      </c>
      <c r="B1187" t="s">
        <v>1851</v>
      </c>
      <c r="C1187" t="s">
        <v>1852</v>
      </c>
      <c r="D1187" s="1">
        <v>164772.96</v>
      </c>
      <c r="E1187" s="3">
        <v>1</v>
      </c>
      <c r="F1187" s="3">
        <v>1</v>
      </c>
      <c r="G1187" s="1">
        <v>164772.96</v>
      </c>
    </row>
    <row r="1188" spans="1:7" x14ac:dyDescent="0.25">
      <c r="A1188" s="111" t="str">
        <f t="shared" si="18"/>
        <v>JDH4-02-007-CN-4990</v>
      </c>
      <c r="B1188" t="s">
        <v>1853</v>
      </c>
      <c r="C1188" t="s">
        <v>1854</v>
      </c>
      <c r="D1188" s="1">
        <v>65909.2</v>
      </c>
      <c r="E1188" s="3">
        <v>1</v>
      </c>
      <c r="F1188" s="3">
        <v>1</v>
      </c>
      <c r="G1188" s="1">
        <v>65909.2</v>
      </c>
    </row>
    <row r="1189" spans="1:7" x14ac:dyDescent="0.25">
      <c r="A1189" s="111" t="str">
        <f t="shared" si="18"/>
        <v>JDH4-02-007-CN-5060</v>
      </c>
      <c r="B1189" t="s">
        <v>1855</v>
      </c>
      <c r="C1189" t="s">
        <v>1837</v>
      </c>
      <c r="D1189" s="1">
        <v>16477.28</v>
      </c>
      <c r="E1189" s="3">
        <v>1</v>
      </c>
      <c r="F1189" s="3">
        <v>1</v>
      </c>
      <c r="G1189" s="1">
        <v>16477.28</v>
      </c>
    </row>
    <row r="1190" spans="1:7" x14ac:dyDescent="0.25">
      <c r="A1190" s="111" t="str">
        <f t="shared" si="18"/>
        <v>JDH4-02-007-CN-5130</v>
      </c>
      <c r="B1190" t="s">
        <v>1856</v>
      </c>
      <c r="C1190" t="s">
        <v>1839</v>
      </c>
      <c r="D1190" s="1">
        <v>32954.6</v>
      </c>
      <c r="E1190" s="3">
        <v>1</v>
      </c>
      <c r="F1190" s="3">
        <v>1</v>
      </c>
      <c r="G1190" s="1">
        <v>32954.6</v>
      </c>
    </row>
    <row r="1191" spans="1:7" x14ac:dyDescent="0.25">
      <c r="A1191" s="111" t="str">
        <f t="shared" si="18"/>
        <v>Pipe Encasement</v>
      </c>
      <c r="B1191" t="s">
        <v>1733</v>
      </c>
      <c r="D1191" s="1">
        <v>1673.19</v>
      </c>
      <c r="E1191" s="3"/>
      <c r="F1191" s="3">
        <v>1</v>
      </c>
      <c r="G1191" s="1">
        <v>1673.19</v>
      </c>
    </row>
    <row r="1192" spans="1:7" x14ac:dyDescent="0.25">
      <c r="A1192" s="111" t="str">
        <f t="shared" si="18"/>
        <v>JDH4-02-007-CN-5270</v>
      </c>
      <c r="B1192" t="s">
        <v>1857</v>
      </c>
      <c r="C1192" t="s">
        <v>1841</v>
      </c>
      <c r="D1192" s="1">
        <v>1673.19</v>
      </c>
      <c r="E1192" s="3">
        <v>1</v>
      </c>
      <c r="F1192" s="3">
        <v>1</v>
      </c>
      <c r="G1192" s="1">
        <v>1673.19</v>
      </c>
    </row>
    <row r="1193" spans="1:7" x14ac:dyDescent="0.25">
      <c r="A1193" s="111" t="str">
        <f t="shared" si="18"/>
        <v>Manholes</v>
      </c>
      <c r="B1193" t="s">
        <v>486</v>
      </c>
      <c r="D1193" s="1">
        <v>227091.53</v>
      </c>
      <c r="F1193" s="3">
        <v>1</v>
      </c>
      <c r="G1193" s="1">
        <v>227091.53</v>
      </c>
    </row>
    <row r="1194" spans="1:7" x14ac:dyDescent="0.25">
      <c r="A1194" s="111" t="str">
        <f t="shared" si="18"/>
        <v>JDH4-02-007-CN-5200</v>
      </c>
      <c r="B1194" t="s">
        <v>1858</v>
      </c>
      <c r="C1194" t="s">
        <v>1859</v>
      </c>
      <c r="D1194" s="1">
        <v>227091.53</v>
      </c>
      <c r="E1194" s="3">
        <v>1</v>
      </c>
      <c r="F1194" s="3">
        <v>1</v>
      </c>
      <c r="G1194" s="1">
        <v>227091.53</v>
      </c>
    </row>
    <row r="1195" spans="1:7" x14ac:dyDescent="0.25">
      <c r="A1195" s="111" t="str">
        <f t="shared" si="18"/>
        <v>TSE Network</v>
      </c>
      <c r="B1195" t="s">
        <v>491</v>
      </c>
      <c r="D1195" s="1">
        <v>229231.81</v>
      </c>
      <c r="E1195" s="3"/>
      <c r="F1195" s="3">
        <v>1</v>
      </c>
      <c r="G1195" s="1">
        <v>229231.81</v>
      </c>
    </row>
    <row r="1196" spans="1:7" x14ac:dyDescent="0.25">
      <c r="A1196" s="111" t="str">
        <f t="shared" si="18"/>
        <v>Pipe Works</v>
      </c>
      <c r="B1196" t="s">
        <v>1722</v>
      </c>
      <c r="D1196" s="1">
        <v>195413.82</v>
      </c>
      <c r="E1196" s="3"/>
      <c r="F1196" s="3">
        <v>1</v>
      </c>
      <c r="G1196" s="1">
        <v>195413.82</v>
      </c>
    </row>
    <row r="1197" spans="1:7" x14ac:dyDescent="0.25">
      <c r="A1197" s="111" t="str">
        <f t="shared" si="18"/>
        <v>JDH4-02-007-CN-4000</v>
      </c>
      <c r="B1197" t="s">
        <v>1860</v>
      </c>
      <c r="C1197" t="s">
        <v>1831</v>
      </c>
      <c r="D1197" s="1">
        <v>18710.259999999998</v>
      </c>
      <c r="E1197" s="3">
        <v>1</v>
      </c>
      <c r="F1197" s="3">
        <v>1</v>
      </c>
      <c r="G1197" s="1">
        <v>18710.259999999998</v>
      </c>
    </row>
    <row r="1198" spans="1:7" x14ac:dyDescent="0.25">
      <c r="A1198" s="111" t="str">
        <f t="shared" si="18"/>
        <v>JDH4-02-007-CN-4070</v>
      </c>
      <c r="B1198" t="s">
        <v>1861</v>
      </c>
      <c r="C1198" t="s">
        <v>1833</v>
      </c>
      <c r="D1198" s="1">
        <v>9355.16</v>
      </c>
      <c r="E1198" s="3">
        <v>1</v>
      </c>
      <c r="F1198" s="3">
        <v>1</v>
      </c>
      <c r="G1198" s="1">
        <v>9355.16</v>
      </c>
    </row>
    <row r="1199" spans="1:7" x14ac:dyDescent="0.25">
      <c r="A1199" s="111" t="str">
        <f t="shared" si="18"/>
        <v>JDH4-02-007-CN-4140</v>
      </c>
      <c r="B1199" t="s">
        <v>1862</v>
      </c>
      <c r="C1199" t="s">
        <v>1863</v>
      </c>
      <c r="D1199" s="1">
        <v>93551.37</v>
      </c>
      <c r="E1199" s="3">
        <v>1</v>
      </c>
      <c r="F1199" s="3">
        <v>1</v>
      </c>
      <c r="G1199" s="1">
        <v>93551.37</v>
      </c>
    </row>
    <row r="1200" spans="1:7" x14ac:dyDescent="0.25">
      <c r="A1200" s="111" t="str">
        <f t="shared" si="18"/>
        <v>JDH4-02-007-CN-4210</v>
      </c>
      <c r="B1200" t="s">
        <v>1864</v>
      </c>
      <c r="C1200" t="s">
        <v>1865</v>
      </c>
      <c r="D1200" s="1">
        <v>37420.53</v>
      </c>
      <c r="E1200" s="3">
        <v>1</v>
      </c>
      <c r="F1200" s="3">
        <v>1</v>
      </c>
      <c r="G1200" s="1">
        <v>37420.53</v>
      </c>
    </row>
    <row r="1201" spans="1:7" x14ac:dyDescent="0.25">
      <c r="A1201" s="111" t="str">
        <f t="shared" si="18"/>
        <v>JDH4-02-007-CN-4280</v>
      </c>
      <c r="B1201" t="s">
        <v>1868</v>
      </c>
      <c r="C1201" t="s">
        <v>1869</v>
      </c>
      <c r="D1201" s="1">
        <v>9355.16</v>
      </c>
      <c r="E1201" s="3">
        <v>1</v>
      </c>
      <c r="F1201" s="3">
        <v>1</v>
      </c>
      <c r="G1201" s="1">
        <v>9355.16</v>
      </c>
    </row>
    <row r="1202" spans="1:7" x14ac:dyDescent="0.25">
      <c r="A1202" s="111" t="str">
        <f t="shared" si="18"/>
        <v>JDH4-02-007-CN-4350</v>
      </c>
      <c r="B1202" t="s">
        <v>1870</v>
      </c>
      <c r="C1202" t="s">
        <v>1839</v>
      </c>
      <c r="D1202" s="1">
        <v>18710.259999999998</v>
      </c>
      <c r="E1202" s="3">
        <v>1</v>
      </c>
      <c r="F1202" s="3">
        <v>1</v>
      </c>
      <c r="G1202" s="1">
        <v>18710.259999999998</v>
      </c>
    </row>
    <row r="1203" spans="1:7" x14ac:dyDescent="0.25">
      <c r="A1203" s="111" t="str">
        <f t="shared" si="18"/>
        <v>JDH4-02-007-CN-4660</v>
      </c>
      <c r="B1203" t="s">
        <v>1866</v>
      </c>
      <c r="C1203" t="s">
        <v>1867</v>
      </c>
      <c r="D1203" s="1">
        <v>8311.08</v>
      </c>
      <c r="E1203" s="3">
        <v>1</v>
      </c>
      <c r="F1203" s="3">
        <v>1</v>
      </c>
      <c r="G1203" s="1">
        <v>8311.08</v>
      </c>
    </row>
    <row r="1204" spans="1:7" x14ac:dyDescent="0.25">
      <c r="A1204" s="111" t="str">
        <f t="shared" si="18"/>
        <v>Pipe Encasement</v>
      </c>
      <c r="B1204" t="s">
        <v>1733</v>
      </c>
      <c r="D1204" s="1">
        <v>9368.07</v>
      </c>
      <c r="E1204" s="3"/>
      <c r="F1204" s="3">
        <v>1</v>
      </c>
      <c r="G1204" s="1">
        <v>9368.07</v>
      </c>
    </row>
    <row r="1205" spans="1:7" x14ac:dyDescent="0.25">
      <c r="A1205" s="111" t="str">
        <f t="shared" si="18"/>
        <v>JDH4-02-007-CN-4420</v>
      </c>
      <c r="B1205" t="s">
        <v>1871</v>
      </c>
      <c r="C1205" t="s">
        <v>1872</v>
      </c>
      <c r="D1205" s="1">
        <v>9368.07</v>
      </c>
      <c r="E1205" s="3">
        <v>1</v>
      </c>
      <c r="F1205" s="3">
        <v>1</v>
      </c>
      <c r="G1205" s="1">
        <v>9368.07</v>
      </c>
    </row>
    <row r="1206" spans="1:7" x14ac:dyDescent="0.25">
      <c r="A1206" s="111" t="str">
        <f t="shared" si="18"/>
        <v>Valves</v>
      </c>
      <c r="B1206" t="s">
        <v>127</v>
      </c>
      <c r="D1206" s="1">
        <v>11204.14</v>
      </c>
      <c r="E1206" s="3"/>
      <c r="F1206" s="3">
        <v>1</v>
      </c>
      <c r="G1206" s="1">
        <v>11204.14</v>
      </c>
    </row>
    <row r="1207" spans="1:7" x14ac:dyDescent="0.25">
      <c r="A1207" s="111" t="str">
        <f t="shared" si="18"/>
        <v>JDH4-02-007-CN-4490</v>
      </c>
      <c r="B1207" t="s">
        <v>1873</v>
      </c>
      <c r="C1207" t="s">
        <v>1874</v>
      </c>
      <c r="D1207" s="1">
        <v>11204.14</v>
      </c>
      <c r="E1207" s="3">
        <v>1</v>
      </c>
      <c r="F1207" s="3">
        <v>1</v>
      </c>
      <c r="G1207" s="1">
        <v>11204.14</v>
      </c>
    </row>
    <row r="1208" spans="1:7" x14ac:dyDescent="0.25">
      <c r="A1208" s="111" t="str">
        <f t="shared" si="18"/>
        <v>Risers</v>
      </c>
      <c r="B1208" t="s">
        <v>499</v>
      </c>
      <c r="D1208" s="1">
        <v>13245.78</v>
      </c>
      <c r="E1208" s="3"/>
      <c r="F1208" s="3">
        <v>1</v>
      </c>
      <c r="G1208" s="1">
        <v>13245.78</v>
      </c>
    </row>
    <row r="1209" spans="1:7" x14ac:dyDescent="0.25">
      <c r="A1209" s="111" t="str">
        <f t="shared" si="18"/>
        <v>JDH4-02-007-CN-4730</v>
      </c>
      <c r="B1209" t="s">
        <v>1875</v>
      </c>
      <c r="C1209" t="s">
        <v>1876</v>
      </c>
      <c r="D1209" s="1">
        <v>13245.78</v>
      </c>
      <c r="E1209" s="3">
        <v>1</v>
      </c>
      <c r="F1209" s="3">
        <v>1</v>
      </c>
      <c r="G1209" s="1">
        <v>13245.78</v>
      </c>
    </row>
    <row r="1210" spans="1:7" x14ac:dyDescent="0.25">
      <c r="A1210" s="111" t="str">
        <f t="shared" si="18"/>
        <v>Potable Network</v>
      </c>
      <c r="B1210" t="s">
        <v>120</v>
      </c>
      <c r="D1210" s="1">
        <v>199289.73</v>
      </c>
      <c r="E1210" s="3"/>
      <c r="F1210" s="3">
        <v>1</v>
      </c>
      <c r="G1210" s="1">
        <v>199289.73</v>
      </c>
    </row>
    <row r="1211" spans="1:7" x14ac:dyDescent="0.25">
      <c r="A1211" s="111" t="str">
        <f t="shared" si="18"/>
        <v>Pipe Works</v>
      </c>
      <c r="B1211" t="s">
        <v>1722</v>
      </c>
      <c r="D1211" s="1">
        <v>125752.87</v>
      </c>
      <c r="F1211" s="3">
        <v>1</v>
      </c>
      <c r="G1211" s="1">
        <v>125752.87</v>
      </c>
    </row>
    <row r="1212" spans="1:7" x14ac:dyDescent="0.25">
      <c r="A1212" s="111" t="str">
        <f t="shared" si="18"/>
        <v>JDH4-02-007-CN-3320</v>
      </c>
      <c r="B1212" t="s">
        <v>1877</v>
      </c>
      <c r="C1212" t="s">
        <v>1831</v>
      </c>
      <c r="D1212" s="1">
        <v>12575.3</v>
      </c>
      <c r="E1212" s="3">
        <v>1</v>
      </c>
      <c r="F1212" s="3">
        <v>1</v>
      </c>
      <c r="G1212" s="1">
        <v>12575.3</v>
      </c>
    </row>
    <row r="1213" spans="1:7" x14ac:dyDescent="0.25">
      <c r="A1213" s="111" t="str">
        <f t="shared" si="18"/>
        <v>JDH4-02-007-CN-3390</v>
      </c>
      <c r="B1213" t="s">
        <v>1878</v>
      </c>
      <c r="C1213" t="s">
        <v>1833</v>
      </c>
      <c r="D1213" s="1">
        <v>6287.65</v>
      </c>
      <c r="E1213" s="3">
        <v>1</v>
      </c>
      <c r="F1213" s="3">
        <v>1</v>
      </c>
      <c r="G1213" s="1">
        <v>6287.65</v>
      </c>
    </row>
    <row r="1214" spans="1:7" x14ac:dyDescent="0.25">
      <c r="A1214" s="111" t="str">
        <f t="shared" si="18"/>
        <v>JDH4-02-007-CN-3460</v>
      </c>
      <c r="B1214" t="s">
        <v>1879</v>
      </c>
      <c r="C1214" t="s">
        <v>1863</v>
      </c>
      <c r="D1214" s="1">
        <v>62876.41</v>
      </c>
      <c r="E1214" s="3">
        <v>1</v>
      </c>
      <c r="F1214" s="3">
        <v>1</v>
      </c>
      <c r="G1214" s="1">
        <v>62876.41</v>
      </c>
    </row>
    <row r="1215" spans="1:7" x14ac:dyDescent="0.25">
      <c r="A1215" s="111" t="str">
        <f t="shared" si="18"/>
        <v>JDH4-02-007-CN-3530</v>
      </c>
      <c r="B1215" t="s">
        <v>1880</v>
      </c>
      <c r="C1215" t="s">
        <v>1865</v>
      </c>
      <c r="D1215" s="1">
        <v>25150.560000000001</v>
      </c>
      <c r="E1215" s="3">
        <v>1</v>
      </c>
      <c r="F1215" s="3">
        <v>1</v>
      </c>
      <c r="G1215" s="1">
        <v>25150.560000000001</v>
      </c>
    </row>
    <row r="1216" spans="1:7" x14ac:dyDescent="0.25">
      <c r="A1216" s="111" t="str">
        <f t="shared" si="18"/>
        <v>JDH4-02-007-CN-3600</v>
      </c>
      <c r="B1216" t="s">
        <v>1881</v>
      </c>
      <c r="C1216" t="s">
        <v>1837</v>
      </c>
      <c r="D1216" s="1">
        <v>6287.65</v>
      </c>
      <c r="E1216" s="3">
        <v>1</v>
      </c>
      <c r="F1216" s="3">
        <v>1</v>
      </c>
      <c r="G1216" s="1">
        <v>6287.65</v>
      </c>
    </row>
    <row r="1217" spans="1:7" x14ac:dyDescent="0.25">
      <c r="A1217" s="111" t="str">
        <f t="shared" si="18"/>
        <v>JDH4-02-007-CN-3670</v>
      </c>
      <c r="B1217" t="s">
        <v>1882</v>
      </c>
      <c r="C1217" t="s">
        <v>1883</v>
      </c>
      <c r="D1217" s="1">
        <v>12575.3</v>
      </c>
      <c r="E1217" s="3">
        <v>1</v>
      </c>
      <c r="F1217" s="3">
        <v>1</v>
      </c>
      <c r="G1217" s="1">
        <v>12575.3</v>
      </c>
    </row>
    <row r="1218" spans="1:7" x14ac:dyDescent="0.25">
      <c r="A1218" s="111" t="str">
        <f t="shared" si="18"/>
        <v>Pipe Encasement</v>
      </c>
      <c r="B1218" t="s">
        <v>1733</v>
      </c>
      <c r="D1218" s="1">
        <v>9936.1</v>
      </c>
      <c r="F1218" s="2">
        <v>1</v>
      </c>
      <c r="G1218" s="1">
        <v>9936.1</v>
      </c>
    </row>
    <row r="1219" spans="1:7" x14ac:dyDescent="0.25">
      <c r="A1219" s="111" t="str">
        <f t="shared" si="18"/>
        <v>JDH4-02-007-CN-3740</v>
      </c>
      <c r="B1219" t="s">
        <v>1884</v>
      </c>
      <c r="C1219" t="s">
        <v>1872</v>
      </c>
      <c r="D1219" s="1">
        <v>9936.1</v>
      </c>
      <c r="E1219" s="3">
        <v>1</v>
      </c>
      <c r="F1219" s="2">
        <v>1</v>
      </c>
      <c r="G1219" s="1">
        <v>9936.1</v>
      </c>
    </row>
    <row r="1220" spans="1:7" x14ac:dyDescent="0.25">
      <c r="A1220" s="111" t="str">
        <f t="shared" ref="A1220:A1283" si="19">TRIM(B1220)</f>
        <v>Valves</v>
      </c>
      <c r="B1220" t="s">
        <v>127</v>
      </c>
      <c r="D1220" s="1">
        <v>13140.65</v>
      </c>
      <c r="E1220" s="3"/>
      <c r="F1220" s="3">
        <v>1</v>
      </c>
      <c r="G1220" s="1">
        <v>13140.65</v>
      </c>
    </row>
    <row r="1221" spans="1:7" x14ac:dyDescent="0.25">
      <c r="A1221" s="111" t="str">
        <f t="shared" si="19"/>
        <v>JDH4-02-007-CN-3810</v>
      </c>
      <c r="B1221" t="s">
        <v>1885</v>
      </c>
      <c r="C1221" t="s">
        <v>1874</v>
      </c>
      <c r="D1221" s="1">
        <v>13140.65</v>
      </c>
      <c r="E1221" s="3">
        <v>1</v>
      </c>
      <c r="F1221" s="3">
        <v>1</v>
      </c>
      <c r="G1221" s="1">
        <v>13140.65</v>
      </c>
    </row>
    <row r="1222" spans="1:7" x14ac:dyDescent="0.25">
      <c r="A1222" s="111" t="str">
        <f t="shared" si="19"/>
        <v>Fire Hydrant</v>
      </c>
      <c r="B1222" t="s">
        <v>124</v>
      </c>
      <c r="D1222" s="1">
        <v>50460.11</v>
      </c>
      <c r="E1222" s="3"/>
      <c r="F1222" s="3">
        <v>1</v>
      </c>
      <c r="G1222" s="1">
        <v>50460.11</v>
      </c>
    </row>
    <row r="1223" spans="1:7" x14ac:dyDescent="0.25">
      <c r="A1223" s="111" t="str">
        <f t="shared" si="19"/>
        <v>JDH4-02-007-CN-3900</v>
      </c>
      <c r="B1223" t="s">
        <v>1886</v>
      </c>
      <c r="C1223" t="s">
        <v>1887</v>
      </c>
      <c r="D1223" s="1">
        <v>50460.11</v>
      </c>
      <c r="E1223" s="3">
        <v>1</v>
      </c>
      <c r="F1223" s="3">
        <v>1</v>
      </c>
      <c r="G1223" s="1">
        <v>50460.11</v>
      </c>
    </row>
    <row r="1224" spans="1:7" x14ac:dyDescent="0.25">
      <c r="A1224" s="111" t="str">
        <f t="shared" si="19"/>
        <v>Electrical Works</v>
      </c>
      <c r="B1224" t="s">
        <v>1785</v>
      </c>
      <c r="D1224" s="1">
        <v>645200.42000000004</v>
      </c>
      <c r="E1224" s="3"/>
      <c r="F1224" s="3">
        <v>1</v>
      </c>
      <c r="G1224" s="1">
        <v>645200.42000000004</v>
      </c>
    </row>
    <row r="1225" spans="1:7" x14ac:dyDescent="0.25">
      <c r="A1225" s="111" t="str">
        <f t="shared" si="19"/>
        <v>LV Cables</v>
      </c>
      <c r="B1225" t="s">
        <v>4076</v>
      </c>
      <c r="D1225" s="1">
        <v>195304.1</v>
      </c>
      <c r="E1225" s="3"/>
      <c r="F1225" s="3">
        <v>1</v>
      </c>
      <c r="G1225" s="1">
        <v>195304.1</v>
      </c>
    </row>
    <row r="1226" spans="1:7" x14ac:dyDescent="0.25">
      <c r="A1226" s="111" t="str">
        <f t="shared" si="19"/>
        <v>Low Voltage Cable</v>
      </c>
      <c r="B1226" t="s">
        <v>222</v>
      </c>
      <c r="D1226" s="1">
        <v>195304.1</v>
      </c>
      <c r="E1226" s="3"/>
      <c r="F1226" s="3">
        <v>1</v>
      </c>
      <c r="G1226" s="1">
        <v>195304.1</v>
      </c>
    </row>
    <row r="1227" spans="1:7" x14ac:dyDescent="0.25">
      <c r="A1227" s="111" t="str">
        <f t="shared" si="19"/>
        <v>JDH4-02-007-CN-2740</v>
      </c>
      <c r="B1227" t="s">
        <v>1904</v>
      </c>
      <c r="C1227" t="s">
        <v>1905</v>
      </c>
      <c r="D1227" s="1">
        <v>63075.14</v>
      </c>
      <c r="E1227" s="3">
        <v>1</v>
      </c>
      <c r="F1227" s="3">
        <v>1</v>
      </c>
      <c r="G1227" s="1">
        <v>63075.14</v>
      </c>
    </row>
    <row r="1228" spans="1:7" x14ac:dyDescent="0.25">
      <c r="A1228" s="111" t="str">
        <f t="shared" si="19"/>
        <v>JDH4-02-007-CN-2595</v>
      </c>
      <c r="B1228" t="s">
        <v>1896</v>
      </c>
      <c r="C1228" t="s">
        <v>1897</v>
      </c>
      <c r="D1228" s="1">
        <v>10823.69</v>
      </c>
      <c r="E1228" s="3">
        <v>1</v>
      </c>
      <c r="F1228" s="3">
        <v>1</v>
      </c>
      <c r="G1228" s="1">
        <v>10823.69</v>
      </c>
    </row>
    <row r="1229" spans="1:7" x14ac:dyDescent="0.25">
      <c r="A1229" s="111" t="str">
        <f t="shared" si="19"/>
        <v>JDH4-02-007-CN-2600</v>
      </c>
      <c r="B1229" t="s">
        <v>1898</v>
      </c>
      <c r="C1229" t="s">
        <v>1899</v>
      </c>
      <c r="D1229" s="1">
        <v>29946.31</v>
      </c>
      <c r="E1229" s="3">
        <v>1</v>
      </c>
      <c r="F1229" s="3">
        <v>1</v>
      </c>
      <c r="G1229" s="1">
        <v>29946.31</v>
      </c>
    </row>
    <row r="1230" spans="1:7" x14ac:dyDescent="0.25">
      <c r="A1230" s="111" t="str">
        <f t="shared" si="19"/>
        <v>JDH4-02-007-CN-2730</v>
      </c>
      <c r="B1230" t="s">
        <v>1902</v>
      </c>
      <c r="C1230" t="s">
        <v>1903</v>
      </c>
      <c r="D1230" s="1">
        <v>75690.17</v>
      </c>
      <c r="E1230" s="3">
        <v>1</v>
      </c>
      <c r="F1230" s="3">
        <v>1</v>
      </c>
      <c r="G1230" s="1">
        <v>75690.17</v>
      </c>
    </row>
    <row r="1231" spans="1:7" x14ac:dyDescent="0.25">
      <c r="A1231" s="111" t="str">
        <f t="shared" si="19"/>
        <v>JDH4-02-007-CN-2710</v>
      </c>
      <c r="B1231" t="s">
        <v>1900</v>
      </c>
      <c r="C1231" t="s">
        <v>1901</v>
      </c>
      <c r="D1231" s="1">
        <v>15768.79</v>
      </c>
      <c r="E1231" s="3">
        <v>1</v>
      </c>
      <c r="F1231" s="3">
        <v>1</v>
      </c>
      <c r="G1231" s="1">
        <v>15768.79</v>
      </c>
    </row>
    <row r="1232" spans="1:7" x14ac:dyDescent="0.25">
      <c r="A1232" s="111" t="str">
        <f t="shared" si="19"/>
        <v>Street Lighting</v>
      </c>
      <c r="B1232" t="s">
        <v>1786</v>
      </c>
      <c r="D1232" s="1">
        <v>175355.47</v>
      </c>
      <c r="E1232" s="3"/>
      <c r="F1232" s="3">
        <v>1</v>
      </c>
      <c r="G1232" s="1">
        <v>175355.47</v>
      </c>
    </row>
    <row r="1233" spans="1:7" x14ac:dyDescent="0.25">
      <c r="A1233" s="111" t="str">
        <f t="shared" si="19"/>
        <v>JDH4-02-007-CN-2760</v>
      </c>
      <c r="B1233" t="s">
        <v>1907</v>
      </c>
      <c r="C1233" t="s">
        <v>1908</v>
      </c>
      <c r="D1233" s="1">
        <v>17695.84</v>
      </c>
      <c r="E1233" s="3">
        <v>1</v>
      </c>
      <c r="F1233" s="3">
        <v>1</v>
      </c>
      <c r="G1233" s="1">
        <v>17695.84</v>
      </c>
    </row>
    <row r="1234" spans="1:7" x14ac:dyDescent="0.25">
      <c r="A1234" s="111" t="str">
        <f t="shared" si="19"/>
        <v>JDH4-02-007-CN-2890</v>
      </c>
      <c r="B1234" t="s">
        <v>1910</v>
      </c>
      <c r="C1234" t="s">
        <v>1911</v>
      </c>
      <c r="D1234" s="1">
        <v>79467.350000000006</v>
      </c>
      <c r="E1234" s="3">
        <v>1</v>
      </c>
      <c r="F1234" s="3">
        <v>1</v>
      </c>
      <c r="G1234" s="1">
        <v>79467.350000000006</v>
      </c>
    </row>
    <row r="1235" spans="1:7" x14ac:dyDescent="0.25">
      <c r="A1235" s="111" t="str">
        <f t="shared" si="19"/>
        <v>JDH4-02-007-CN-2750</v>
      </c>
      <c r="B1235" t="s">
        <v>1906</v>
      </c>
      <c r="C1235" t="s">
        <v>1897</v>
      </c>
      <c r="D1235" s="1">
        <v>8325.92</v>
      </c>
      <c r="E1235" s="3">
        <v>1</v>
      </c>
      <c r="F1235" s="3">
        <v>1</v>
      </c>
      <c r="G1235" s="1">
        <v>8325.92</v>
      </c>
    </row>
    <row r="1236" spans="1:7" x14ac:dyDescent="0.25">
      <c r="A1236" s="111" t="str">
        <f t="shared" si="19"/>
        <v>JDH4-02-007-CN-2930</v>
      </c>
      <c r="B1236" t="s">
        <v>1912</v>
      </c>
      <c r="C1236" t="s">
        <v>1913</v>
      </c>
      <c r="D1236" s="1">
        <v>19910.849999999999</v>
      </c>
      <c r="E1236" s="3">
        <v>1</v>
      </c>
      <c r="F1236" s="3">
        <v>1</v>
      </c>
      <c r="G1236" s="1">
        <v>19910.849999999999</v>
      </c>
    </row>
    <row r="1237" spans="1:7" x14ac:dyDescent="0.25">
      <c r="A1237" s="111" t="str">
        <f t="shared" si="19"/>
        <v>JDH4-02-007-CN-2840</v>
      </c>
      <c r="B1237" t="s">
        <v>1909</v>
      </c>
      <c r="C1237" t="s">
        <v>1899</v>
      </c>
      <c r="D1237" s="1">
        <v>42386.49</v>
      </c>
      <c r="E1237" s="3">
        <v>1</v>
      </c>
      <c r="F1237" s="3">
        <v>1</v>
      </c>
      <c r="G1237" s="1">
        <v>42386.49</v>
      </c>
    </row>
    <row r="1238" spans="1:7" x14ac:dyDescent="0.25">
      <c r="A1238" s="111" t="str">
        <f t="shared" si="19"/>
        <v>JDH4-02-007-CN-2970</v>
      </c>
      <c r="B1238" t="s">
        <v>1914</v>
      </c>
      <c r="C1238" t="s">
        <v>1915</v>
      </c>
      <c r="D1238" s="1">
        <v>7569.02</v>
      </c>
      <c r="E1238" s="3">
        <v>1</v>
      </c>
      <c r="F1238" s="3">
        <v>1</v>
      </c>
      <c r="G1238" s="1">
        <v>7569.02</v>
      </c>
    </row>
    <row r="1239" spans="1:7" x14ac:dyDescent="0.25">
      <c r="A1239" s="111" t="str">
        <f t="shared" si="19"/>
        <v>Telecommunication</v>
      </c>
      <c r="B1239" t="s">
        <v>1799</v>
      </c>
      <c r="D1239" s="1">
        <v>274540.84999999998</v>
      </c>
      <c r="E1239" s="3"/>
      <c r="F1239" s="3">
        <v>1</v>
      </c>
      <c r="G1239" s="1">
        <v>274540.84999999998</v>
      </c>
    </row>
    <row r="1240" spans="1:7" x14ac:dyDescent="0.25">
      <c r="A1240" s="111" t="str">
        <f t="shared" si="19"/>
        <v>JDH4-02-007-CN-3070</v>
      </c>
      <c r="B1240" t="s">
        <v>1916</v>
      </c>
      <c r="C1240" t="s">
        <v>1917</v>
      </c>
      <c r="D1240" s="1">
        <v>126781.03</v>
      </c>
      <c r="E1240" s="3">
        <v>1</v>
      </c>
      <c r="F1240" s="3">
        <v>1</v>
      </c>
      <c r="G1240" s="1">
        <v>126781.03</v>
      </c>
    </row>
    <row r="1241" spans="1:7" x14ac:dyDescent="0.25">
      <c r="A1241" s="111" t="str">
        <f t="shared" si="19"/>
        <v>JDH4-02-007-CN-3140</v>
      </c>
      <c r="B1241" t="s">
        <v>1918</v>
      </c>
      <c r="C1241" t="s">
        <v>1919</v>
      </c>
      <c r="D1241" s="1">
        <v>3973.73</v>
      </c>
      <c r="E1241" s="3">
        <v>1</v>
      </c>
      <c r="F1241" s="3">
        <v>1</v>
      </c>
      <c r="G1241" s="1">
        <v>3973.73</v>
      </c>
    </row>
    <row r="1242" spans="1:7" x14ac:dyDescent="0.25">
      <c r="A1242" s="111" t="str">
        <f t="shared" si="19"/>
        <v>JDH4-02-007-CN-3250</v>
      </c>
      <c r="B1242" t="s">
        <v>1922</v>
      </c>
      <c r="C1242" t="s">
        <v>1859</v>
      </c>
      <c r="D1242" s="1">
        <v>45414.1</v>
      </c>
      <c r="E1242" s="3">
        <v>1</v>
      </c>
      <c r="F1242" s="3">
        <v>1</v>
      </c>
      <c r="G1242" s="1">
        <v>45414.1</v>
      </c>
    </row>
    <row r="1243" spans="1:7" x14ac:dyDescent="0.25">
      <c r="A1243" s="111" t="str">
        <f t="shared" si="19"/>
        <v>JDH4-02-007-CN-3200</v>
      </c>
      <c r="B1243" t="s">
        <v>1920</v>
      </c>
      <c r="C1243" t="s">
        <v>1921</v>
      </c>
      <c r="D1243" s="1">
        <v>98371.99</v>
      </c>
      <c r="E1243" s="3">
        <v>1</v>
      </c>
      <c r="F1243" s="3">
        <v>1</v>
      </c>
      <c r="G1243" s="1">
        <v>98371.99</v>
      </c>
    </row>
    <row r="1244" spans="1:7" x14ac:dyDescent="0.25">
      <c r="A1244" s="111" t="str">
        <f t="shared" si="19"/>
        <v>Road 07-N</v>
      </c>
      <c r="B1244" t="s">
        <v>2117</v>
      </c>
      <c r="D1244" s="1">
        <v>5511432.4299999997</v>
      </c>
      <c r="E1244" s="3"/>
      <c r="F1244" s="3">
        <v>1</v>
      </c>
      <c r="G1244" s="1">
        <v>5511432.4299999997</v>
      </c>
    </row>
    <row r="1245" spans="1:7" x14ac:dyDescent="0.25">
      <c r="A1245" s="111" t="str">
        <f t="shared" si="19"/>
        <v>Road Works</v>
      </c>
      <c r="B1245" t="s">
        <v>2118</v>
      </c>
      <c r="D1245" s="1">
        <v>3118311.38</v>
      </c>
      <c r="F1245" s="3">
        <v>1</v>
      </c>
      <c r="G1245" s="1">
        <v>3118311.38</v>
      </c>
    </row>
    <row r="1246" spans="1:7" x14ac:dyDescent="0.25">
      <c r="A1246" s="111" t="str">
        <f t="shared" si="19"/>
        <v>Eartworks &amp; Site grading</v>
      </c>
      <c r="B1246" t="s">
        <v>1686</v>
      </c>
      <c r="D1246" s="1">
        <v>1345959.82</v>
      </c>
      <c r="E1246" s="3"/>
      <c r="F1246" s="3">
        <v>1</v>
      </c>
      <c r="G1246" s="1">
        <v>1345959.82</v>
      </c>
    </row>
    <row r="1247" spans="1:7" x14ac:dyDescent="0.25">
      <c r="A1247" s="111" t="str">
        <f t="shared" si="19"/>
        <v>JDH4-02-007-CN-1730</v>
      </c>
      <c r="B1247" t="s">
        <v>2121</v>
      </c>
      <c r="C1247" t="s">
        <v>4077</v>
      </c>
      <c r="D1247" s="1">
        <v>13629.33</v>
      </c>
      <c r="E1247" s="3">
        <v>1</v>
      </c>
      <c r="F1247" s="3">
        <v>1</v>
      </c>
      <c r="G1247" s="1">
        <v>13629.33</v>
      </c>
    </row>
    <row r="1248" spans="1:7" x14ac:dyDescent="0.25">
      <c r="A1248" s="111" t="str">
        <f t="shared" si="19"/>
        <v>JDH4-02-007-CN-1790</v>
      </c>
      <c r="B1248" t="s">
        <v>2119</v>
      </c>
      <c r="C1248" t="s">
        <v>4078</v>
      </c>
      <c r="D1248" s="1">
        <v>418403.53</v>
      </c>
      <c r="E1248" s="3">
        <v>1</v>
      </c>
      <c r="F1248" s="3">
        <v>1</v>
      </c>
      <c r="G1248" s="1">
        <v>418403.53</v>
      </c>
    </row>
    <row r="1249" spans="1:7" x14ac:dyDescent="0.25">
      <c r="A1249" s="111" t="str">
        <f t="shared" si="19"/>
        <v>JDH4-02-007-CN-1790R</v>
      </c>
      <c r="B1249" t="s">
        <v>4080</v>
      </c>
      <c r="C1249" t="s">
        <v>2120</v>
      </c>
      <c r="D1249" s="1">
        <v>777035.12</v>
      </c>
      <c r="E1249" s="3">
        <v>1</v>
      </c>
      <c r="F1249" s="3">
        <v>1</v>
      </c>
      <c r="G1249" s="1">
        <v>777035.12</v>
      </c>
    </row>
    <row r="1250" spans="1:7" x14ac:dyDescent="0.25">
      <c r="A1250" s="111" t="str">
        <f t="shared" si="19"/>
        <v>JDH4-02-007-CN-1730R</v>
      </c>
      <c r="B1250" t="s">
        <v>4079</v>
      </c>
      <c r="C1250" t="s">
        <v>2122</v>
      </c>
      <c r="D1250" s="1">
        <v>16658.080000000002</v>
      </c>
      <c r="E1250" s="3">
        <v>1</v>
      </c>
      <c r="F1250" s="3">
        <v>1</v>
      </c>
      <c r="G1250" s="1">
        <v>16658.080000000002</v>
      </c>
    </row>
    <row r="1251" spans="1:7" x14ac:dyDescent="0.25">
      <c r="A1251" s="111" t="str">
        <f t="shared" si="19"/>
        <v>JDH4-02-007-CN-1910</v>
      </c>
      <c r="B1251" t="s">
        <v>2123</v>
      </c>
      <c r="C1251" t="s">
        <v>2124</v>
      </c>
      <c r="D1251" s="1">
        <v>120233.76</v>
      </c>
      <c r="E1251" s="3">
        <v>1</v>
      </c>
      <c r="F1251" s="2">
        <v>1</v>
      </c>
      <c r="G1251" s="1">
        <v>120233.76</v>
      </c>
    </row>
    <row r="1252" spans="1:7" x14ac:dyDescent="0.25">
      <c r="A1252" s="111" t="str">
        <f t="shared" si="19"/>
        <v>Asphalt Works</v>
      </c>
      <c r="B1252" t="s">
        <v>1693</v>
      </c>
      <c r="D1252" s="1">
        <v>805652.45</v>
      </c>
      <c r="E1252" s="3"/>
      <c r="F1252" s="2">
        <v>1</v>
      </c>
      <c r="G1252" s="1">
        <v>805652.45</v>
      </c>
    </row>
    <row r="1253" spans="1:7" x14ac:dyDescent="0.25">
      <c r="A1253" s="111" t="str">
        <f t="shared" si="19"/>
        <v>JDH4-02-007-CN-1970</v>
      </c>
      <c r="B1253" t="s">
        <v>2125</v>
      </c>
      <c r="C1253" t="s">
        <v>2126</v>
      </c>
      <c r="D1253" s="1">
        <v>122460.38</v>
      </c>
      <c r="E1253" s="3">
        <v>1</v>
      </c>
      <c r="F1253" s="3">
        <v>1</v>
      </c>
      <c r="G1253" s="1">
        <v>122460.38</v>
      </c>
    </row>
    <row r="1254" spans="1:7" x14ac:dyDescent="0.25">
      <c r="A1254" s="111" t="str">
        <f t="shared" si="19"/>
        <v>JDH4-02-007-CN-2020</v>
      </c>
      <c r="B1254" t="s">
        <v>2127</v>
      </c>
      <c r="C1254" t="s">
        <v>2128</v>
      </c>
      <c r="D1254" s="1">
        <v>68436.53</v>
      </c>
      <c r="E1254" s="3">
        <v>1</v>
      </c>
      <c r="F1254" s="3">
        <v>1</v>
      </c>
      <c r="G1254" s="1">
        <v>68436.53</v>
      </c>
    </row>
    <row r="1255" spans="1:7" x14ac:dyDescent="0.25">
      <c r="A1255" s="111" t="str">
        <f t="shared" si="19"/>
        <v>JDH4-02-007-CN-2070</v>
      </c>
      <c r="B1255" t="s">
        <v>2129</v>
      </c>
      <c r="C1255" t="s">
        <v>2130</v>
      </c>
      <c r="D1255" s="1">
        <v>614755.54</v>
      </c>
      <c r="E1255" s="3">
        <v>1</v>
      </c>
      <c r="F1255" s="3">
        <v>1</v>
      </c>
      <c r="G1255" s="1">
        <v>614755.54</v>
      </c>
    </row>
    <row r="1256" spans="1:7" x14ac:dyDescent="0.25">
      <c r="A1256" s="111" t="str">
        <f t="shared" si="19"/>
        <v>Finishing Works</v>
      </c>
      <c r="B1256" t="s">
        <v>1700</v>
      </c>
      <c r="D1256" s="1">
        <v>966699.11</v>
      </c>
      <c r="E1256" s="3"/>
      <c r="F1256" s="3">
        <v>1</v>
      </c>
      <c r="G1256" s="1">
        <v>966699.11</v>
      </c>
    </row>
    <row r="1257" spans="1:7" x14ac:dyDescent="0.25">
      <c r="A1257" s="111" t="str">
        <f t="shared" si="19"/>
        <v>Asphalt Wearing Course</v>
      </c>
      <c r="B1257" t="s">
        <v>1701</v>
      </c>
      <c r="D1257" s="1">
        <v>362429.75</v>
      </c>
      <c r="E1257" s="3"/>
      <c r="F1257" s="3">
        <v>1</v>
      </c>
      <c r="G1257" s="1">
        <v>362429.75</v>
      </c>
    </row>
    <row r="1258" spans="1:7" x14ac:dyDescent="0.25">
      <c r="A1258" s="111" t="str">
        <f t="shared" si="19"/>
        <v>JDH4-02-007-CN-2120</v>
      </c>
      <c r="B1258" t="s">
        <v>2131</v>
      </c>
      <c r="C1258" t="s">
        <v>2132</v>
      </c>
      <c r="D1258" s="1">
        <v>36078.980000000003</v>
      </c>
      <c r="E1258" s="3">
        <v>1</v>
      </c>
      <c r="F1258" s="3">
        <v>1</v>
      </c>
      <c r="G1258" s="1">
        <v>36078.980000000003</v>
      </c>
    </row>
    <row r="1259" spans="1:7" x14ac:dyDescent="0.25">
      <c r="A1259" s="111" t="str">
        <f t="shared" si="19"/>
        <v>JDH4-02-007-CN-2170</v>
      </c>
      <c r="B1259" t="s">
        <v>2133</v>
      </c>
      <c r="C1259" t="s">
        <v>2134</v>
      </c>
      <c r="D1259" s="1">
        <v>326350.77</v>
      </c>
      <c r="E1259" s="3">
        <v>1</v>
      </c>
      <c r="F1259" s="3">
        <v>1</v>
      </c>
      <c r="G1259" s="1">
        <v>326350.77</v>
      </c>
    </row>
    <row r="1260" spans="1:7" x14ac:dyDescent="0.25">
      <c r="A1260" s="111" t="str">
        <f t="shared" si="19"/>
        <v>Precast Concrete Curb</v>
      </c>
      <c r="B1260" t="s">
        <v>1706</v>
      </c>
      <c r="D1260" s="1">
        <v>225534.37</v>
      </c>
      <c r="E1260" s="3"/>
      <c r="F1260" s="3">
        <v>1</v>
      </c>
      <c r="G1260" s="1">
        <v>225534.37</v>
      </c>
    </row>
    <row r="1261" spans="1:7" x14ac:dyDescent="0.25">
      <c r="A1261" s="111" t="str">
        <f t="shared" si="19"/>
        <v>JDH4-02-007-CN-2220</v>
      </c>
      <c r="B1261" t="s">
        <v>2135</v>
      </c>
      <c r="C1261" t="s">
        <v>2136</v>
      </c>
      <c r="D1261" s="1">
        <v>225534.37</v>
      </c>
      <c r="E1261" s="3">
        <v>1</v>
      </c>
      <c r="F1261" s="3">
        <v>1</v>
      </c>
      <c r="G1261" s="1">
        <v>225534.37</v>
      </c>
    </row>
    <row r="1262" spans="1:7" x14ac:dyDescent="0.25">
      <c r="A1262" s="111" t="str">
        <f t="shared" si="19"/>
        <v>Precast Interlocking block pavers</v>
      </c>
      <c r="B1262" t="s">
        <v>1709</v>
      </c>
      <c r="D1262" s="1">
        <v>214487.01</v>
      </c>
      <c r="E1262" s="3"/>
      <c r="F1262" s="3">
        <v>1</v>
      </c>
      <c r="G1262" s="1">
        <v>214487.01</v>
      </c>
    </row>
    <row r="1263" spans="1:7" x14ac:dyDescent="0.25">
      <c r="A1263" s="111" t="str">
        <f t="shared" si="19"/>
        <v>JDH4-02-007-CN-2270</v>
      </c>
      <c r="B1263" t="s">
        <v>2137</v>
      </c>
      <c r="C1263" t="s">
        <v>2138</v>
      </c>
      <c r="D1263" s="1">
        <v>214487.01</v>
      </c>
      <c r="E1263" s="3">
        <v>1</v>
      </c>
      <c r="F1263" s="3">
        <v>1</v>
      </c>
      <c r="G1263" s="1">
        <v>214487.01</v>
      </c>
    </row>
    <row r="1264" spans="1:7" x14ac:dyDescent="0.25">
      <c r="A1264" s="111" t="str">
        <f t="shared" si="19"/>
        <v>Pavement Markings</v>
      </c>
      <c r="B1264" t="s">
        <v>1712</v>
      </c>
      <c r="D1264" s="1">
        <v>60663.71</v>
      </c>
      <c r="E1264" s="3"/>
      <c r="F1264" s="3">
        <v>1</v>
      </c>
      <c r="G1264" s="1">
        <v>60663.71</v>
      </c>
    </row>
    <row r="1265" spans="1:7" x14ac:dyDescent="0.25">
      <c r="A1265" s="111" t="str">
        <f t="shared" si="19"/>
        <v>JDH4-02-007-CN-2320</v>
      </c>
      <c r="B1265" t="s">
        <v>2139</v>
      </c>
      <c r="C1265" t="s">
        <v>2140</v>
      </c>
      <c r="D1265" s="1">
        <v>60663.71</v>
      </c>
      <c r="E1265" s="3">
        <v>1</v>
      </c>
      <c r="F1265" s="3">
        <v>1</v>
      </c>
      <c r="G1265" s="1">
        <v>60663.71</v>
      </c>
    </row>
    <row r="1266" spans="1:7" x14ac:dyDescent="0.25">
      <c r="A1266" s="111" t="str">
        <f t="shared" si="19"/>
        <v>Traffic Signage</v>
      </c>
      <c r="B1266" t="s">
        <v>1715</v>
      </c>
      <c r="D1266" s="1">
        <v>103584.27</v>
      </c>
      <c r="F1266" s="3">
        <v>1</v>
      </c>
      <c r="G1266" s="1">
        <v>103584.27</v>
      </c>
    </row>
    <row r="1267" spans="1:7" x14ac:dyDescent="0.25">
      <c r="A1267" s="111" t="str">
        <f t="shared" si="19"/>
        <v>JDH4-02-007-CN-2370</v>
      </c>
      <c r="B1267" t="s">
        <v>2141</v>
      </c>
      <c r="C1267" t="s">
        <v>2142</v>
      </c>
      <c r="D1267" s="1">
        <v>103584.27</v>
      </c>
      <c r="E1267" s="3">
        <v>1</v>
      </c>
      <c r="F1267" s="3">
        <v>1</v>
      </c>
      <c r="G1267" s="1">
        <v>103584.27</v>
      </c>
    </row>
    <row r="1268" spans="1:7" x14ac:dyDescent="0.25">
      <c r="A1268" s="111" t="str">
        <f t="shared" si="19"/>
        <v>Storm Water Drainage</v>
      </c>
      <c r="B1268" t="s">
        <v>1721</v>
      </c>
      <c r="D1268" s="1">
        <v>936796.6</v>
      </c>
      <c r="E1268" s="3"/>
      <c r="F1268" s="3">
        <v>1</v>
      </c>
      <c r="G1268" s="1">
        <v>936796.6</v>
      </c>
    </row>
    <row r="1269" spans="1:7" x14ac:dyDescent="0.25">
      <c r="A1269" s="111" t="str">
        <f t="shared" si="19"/>
        <v>Pipe Works</v>
      </c>
      <c r="B1269" t="s">
        <v>1722</v>
      </c>
      <c r="D1269" s="1">
        <v>649331.81000000006</v>
      </c>
      <c r="E1269" s="3"/>
      <c r="F1269" s="3">
        <v>1</v>
      </c>
      <c r="G1269" s="1">
        <v>649331.81000000006</v>
      </c>
    </row>
    <row r="1270" spans="1:7" x14ac:dyDescent="0.25">
      <c r="A1270" s="111" t="str">
        <f t="shared" si="19"/>
        <v>JDH4-02-007-CN-5350</v>
      </c>
      <c r="B1270" t="s">
        <v>2143</v>
      </c>
      <c r="C1270" t="s">
        <v>2144</v>
      </c>
      <c r="D1270" s="1">
        <v>64933.15</v>
      </c>
      <c r="E1270" s="3">
        <v>1</v>
      </c>
      <c r="F1270" s="3">
        <v>1</v>
      </c>
      <c r="G1270" s="1">
        <v>64933.15</v>
      </c>
    </row>
    <row r="1271" spans="1:7" x14ac:dyDescent="0.25">
      <c r="A1271" s="111" t="str">
        <f t="shared" si="19"/>
        <v>JDH4-02-007-CN-5400</v>
      </c>
      <c r="B1271" t="s">
        <v>2145</v>
      </c>
      <c r="C1271" t="s">
        <v>2146</v>
      </c>
      <c r="D1271" s="1">
        <v>32466.61</v>
      </c>
      <c r="E1271" s="3">
        <v>1</v>
      </c>
      <c r="F1271" s="3">
        <v>1</v>
      </c>
      <c r="G1271" s="1">
        <v>32466.61</v>
      </c>
    </row>
    <row r="1272" spans="1:7" x14ac:dyDescent="0.25">
      <c r="A1272" s="111" t="str">
        <f t="shared" si="19"/>
        <v>JDH4-02-007-CN-5450</v>
      </c>
      <c r="B1272" t="s">
        <v>2147</v>
      </c>
      <c r="C1272" t="s">
        <v>2148</v>
      </c>
      <c r="D1272" s="1">
        <v>454532.29</v>
      </c>
      <c r="E1272" s="3">
        <v>1</v>
      </c>
      <c r="F1272" s="3">
        <v>1</v>
      </c>
      <c r="G1272" s="1">
        <v>454532.29</v>
      </c>
    </row>
    <row r="1273" spans="1:7" x14ac:dyDescent="0.25">
      <c r="A1273" s="111" t="str">
        <f t="shared" si="19"/>
        <v>JDH4-02-007-CN-5500</v>
      </c>
      <c r="B1273" t="s">
        <v>2149</v>
      </c>
      <c r="C1273" t="s">
        <v>2150</v>
      </c>
      <c r="D1273" s="1">
        <v>32466.61</v>
      </c>
      <c r="E1273" s="3">
        <v>1</v>
      </c>
      <c r="F1273" s="3">
        <v>1</v>
      </c>
      <c r="G1273" s="1">
        <v>32466.61</v>
      </c>
    </row>
    <row r="1274" spans="1:7" x14ac:dyDescent="0.25">
      <c r="A1274" s="111" t="str">
        <f t="shared" si="19"/>
        <v>JDH4-02-007-CN-5550</v>
      </c>
      <c r="B1274" t="s">
        <v>2151</v>
      </c>
      <c r="C1274" t="s">
        <v>2152</v>
      </c>
      <c r="D1274" s="1">
        <v>64933.15</v>
      </c>
      <c r="E1274" s="3">
        <v>1</v>
      </c>
      <c r="F1274" s="3">
        <v>1</v>
      </c>
      <c r="G1274" s="1">
        <v>64933.15</v>
      </c>
    </row>
    <row r="1275" spans="1:7" x14ac:dyDescent="0.25">
      <c r="A1275" s="111" t="str">
        <f t="shared" si="19"/>
        <v>Pipe Encasement</v>
      </c>
      <c r="B1275" t="s">
        <v>1733</v>
      </c>
      <c r="D1275" s="1">
        <v>24850.59</v>
      </c>
      <c r="E1275" s="3"/>
      <c r="F1275" s="3">
        <v>1</v>
      </c>
      <c r="G1275" s="1">
        <v>24850.59</v>
      </c>
    </row>
    <row r="1276" spans="1:7" x14ac:dyDescent="0.25">
      <c r="A1276" s="111" t="str">
        <f t="shared" si="19"/>
        <v>JDH4-02-007-CN-5820</v>
      </c>
      <c r="B1276" t="s">
        <v>2153</v>
      </c>
      <c r="C1276" t="s">
        <v>2154</v>
      </c>
      <c r="D1276" s="1">
        <v>24850.59</v>
      </c>
      <c r="E1276" s="3">
        <v>1</v>
      </c>
      <c r="F1276" s="3">
        <v>1</v>
      </c>
      <c r="G1276" s="1">
        <v>24850.59</v>
      </c>
    </row>
    <row r="1277" spans="1:7" x14ac:dyDescent="0.25">
      <c r="A1277" s="111" t="str">
        <f t="shared" si="19"/>
        <v>Manholes</v>
      </c>
      <c r="B1277" t="s">
        <v>486</v>
      </c>
      <c r="D1277" s="1">
        <v>130787.16</v>
      </c>
      <c r="E1277" s="3"/>
      <c r="F1277" s="3">
        <v>1</v>
      </c>
      <c r="G1277" s="1">
        <v>130787.16</v>
      </c>
    </row>
    <row r="1278" spans="1:7" x14ac:dyDescent="0.25">
      <c r="A1278" s="111" t="str">
        <f t="shared" si="19"/>
        <v>JDH4-02-007-CN-5650</v>
      </c>
      <c r="B1278" t="s">
        <v>2155</v>
      </c>
      <c r="C1278" t="s">
        <v>2156</v>
      </c>
      <c r="D1278" s="1">
        <v>130787.16</v>
      </c>
      <c r="E1278" s="3">
        <v>1</v>
      </c>
      <c r="F1278" s="3">
        <v>1</v>
      </c>
      <c r="G1278" s="1">
        <v>130787.16</v>
      </c>
    </row>
    <row r="1279" spans="1:7" x14ac:dyDescent="0.25">
      <c r="A1279" s="111" t="str">
        <f t="shared" si="19"/>
        <v>Precast Acces Openinig</v>
      </c>
      <c r="B1279" t="s">
        <v>1738</v>
      </c>
      <c r="D1279" s="1">
        <v>7569.02</v>
      </c>
      <c r="E1279" s="3"/>
      <c r="F1279" s="3">
        <v>1</v>
      </c>
      <c r="G1279" s="1">
        <v>7569.02</v>
      </c>
    </row>
    <row r="1280" spans="1:7" x14ac:dyDescent="0.25">
      <c r="A1280" s="111" t="str">
        <f t="shared" si="19"/>
        <v>JDH4-02-007-CN-5700</v>
      </c>
      <c r="B1280" t="s">
        <v>2157</v>
      </c>
      <c r="C1280" t="s">
        <v>2158</v>
      </c>
      <c r="D1280" s="1">
        <v>7569.02</v>
      </c>
      <c r="E1280" s="3">
        <v>1</v>
      </c>
      <c r="F1280" s="3">
        <v>1</v>
      </c>
      <c r="G1280" s="1">
        <v>7569.02</v>
      </c>
    </row>
    <row r="1281" spans="1:7" x14ac:dyDescent="0.25">
      <c r="A1281" s="111" t="str">
        <f t="shared" si="19"/>
        <v>Catch Basins</v>
      </c>
      <c r="B1281" t="s">
        <v>1741</v>
      </c>
      <c r="D1281" s="1">
        <v>73797.91</v>
      </c>
      <c r="E1281" s="3"/>
      <c r="F1281" s="3">
        <v>1</v>
      </c>
      <c r="G1281" s="1">
        <v>73797.91</v>
      </c>
    </row>
    <row r="1282" spans="1:7" x14ac:dyDescent="0.25">
      <c r="A1282" s="111" t="str">
        <f t="shared" si="19"/>
        <v>JDH4-02-007-CN-5740</v>
      </c>
      <c r="B1282" t="s">
        <v>2159</v>
      </c>
      <c r="C1282" t="s">
        <v>2160</v>
      </c>
      <c r="D1282" s="1">
        <v>73797.91</v>
      </c>
      <c r="E1282" s="3">
        <v>1</v>
      </c>
      <c r="F1282" s="3">
        <v>1</v>
      </c>
      <c r="G1282" s="1">
        <v>73797.91</v>
      </c>
    </row>
    <row r="1283" spans="1:7" x14ac:dyDescent="0.25">
      <c r="A1283" s="111" t="str">
        <f t="shared" si="19"/>
        <v>Concrete Outfalls</v>
      </c>
      <c r="B1283" t="s">
        <v>1744</v>
      </c>
      <c r="D1283" s="1">
        <v>50460.11</v>
      </c>
      <c r="E1283" s="3"/>
      <c r="F1283" s="3">
        <v>1</v>
      </c>
      <c r="G1283" s="1">
        <v>50460.11</v>
      </c>
    </row>
    <row r="1284" spans="1:7" x14ac:dyDescent="0.25">
      <c r="A1284" s="111" t="str">
        <f t="shared" ref="A1284:A1347" si="20">TRIM(B1284)</f>
        <v>JDH4-02-007-CN-5770</v>
      </c>
      <c r="B1284" t="s">
        <v>2161</v>
      </c>
      <c r="C1284" t="s">
        <v>2162</v>
      </c>
      <c r="D1284" s="1">
        <v>50460.11</v>
      </c>
      <c r="E1284" s="3">
        <v>1</v>
      </c>
      <c r="F1284" s="2">
        <v>1</v>
      </c>
      <c r="G1284" s="1">
        <v>50460.11</v>
      </c>
    </row>
    <row r="1285" spans="1:7" x14ac:dyDescent="0.25">
      <c r="A1285" s="111" t="str">
        <f t="shared" si="20"/>
        <v>Sewerage Network</v>
      </c>
      <c r="B1285" t="s">
        <v>221</v>
      </c>
      <c r="D1285" s="1">
        <v>489984.35</v>
      </c>
      <c r="E1285" s="3"/>
      <c r="F1285" s="2">
        <v>1</v>
      </c>
      <c r="G1285" s="1">
        <v>489984.35</v>
      </c>
    </row>
    <row r="1286" spans="1:7" x14ac:dyDescent="0.25">
      <c r="A1286" s="111" t="str">
        <f t="shared" si="20"/>
        <v>Pipe Works</v>
      </c>
      <c r="B1286" t="s">
        <v>1722</v>
      </c>
      <c r="D1286" s="1">
        <v>326102.92</v>
      </c>
      <c r="E1286" s="3"/>
      <c r="F1286" s="3">
        <v>1</v>
      </c>
      <c r="G1286" s="1">
        <v>326102.92</v>
      </c>
    </row>
    <row r="1287" spans="1:7" x14ac:dyDescent="0.25">
      <c r="A1287" s="111" t="str">
        <f t="shared" si="20"/>
        <v>JDH4-02-007-CN-4800</v>
      </c>
      <c r="B1287" t="s">
        <v>2163</v>
      </c>
      <c r="C1287" t="s">
        <v>2164</v>
      </c>
      <c r="D1287" s="1">
        <v>32610.3</v>
      </c>
      <c r="E1287" s="3">
        <v>1</v>
      </c>
      <c r="F1287" s="3">
        <v>1</v>
      </c>
      <c r="G1287" s="1">
        <v>32610.3</v>
      </c>
    </row>
    <row r="1288" spans="1:7" x14ac:dyDescent="0.25">
      <c r="A1288" s="111" t="str">
        <f t="shared" si="20"/>
        <v>JDH4-02-007-CN-4870</v>
      </c>
      <c r="B1288" t="s">
        <v>2165</v>
      </c>
      <c r="C1288" t="s">
        <v>2146</v>
      </c>
      <c r="D1288" s="1">
        <v>16305.13</v>
      </c>
      <c r="E1288" s="3">
        <v>1</v>
      </c>
      <c r="F1288" s="3">
        <v>1</v>
      </c>
      <c r="G1288" s="1">
        <v>16305.13</v>
      </c>
    </row>
    <row r="1289" spans="1:7" x14ac:dyDescent="0.25">
      <c r="A1289" s="111" t="str">
        <f t="shared" si="20"/>
        <v>JDH4-02-007-CN-4940</v>
      </c>
      <c r="B1289" t="s">
        <v>2166</v>
      </c>
      <c r="C1289" t="s">
        <v>2167</v>
      </c>
      <c r="D1289" s="1">
        <v>163051.46</v>
      </c>
      <c r="E1289" s="3">
        <v>1</v>
      </c>
      <c r="F1289" s="3">
        <v>1</v>
      </c>
      <c r="G1289" s="1">
        <v>163051.46</v>
      </c>
    </row>
    <row r="1290" spans="1:7" x14ac:dyDescent="0.25">
      <c r="A1290" s="111" t="str">
        <f t="shared" si="20"/>
        <v>JDH4-02-007-CN-5010</v>
      </c>
      <c r="B1290" t="s">
        <v>2168</v>
      </c>
      <c r="C1290" t="s">
        <v>2169</v>
      </c>
      <c r="D1290" s="1">
        <v>65220.6</v>
      </c>
      <c r="E1290" s="3">
        <v>1</v>
      </c>
      <c r="F1290" s="3">
        <v>1</v>
      </c>
      <c r="G1290" s="1">
        <v>65220.6</v>
      </c>
    </row>
    <row r="1291" spans="1:7" x14ac:dyDescent="0.25">
      <c r="A1291" s="111" t="str">
        <f t="shared" si="20"/>
        <v>JDH4-02-007-CN-5080</v>
      </c>
      <c r="B1291" t="s">
        <v>2170</v>
      </c>
      <c r="C1291" t="s">
        <v>2150</v>
      </c>
      <c r="D1291" s="1">
        <v>16305.13</v>
      </c>
      <c r="E1291" s="3">
        <v>1</v>
      </c>
      <c r="F1291" s="3">
        <v>1</v>
      </c>
      <c r="G1291" s="1">
        <v>16305.13</v>
      </c>
    </row>
    <row r="1292" spans="1:7" x14ac:dyDescent="0.25">
      <c r="A1292" s="111" t="str">
        <f t="shared" si="20"/>
        <v>JDH4-02-007-CN-5150</v>
      </c>
      <c r="B1292" t="s">
        <v>2171</v>
      </c>
      <c r="C1292" t="s">
        <v>2152</v>
      </c>
      <c r="D1292" s="1">
        <v>32610.3</v>
      </c>
      <c r="E1292" s="3">
        <v>1</v>
      </c>
      <c r="F1292" s="3">
        <v>1</v>
      </c>
      <c r="G1292" s="1">
        <v>32610.3</v>
      </c>
    </row>
    <row r="1293" spans="1:7" x14ac:dyDescent="0.25">
      <c r="A1293" s="111" t="str">
        <f t="shared" si="20"/>
        <v>Pipe Encasement</v>
      </c>
      <c r="B1293" t="s">
        <v>1733</v>
      </c>
      <c r="D1293" s="1">
        <v>1673.19</v>
      </c>
      <c r="E1293" s="3"/>
      <c r="F1293" s="3">
        <v>1</v>
      </c>
      <c r="G1293" s="1">
        <v>1673.19</v>
      </c>
    </row>
    <row r="1294" spans="1:7" x14ac:dyDescent="0.25">
      <c r="A1294" s="111" t="str">
        <f t="shared" si="20"/>
        <v>JDH4-02-007-CN-5290</v>
      </c>
      <c r="B1294" t="s">
        <v>2172</v>
      </c>
      <c r="C1294" t="s">
        <v>2154</v>
      </c>
      <c r="D1294" s="1">
        <v>1673.19</v>
      </c>
      <c r="E1294" s="3">
        <v>1</v>
      </c>
      <c r="F1294" s="3">
        <v>1</v>
      </c>
      <c r="G1294" s="1">
        <v>1673.19</v>
      </c>
    </row>
    <row r="1295" spans="1:7" x14ac:dyDescent="0.25">
      <c r="A1295" s="111" t="str">
        <f t="shared" si="20"/>
        <v>Manholes</v>
      </c>
      <c r="B1295" t="s">
        <v>486</v>
      </c>
      <c r="D1295" s="1">
        <v>162208.24</v>
      </c>
      <c r="E1295" s="3"/>
      <c r="F1295" s="3">
        <v>1</v>
      </c>
      <c r="G1295" s="1">
        <v>162208.24</v>
      </c>
    </row>
    <row r="1296" spans="1:7" x14ac:dyDescent="0.25">
      <c r="A1296" s="111" t="str">
        <f t="shared" si="20"/>
        <v>JDH4-02-007-CN-5220</v>
      </c>
      <c r="B1296" t="s">
        <v>2173</v>
      </c>
      <c r="C1296" t="s">
        <v>2174</v>
      </c>
      <c r="D1296" s="1">
        <v>162208.24</v>
      </c>
      <c r="E1296" s="3">
        <v>1</v>
      </c>
      <c r="F1296" s="3">
        <v>1</v>
      </c>
      <c r="G1296" s="1">
        <v>162208.24</v>
      </c>
    </row>
    <row r="1297" spans="1:7" x14ac:dyDescent="0.25">
      <c r="A1297" s="111" t="str">
        <f t="shared" si="20"/>
        <v>TSE Network</v>
      </c>
      <c r="B1297" t="s">
        <v>491</v>
      </c>
      <c r="D1297" s="1">
        <v>244612.82</v>
      </c>
      <c r="E1297" s="3"/>
      <c r="F1297" s="3">
        <v>1</v>
      </c>
      <c r="G1297" s="1">
        <v>244612.82</v>
      </c>
    </row>
    <row r="1298" spans="1:7" x14ac:dyDescent="0.25">
      <c r="A1298" s="111" t="str">
        <f t="shared" si="20"/>
        <v>Pipe Works</v>
      </c>
      <c r="B1298" t="s">
        <v>1722</v>
      </c>
      <c r="D1298" s="1">
        <v>214076.25</v>
      </c>
      <c r="E1298" s="3"/>
      <c r="F1298" s="3">
        <v>1</v>
      </c>
      <c r="G1298" s="1">
        <v>214076.25</v>
      </c>
    </row>
    <row r="1299" spans="1:7" x14ac:dyDescent="0.25">
      <c r="A1299" s="111" t="str">
        <f t="shared" si="20"/>
        <v>JDH4-02-007-CN-4020</v>
      </c>
      <c r="B1299" t="s">
        <v>2175</v>
      </c>
      <c r="C1299" t="s">
        <v>2144</v>
      </c>
      <c r="D1299" s="1">
        <v>20576.509999999998</v>
      </c>
      <c r="E1299" s="3">
        <v>1</v>
      </c>
      <c r="F1299" s="3">
        <v>1</v>
      </c>
      <c r="G1299" s="1">
        <v>20576.509999999998</v>
      </c>
    </row>
    <row r="1300" spans="1:7" x14ac:dyDescent="0.25">
      <c r="A1300" s="111" t="str">
        <f t="shared" si="20"/>
        <v>JDH4-02-007-CN-4090</v>
      </c>
      <c r="B1300" t="s">
        <v>2176</v>
      </c>
      <c r="C1300" t="s">
        <v>2146</v>
      </c>
      <c r="D1300" s="1">
        <v>10288.280000000001</v>
      </c>
      <c r="E1300" s="3">
        <v>1</v>
      </c>
      <c r="F1300" s="3">
        <v>1</v>
      </c>
      <c r="G1300" s="1">
        <v>10288.280000000001</v>
      </c>
    </row>
    <row r="1301" spans="1:7" x14ac:dyDescent="0.25">
      <c r="A1301" s="111" t="str">
        <f t="shared" si="20"/>
        <v>JDH4-02-007-CN-4160</v>
      </c>
      <c r="B1301" t="s">
        <v>2177</v>
      </c>
      <c r="C1301" t="s">
        <v>2178</v>
      </c>
      <c r="D1301" s="1">
        <v>102882.58</v>
      </c>
      <c r="E1301" s="3">
        <v>1</v>
      </c>
      <c r="F1301" s="3">
        <v>1</v>
      </c>
      <c r="G1301" s="1">
        <v>102882.58</v>
      </c>
    </row>
    <row r="1302" spans="1:7" x14ac:dyDescent="0.25">
      <c r="A1302" s="111" t="str">
        <f t="shared" si="20"/>
        <v>JDH4-02-007-CN-4230</v>
      </c>
      <c r="B1302" t="s">
        <v>2179</v>
      </c>
      <c r="C1302" t="s">
        <v>2180</v>
      </c>
      <c r="D1302" s="1">
        <v>41153.01</v>
      </c>
      <c r="E1302" s="3">
        <v>1</v>
      </c>
      <c r="F1302" s="3">
        <v>1</v>
      </c>
      <c r="G1302" s="1">
        <v>41153.01</v>
      </c>
    </row>
    <row r="1303" spans="1:7" x14ac:dyDescent="0.25">
      <c r="A1303" s="111" t="str">
        <f t="shared" si="20"/>
        <v>JDH4-02-007-CN-4370</v>
      </c>
      <c r="B1303" t="s">
        <v>2183</v>
      </c>
      <c r="C1303" t="s">
        <v>2152</v>
      </c>
      <c r="D1303" s="1">
        <v>20576.509999999998</v>
      </c>
      <c r="E1303" s="3">
        <v>1</v>
      </c>
      <c r="F1303" s="3">
        <v>1</v>
      </c>
      <c r="G1303" s="1">
        <v>20576.509999999998</v>
      </c>
    </row>
    <row r="1304" spans="1:7" x14ac:dyDescent="0.25">
      <c r="A1304" s="111" t="str">
        <f t="shared" si="20"/>
        <v>JDH4-02-007-CN-4300</v>
      </c>
      <c r="B1304" t="s">
        <v>2181</v>
      </c>
      <c r="C1304" t="s">
        <v>2182</v>
      </c>
      <c r="D1304" s="1">
        <v>10288.280000000001</v>
      </c>
      <c r="E1304" s="3">
        <v>1</v>
      </c>
      <c r="F1304" s="3">
        <v>1</v>
      </c>
      <c r="G1304" s="1">
        <v>10288.280000000001</v>
      </c>
    </row>
    <row r="1305" spans="1:7" x14ac:dyDescent="0.25">
      <c r="A1305" s="111" t="str">
        <f t="shared" si="20"/>
        <v>JDH4-02-007-CN-4680</v>
      </c>
      <c r="B1305" t="s">
        <v>2184</v>
      </c>
      <c r="C1305" t="s">
        <v>2185</v>
      </c>
      <c r="D1305" s="1">
        <v>8311.08</v>
      </c>
      <c r="E1305" s="3">
        <v>1</v>
      </c>
      <c r="F1305" s="3">
        <v>1</v>
      </c>
      <c r="G1305" s="1">
        <v>8311.08</v>
      </c>
    </row>
    <row r="1306" spans="1:7" x14ac:dyDescent="0.25">
      <c r="A1306" s="111" t="str">
        <f t="shared" si="20"/>
        <v>Pipe Encasement</v>
      </c>
      <c r="B1306" t="s">
        <v>1733</v>
      </c>
      <c r="D1306" s="1">
        <v>9821.3700000000008</v>
      </c>
      <c r="E1306" s="3"/>
      <c r="F1306" s="3">
        <v>1</v>
      </c>
      <c r="G1306" s="1">
        <v>9821.3700000000008</v>
      </c>
    </row>
    <row r="1307" spans="1:7" x14ac:dyDescent="0.25">
      <c r="A1307" s="111" t="str">
        <f t="shared" si="20"/>
        <v>JDH4-02-007-CN-4440</v>
      </c>
      <c r="B1307" t="s">
        <v>2186</v>
      </c>
      <c r="C1307" t="s">
        <v>2187</v>
      </c>
      <c r="D1307" s="1">
        <v>9821.3700000000008</v>
      </c>
      <c r="E1307" s="3">
        <v>1</v>
      </c>
      <c r="F1307" s="3">
        <v>1</v>
      </c>
      <c r="G1307" s="1">
        <v>9821.3700000000008</v>
      </c>
    </row>
    <row r="1308" spans="1:7" x14ac:dyDescent="0.25">
      <c r="A1308" s="111" t="str">
        <f t="shared" si="20"/>
        <v>Valves</v>
      </c>
      <c r="B1308" t="s">
        <v>127</v>
      </c>
      <c r="D1308" s="1">
        <v>7469.42</v>
      </c>
      <c r="E1308" s="3"/>
      <c r="F1308" s="3">
        <v>1</v>
      </c>
      <c r="G1308" s="1">
        <v>7469.42</v>
      </c>
    </row>
    <row r="1309" spans="1:7" x14ac:dyDescent="0.25">
      <c r="A1309" s="111" t="str">
        <f t="shared" si="20"/>
        <v>JDH4-02-007-CN-4510</v>
      </c>
      <c r="B1309" t="s">
        <v>2188</v>
      </c>
      <c r="C1309" t="s">
        <v>2189</v>
      </c>
      <c r="D1309" s="1">
        <v>7469.42</v>
      </c>
      <c r="E1309" s="3">
        <v>1</v>
      </c>
      <c r="F1309" s="3">
        <v>1</v>
      </c>
      <c r="G1309" s="1">
        <v>7469.42</v>
      </c>
    </row>
    <row r="1310" spans="1:7" x14ac:dyDescent="0.25">
      <c r="A1310" s="111" t="str">
        <f t="shared" si="20"/>
        <v>Risers</v>
      </c>
      <c r="B1310" t="s">
        <v>499</v>
      </c>
      <c r="D1310" s="1">
        <v>13245.78</v>
      </c>
      <c r="E1310" s="3"/>
      <c r="F1310" s="3">
        <v>1</v>
      </c>
      <c r="G1310" s="1">
        <v>13245.78</v>
      </c>
    </row>
    <row r="1311" spans="1:7" x14ac:dyDescent="0.25">
      <c r="A1311" s="111" t="str">
        <f t="shared" si="20"/>
        <v>JDH4-02-007-CN-4750</v>
      </c>
      <c r="B1311" t="s">
        <v>2190</v>
      </c>
      <c r="C1311" t="s">
        <v>2191</v>
      </c>
      <c r="D1311" s="1">
        <v>13245.78</v>
      </c>
      <c r="E1311" s="3">
        <v>1</v>
      </c>
      <c r="F1311" s="3">
        <v>1</v>
      </c>
      <c r="G1311" s="1">
        <v>13245.78</v>
      </c>
    </row>
    <row r="1312" spans="1:7" x14ac:dyDescent="0.25">
      <c r="A1312" s="111" t="str">
        <f t="shared" si="20"/>
        <v>Potable Network</v>
      </c>
      <c r="B1312" t="s">
        <v>120</v>
      </c>
      <c r="D1312" s="1">
        <v>167864.18</v>
      </c>
      <c r="E1312" s="3"/>
      <c r="F1312" s="3">
        <v>1</v>
      </c>
      <c r="G1312" s="1">
        <v>167864.18</v>
      </c>
    </row>
    <row r="1313" spans="1:7" x14ac:dyDescent="0.25">
      <c r="A1313" s="111" t="str">
        <f t="shared" si="20"/>
        <v>Pipe Works</v>
      </c>
      <c r="B1313" t="s">
        <v>1722</v>
      </c>
      <c r="D1313" s="1">
        <v>98143.31</v>
      </c>
      <c r="E1313" s="3"/>
      <c r="F1313" s="3">
        <v>1</v>
      </c>
      <c r="G1313" s="1">
        <v>98143.31</v>
      </c>
    </row>
    <row r="1314" spans="1:7" x14ac:dyDescent="0.25">
      <c r="A1314" s="111" t="str">
        <f t="shared" si="20"/>
        <v>JDH4-02-007-CN-3340</v>
      </c>
      <c r="B1314" t="s">
        <v>2192</v>
      </c>
      <c r="C1314" t="s">
        <v>2144</v>
      </c>
      <c r="D1314" s="1">
        <v>9814.34</v>
      </c>
      <c r="E1314" s="3">
        <v>1</v>
      </c>
      <c r="F1314" s="3">
        <v>1</v>
      </c>
      <c r="G1314" s="1">
        <v>9814.34</v>
      </c>
    </row>
    <row r="1315" spans="1:7" x14ac:dyDescent="0.25">
      <c r="A1315" s="111" t="str">
        <f t="shared" si="20"/>
        <v>JDH4-02-007-CN-3410</v>
      </c>
      <c r="B1315" t="s">
        <v>2193</v>
      </c>
      <c r="C1315" t="s">
        <v>2146</v>
      </c>
      <c r="D1315" s="1">
        <v>4907.17</v>
      </c>
      <c r="E1315" s="3">
        <v>1</v>
      </c>
      <c r="F1315" s="3">
        <v>1</v>
      </c>
      <c r="G1315" s="1">
        <v>4907.17</v>
      </c>
    </row>
    <row r="1316" spans="1:7" x14ac:dyDescent="0.25">
      <c r="A1316" s="111" t="str">
        <f t="shared" si="20"/>
        <v>JDH4-02-007-CN-3480</v>
      </c>
      <c r="B1316" t="s">
        <v>2194</v>
      </c>
      <c r="C1316" t="s">
        <v>2178</v>
      </c>
      <c r="D1316" s="1">
        <v>49071.64</v>
      </c>
      <c r="E1316" s="3">
        <v>1</v>
      </c>
      <c r="F1316" s="3">
        <v>1</v>
      </c>
      <c r="G1316" s="1">
        <v>49071.64</v>
      </c>
    </row>
    <row r="1317" spans="1:7" x14ac:dyDescent="0.25">
      <c r="A1317" s="111" t="str">
        <f t="shared" si="20"/>
        <v>JDH4-02-007-CN-3550</v>
      </c>
      <c r="B1317" t="s">
        <v>2195</v>
      </c>
      <c r="C1317" t="s">
        <v>2180</v>
      </c>
      <c r="D1317" s="1">
        <v>19628.650000000001</v>
      </c>
      <c r="E1317" s="3">
        <v>1</v>
      </c>
      <c r="F1317" s="2">
        <v>1</v>
      </c>
      <c r="G1317" s="1">
        <v>19628.650000000001</v>
      </c>
    </row>
    <row r="1318" spans="1:7" x14ac:dyDescent="0.25">
      <c r="A1318" s="111" t="str">
        <f t="shared" si="20"/>
        <v>JDH4-02-007-CN-3620</v>
      </c>
      <c r="B1318" t="s">
        <v>2196</v>
      </c>
      <c r="C1318" t="s">
        <v>2150</v>
      </c>
      <c r="D1318" s="1">
        <v>4907.17</v>
      </c>
      <c r="E1318" s="3">
        <v>1</v>
      </c>
      <c r="F1318" s="2">
        <v>1</v>
      </c>
      <c r="G1318" s="1">
        <v>4907.17</v>
      </c>
    </row>
    <row r="1319" spans="1:7" x14ac:dyDescent="0.25">
      <c r="A1319" s="111" t="str">
        <f t="shared" si="20"/>
        <v>JDH4-02-007-CN-3690</v>
      </c>
      <c r="B1319" t="s">
        <v>2197</v>
      </c>
      <c r="C1319" t="s">
        <v>2198</v>
      </c>
      <c r="D1319" s="1">
        <v>9814.34</v>
      </c>
      <c r="E1319" s="3">
        <v>1</v>
      </c>
      <c r="F1319" s="3">
        <v>1</v>
      </c>
      <c r="G1319" s="1">
        <v>9814.34</v>
      </c>
    </row>
    <row r="1320" spans="1:7" x14ac:dyDescent="0.25">
      <c r="A1320" s="111" t="str">
        <f t="shared" si="20"/>
        <v>Pipe Encasement</v>
      </c>
      <c r="B1320" t="s">
        <v>1733</v>
      </c>
      <c r="D1320" s="1">
        <v>7696.98</v>
      </c>
      <c r="E1320" s="3"/>
      <c r="F1320" s="3">
        <v>1</v>
      </c>
      <c r="G1320" s="1">
        <v>7696.98</v>
      </c>
    </row>
    <row r="1321" spans="1:7" x14ac:dyDescent="0.25">
      <c r="A1321" s="111" t="str">
        <f t="shared" si="20"/>
        <v>JDH4-02-007-CN-3760</v>
      </c>
      <c r="B1321" t="s">
        <v>2199</v>
      </c>
      <c r="C1321" t="s">
        <v>2187</v>
      </c>
      <c r="D1321" s="1">
        <v>7696.98</v>
      </c>
      <c r="E1321" s="3">
        <v>1</v>
      </c>
      <c r="F1321" s="3">
        <v>1</v>
      </c>
      <c r="G1321" s="1">
        <v>7696.98</v>
      </c>
    </row>
    <row r="1322" spans="1:7" x14ac:dyDescent="0.25">
      <c r="A1322" s="111" t="str">
        <f t="shared" si="20"/>
        <v>Valves</v>
      </c>
      <c r="B1322" t="s">
        <v>127</v>
      </c>
      <c r="D1322" s="1">
        <v>5256.26</v>
      </c>
      <c r="E1322" s="3"/>
      <c r="F1322" s="3">
        <v>1</v>
      </c>
      <c r="G1322" s="1">
        <v>5256.26</v>
      </c>
    </row>
    <row r="1323" spans="1:7" x14ac:dyDescent="0.25">
      <c r="A1323" s="111" t="str">
        <f t="shared" si="20"/>
        <v>JDH4-02-007-CN-3830</v>
      </c>
      <c r="B1323" t="s">
        <v>2200</v>
      </c>
      <c r="C1323" t="s">
        <v>2189</v>
      </c>
      <c r="D1323" s="1">
        <v>5256.26</v>
      </c>
      <c r="E1323" s="3">
        <v>1</v>
      </c>
      <c r="F1323" s="3">
        <v>1</v>
      </c>
      <c r="G1323" s="1">
        <v>5256.26</v>
      </c>
    </row>
    <row r="1324" spans="1:7" x14ac:dyDescent="0.25">
      <c r="A1324" s="111" t="str">
        <f t="shared" si="20"/>
        <v>Fire Hydrant</v>
      </c>
      <c r="B1324" t="s">
        <v>124</v>
      </c>
      <c r="D1324" s="1">
        <v>56767.63</v>
      </c>
      <c r="E1324" s="3"/>
      <c r="F1324" s="3">
        <v>1</v>
      </c>
      <c r="G1324" s="1">
        <v>56767.63</v>
      </c>
    </row>
    <row r="1325" spans="1:7" x14ac:dyDescent="0.25">
      <c r="A1325" s="111" t="str">
        <f t="shared" si="20"/>
        <v>JDH4-02-007-CN-3920</v>
      </c>
      <c r="B1325" t="s">
        <v>2201</v>
      </c>
      <c r="C1325" t="s">
        <v>2202</v>
      </c>
      <c r="D1325" s="1">
        <v>56767.63</v>
      </c>
      <c r="E1325" s="3">
        <v>1</v>
      </c>
      <c r="F1325" s="3">
        <v>1</v>
      </c>
      <c r="G1325" s="1">
        <v>56767.63</v>
      </c>
    </row>
    <row r="1326" spans="1:7" x14ac:dyDescent="0.25">
      <c r="A1326" s="111" t="str">
        <f t="shared" si="20"/>
        <v>Electrical Works</v>
      </c>
      <c r="B1326" t="s">
        <v>1785</v>
      </c>
      <c r="D1326" s="1">
        <v>553863.1</v>
      </c>
      <c r="E1326" s="3"/>
      <c r="F1326" s="3">
        <v>1</v>
      </c>
      <c r="G1326" s="1">
        <v>553863.1</v>
      </c>
    </row>
    <row r="1327" spans="1:7" x14ac:dyDescent="0.25">
      <c r="A1327" s="111" t="str">
        <f t="shared" si="20"/>
        <v>LV Cables</v>
      </c>
      <c r="B1327" t="s">
        <v>4076</v>
      </c>
      <c r="D1327" s="1">
        <v>35076.36</v>
      </c>
      <c r="E1327" s="3"/>
      <c r="F1327" s="3">
        <v>1</v>
      </c>
      <c r="G1327" s="1">
        <v>35076.36</v>
      </c>
    </row>
    <row r="1328" spans="1:7" x14ac:dyDescent="0.25">
      <c r="A1328" s="111" t="str">
        <f t="shared" si="20"/>
        <v>Low Voltage Cable</v>
      </c>
      <c r="B1328" t="s">
        <v>222</v>
      </c>
      <c r="D1328" s="1">
        <v>35076.36</v>
      </c>
      <c r="E1328" s="3"/>
      <c r="F1328" s="3">
        <v>1</v>
      </c>
      <c r="G1328" s="1">
        <v>35076.36</v>
      </c>
    </row>
    <row r="1329" spans="1:7" x14ac:dyDescent="0.25">
      <c r="A1329" s="111" t="str">
        <f t="shared" si="20"/>
        <v>JDH4-02-007-CN-2630</v>
      </c>
      <c r="B1329" t="s">
        <v>2209</v>
      </c>
      <c r="C1329" t="s">
        <v>2210</v>
      </c>
      <c r="D1329" s="1">
        <v>9385.58</v>
      </c>
      <c r="E1329" s="3">
        <v>1</v>
      </c>
      <c r="F1329" s="3">
        <v>1</v>
      </c>
      <c r="G1329" s="1">
        <v>9385.58</v>
      </c>
    </row>
    <row r="1330" spans="1:7" x14ac:dyDescent="0.25">
      <c r="A1330" s="111" t="str">
        <f t="shared" si="20"/>
        <v>JDH4-02-007-CN-2640</v>
      </c>
      <c r="B1330" t="s">
        <v>2211</v>
      </c>
      <c r="C1330" t="s">
        <v>2212</v>
      </c>
      <c r="D1330" s="1">
        <v>25690.78</v>
      </c>
      <c r="E1330" s="3">
        <v>1</v>
      </c>
      <c r="F1330" s="3">
        <v>1</v>
      </c>
      <c r="G1330" s="1">
        <v>25690.78</v>
      </c>
    </row>
    <row r="1331" spans="1:7" x14ac:dyDescent="0.25">
      <c r="A1331" s="111" t="str">
        <f t="shared" si="20"/>
        <v>Street Lighting</v>
      </c>
      <c r="B1331" t="s">
        <v>1786</v>
      </c>
      <c r="D1331" s="1">
        <v>267583.69</v>
      </c>
      <c r="E1331" s="3"/>
      <c r="F1331" s="3">
        <v>1</v>
      </c>
      <c r="G1331" s="1">
        <v>267583.69</v>
      </c>
    </row>
    <row r="1332" spans="1:7" x14ac:dyDescent="0.25">
      <c r="A1332" s="111" t="str">
        <f t="shared" si="20"/>
        <v>JDH4-02-007-CN-2790</v>
      </c>
      <c r="B1332" t="s">
        <v>2214</v>
      </c>
      <c r="C1332" t="s">
        <v>2215</v>
      </c>
      <c r="D1332" s="1">
        <v>17204.29</v>
      </c>
      <c r="E1332" s="3">
        <v>1</v>
      </c>
      <c r="F1332" s="3">
        <v>1</v>
      </c>
      <c r="G1332" s="1">
        <v>17204.29</v>
      </c>
    </row>
    <row r="1333" spans="1:7" x14ac:dyDescent="0.25">
      <c r="A1333" s="111" t="str">
        <f t="shared" si="20"/>
        <v>JDH4-02-007-CN-2940</v>
      </c>
      <c r="B1333" t="s">
        <v>2219</v>
      </c>
      <c r="C1333" t="s">
        <v>2220</v>
      </c>
      <c r="D1333" s="1">
        <v>22897.48</v>
      </c>
      <c r="E1333" s="3">
        <v>1</v>
      </c>
      <c r="F1333" s="3">
        <v>1</v>
      </c>
      <c r="G1333" s="1">
        <v>22897.48</v>
      </c>
    </row>
    <row r="1334" spans="1:7" x14ac:dyDescent="0.25">
      <c r="A1334" s="111" t="str">
        <f t="shared" si="20"/>
        <v>JDH4-02-007-CN-2900</v>
      </c>
      <c r="B1334" t="s">
        <v>2217</v>
      </c>
      <c r="C1334" t="s">
        <v>2218</v>
      </c>
      <c r="D1334" s="1">
        <v>96197.32</v>
      </c>
      <c r="E1334" s="3">
        <v>1</v>
      </c>
      <c r="F1334" s="3">
        <v>1</v>
      </c>
      <c r="G1334" s="1">
        <v>96197.32</v>
      </c>
    </row>
    <row r="1335" spans="1:7" x14ac:dyDescent="0.25">
      <c r="A1335" s="111" t="str">
        <f t="shared" si="20"/>
        <v>JDH4-02-007-CN-2780</v>
      </c>
      <c r="B1335" t="s">
        <v>2213</v>
      </c>
      <c r="C1335" t="s">
        <v>2210</v>
      </c>
      <c r="D1335" s="1">
        <v>17282.59</v>
      </c>
      <c r="E1335" s="3">
        <v>1</v>
      </c>
      <c r="F1335" s="3">
        <v>1</v>
      </c>
      <c r="G1335" s="1">
        <v>17282.59</v>
      </c>
    </row>
    <row r="1336" spans="1:7" x14ac:dyDescent="0.25">
      <c r="A1336" s="111" t="str">
        <f t="shared" si="20"/>
        <v>JDH4-02-007-CN-2860</v>
      </c>
      <c r="B1336" t="s">
        <v>2216</v>
      </c>
      <c r="C1336" t="s">
        <v>2212</v>
      </c>
      <c r="D1336" s="1">
        <v>88141.2</v>
      </c>
      <c r="E1336" s="3">
        <v>1</v>
      </c>
      <c r="F1336" s="3">
        <v>1</v>
      </c>
      <c r="G1336" s="1">
        <v>88141.2</v>
      </c>
    </row>
    <row r="1337" spans="1:7" x14ac:dyDescent="0.25">
      <c r="A1337" s="111" t="str">
        <f t="shared" si="20"/>
        <v>JDH4-02-007-CN-3000</v>
      </c>
      <c r="B1337" t="s">
        <v>2221</v>
      </c>
      <c r="C1337" t="s">
        <v>2222</v>
      </c>
      <c r="D1337" s="1">
        <v>22076.3</v>
      </c>
      <c r="E1337" s="3">
        <v>1</v>
      </c>
      <c r="F1337" s="3">
        <v>1</v>
      </c>
      <c r="G1337" s="1">
        <v>22076.3</v>
      </c>
    </row>
    <row r="1338" spans="1:7" x14ac:dyDescent="0.25">
      <c r="A1338" s="111" t="str">
        <f t="shared" si="20"/>
        <v>JDH4-02-007-CN-3010</v>
      </c>
      <c r="B1338" t="s">
        <v>2223</v>
      </c>
      <c r="C1338" t="s">
        <v>2224</v>
      </c>
      <c r="D1338" s="1">
        <v>3784.51</v>
      </c>
      <c r="E1338" s="3">
        <v>1</v>
      </c>
      <c r="F1338" s="3">
        <v>1</v>
      </c>
      <c r="G1338" s="1">
        <v>3784.51</v>
      </c>
    </row>
    <row r="1339" spans="1:7" x14ac:dyDescent="0.25">
      <c r="A1339" s="111" t="str">
        <f t="shared" si="20"/>
        <v>Telecommunication</v>
      </c>
      <c r="B1339" t="s">
        <v>1799</v>
      </c>
      <c r="D1339" s="1">
        <v>251203.05</v>
      </c>
      <c r="E1339" s="3"/>
      <c r="F1339" s="3">
        <v>1</v>
      </c>
      <c r="G1339" s="1">
        <v>251203.05</v>
      </c>
    </row>
    <row r="1340" spans="1:7" x14ac:dyDescent="0.25">
      <c r="A1340" s="111" t="str">
        <f t="shared" si="20"/>
        <v>JDH4-02-007-CN-3090</v>
      </c>
      <c r="B1340" t="s">
        <v>2225</v>
      </c>
      <c r="C1340" t="s">
        <v>2226</v>
      </c>
      <c r="D1340" s="1">
        <v>145325.12</v>
      </c>
      <c r="E1340" s="3">
        <v>1</v>
      </c>
      <c r="F1340" s="3">
        <v>1</v>
      </c>
      <c r="G1340" s="1">
        <v>145325.12</v>
      </c>
    </row>
    <row r="1341" spans="1:7" x14ac:dyDescent="0.25">
      <c r="A1341" s="111" t="str">
        <f t="shared" si="20"/>
        <v>JDH4-02-007-CN-3160</v>
      </c>
      <c r="B1341" t="s">
        <v>2227</v>
      </c>
      <c r="C1341" t="s">
        <v>2228</v>
      </c>
      <c r="D1341" s="1">
        <v>3973.73</v>
      </c>
      <c r="E1341" s="3">
        <v>1</v>
      </c>
      <c r="F1341" s="3">
        <v>1</v>
      </c>
      <c r="G1341" s="1">
        <v>3973.73</v>
      </c>
    </row>
    <row r="1342" spans="1:7" x14ac:dyDescent="0.25">
      <c r="A1342" s="111" t="str">
        <f t="shared" si="20"/>
        <v>JDH4-02-007-CN-3270</v>
      </c>
      <c r="B1342" t="s">
        <v>2231</v>
      </c>
      <c r="C1342" t="s">
        <v>2174</v>
      </c>
      <c r="D1342" s="1">
        <v>39737.339999999997</v>
      </c>
      <c r="E1342" s="3">
        <v>1</v>
      </c>
      <c r="F1342" s="3">
        <v>1</v>
      </c>
      <c r="G1342" s="1">
        <v>39737.339999999997</v>
      </c>
    </row>
    <row r="1343" spans="1:7" x14ac:dyDescent="0.25">
      <c r="A1343" s="111" t="str">
        <f t="shared" si="20"/>
        <v>JDH4-02-007-CN-3210</v>
      </c>
      <c r="B1343" t="s">
        <v>2229</v>
      </c>
      <c r="C1343" t="s">
        <v>2230</v>
      </c>
      <c r="D1343" s="1">
        <v>62166.86</v>
      </c>
      <c r="E1343" s="3">
        <v>1</v>
      </c>
      <c r="F1343" s="3">
        <v>1</v>
      </c>
      <c r="G1343" s="1">
        <v>62166.86</v>
      </c>
    </row>
    <row r="1344" spans="1:7" x14ac:dyDescent="0.25">
      <c r="A1344" s="111" t="str">
        <f t="shared" si="20"/>
        <v>Road 01</v>
      </c>
      <c r="B1344" t="s">
        <v>1923</v>
      </c>
      <c r="D1344" s="1">
        <v>3400633.43</v>
      </c>
      <c r="F1344" s="3">
        <v>0.98429999999999995</v>
      </c>
      <c r="G1344" s="1">
        <v>3347186.75</v>
      </c>
    </row>
    <row r="1345" spans="1:7" x14ac:dyDescent="0.25">
      <c r="A1345" s="111" t="str">
        <f t="shared" si="20"/>
        <v>Road Works (Roundabout)</v>
      </c>
      <c r="B1345" t="s">
        <v>1924</v>
      </c>
      <c r="D1345" s="1">
        <v>826699</v>
      </c>
      <c r="E1345" s="3"/>
      <c r="F1345" s="3">
        <v>0.93530000000000002</v>
      </c>
      <c r="G1345" s="1">
        <v>773252.32</v>
      </c>
    </row>
    <row r="1346" spans="1:7" x14ac:dyDescent="0.25">
      <c r="A1346" s="111" t="str">
        <f t="shared" si="20"/>
        <v>Eartworks &amp; Site grading</v>
      </c>
      <c r="B1346" t="s">
        <v>1686</v>
      </c>
      <c r="D1346" s="1">
        <v>357790.57</v>
      </c>
      <c r="F1346" s="3">
        <v>1</v>
      </c>
      <c r="G1346" s="1">
        <v>357790.57</v>
      </c>
    </row>
    <row r="1347" spans="1:7" x14ac:dyDescent="0.25">
      <c r="A1347" s="111" t="str">
        <f t="shared" si="20"/>
        <v>JDH4-02-007-CN-1720</v>
      </c>
      <c r="B1347" t="s">
        <v>1925</v>
      </c>
      <c r="C1347" t="s">
        <v>1926</v>
      </c>
      <c r="D1347" s="1">
        <v>8053.45</v>
      </c>
      <c r="E1347" s="3">
        <v>1</v>
      </c>
      <c r="F1347" s="3">
        <v>1</v>
      </c>
      <c r="G1347" s="1">
        <v>8053.45</v>
      </c>
    </row>
    <row r="1348" spans="1:7" x14ac:dyDescent="0.25">
      <c r="A1348" s="111" t="str">
        <f t="shared" ref="A1348:A1411" si="21">TRIM(B1348)</f>
        <v>JDH4-02-007-CN-1780</v>
      </c>
      <c r="B1348" t="s">
        <v>1927</v>
      </c>
      <c r="C1348" t="s">
        <v>1928</v>
      </c>
      <c r="D1348" s="1">
        <v>317788.32</v>
      </c>
      <c r="E1348" s="3">
        <v>1</v>
      </c>
      <c r="F1348" s="3">
        <v>1</v>
      </c>
      <c r="G1348" s="1">
        <v>317788.32</v>
      </c>
    </row>
    <row r="1349" spans="1:7" x14ac:dyDescent="0.25">
      <c r="A1349" s="111" t="str">
        <f t="shared" si="21"/>
        <v>JDH4-02-007-CN-1900</v>
      </c>
      <c r="B1349" t="s">
        <v>1929</v>
      </c>
      <c r="C1349" t="s">
        <v>1930</v>
      </c>
      <c r="D1349" s="1">
        <v>31948.799999999999</v>
      </c>
      <c r="E1349" s="3">
        <v>1</v>
      </c>
      <c r="F1349" s="3">
        <v>1</v>
      </c>
      <c r="G1349" s="1">
        <v>31948.799999999999</v>
      </c>
    </row>
    <row r="1350" spans="1:7" x14ac:dyDescent="0.25">
      <c r="A1350" s="111" t="str">
        <f t="shared" si="21"/>
        <v>Asphalt Works</v>
      </c>
      <c r="B1350" t="s">
        <v>1693</v>
      </c>
      <c r="D1350" s="1">
        <v>213995.02</v>
      </c>
      <c r="E1350" s="3"/>
      <c r="F1350" s="3">
        <v>1</v>
      </c>
      <c r="G1350" s="1">
        <v>213995.02</v>
      </c>
    </row>
    <row r="1351" spans="1:7" x14ac:dyDescent="0.25">
      <c r="A1351" s="111" t="str">
        <f t="shared" si="21"/>
        <v>JDH4-02-007-CN-1960</v>
      </c>
      <c r="B1351" t="s">
        <v>1931</v>
      </c>
      <c r="C1351" t="s">
        <v>1932</v>
      </c>
      <c r="D1351" s="1">
        <v>32540.46</v>
      </c>
      <c r="E1351" s="3">
        <v>1</v>
      </c>
      <c r="F1351" s="3">
        <v>1</v>
      </c>
      <c r="G1351" s="1">
        <v>32540.46</v>
      </c>
    </row>
    <row r="1352" spans="1:7" x14ac:dyDescent="0.25">
      <c r="A1352" s="111" t="str">
        <f t="shared" si="21"/>
        <v>JDH4-02-007-CN-2010</v>
      </c>
      <c r="B1352" t="s">
        <v>1933</v>
      </c>
      <c r="C1352" t="s">
        <v>1934</v>
      </c>
      <c r="D1352" s="1">
        <v>17989.03</v>
      </c>
      <c r="E1352" s="3">
        <v>1</v>
      </c>
      <c r="F1352" s="3">
        <v>1</v>
      </c>
      <c r="G1352" s="1">
        <v>17989.03</v>
      </c>
    </row>
    <row r="1353" spans="1:7" x14ac:dyDescent="0.25">
      <c r="A1353" s="111" t="str">
        <f t="shared" si="21"/>
        <v>JDH4-02-007-CN-2060</v>
      </c>
      <c r="B1353" t="s">
        <v>1935</v>
      </c>
      <c r="C1353" t="s">
        <v>1936</v>
      </c>
      <c r="D1353" s="1">
        <v>163465.53</v>
      </c>
      <c r="E1353" s="3">
        <v>1</v>
      </c>
      <c r="F1353" s="3">
        <v>1</v>
      </c>
      <c r="G1353" s="1">
        <v>163465.53</v>
      </c>
    </row>
    <row r="1354" spans="1:7" x14ac:dyDescent="0.25">
      <c r="A1354" s="111" t="str">
        <f t="shared" si="21"/>
        <v>Finishing Works</v>
      </c>
      <c r="B1354" t="s">
        <v>1700</v>
      </c>
      <c r="D1354" s="1">
        <v>254913.41</v>
      </c>
      <c r="E1354" s="3"/>
      <c r="F1354" s="3">
        <v>0.7903</v>
      </c>
      <c r="G1354" s="1">
        <v>201466.73</v>
      </c>
    </row>
    <row r="1355" spans="1:7" x14ac:dyDescent="0.25">
      <c r="A1355" s="111" t="str">
        <f t="shared" si="21"/>
        <v>Asphalt Wearing Course</v>
      </c>
      <c r="B1355" t="s">
        <v>1701</v>
      </c>
      <c r="D1355" s="1">
        <v>95937.279999999999</v>
      </c>
      <c r="E1355" s="3"/>
      <c r="F1355" s="3">
        <v>1</v>
      </c>
      <c r="G1355" s="1">
        <v>95937.279999999999</v>
      </c>
    </row>
    <row r="1356" spans="1:7" x14ac:dyDescent="0.25">
      <c r="A1356" s="111" t="str">
        <f t="shared" si="21"/>
        <v>JDH4-02-007-CN-2110</v>
      </c>
      <c r="B1356" t="s">
        <v>1937</v>
      </c>
      <c r="C1356" t="s">
        <v>1938</v>
      </c>
      <c r="D1356" s="1">
        <v>9429.73</v>
      </c>
      <c r="E1356" s="3">
        <v>1</v>
      </c>
      <c r="F1356" s="3">
        <v>1</v>
      </c>
      <c r="G1356" s="1">
        <v>9429.73</v>
      </c>
    </row>
    <row r="1357" spans="1:7" x14ac:dyDescent="0.25">
      <c r="A1357" s="111" t="str">
        <f t="shared" si="21"/>
        <v>JDH4-02-007-CN-2160</v>
      </c>
      <c r="B1357" t="s">
        <v>1939</v>
      </c>
      <c r="C1357" t="s">
        <v>1940</v>
      </c>
      <c r="D1357" s="1">
        <v>86507.55</v>
      </c>
      <c r="E1357" s="3">
        <v>1</v>
      </c>
      <c r="F1357" s="3">
        <v>1</v>
      </c>
      <c r="G1357" s="1">
        <v>86507.55</v>
      </c>
    </row>
    <row r="1358" spans="1:7" x14ac:dyDescent="0.25">
      <c r="A1358" s="111" t="str">
        <f t="shared" si="21"/>
        <v>Precast Concrete Curb</v>
      </c>
      <c r="B1358" t="s">
        <v>1706</v>
      </c>
      <c r="D1358" s="1">
        <v>59926.12</v>
      </c>
      <c r="E1358" s="3"/>
      <c r="F1358" s="3">
        <v>1</v>
      </c>
      <c r="G1358" s="1">
        <v>59926.12</v>
      </c>
    </row>
    <row r="1359" spans="1:7" x14ac:dyDescent="0.25">
      <c r="A1359" s="111" t="str">
        <f t="shared" si="21"/>
        <v>JDH4-02-007-CN-2210</v>
      </c>
      <c r="B1359" t="s">
        <v>1941</v>
      </c>
      <c r="C1359" t="s">
        <v>1942</v>
      </c>
      <c r="D1359" s="1">
        <v>59926.12</v>
      </c>
      <c r="E1359" s="3">
        <v>1</v>
      </c>
      <c r="F1359" s="3">
        <v>1</v>
      </c>
      <c r="G1359" s="1">
        <v>59926.12</v>
      </c>
    </row>
    <row r="1360" spans="1:7" x14ac:dyDescent="0.25">
      <c r="A1360" s="111" t="str">
        <f t="shared" si="21"/>
        <v>Precast Interlocking block pavers</v>
      </c>
      <c r="B1360" t="s">
        <v>1709</v>
      </c>
      <c r="D1360" s="1">
        <v>57004.160000000003</v>
      </c>
      <c r="E1360" s="3"/>
      <c r="F1360" s="3">
        <v>0.8</v>
      </c>
      <c r="G1360" s="1">
        <v>45603.33</v>
      </c>
    </row>
    <row r="1361" spans="1:7" x14ac:dyDescent="0.25">
      <c r="A1361" s="111" t="str">
        <f t="shared" si="21"/>
        <v>JDH4-02-007-CN-2260</v>
      </c>
      <c r="B1361" t="s">
        <v>1943</v>
      </c>
      <c r="C1361" t="s">
        <v>1944</v>
      </c>
      <c r="D1361" s="1">
        <v>57004.160000000003</v>
      </c>
      <c r="E1361" s="3">
        <v>0.8</v>
      </c>
      <c r="F1361" s="3">
        <v>0.8</v>
      </c>
      <c r="G1361" s="1">
        <v>45603.33</v>
      </c>
    </row>
    <row r="1362" spans="1:7" x14ac:dyDescent="0.25">
      <c r="A1362" s="111" t="str">
        <f t="shared" si="21"/>
        <v>Pavement Markings</v>
      </c>
      <c r="B1362" t="s">
        <v>1712</v>
      </c>
      <c r="D1362" s="1">
        <v>16149.78</v>
      </c>
      <c r="E1362" s="3"/>
      <c r="F1362" s="3">
        <v>0</v>
      </c>
      <c r="G1362">
        <v>0</v>
      </c>
    </row>
    <row r="1363" spans="1:7" x14ac:dyDescent="0.25">
      <c r="A1363" s="111" t="str">
        <f t="shared" si="21"/>
        <v>JDH4-02-007-CN-2310</v>
      </c>
      <c r="B1363" t="s">
        <v>1945</v>
      </c>
      <c r="C1363" t="s">
        <v>1946</v>
      </c>
      <c r="D1363" s="1">
        <v>16149.78</v>
      </c>
      <c r="E1363" s="3">
        <v>0</v>
      </c>
      <c r="F1363" s="3">
        <v>0</v>
      </c>
      <c r="G1363">
        <v>0</v>
      </c>
    </row>
    <row r="1364" spans="1:7" x14ac:dyDescent="0.25">
      <c r="A1364" s="111" t="str">
        <f t="shared" si="21"/>
        <v>Traffic Signage</v>
      </c>
      <c r="B1364" t="s">
        <v>1715</v>
      </c>
      <c r="D1364" s="1">
        <v>25896.07</v>
      </c>
      <c r="E1364" s="3"/>
      <c r="F1364" s="3">
        <v>0</v>
      </c>
      <c r="G1364">
        <v>0</v>
      </c>
    </row>
    <row r="1365" spans="1:7" x14ac:dyDescent="0.25">
      <c r="A1365" s="111" t="str">
        <f t="shared" si="21"/>
        <v>JDH4-02-007-CN-2360</v>
      </c>
      <c r="B1365" t="s">
        <v>1947</v>
      </c>
      <c r="C1365" t="s">
        <v>1948</v>
      </c>
      <c r="D1365" s="1">
        <v>25896.07</v>
      </c>
      <c r="E1365" s="3">
        <v>0</v>
      </c>
      <c r="F1365" s="3">
        <v>0</v>
      </c>
      <c r="G1365">
        <v>0</v>
      </c>
    </row>
    <row r="1366" spans="1:7" x14ac:dyDescent="0.25">
      <c r="A1366" s="111" t="str">
        <f t="shared" si="21"/>
        <v>Storm Water Drainage</v>
      </c>
      <c r="B1366" t="s">
        <v>1721</v>
      </c>
      <c r="D1366" s="1">
        <v>131305.17000000001</v>
      </c>
      <c r="E1366" s="3"/>
      <c r="F1366" s="3">
        <v>1</v>
      </c>
      <c r="G1366" s="1">
        <v>131305.17000000001</v>
      </c>
    </row>
    <row r="1367" spans="1:7" x14ac:dyDescent="0.25">
      <c r="A1367" s="111" t="str">
        <f t="shared" si="21"/>
        <v>Pipe Works</v>
      </c>
      <c r="B1367" t="s">
        <v>1722</v>
      </c>
      <c r="D1367" s="1">
        <v>26247.15</v>
      </c>
      <c r="E1367" s="3"/>
      <c r="F1367" s="3">
        <v>1</v>
      </c>
      <c r="G1367" s="1">
        <v>26247.15</v>
      </c>
    </row>
    <row r="1368" spans="1:7" x14ac:dyDescent="0.25">
      <c r="A1368" s="111" t="str">
        <f t="shared" si="21"/>
        <v>JDH4-02-007-CN-5340</v>
      </c>
      <c r="B1368" t="s">
        <v>1949</v>
      </c>
      <c r="C1368" t="s">
        <v>1950</v>
      </c>
      <c r="D1368" s="1">
        <v>2624.71</v>
      </c>
      <c r="E1368" s="3">
        <v>1</v>
      </c>
      <c r="F1368" s="3">
        <v>1</v>
      </c>
      <c r="G1368" s="1">
        <v>2624.71</v>
      </c>
    </row>
    <row r="1369" spans="1:7" x14ac:dyDescent="0.25">
      <c r="A1369" s="111" t="str">
        <f t="shared" si="21"/>
        <v>JDH4-02-007-CN-5390</v>
      </c>
      <c r="B1369" t="s">
        <v>1951</v>
      </c>
      <c r="C1369" t="s">
        <v>1952</v>
      </c>
      <c r="D1369" s="1">
        <v>1312.36</v>
      </c>
      <c r="E1369" s="3">
        <v>1</v>
      </c>
      <c r="F1369" s="3">
        <v>1</v>
      </c>
      <c r="G1369" s="1">
        <v>1312.36</v>
      </c>
    </row>
    <row r="1370" spans="1:7" x14ac:dyDescent="0.25">
      <c r="A1370" s="111" t="str">
        <f t="shared" si="21"/>
        <v>JDH4-02-007-CN-5440</v>
      </c>
      <c r="B1370" t="s">
        <v>1953</v>
      </c>
      <c r="C1370" t="s">
        <v>1954</v>
      </c>
      <c r="D1370" s="1">
        <v>18373.009999999998</v>
      </c>
      <c r="E1370" s="3">
        <v>1</v>
      </c>
      <c r="F1370" s="3">
        <v>1</v>
      </c>
      <c r="G1370" s="1">
        <v>18373.009999999998</v>
      </c>
    </row>
    <row r="1371" spans="1:7" x14ac:dyDescent="0.25">
      <c r="A1371" s="111" t="str">
        <f t="shared" si="21"/>
        <v>JDH4-02-007-CN-5490</v>
      </c>
      <c r="B1371" t="s">
        <v>1955</v>
      </c>
      <c r="C1371" t="s">
        <v>1956</v>
      </c>
      <c r="D1371" s="1">
        <v>1312.36</v>
      </c>
      <c r="E1371" s="3">
        <v>1</v>
      </c>
      <c r="F1371" s="3">
        <v>1</v>
      </c>
      <c r="G1371" s="1">
        <v>1312.36</v>
      </c>
    </row>
    <row r="1372" spans="1:7" x14ac:dyDescent="0.25">
      <c r="A1372" s="111" t="str">
        <f t="shared" si="21"/>
        <v>JDH4-02-007-CN-5540</v>
      </c>
      <c r="B1372" t="s">
        <v>1957</v>
      </c>
      <c r="C1372" t="s">
        <v>1958</v>
      </c>
      <c r="D1372" s="1">
        <v>2624.71</v>
      </c>
      <c r="E1372" s="3">
        <v>1</v>
      </c>
      <c r="F1372" s="3">
        <v>1</v>
      </c>
      <c r="G1372" s="1">
        <v>2624.71</v>
      </c>
    </row>
    <row r="1373" spans="1:7" x14ac:dyDescent="0.25">
      <c r="A1373" s="111" t="str">
        <f t="shared" si="21"/>
        <v>Pipe Encasement</v>
      </c>
      <c r="B1373" t="s">
        <v>1733</v>
      </c>
      <c r="D1373" s="1">
        <v>1307.93</v>
      </c>
      <c r="E1373" s="3"/>
      <c r="F1373" s="3">
        <v>1</v>
      </c>
      <c r="G1373" s="1">
        <v>1307.93</v>
      </c>
    </row>
    <row r="1374" spans="1:7" x14ac:dyDescent="0.25">
      <c r="A1374" s="111" t="str">
        <f t="shared" si="21"/>
        <v>JDH4-02-007-CN-5810</v>
      </c>
      <c r="B1374" t="s">
        <v>1959</v>
      </c>
      <c r="C1374" t="s">
        <v>1960</v>
      </c>
      <c r="D1374" s="1">
        <v>1307.93</v>
      </c>
      <c r="E1374" s="3">
        <v>1</v>
      </c>
      <c r="F1374" s="3">
        <v>1</v>
      </c>
      <c r="G1374" s="1">
        <v>1307.93</v>
      </c>
    </row>
    <row r="1375" spans="1:7" x14ac:dyDescent="0.25">
      <c r="A1375" s="111" t="str">
        <f t="shared" si="21"/>
        <v>Manholes</v>
      </c>
      <c r="B1375" t="s">
        <v>486</v>
      </c>
      <c r="D1375" s="1">
        <v>74735.520000000004</v>
      </c>
      <c r="E1375" s="3"/>
      <c r="F1375" s="3">
        <v>1</v>
      </c>
      <c r="G1375" s="1">
        <v>74735.520000000004</v>
      </c>
    </row>
    <row r="1376" spans="1:7" x14ac:dyDescent="0.25">
      <c r="A1376" s="111" t="str">
        <f t="shared" si="21"/>
        <v>JDH4-02-007-CN-5640</v>
      </c>
      <c r="B1376" t="s">
        <v>1961</v>
      </c>
      <c r="C1376" t="s">
        <v>1962</v>
      </c>
      <c r="D1376" s="1">
        <v>74735.520000000004</v>
      </c>
      <c r="E1376" s="3">
        <v>1</v>
      </c>
      <c r="F1376" s="3">
        <v>1</v>
      </c>
      <c r="G1376" s="1">
        <v>74735.520000000004</v>
      </c>
    </row>
    <row r="1377" spans="1:7" x14ac:dyDescent="0.25">
      <c r="A1377" s="111" t="str">
        <f t="shared" si="21"/>
        <v>Precast Acces Openinig</v>
      </c>
      <c r="B1377" t="s">
        <v>1738</v>
      </c>
      <c r="D1377" s="1">
        <v>3784.51</v>
      </c>
      <c r="E1377" s="3"/>
      <c r="F1377" s="3">
        <v>1</v>
      </c>
      <c r="G1377" s="1">
        <v>3784.51</v>
      </c>
    </row>
    <row r="1378" spans="1:7" x14ac:dyDescent="0.25">
      <c r="A1378" s="111" t="str">
        <f t="shared" si="21"/>
        <v>JDH4-02-007-CN-5690</v>
      </c>
      <c r="B1378" t="s">
        <v>1963</v>
      </c>
      <c r="C1378" t="s">
        <v>1964</v>
      </c>
      <c r="D1378" s="1">
        <v>3784.51</v>
      </c>
      <c r="E1378" s="3">
        <v>1</v>
      </c>
      <c r="F1378" s="3">
        <v>1</v>
      </c>
      <c r="G1378" s="1">
        <v>3784.51</v>
      </c>
    </row>
    <row r="1379" spans="1:7" x14ac:dyDescent="0.25">
      <c r="A1379" s="111" t="str">
        <f t="shared" si="21"/>
        <v>Concrete Outfalls</v>
      </c>
      <c r="B1379" t="s">
        <v>1744</v>
      </c>
      <c r="D1379" s="1">
        <v>25230.06</v>
      </c>
      <c r="E1379" s="3"/>
      <c r="F1379" s="3">
        <v>1</v>
      </c>
      <c r="G1379" s="1">
        <v>25230.06</v>
      </c>
    </row>
    <row r="1380" spans="1:7" x14ac:dyDescent="0.25">
      <c r="A1380" s="111" t="str">
        <f t="shared" si="21"/>
        <v>JDH4-02-007-CN-5780</v>
      </c>
      <c r="B1380" t="s">
        <v>1965</v>
      </c>
      <c r="C1380" t="s">
        <v>1966</v>
      </c>
      <c r="D1380" s="1">
        <v>25230.06</v>
      </c>
      <c r="E1380" s="3">
        <v>1</v>
      </c>
      <c r="F1380" s="3">
        <v>1</v>
      </c>
      <c r="G1380" s="1">
        <v>25230.06</v>
      </c>
    </row>
    <row r="1381" spans="1:7" x14ac:dyDescent="0.25">
      <c r="A1381" s="111" t="str">
        <f t="shared" si="21"/>
        <v>Sewerage Network</v>
      </c>
      <c r="B1381" t="s">
        <v>221</v>
      </c>
      <c r="D1381" s="1">
        <v>134037.32999999999</v>
      </c>
      <c r="E1381" s="3"/>
      <c r="F1381" s="3">
        <v>1</v>
      </c>
      <c r="G1381" s="1">
        <v>134037.32999999999</v>
      </c>
    </row>
    <row r="1382" spans="1:7" x14ac:dyDescent="0.25">
      <c r="A1382" s="111" t="str">
        <f t="shared" si="21"/>
        <v>Pipe Works</v>
      </c>
      <c r="B1382" t="s">
        <v>1722</v>
      </c>
      <c r="D1382" s="1">
        <v>52628.99</v>
      </c>
      <c r="E1382" s="3"/>
      <c r="F1382" s="3">
        <v>1</v>
      </c>
      <c r="G1382" s="1">
        <v>52628.99</v>
      </c>
    </row>
    <row r="1383" spans="1:7" x14ac:dyDescent="0.25">
      <c r="A1383" s="111" t="str">
        <f t="shared" si="21"/>
        <v>JDH4-02-007-CN-4790</v>
      </c>
      <c r="B1383" t="s">
        <v>1967</v>
      </c>
      <c r="C1383" t="s">
        <v>1968</v>
      </c>
      <c r="D1383" s="1">
        <v>5262.9</v>
      </c>
      <c r="E1383" s="3">
        <v>1</v>
      </c>
      <c r="F1383" s="3">
        <v>1</v>
      </c>
      <c r="G1383" s="1">
        <v>5262.9</v>
      </c>
    </row>
    <row r="1384" spans="1:7" x14ac:dyDescent="0.25">
      <c r="A1384" s="111" t="str">
        <f t="shared" si="21"/>
        <v>JDH4-02-007-CN-4860</v>
      </c>
      <c r="B1384" t="s">
        <v>1969</v>
      </c>
      <c r="C1384" t="s">
        <v>1952</v>
      </c>
      <c r="D1384" s="1">
        <v>2631.45</v>
      </c>
      <c r="E1384" s="3">
        <v>1</v>
      </c>
      <c r="F1384" s="3">
        <v>1</v>
      </c>
      <c r="G1384" s="1">
        <v>2631.45</v>
      </c>
    </row>
    <row r="1385" spans="1:7" x14ac:dyDescent="0.25">
      <c r="A1385" s="111" t="str">
        <f t="shared" si="21"/>
        <v>JDH4-02-007-CN-4930</v>
      </c>
      <c r="B1385" t="s">
        <v>1970</v>
      </c>
      <c r="C1385" t="s">
        <v>1971</v>
      </c>
      <c r="D1385" s="1">
        <v>26314.49</v>
      </c>
      <c r="E1385" s="3">
        <v>1</v>
      </c>
      <c r="F1385" s="3">
        <v>1</v>
      </c>
      <c r="G1385" s="1">
        <v>26314.49</v>
      </c>
    </row>
    <row r="1386" spans="1:7" x14ac:dyDescent="0.25">
      <c r="A1386" s="111" t="str">
        <f t="shared" si="21"/>
        <v>JDH4-02-007-CN-5000</v>
      </c>
      <c r="B1386" t="s">
        <v>1972</v>
      </c>
      <c r="C1386" t="s">
        <v>1973</v>
      </c>
      <c r="D1386" s="1">
        <v>10525.8</v>
      </c>
      <c r="E1386" s="3">
        <v>1</v>
      </c>
      <c r="F1386" s="3">
        <v>1</v>
      </c>
      <c r="G1386" s="1">
        <v>10525.8</v>
      </c>
    </row>
    <row r="1387" spans="1:7" x14ac:dyDescent="0.25">
      <c r="A1387" s="111" t="str">
        <f t="shared" si="21"/>
        <v>JDH4-02-007-CN-5070</v>
      </c>
      <c r="B1387" t="s">
        <v>1974</v>
      </c>
      <c r="C1387" t="s">
        <v>1956</v>
      </c>
      <c r="D1387" s="1">
        <v>2631.45</v>
      </c>
      <c r="E1387" s="3">
        <v>1</v>
      </c>
      <c r="F1387" s="3">
        <v>1</v>
      </c>
      <c r="G1387" s="1">
        <v>2631.45</v>
      </c>
    </row>
    <row r="1388" spans="1:7" x14ac:dyDescent="0.25">
      <c r="A1388" s="111" t="str">
        <f t="shared" si="21"/>
        <v>JDH4-02-007-CN-5140</v>
      </c>
      <c r="B1388" t="s">
        <v>1975</v>
      </c>
      <c r="C1388" t="s">
        <v>1958</v>
      </c>
      <c r="D1388" s="1">
        <v>5262.9</v>
      </c>
      <c r="E1388" s="3">
        <v>1</v>
      </c>
      <c r="F1388" s="3">
        <v>1</v>
      </c>
      <c r="G1388" s="1">
        <v>5262.9</v>
      </c>
    </row>
    <row r="1389" spans="1:7" x14ac:dyDescent="0.25">
      <c r="A1389" s="111" t="str">
        <f t="shared" si="21"/>
        <v>Pipe Encasement</v>
      </c>
      <c r="B1389" t="s">
        <v>1733</v>
      </c>
      <c r="D1389" s="1">
        <v>304.22000000000003</v>
      </c>
      <c r="E1389" s="3"/>
      <c r="F1389" s="3">
        <v>1</v>
      </c>
      <c r="G1389">
        <v>304.22000000000003</v>
      </c>
    </row>
    <row r="1390" spans="1:7" x14ac:dyDescent="0.25">
      <c r="A1390" s="111" t="str">
        <f t="shared" si="21"/>
        <v>JDH4-02-007-CN-5280</v>
      </c>
      <c r="B1390" t="s">
        <v>1976</v>
      </c>
      <c r="C1390" t="s">
        <v>1960</v>
      </c>
      <c r="D1390" s="1">
        <v>304.22000000000003</v>
      </c>
      <c r="E1390" s="3">
        <v>1</v>
      </c>
      <c r="F1390" s="3">
        <v>1</v>
      </c>
      <c r="G1390">
        <v>304.22000000000003</v>
      </c>
    </row>
    <row r="1391" spans="1:7" x14ac:dyDescent="0.25">
      <c r="A1391" s="111" t="str">
        <f t="shared" si="21"/>
        <v>Manholes</v>
      </c>
      <c r="B1391" t="s">
        <v>486</v>
      </c>
      <c r="D1391" s="1">
        <v>81104.12</v>
      </c>
      <c r="E1391" s="3"/>
      <c r="F1391" s="3">
        <v>1</v>
      </c>
      <c r="G1391" s="1">
        <v>81104.12</v>
      </c>
    </row>
    <row r="1392" spans="1:7" x14ac:dyDescent="0.25">
      <c r="A1392" s="111" t="str">
        <f t="shared" si="21"/>
        <v>JDH4-02-007-CN-5210</v>
      </c>
      <c r="B1392" t="s">
        <v>1977</v>
      </c>
      <c r="C1392" t="s">
        <v>1978</v>
      </c>
      <c r="D1392" s="1">
        <v>81104.12</v>
      </c>
      <c r="E1392" s="3">
        <v>1</v>
      </c>
      <c r="F1392" s="3">
        <v>1</v>
      </c>
      <c r="G1392" s="1">
        <v>81104.12</v>
      </c>
    </row>
    <row r="1393" spans="1:7" x14ac:dyDescent="0.25">
      <c r="A1393" s="111" t="str">
        <f t="shared" si="21"/>
        <v>TSE Network</v>
      </c>
      <c r="B1393" t="s">
        <v>491</v>
      </c>
      <c r="D1393" s="1">
        <v>315346.48</v>
      </c>
      <c r="E1393" s="3"/>
      <c r="F1393" s="3">
        <v>1</v>
      </c>
      <c r="G1393" s="1">
        <v>315346.48</v>
      </c>
    </row>
    <row r="1394" spans="1:7" x14ac:dyDescent="0.25">
      <c r="A1394" s="111" t="str">
        <f t="shared" si="21"/>
        <v>Pipe Works</v>
      </c>
      <c r="B1394" t="s">
        <v>1722</v>
      </c>
      <c r="D1394" s="1">
        <v>199841.72</v>
      </c>
      <c r="E1394" s="3"/>
      <c r="F1394" s="3">
        <v>1</v>
      </c>
      <c r="G1394" s="1">
        <v>199841.72</v>
      </c>
    </row>
    <row r="1395" spans="1:7" x14ac:dyDescent="0.25">
      <c r="A1395" s="111" t="str">
        <f t="shared" si="21"/>
        <v>JDH4-02-007-CN-4010</v>
      </c>
      <c r="B1395" t="s">
        <v>1979</v>
      </c>
      <c r="C1395" t="s">
        <v>4081</v>
      </c>
      <c r="D1395" s="1">
        <v>4579.8999999999996</v>
      </c>
      <c r="E1395" s="3">
        <v>1</v>
      </c>
      <c r="F1395" s="3">
        <v>1</v>
      </c>
      <c r="G1395" s="1">
        <v>4579.8999999999996</v>
      </c>
    </row>
    <row r="1396" spans="1:7" x14ac:dyDescent="0.25">
      <c r="A1396" s="111" t="str">
        <f t="shared" si="21"/>
        <v>JDH4-02-007-CN-4150</v>
      </c>
      <c r="B1396" t="s">
        <v>1981</v>
      </c>
      <c r="C1396" t="s">
        <v>4082</v>
      </c>
      <c r="D1396" s="1">
        <v>22899.5</v>
      </c>
      <c r="E1396" s="3">
        <v>1</v>
      </c>
      <c r="F1396" s="3">
        <v>1</v>
      </c>
      <c r="G1396" s="1">
        <v>22899.5</v>
      </c>
    </row>
    <row r="1397" spans="1:7" x14ac:dyDescent="0.25">
      <c r="A1397" s="111" t="str">
        <f t="shared" si="21"/>
        <v>JDH4-02-007-CN-4080</v>
      </c>
      <c r="B1397" t="s">
        <v>1980</v>
      </c>
      <c r="C1397" t="s">
        <v>4083</v>
      </c>
      <c r="D1397" s="1">
        <v>2289.96</v>
      </c>
      <c r="E1397" s="3">
        <v>1</v>
      </c>
      <c r="F1397" s="3">
        <v>1</v>
      </c>
      <c r="G1397" s="1">
        <v>2289.96</v>
      </c>
    </row>
    <row r="1398" spans="1:7" x14ac:dyDescent="0.25">
      <c r="A1398" s="111" t="str">
        <f t="shared" si="21"/>
        <v>JDH4-02-007-CN-4290</v>
      </c>
      <c r="B1398" t="s">
        <v>1985</v>
      </c>
      <c r="C1398" t="s">
        <v>4084</v>
      </c>
      <c r="D1398" s="1">
        <v>2106.7600000000002</v>
      </c>
      <c r="E1398" s="3">
        <v>1</v>
      </c>
      <c r="F1398" s="3">
        <v>1</v>
      </c>
      <c r="G1398" s="1">
        <v>2106.7600000000002</v>
      </c>
    </row>
    <row r="1399" spans="1:7" x14ac:dyDescent="0.25">
      <c r="A1399" s="111" t="str">
        <f t="shared" si="21"/>
        <v>JDH4-02-007-CN-4010R</v>
      </c>
      <c r="B1399" t="s">
        <v>4085</v>
      </c>
      <c r="C1399" t="s">
        <v>1950</v>
      </c>
      <c r="D1399" s="1">
        <v>13739.69</v>
      </c>
      <c r="E1399" s="3">
        <v>1</v>
      </c>
      <c r="F1399" s="3">
        <v>1</v>
      </c>
      <c r="G1399" s="1">
        <v>13739.69</v>
      </c>
    </row>
    <row r="1400" spans="1:7" x14ac:dyDescent="0.25">
      <c r="A1400" s="111" t="str">
        <f t="shared" si="21"/>
        <v>JDH4-02-007-CN-4080R</v>
      </c>
      <c r="B1400" t="s">
        <v>4086</v>
      </c>
      <c r="C1400" t="s">
        <v>1952</v>
      </c>
      <c r="D1400" s="1">
        <v>6869.87</v>
      </c>
      <c r="E1400" s="3">
        <v>1</v>
      </c>
      <c r="F1400" s="3">
        <v>1</v>
      </c>
      <c r="G1400" s="1">
        <v>6869.87</v>
      </c>
    </row>
    <row r="1401" spans="1:7" x14ac:dyDescent="0.25">
      <c r="A1401" s="111" t="str">
        <f t="shared" si="21"/>
        <v>JDH4-02-007-CN-4150R</v>
      </c>
      <c r="B1401" t="s">
        <v>4087</v>
      </c>
      <c r="C1401" t="s">
        <v>1982</v>
      </c>
      <c r="D1401" s="1">
        <v>68698.5</v>
      </c>
      <c r="E1401" s="3">
        <v>1</v>
      </c>
      <c r="F1401" s="3">
        <v>1</v>
      </c>
      <c r="G1401" s="1">
        <v>68698.5</v>
      </c>
    </row>
    <row r="1402" spans="1:7" x14ac:dyDescent="0.25">
      <c r="A1402" s="111" t="str">
        <f t="shared" si="21"/>
        <v>JDH4-02-007-CN-4220</v>
      </c>
      <c r="B1402" t="s">
        <v>1983</v>
      </c>
      <c r="C1402" t="s">
        <v>1984</v>
      </c>
      <c r="D1402" s="1">
        <v>36654.89</v>
      </c>
      <c r="E1402" s="3">
        <v>1</v>
      </c>
      <c r="F1402" s="3">
        <v>1</v>
      </c>
      <c r="G1402" s="1">
        <v>36654.89</v>
      </c>
    </row>
    <row r="1403" spans="1:7" x14ac:dyDescent="0.25">
      <c r="A1403" s="111" t="str">
        <f t="shared" si="21"/>
        <v>JDH4-02-007-CN-4360</v>
      </c>
      <c r="B1403" t="s">
        <v>1987</v>
      </c>
      <c r="C1403" t="s">
        <v>1958</v>
      </c>
      <c r="D1403" s="1">
        <v>18327.45</v>
      </c>
      <c r="E1403" s="3">
        <v>1</v>
      </c>
      <c r="F1403" s="3">
        <v>1</v>
      </c>
      <c r="G1403" s="1">
        <v>18327.45</v>
      </c>
    </row>
    <row r="1404" spans="1:7" x14ac:dyDescent="0.25">
      <c r="A1404" s="111" t="str">
        <f t="shared" si="21"/>
        <v>JDH4-02-007-CN-4290R</v>
      </c>
      <c r="B1404" t="s">
        <v>4088</v>
      </c>
      <c r="C1404" t="s">
        <v>1986</v>
      </c>
      <c r="D1404" s="1">
        <v>7053.06</v>
      </c>
      <c r="E1404" s="3">
        <v>1</v>
      </c>
      <c r="F1404" s="3">
        <v>1</v>
      </c>
      <c r="G1404" s="1">
        <v>7053.06</v>
      </c>
    </row>
    <row r="1405" spans="1:7" x14ac:dyDescent="0.25">
      <c r="A1405" s="111" t="str">
        <f t="shared" si="21"/>
        <v>JDH4-02-007-CN-4670</v>
      </c>
      <c r="B1405" t="s">
        <v>1988</v>
      </c>
      <c r="C1405" t="s">
        <v>1989</v>
      </c>
      <c r="D1405" s="1">
        <v>16622.150000000001</v>
      </c>
      <c r="E1405" s="3">
        <v>1</v>
      </c>
      <c r="F1405" s="3">
        <v>1</v>
      </c>
      <c r="G1405" s="1">
        <v>16622.150000000001</v>
      </c>
    </row>
    <row r="1406" spans="1:7" x14ac:dyDescent="0.25">
      <c r="A1406" s="111" t="str">
        <f t="shared" si="21"/>
        <v>Pipe Encasement</v>
      </c>
      <c r="B1406" t="s">
        <v>1733</v>
      </c>
      <c r="D1406" s="1">
        <v>9065.8799999999992</v>
      </c>
      <c r="E1406" s="3"/>
      <c r="F1406" s="3">
        <v>1</v>
      </c>
      <c r="G1406" s="1">
        <v>9065.8799999999992</v>
      </c>
    </row>
    <row r="1407" spans="1:7" x14ac:dyDescent="0.25">
      <c r="A1407" s="111" t="str">
        <f t="shared" si="21"/>
        <v>JDH4-02-007-CN-4430</v>
      </c>
      <c r="B1407" t="s">
        <v>1990</v>
      </c>
      <c r="C1407" t="s">
        <v>1991</v>
      </c>
      <c r="D1407" s="1">
        <v>9065.8799999999992</v>
      </c>
      <c r="E1407" s="3">
        <v>1</v>
      </c>
      <c r="F1407" s="3">
        <v>1</v>
      </c>
      <c r="G1407" s="1">
        <v>9065.8799999999992</v>
      </c>
    </row>
    <row r="1408" spans="1:7" x14ac:dyDescent="0.25">
      <c r="A1408" s="111" t="str">
        <f t="shared" si="21"/>
        <v>Valves</v>
      </c>
      <c r="B1408" t="s">
        <v>127</v>
      </c>
      <c r="D1408" s="1">
        <v>93193.1</v>
      </c>
      <c r="E1408" s="3"/>
      <c r="F1408" s="3">
        <v>1</v>
      </c>
      <c r="G1408" s="1">
        <v>93193.1</v>
      </c>
    </row>
    <row r="1409" spans="1:7" x14ac:dyDescent="0.25">
      <c r="A1409" s="111" t="str">
        <f t="shared" si="21"/>
        <v>JDH4-02-007-CN-4500</v>
      </c>
      <c r="B1409" t="s">
        <v>1992</v>
      </c>
      <c r="C1409" t="s">
        <v>1993</v>
      </c>
      <c r="D1409" s="1">
        <v>11204.14</v>
      </c>
      <c r="E1409" s="3">
        <v>1</v>
      </c>
      <c r="F1409" s="3">
        <v>1</v>
      </c>
      <c r="G1409" s="1">
        <v>11204.14</v>
      </c>
    </row>
    <row r="1410" spans="1:7" x14ac:dyDescent="0.25">
      <c r="A1410" s="111" t="str">
        <f t="shared" si="21"/>
        <v>JDH4-02-007-CN-4550</v>
      </c>
      <c r="B1410" t="s">
        <v>1994</v>
      </c>
      <c r="C1410" t="s">
        <v>1995</v>
      </c>
      <c r="D1410" s="1">
        <v>44152.6</v>
      </c>
      <c r="E1410" s="3">
        <v>1</v>
      </c>
      <c r="F1410" s="3">
        <v>1</v>
      </c>
      <c r="G1410" s="1">
        <v>44152.6</v>
      </c>
    </row>
    <row r="1411" spans="1:7" x14ac:dyDescent="0.25">
      <c r="A1411" s="111" t="str">
        <f t="shared" si="21"/>
        <v>JDH4-02-007-CN-4560</v>
      </c>
      <c r="B1411" t="s">
        <v>1996</v>
      </c>
      <c r="C1411" t="s">
        <v>1997</v>
      </c>
      <c r="D1411" s="1">
        <v>23329.08</v>
      </c>
      <c r="E1411" s="3">
        <v>1</v>
      </c>
      <c r="F1411" s="3">
        <v>1</v>
      </c>
      <c r="G1411" s="1">
        <v>23329.08</v>
      </c>
    </row>
    <row r="1412" spans="1:7" x14ac:dyDescent="0.25">
      <c r="A1412" s="111" t="str">
        <f t="shared" ref="A1412:A1475" si="22">TRIM(B1412)</f>
        <v>JDH4-02-007-CN-4580</v>
      </c>
      <c r="B1412" t="s">
        <v>1998</v>
      </c>
      <c r="C1412" t="s">
        <v>1999</v>
      </c>
      <c r="D1412" s="1">
        <v>14507.28</v>
      </c>
      <c r="E1412" s="3">
        <v>1</v>
      </c>
      <c r="F1412" s="3">
        <v>1</v>
      </c>
      <c r="G1412" s="1">
        <v>14507.28</v>
      </c>
    </row>
    <row r="1413" spans="1:7" x14ac:dyDescent="0.25">
      <c r="A1413" s="111" t="str">
        <f t="shared" si="22"/>
        <v>Risers</v>
      </c>
      <c r="B1413" t="s">
        <v>499</v>
      </c>
      <c r="D1413" s="1">
        <v>13245.78</v>
      </c>
      <c r="E1413" s="3"/>
      <c r="F1413" s="3">
        <v>1</v>
      </c>
      <c r="G1413" s="1">
        <v>13245.78</v>
      </c>
    </row>
    <row r="1414" spans="1:7" x14ac:dyDescent="0.25">
      <c r="A1414" s="111" t="str">
        <f t="shared" si="22"/>
        <v>JDH4-02-007-CN-4740</v>
      </c>
      <c r="B1414" t="s">
        <v>2000</v>
      </c>
      <c r="C1414" t="s">
        <v>2001</v>
      </c>
      <c r="D1414" s="1">
        <v>13245.78</v>
      </c>
      <c r="E1414" s="3">
        <v>1</v>
      </c>
      <c r="F1414" s="3">
        <v>1</v>
      </c>
      <c r="G1414" s="1">
        <v>13245.78</v>
      </c>
    </row>
    <row r="1415" spans="1:7" x14ac:dyDescent="0.25">
      <c r="A1415" s="111" t="str">
        <f t="shared" si="22"/>
        <v>Potable Network</v>
      </c>
      <c r="B1415" t="s">
        <v>120</v>
      </c>
      <c r="D1415" s="1">
        <v>1242732.96</v>
      </c>
      <c r="E1415" s="3"/>
      <c r="F1415" s="3">
        <v>1</v>
      </c>
      <c r="G1415" s="1">
        <v>1242732.96</v>
      </c>
    </row>
    <row r="1416" spans="1:7" x14ac:dyDescent="0.25">
      <c r="A1416" s="111" t="str">
        <f t="shared" si="22"/>
        <v>Pipe Works</v>
      </c>
      <c r="B1416" t="s">
        <v>1722</v>
      </c>
      <c r="D1416" s="1">
        <v>176873.66</v>
      </c>
      <c r="E1416" s="3"/>
      <c r="F1416" s="3">
        <v>1</v>
      </c>
      <c r="G1416" s="1">
        <v>176873.66</v>
      </c>
    </row>
    <row r="1417" spans="1:7" x14ac:dyDescent="0.25">
      <c r="A1417" s="111" t="str">
        <f t="shared" si="22"/>
        <v>JDH4-02-007-CN-3330</v>
      </c>
      <c r="B1417" t="s">
        <v>2002</v>
      </c>
      <c r="C1417" t="s">
        <v>1950</v>
      </c>
      <c r="D1417" s="1">
        <v>17687.38</v>
      </c>
      <c r="E1417" s="3">
        <v>1</v>
      </c>
      <c r="F1417" s="2">
        <v>1</v>
      </c>
      <c r="G1417" s="1">
        <v>17687.38</v>
      </c>
    </row>
    <row r="1418" spans="1:7" x14ac:dyDescent="0.25">
      <c r="A1418" s="111" t="str">
        <f t="shared" si="22"/>
        <v>JDH4-02-007-CN-3470</v>
      </c>
      <c r="B1418" t="s">
        <v>2004</v>
      </c>
      <c r="C1418" t="s">
        <v>1982</v>
      </c>
      <c r="D1418" s="1">
        <v>88436.81</v>
      </c>
      <c r="E1418" s="3">
        <v>1</v>
      </c>
      <c r="F1418" s="2">
        <v>1</v>
      </c>
      <c r="G1418" s="1">
        <v>88436.81</v>
      </c>
    </row>
    <row r="1419" spans="1:7" x14ac:dyDescent="0.25">
      <c r="A1419" s="111" t="str">
        <f t="shared" si="22"/>
        <v>JDH4-02-007-CN-3540</v>
      </c>
      <c r="B1419" t="s">
        <v>2005</v>
      </c>
      <c r="C1419" t="s">
        <v>1984</v>
      </c>
      <c r="D1419" s="1">
        <v>35374.71</v>
      </c>
      <c r="E1419" s="3">
        <v>1</v>
      </c>
      <c r="F1419" s="3">
        <v>1</v>
      </c>
      <c r="G1419" s="1">
        <v>35374.71</v>
      </c>
    </row>
    <row r="1420" spans="1:7" x14ac:dyDescent="0.25">
      <c r="A1420" s="111" t="str">
        <f t="shared" si="22"/>
        <v>JDH4-02-007-CN-3610</v>
      </c>
      <c r="B1420" t="s">
        <v>2006</v>
      </c>
      <c r="C1420" t="s">
        <v>1956</v>
      </c>
      <c r="D1420" s="1">
        <v>8843.69</v>
      </c>
      <c r="E1420" s="3">
        <v>1</v>
      </c>
      <c r="F1420" s="3">
        <v>1</v>
      </c>
      <c r="G1420" s="1">
        <v>8843.69</v>
      </c>
    </row>
    <row r="1421" spans="1:7" x14ac:dyDescent="0.25">
      <c r="A1421" s="111" t="str">
        <f t="shared" si="22"/>
        <v>JDH4-02-007-CN-3680</v>
      </c>
      <c r="B1421" t="s">
        <v>2007</v>
      </c>
      <c r="C1421" t="s">
        <v>2008</v>
      </c>
      <c r="D1421" s="1">
        <v>17687.38</v>
      </c>
      <c r="E1421" s="3">
        <v>1</v>
      </c>
      <c r="F1421" s="3">
        <v>1</v>
      </c>
      <c r="G1421" s="1">
        <v>17687.38</v>
      </c>
    </row>
    <row r="1422" spans="1:7" x14ac:dyDescent="0.25">
      <c r="A1422" s="111" t="str">
        <f t="shared" si="22"/>
        <v>JDH4-02-007-CN-3400</v>
      </c>
      <c r="B1422" t="s">
        <v>2003</v>
      </c>
      <c r="C1422" t="s">
        <v>1952</v>
      </c>
      <c r="D1422" s="1">
        <v>8843.69</v>
      </c>
      <c r="E1422" s="3">
        <v>1</v>
      </c>
      <c r="F1422" s="3">
        <v>1</v>
      </c>
      <c r="G1422" s="1">
        <v>8843.69</v>
      </c>
    </row>
    <row r="1423" spans="1:7" x14ac:dyDescent="0.25">
      <c r="A1423" s="111" t="str">
        <f t="shared" si="22"/>
        <v>Pipe Encasement</v>
      </c>
      <c r="B1423" t="s">
        <v>1733</v>
      </c>
      <c r="D1423" s="1">
        <v>13294.79</v>
      </c>
      <c r="E1423" s="3"/>
      <c r="F1423" s="3">
        <v>1</v>
      </c>
      <c r="G1423" s="1">
        <v>13294.79</v>
      </c>
    </row>
    <row r="1424" spans="1:7" x14ac:dyDescent="0.25">
      <c r="A1424" s="111" t="str">
        <f t="shared" si="22"/>
        <v>JDH4-02-007-CN-3750</v>
      </c>
      <c r="B1424" t="s">
        <v>2009</v>
      </c>
      <c r="C1424" t="s">
        <v>1991</v>
      </c>
      <c r="D1424" s="1">
        <v>13294.79</v>
      </c>
      <c r="E1424" s="3">
        <v>1</v>
      </c>
      <c r="F1424" s="3">
        <v>1</v>
      </c>
      <c r="G1424" s="1">
        <v>13294.79</v>
      </c>
    </row>
    <row r="1425" spans="1:7" x14ac:dyDescent="0.25">
      <c r="A1425" s="111" t="str">
        <f t="shared" si="22"/>
        <v>Valves</v>
      </c>
      <c r="B1425" t="s">
        <v>127</v>
      </c>
      <c r="D1425" s="1">
        <v>141183.18</v>
      </c>
      <c r="E1425" s="3"/>
      <c r="F1425" s="3">
        <v>1</v>
      </c>
      <c r="G1425" s="1">
        <v>141183.18</v>
      </c>
    </row>
    <row r="1426" spans="1:7" x14ac:dyDescent="0.25">
      <c r="A1426" s="111" t="str">
        <f t="shared" si="22"/>
        <v>JDH4-02-007-CN-3820</v>
      </c>
      <c r="B1426" t="s">
        <v>2010</v>
      </c>
      <c r="C1426" t="s">
        <v>1993</v>
      </c>
      <c r="D1426" s="1">
        <v>13140.65</v>
      </c>
      <c r="E1426" s="3">
        <v>1</v>
      </c>
      <c r="F1426" s="3">
        <v>1</v>
      </c>
      <c r="G1426" s="1">
        <v>13140.65</v>
      </c>
    </row>
    <row r="1427" spans="1:7" x14ac:dyDescent="0.25">
      <c r="A1427" s="111" t="str">
        <f t="shared" si="22"/>
        <v>JDH4-02-007-CN-3870</v>
      </c>
      <c r="B1427" t="s">
        <v>2011</v>
      </c>
      <c r="C1427" t="s">
        <v>2012</v>
      </c>
      <c r="D1427" s="1">
        <v>37845.08</v>
      </c>
      <c r="E1427" s="3">
        <v>1</v>
      </c>
      <c r="F1427" s="3">
        <v>1</v>
      </c>
      <c r="G1427" s="1">
        <v>37845.08</v>
      </c>
    </row>
    <row r="1428" spans="1:7" x14ac:dyDescent="0.25">
      <c r="A1428" s="111" t="str">
        <f t="shared" si="22"/>
        <v>JDH4-02-007-CN-3880</v>
      </c>
      <c r="B1428" t="s">
        <v>2013</v>
      </c>
      <c r="C1428" t="s">
        <v>2014</v>
      </c>
      <c r="D1428" s="1">
        <v>29645.31</v>
      </c>
      <c r="E1428" s="3">
        <v>1</v>
      </c>
      <c r="F1428" s="3">
        <v>1</v>
      </c>
      <c r="G1428" s="1">
        <v>29645.31</v>
      </c>
    </row>
    <row r="1429" spans="1:7" x14ac:dyDescent="0.25">
      <c r="A1429" s="111" t="str">
        <f t="shared" si="22"/>
        <v>JDH4-02-007-CN-3890</v>
      </c>
      <c r="B1429" t="s">
        <v>2015</v>
      </c>
      <c r="C1429" t="s">
        <v>2016</v>
      </c>
      <c r="D1429" s="1">
        <v>60552.14</v>
      </c>
      <c r="E1429" s="3">
        <v>1</v>
      </c>
      <c r="F1429" s="3">
        <v>1</v>
      </c>
      <c r="G1429" s="1">
        <v>60552.14</v>
      </c>
    </row>
    <row r="1430" spans="1:7" x14ac:dyDescent="0.25">
      <c r="A1430" s="111" t="str">
        <f t="shared" si="22"/>
        <v>Fire Hydrant</v>
      </c>
      <c r="B1430" t="s">
        <v>124</v>
      </c>
      <c r="D1430" s="1">
        <v>75690.17</v>
      </c>
      <c r="E1430" s="3"/>
      <c r="F1430" s="3">
        <v>1</v>
      </c>
      <c r="G1430" s="1">
        <v>75690.17</v>
      </c>
    </row>
    <row r="1431" spans="1:7" x14ac:dyDescent="0.25">
      <c r="A1431" s="111" t="str">
        <f t="shared" si="22"/>
        <v>JDH4-02-007-CN-3910</v>
      </c>
      <c r="B1431" t="s">
        <v>2017</v>
      </c>
      <c r="C1431" t="s">
        <v>2018</v>
      </c>
      <c r="D1431" s="1">
        <v>75690.17</v>
      </c>
      <c r="E1431" s="3">
        <v>1</v>
      </c>
      <c r="F1431" s="3">
        <v>1</v>
      </c>
      <c r="G1431" s="1">
        <v>75690.17</v>
      </c>
    </row>
    <row r="1432" spans="1:7" x14ac:dyDescent="0.25">
      <c r="A1432" s="111" t="str">
        <f t="shared" si="22"/>
        <v>Valve Chambers</v>
      </c>
      <c r="B1432" t="s">
        <v>2019</v>
      </c>
      <c r="D1432" s="1">
        <v>829383.65</v>
      </c>
      <c r="F1432" s="2">
        <v>1</v>
      </c>
      <c r="G1432" s="1">
        <v>829383.65</v>
      </c>
    </row>
    <row r="1433" spans="1:7" x14ac:dyDescent="0.25">
      <c r="A1433" s="111" t="str">
        <f t="shared" si="22"/>
        <v>JDH4-02-007-CN-3950</v>
      </c>
      <c r="B1433" t="s">
        <v>2020</v>
      </c>
      <c r="C1433" t="s">
        <v>2021</v>
      </c>
      <c r="D1433" s="1">
        <v>104035.14</v>
      </c>
      <c r="E1433" s="3">
        <v>1</v>
      </c>
      <c r="F1433" s="2">
        <v>1</v>
      </c>
      <c r="G1433" s="1">
        <v>104035.14</v>
      </c>
    </row>
    <row r="1434" spans="1:7" x14ac:dyDescent="0.25">
      <c r="A1434" s="111" t="str">
        <f t="shared" si="22"/>
        <v>JDH4-02-007-CN-3960</v>
      </c>
      <c r="B1434" t="s">
        <v>2022</v>
      </c>
      <c r="C1434" t="s">
        <v>2023</v>
      </c>
      <c r="D1434" s="1">
        <v>261848.64</v>
      </c>
      <c r="E1434" s="3">
        <v>1</v>
      </c>
      <c r="F1434" s="3">
        <v>1</v>
      </c>
      <c r="G1434" s="1">
        <v>261848.64</v>
      </c>
    </row>
    <row r="1435" spans="1:7" x14ac:dyDescent="0.25">
      <c r="A1435" s="111" t="str">
        <f t="shared" si="22"/>
        <v>JDH4-02-007-CN-3970</v>
      </c>
      <c r="B1435" t="s">
        <v>2024</v>
      </c>
      <c r="C1435" t="s">
        <v>2025</v>
      </c>
      <c r="D1435" s="1">
        <v>274274.46000000002</v>
      </c>
      <c r="E1435" s="3">
        <v>1</v>
      </c>
      <c r="F1435" s="3">
        <v>1</v>
      </c>
      <c r="G1435" s="1">
        <v>274274.46000000002</v>
      </c>
    </row>
    <row r="1436" spans="1:7" x14ac:dyDescent="0.25">
      <c r="A1436" s="111" t="str">
        <f t="shared" si="22"/>
        <v>JDH4-02-007-CN-4600</v>
      </c>
      <c r="B1436" t="s">
        <v>2026</v>
      </c>
      <c r="C1436" t="s">
        <v>2021</v>
      </c>
      <c r="D1436" s="1">
        <v>75690.16</v>
      </c>
      <c r="E1436" s="3">
        <v>1</v>
      </c>
      <c r="F1436" s="3">
        <v>1</v>
      </c>
      <c r="G1436" s="1">
        <v>75690.16</v>
      </c>
    </row>
    <row r="1437" spans="1:7" x14ac:dyDescent="0.25">
      <c r="A1437" s="111" t="str">
        <f t="shared" si="22"/>
        <v>JDH4-02-007-CN-4630</v>
      </c>
      <c r="B1437" t="s">
        <v>2029</v>
      </c>
      <c r="C1437" t="s">
        <v>2025</v>
      </c>
      <c r="D1437" s="1">
        <v>75690.17</v>
      </c>
      <c r="E1437" s="3">
        <v>1</v>
      </c>
      <c r="F1437" s="3">
        <v>1</v>
      </c>
      <c r="G1437" s="1">
        <v>75690.17</v>
      </c>
    </row>
    <row r="1438" spans="1:7" x14ac:dyDescent="0.25">
      <c r="A1438" s="111" t="str">
        <f t="shared" si="22"/>
        <v>JDH4-02-007-CN-4610</v>
      </c>
      <c r="B1438" t="s">
        <v>2027</v>
      </c>
      <c r="C1438" t="s">
        <v>2028</v>
      </c>
      <c r="D1438" s="1">
        <v>37845.08</v>
      </c>
      <c r="E1438" s="3">
        <v>1</v>
      </c>
      <c r="F1438" s="3">
        <v>1</v>
      </c>
      <c r="G1438" s="1">
        <v>37845.08</v>
      </c>
    </row>
    <row r="1439" spans="1:7" x14ac:dyDescent="0.25">
      <c r="A1439" s="111" t="str">
        <f t="shared" si="22"/>
        <v>Road Crossings</v>
      </c>
      <c r="B1439" t="s">
        <v>2030</v>
      </c>
      <c r="D1439" s="1">
        <v>6307.51</v>
      </c>
      <c r="E1439" s="3"/>
      <c r="F1439" s="3">
        <v>1</v>
      </c>
      <c r="G1439" s="1">
        <v>6307.51</v>
      </c>
    </row>
    <row r="1440" spans="1:7" x14ac:dyDescent="0.25">
      <c r="A1440" s="111" t="str">
        <f t="shared" si="22"/>
        <v>JDH4-02-007-CN-3980</v>
      </c>
      <c r="B1440" t="s">
        <v>2031</v>
      </c>
      <c r="C1440" t="s">
        <v>2032</v>
      </c>
      <c r="D1440" s="1">
        <v>6307.51</v>
      </c>
      <c r="E1440" s="3">
        <v>1</v>
      </c>
      <c r="F1440" s="3">
        <v>1</v>
      </c>
      <c r="G1440" s="1">
        <v>6307.51</v>
      </c>
    </row>
    <row r="1441" spans="1:7" x14ac:dyDescent="0.25">
      <c r="A1441" s="111" t="str">
        <f t="shared" si="22"/>
        <v>Electrical Works</v>
      </c>
      <c r="B1441" t="s">
        <v>1785</v>
      </c>
      <c r="D1441" s="1">
        <v>360707.74</v>
      </c>
      <c r="E1441" s="3"/>
      <c r="F1441" s="3">
        <v>1</v>
      </c>
      <c r="G1441" s="1">
        <v>360707.74</v>
      </c>
    </row>
    <row r="1442" spans="1:7" x14ac:dyDescent="0.25">
      <c r="A1442" s="111" t="str">
        <f t="shared" si="22"/>
        <v>LV Cables</v>
      </c>
      <c r="B1442" t="s">
        <v>4076</v>
      </c>
      <c r="D1442" s="1">
        <v>71867.75</v>
      </c>
      <c r="E1442" s="3"/>
      <c r="F1442" s="3">
        <v>1</v>
      </c>
      <c r="G1442" s="1">
        <v>71867.75</v>
      </c>
    </row>
    <row r="1443" spans="1:7" x14ac:dyDescent="0.25">
      <c r="A1443" s="111" t="str">
        <f t="shared" si="22"/>
        <v>Low Voltage Cable</v>
      </c>
      <c r="B1443" t="s">
        <v>222</v>
      </c>
      <c r="D1443" s="1">
        <v>71867.75</v>
      </c>
      <c r="E1443" s="3"/>
      <c r="F1443" s="3">
        <v>1</v>
      </c>
      <c r="G1443" s="1">
        <v>71867.75</v>
      </c>
    </row>
    <row r="1444" spans="1:7" x14ac:dyDescent="0.25">
      <c r="A1444" s="111" t="str">
        <f t="shared" si="22"/>
        <v>JDH4-02-007-CN-2610</v>
      </c>
      <c r="B1444" t="s">
        <v>2039</v>
      </c>
      <c r="C1444" t="s">
        <v>2040</v>
      </c>
      <c r="D1444" s="1">
        <v>19225.3</v>
      </c>
      <c r="E1444" s="3">
        <v>1</v>
      </c>
      <c r="F1444" s="3">
        <v>1</v>
      </c>
      <c r="G1444" s="1">
        <v>19225.3</v>
      </c>
    </row>
    <row r="1445" spans="1:7" x14ac:dyDescent="0.25">
      <c r="A1445" s="111" t="str">
        <f t="shared" si="22"/>
        <v>JDH4-02-007-CN-2620</v>
      </c>
      <c r="B1445" t="s">
        <v>2041</v>
      </c>
      <c r="C1445" t="s">
        <v>2042</v>
      </c>
      <c r="D1445" s="1">
        <v>52642.45</v>
      </c>
      <c r="E1445" s="3">
        <v>1</v>
      </c>
      <c r="F1445" s="3">
        <v>1</v>
      </c>
      <c r="G1445" s="1">
        <v>52642.45</v>
      </c>
    </row>
    <row r="1446" spans="1:7" x14ac:dyDescent="0.25">
      <c r="A1446" s="111" t="str">
        <f t="shared" si="22"/>
        <v>Street Lighting</v>
      </c>
      <c r="B1446" t="s">
        <v>1786</v>
      </c>
      <c r="D1446" s="1">
        <v>20045.28</v>
      </c>
      <c r="E1446" s="3"/>
      <c r="F1446" s="3">
        <v>1</v>
      </c>
      <c r="G1446" s="1">
        <v>20045.28</v>
      </c>
    </row>
    <row r="1447" spans="1:7" x14ac:dyDescent="0.25">
      <c r="A1447" s="111" t="str">
        <f t="shared" si="22"/>
        <v>JDH4-02-007-CN-2770</v>
      </c>
      <c r="B1447" t="s">
        <v>2043</v>
      </c>
      <c r="C1447" t="s">
        <v>2040</v>
      </c>
      <c r="D1447" s="1">
        <v>3279.91</v>
      </c>
      <c r="E1447" s="3">
        <v>1</v>
      </c>
      <c r="F1447" s="3">
        <v>1</v>
      </c>
      <c r="G1447" s="1">
        <v>3279.91</v>
      </c>
    </row>
    <row r="1448" spans="1:7" x14ac:dyDescent="0.25">
      <c r="A1448" s="111" t="str">
        <f t="shared" si="22"/>
        <v>JDH4-02-007-CN-2850</v>
      </c>
      <c r="B1448" t="s">
        <v>2044</v>
      </c>
      <c r="C1448" t="s">
        <v>2042</v>
      </c>
      <c r="D1448" s="1">
        <v>16765.37</v>
      </c>
      <c r="E1448" s="3">
        <v>1</v>
      </c>
      <c r="F1448" s="3">
        <v>1</v>
      </c>
      <c r="G1448" s="1">
        <v>16765.37</v>
      </c>
    </row>
    <row r="1449" spans="1:7" x14ac:dyDescent="0.25">
      <c r="A1449" s="111" t="str">
        <f t="shared" si="22"/>
        <v>Telecommunication</v>
      </c>
      <c r="B1449" t="s">
        <v>1799</v>
      </c>
      <c r="D1449" s="1">
        <v>268794.71000000002</v>
      </c>
      <c r="E1449" s="3"/>
      <c r="F1449" s="3">
        <v>1</v>
      </c>
      <c r="G1449" s="1">
        <v>268794.71000000002</v>
      </c>
    </row>
    <row r="1450" spans="1:7" x14ac:dyDescent="0.25">
      <c r="A1450" s="111" t="str">
        <f t="shared" si="22"/>
        <v>JDH4-02-007-CN-3150</v>
      </c>
      <c r="B1450" t="s">
        <v>2047</v>
      </c>
      <c r="C1450" t="s">
        <v>2048</v>
      </c>
      <c r="D1450" s="1">
        <v>5392.92</v>
      </c>
      <c r="E1450" s="3">
        <v>1</v>
      </c>
      <c r="F1450" s="3">
        <v>1</v>
      </c>
      <c r="G1450" s="1">
        <v>5392.92</v>
      </c>
    </row>
    <row r="1451" spans="1:7" x14ac:dyDescent="0.25">
      <c r="A1451" s="111" t="str">
        <f t="shared" si="22"/>
        <v>JDH4-02-007-CN-3260</v>
      </c>
      <c r="B1451" t="s">
        <v>2049</v>
      </c>
      <c r="C1451" t="s">
        <v>1978</v>
      </c>
      <c r="D1451" s="1">
        <v>56767.63</v>
      </c>
      <c r="E1451" s="3">
        <v>1</v>
      </c>
      <c r="F1451" s="3">
        <v>1</v>
      </c>
      <c r="G1451" s="1">
        <v>56767.63</v>
      </c>
    </row>
    <row r="1452" spans="1:7" x14ac:dyDescent="0.25">
      <c r="A1452" s="111" t="str">
        <f t="shared" si="22"/>
        <v>JDH4-02-007-CN-3080</v>
      </c>
      <c r="B1452" t="s">
        <v>2045</v>
      </c>
      <c r="C1452" t="s">
        <v>2046</v>
      </c>
      <c r="D1452" s="1">
        <v>206634.16</v>
      </c>
      <c r="E1452" s="3">
        <v>1</v>
      </c>
      <c r="F1452" s="3">
        <v>1</v>
      </c>
      <c r="G1452" s="1">
        <v>206634.16</v>
      </c>
    </row>
    <row r="1453" spans="1:7" x14ac:dyDescent="0.25">
      <c r="A1453" s="111" t="str">
        <f t="shared" si="22"/>
        <v>Open Drain Channel</v>
      </c>
      <c r="B1453" t="s">
        <v>2050</v>
      </c>
      <c r="D1453" s="1">
        <v>389804.76</v>
      </c>
      <c r="E1453" s="3"/>
      <c r="F1453" s="3">
        <v>1</v>
      </c>
      <c r="G1453" s="1">
        <v>389804.76</v>
      </c>
    </row>
    <row r="1454" spans="1:7" x14ac:dyDescent="0.25">
      <c r="A1454" s="111" t="str">
        <f t="shared" si="22"/>
        <v>JDH4-02-007-CN-5850</v>
      </c>
      <c r="B1454" t="s">
        <v>2051</v>
      </c>
      <c r="C1454" t="s">
        <v>4089</v>
      </c>
      <c r="D1454" s="1">
        <v>65850.600000000006</v>
      </c>
      <c r="E1454" s="3">
        <v>1</v>
      </c>
      <c r="F1454" s="3">
        <v>1</v>
      </c>
      <c r="G1454" s="1">
        <v>65850.600000000006</v>
      </c>
    </row>
    <row r="1455" spans="1:7" x14ac:dyDescent="0.25">
      <c r="A1455" s="111" t="str">
        <f t="shared" si="22"/>
        <v>JDH4-02-007-CN-5860</v>
      </c>
      <c r="B1455" t="s">
        <v>2053</v>
      </c>
      <c r="C1455" t="s">
        <v>4090</v>
      </c>
      <c r="D1455" s="1">
        <v>30276.07</v>
      </c>
      <c r="E1455" s="3">
        <v>1</v>
      </c>
      <c r="F1455" s="3">
        <v>1</v>
      </c>
      <c r="G1455" s="1">
        <v>30276.07</v>
      </c>
    </row>
    <row r="1456" spans="1:7" x14ac:dyDescent="0.25">
      <c r="A1456" s="111" t="str">
        <f t="shared" si="22"/>
        <v>JDH4-02-007-CN-5870</v>
      </c>
      <c r="B1456" t="s">
        <v>2055</v>
      </c>
      <c r="C1456" t="s">
        <v>2056</v>
      </c>
      <c r="D1456" s="1">
        <v>18922.54</v>
      </c>
      <c r="E1456" s="3">
        <v>1</v>
      </c>
      <c r="F1456" s="3">
        <v>1</v>
      </c>
      <c r="G1456" s="1">
        <v>18922.54</v>
      </c>
    </row>
    <row r="1457" spans="1:7" x14ac:dyDescent="0.25">
      <c r="A1457" s="111" t="str">
        <f t="shared" si="22"/>
        <v>JDH4-02-007-CN-5850R</v>
      </c>
      <c r="B1457" t="s">
        <v>4091</v>
      </c>
      <c r="C1457" t="s">
        <v>2052</v>
      </c>
      <c r="D1457" s="1">
        <v>98775.9</v>
      </c>
      <c r="E1457" s="3">
        <v>1</v>
      </c>
      <c r="F1457" s="3">
        <v>1</v>
      </c>
      <c r="G1457" s="1">
        <v>98775.9</v>
      </c>
    </row>
    <row r="1458" spans="1:7" x14ac:dyDescent="0.25">
      <c r="A1458" s="111" t="str">
        <f t="shared" si="22"/>
        <v>JDH4-02-007-CN-5860R</v>
      </c>
      <c r="B1458" t="s">
        <v>4092</v>
      </c>
      <c r="C1458" t="s">
        <v>2054</v>
      </c>
      <c r="D1458" s="1">
        <v>20184.04</v>
      </c>
      <c r="E1458" s="3">
        <v>1</v>
      </c>
      <c r="F1458" s="3">
        <v>1</v>
      </c>
      <c r="G1458" s="1">
        <v>20184.04</v>
      </c>
    </row>
    <row r="1459" spans="1:7" x14ac:dyDescent="0.25">
      <c r="A1459" s="111" t="str">
        <f t="shared" si="22"/>
        <v>JDH4-02-007-CN-5880</v>
      </c>
      <c r="B1459" t="s">
        <v>2057</v>
      </c>
      <c r="C1459" t="s">
        <v>2058</v>
      </c>
      <c r="D1459" s="1">
        <v>155795.6</v>
      </c>
      <c r="E1459" s="3">
        <v>1</v>
      </c>
      <c r="F1459" s="3">
        <v>1</v>
      </c>
      <c r="G1459" s="1">
        <v>155795.6</v>
      </c>
    </row>
    <row r="1460" spans="1:7" x14ac:dyDescent="0.25">
      <c r="A1460" s="111" t="str">
        <f t="shared" si="22"/>
        <v>Road 02</v>
      </c>
      <c r="B1460" t="s">
        <v>2059</v>
      </c>
      <c r="D1460" s="1">
        <v>658204</v>
      </c>
      <c r="E1460" s="3"/>
      <c r="F1460" s="3">
        <v>1</v>
      </c>
      <c r="G1460" s="1">
        <v>658204</v>
      </c>
    </row>
    <row r="1461" spans="1:7" x14ac:dyDescent="0.25">
      <c r="A1461" s="111" t="str">
        <f t="shared" si="22"/>
        <v>Under Pass</v>
      </c>
      <c r="B1461" t="s">
        <v>2060</v>
      </c>
      <c r="D1461" s="1">
        <v>112526.05</v>
      </c>
      <c r="F1461" s="3">
        <v>1</v>
      </c>
      <c r="G1461" s="1">
        <v>112526.05</v>
      </c>
    </row>
    <row r="1462" spans="1:7" x14ac:dyDescent="0.25">
      <c r="A1462" s="111" t="str">
        <f t="shared" si="22"/>
        <v>JDH4-02-007-CN-1940</v>
      </c>
      <c r="B1462" t="s">
        <v>2061</v>
      </c>
      <c r="C1462" t="s">
        <v>2062</v>
      </c>
      <c r="D1462" s="1">
        <v>16651.84</v>
      </c>
      <c r="E1462" s="3">
        <v>1</v>
      </c>
      <c r="F1462" s="3">
        <v>1</v>
      </c>
      <c r="G1462" s="1">
        <v>16651.84</v>
      </c>
    </row>
    <row r="1463" spans="1:7" x14ac:dyDescent="0.25">
      <c r="A1463" s="111" t="str">
        <f t="shared" si="22"/>
        <v>JDH4-02-007-CN-2410</v>
      </c>
      <c r="B1463" t="s">
        <v>2063</v>
      </c>
      <c r="C1463" t="s">
        <v>2064</v>
      </c>
      <c r="D1463" s="1">
        <v>95874.21</v>
      </c>
      <c r="E1463" s="3">
        <v>1</v>
      </c>
      <c r="F1463" s="3">
        <v>1</v>
      </c>
      <c r="G1463" s="1">
        <v>95874.21</v>
      </c>
    </row>
    <row r="1464" spans="1:7" x14ac:dyDescent="0.25">
      <c r="A1464" s="111" t="str">
        <f t="shared" si="22"/>
        <v>Sewerage Network</v>
      </c>
      <c r="B1464" t="s">
        <v>221</v>
      </c>
      <c r="D1464" s="1">
        <v>89801.58</v>
      </c>
      <c r="E1464" s="3"/>
      <c r="F1464" s="3">
        <v>1</v>
      </c>
      <c r="G1464" s="1">
        <v>89801.58</v>
      </c>
    </row>
    <row r="1465" spans="1:7" x14ac:dyDescent="0.25">
      <c r="A1465" s="111" t="str">
        <f t="shared" si="22"/>
        <v>Pipe Works</v>
      </c>
      <c r="B1465" t="s">
        <v>1722</v>
      </c>
      <c r="D1465" s="1">
        <v>57055.71</v>
      </c>
      <c r="E1465" s="3"/>
      <c r="F1465" s="3">
        <v>1</v>
      </c>
      <c r="G1465" s="1">
        <v>57055.71</v>
      </c>
    </row>
    <row r="1466" spans="1:7" x14ac:dyDescent="0.25">
      <c r="A1466" s="111" t="str">
        <f t="shared" si="22"/>
        <v>JDH4-02-007-CN-4770</v>
      </c>
      <c r="B1466" t="s">
        <v>2065</v>
      </c>
      <c r="C1466" t="s">
        <v>2066</v>
      </c>
      <c r="D1466" s="1">
        <v>5705.57</v>
      </c>
      <c r="E1466" s="3">
        <v>1</v>
      </c>
      <c r="F1466" s="3">
        <v>1</v>
      </c>
      <c r="G1466" s="1">
        <v>5705.57</v>
      </c>
    </row>
    <row r="1467" spans="1:7" x14ac:dyDescent="0.25">
      <c r="A1467" s="111" t="str">
        <f t="shared" si="22"/>
        <v>JDH4-02-007-CN-5050</v>
      </c>
      <c r="B1467" t="s">
        <v>2073</v>
      </c>
      <c r="C1467" t="s">
        <v>2074</v>
      </c>
      <c r="D1467" s="1">
        <v>2852.78</v>
      </c>
      <c r="E1467" s="3">
        <v>1</v>
      </c>
      <c r="F1467" s="3">
        <v>1</v>
      </c>
      <c r="G1467" s="1">
        <v>2852.78</v>
      </c>
    </row>
    <row r="1468" spans="1:7" x14ac:dyDescent="0.25">
      <c r="A1468" s="111" t="str">
        <f t="shared" si="22"/>
        <v>JDH4-02-007-CN-4840</v>
      </c>
      <c r="B1468" t="s">
        <v>2067</v>
      </c>
      <c r="C1468" t="s">
        <v>2068</v>
      </c>
      <c r="D1468" s="1">
        <v>2852.78</v>
      </c>
      <c r="E1468" s="3">
        <v>1</v>
      </c>
      <c r="F1468" s="3">
        <v>1</v>
      </c>
      <c r="G1468" s="1">
        <v>2852.78</v>
      </c>
    </row>
    <row r="1469" spans="1:7" x14ac:dyDescent="0.25">
      <c r="A1469" s="111" t="str">
        <f t="shared" si="22"/>
        <v>JDH4-02-007-CN-4910</v>
      </c>
      <c r="B1469" t="s">
        <v>2069</v>
      </c>
      <c r="C1469" t="s">
        <v>2070</v>
      </c>
      <c r="D1469" s="1">
        <v>28527.86</v>
      </c>
      <c r="E1469" s="3">
        <v>1</v>
      </c>
      <c r="F1469" s="3">
        <v>1</v>
      </c>
      <c r="G1469" s="1">
        <v>28527.86</v>
      </c>
    </row>
    <row r="1470" spans="1:7" x14ac:dyDescent="0.25">
      <c r="A1470" s="111" t="str">
        <f t="shared" si="22"/>
        <v>JDH4-02-007-CN-4980</v>
      </c>
      <c r="B1470" t="s">
        <v>2071</v>
      </c>
      <c r="C1470" t="s">
        <v>2072</v>
      </c>
      <c r="D1470" s="1">
        <v>11411.15</v>
      </c>
      <c r="E1470" s="3">
        <v>1</v>
      </c>
      <c r="F1470" s="3">
        <v>1</v>
      </c>
      <c r="G1470" s="1">
        <v>11411.15</v>
      </c>
    </row>
    <row r="1471" spans="1:7" x14ac:dyDescent="0.25">
      <c r="A1471" s="111" t="str">
        <f t="shared" si="22"/>
        <v>JDH4-02-007-CN-5120</v>
      </c>
      <c r="B1471" t="s">
        <v>2075</v>
      </c>
      <c r="C1471" t="s">
        <v>2076</v>
      </c>
      <c r="D1471" s="1">
        <v>5705.57</v>
      </c>
      <c r="E1471" s="3">
        <v>1</v>
      </c>
      <c r="F1471" s="3">
        <v>1</v>
      </c>
      <c r="G1471" s="1">
        <v>5705.57</v>
      </c>
    </row>
    <row r="1472" spans="1:7" x14ac:dyDescent="0.25">
      <c r="A1472" s="111" t="str">
        <f t="shared" si="22"/>
        <v>Pipe Encasement</v>
      </c>
      <c r="B1472" t="s">
        <v>1733</v>
      </c>
      <c r="D1472" s="1">
        <v>304.22000000000003</v>
      </c>
      <c r="E1472" s="3"/>
      <c r="F1472" s="3">
        <v>1</v>
      </c>
      <c r="G1472">
        <v>304.22000000000003</v>
      </c>
    </row>
    <row r="1473" spans="1:7" x14ac:dyDescent="0.25">
      <c r="A1473" s="111" t="str">
        <f t="shared" si="22"/>
        <v>JDH4-02-007-CN-5260</v>
      </c>
      <c r="B1473" t="s">
        <v>2077</v>
      </c>
      <c r="C1473" t="s">
        <v>2078</v>
      </c>
      <c r="D1473" s="1">
        <v>304.22000000000003</v>
      </c>
      <c r="E1473" s="3">
        <v>1</v>
      </c>
      <c r="F1473" s="3">
        <v>1</v>
      </c>
      <c r="G1473">
        <v>304.22000000000003</v>
      </c>
    </row>
    <row r="1474" spans="1:7" x14ac:dyDescent="0.25">
      <c r="A1474" s="111" t="str">
        <f t="shared" si="22"/>
        <v>Manholes</v>
      </c>
      <c r="B1474" t="s">
        <v>486</v>
      </c>
      <c r="D1474" s="1">
        <v>32441.65</v>
      </c>
      <c r="E1474" s="3"/>
      <c r="F1474" s="3">
        <v>1</v>
      </c>
      <c r="G1474" s="1">
        <v>32441.65</v>
      </c>
    </row>
    <row r="1475" spans="1:7" x14ac:dyDescent="0.25">
      <c r="A1475" s="111" t="str">
        <f t="shared" si="22"/>
        <v>JDH4-02-007-CN-5190</v>
      </c>
      <c r="B1475" t="s">
        <v>2079</v>
      </c>
      <c r="C1475" t="s">
        <v>2080</v>
      </c>
      <c r="D1475" s="1">
        <v>32441.65</v>
      </c>
      <c r="E1475" s="3">
        <v>1</v>
      </c>
      <c r="F1475" s="3">
        <v>1</v>
      </c>
      <c r="G1475" s="1">
        <v>32441.65</v>
      </c>
    </row>
    <row r="1476" spans="1:7" x14ac:dyDescent="0.25">
      <c r="A1476" s="111" t="str">
        <f t="shared" ref="A1476:A1539" si="23">TRIM(B1476)</f>
        <v>TSE Network</v>
      </c>
      <c r="B1476" t="s">
        <v>491</v>
      </c>
      <c r="D1476" s="1">
        <v>145569.49</v>
      </c>
      <c r="E1476" s="3"/>
      <c r="F1476" s="3">
        <v>1</v>
      </c>
      <c r="G1476" s="1">
        <v>145569.49</v>
      </c>
    </row>
    <row r="1477" spans="1:7" x14ac:dyDescent="0.25">
      <c r="A1477" s="111" t="str">
        <f t="shared" si="23"/>
        <v>Pipe Works</v>
      </c>
      <c r="B1477" t="s">
        <v>1722</v>
      </c>
      <c r="D1477" s="1">
        <v>112992.76</v>
      </c>
      <c r="E1477" s="3"/>
      <c r="F1477" s="3">
        <v>1</v>
      </c>
      <c r="G1477" s="1">
        <v>112992.76</v>
      </c>
    </row>
    <row r="1478" spans="1:7" x14ac:dyDescent="0.25">
      <c r="A1478" s="111" t="str">
        <f t="shared" si="23"/>
        <v>JDH4-02-007-CN-3990</v>
      </c>
      <c r="B1478" t="s">
        <v>2081</v>
      </c>
      <c r="C1478" t="s">
        <v>4093</v>
      </c>
      <c r="D1478" s="1">
        <v>5754.78</v>
      </c>
      <c r="E1478" s="3">
        <v>1</v>
      </c>
      <c r="F1478" s="3">
        <v>1</v>
      </c>
      <c r="G1478" s="1">
        <v>5754.78</v>
      </c>
    </row>
    <row r="1479" spans="1:7" x14ac:dyDescent="0.25">
      <c r="A1479" s="111" t="str">
        <f t="shared" si="23"/>
        <v>JDH4-02-007-CN-4060</v>
      </c>
      <c r="B1479" t="s">
        <v>2083</v>
      </c>
      <c r="C1479" t="s">
        <v>4094</v>
      </c>
      <c r="D1479" s="1">
        <v>2877.4</v>
      </c>
      <c r="E1479" s="3">
        <v>1</v>
      </c>
      <c r="F1479" s="3">
        <v>1</v>
      </c>
      <c r="G1479" s="1">
        <v>2877.4</v>
      </c>
    </row>
    <row r="1480" spans="1:7" x14ac:dyDescent="0.25">
      <c r="A1480" s="111" t="str">
        <f t="shared" si="23"/>
        <v>JDH4-02-007-CN-4130</v>
      </c>
      <c r="B1480" t="s">
        <v>2084</v>
      </c>
      <c r="C1480" t="s">
        <v>4095</v>
      </c>
      <c r="D1480" s="1">
        <v>23542.29</v>
      </c>
      <c r="E1480" s="3">
        <v>1</v>
      </c>
      <c r="F1480" s="3">
        <v>1</v>
      </c>
      <c r="G1480" s="1">
        <v>23542.29</v>
      </c>
    </row>
    <row r="1481" spans="1:7" x14ac:dyDescent="0.25">
      <c r="A1481" s="111" t="str">
        <f t="shared" si="23"/>
        <v>JDH4-02-007-CN-4270</v>
      </c>
      <c r="B1481" t="s">
        <v>2088</v>
      </c>
      <c r="C1481" t="s">
        <v>4096</v>
      </c>
      <c r="D1481" s="1">
        <v>2354.23</v>
      </c>
      <c r="E1481" s="3">
        <v>1</v>
      </c>
      <c r="F1481" s="3">
        <v>1</v>
      </c>
      <c r="G1481" s="1">
        <v>2354.23</v>
      </c>
    </row>
    <row r="1482" spans="1:7" x14ac:dyDescent="0.25">
      <c r="A1482" s="111" t="str">
        <f t="shared" si="23"/>
        <v>JDH4-02-007-CN-3990R</v>
      </c>
      <c r="B1482" t="s">
        <v>4097</v>
      </c>
      <c r="C1482" t="s">
        <v>2082</v>
      </c>
      <c r="D1482" s="1">
        <v>4708.46</v>
      </c>
      <c r="E1482" s="3">
        <v>1</v>
      </c>
      <c r="F1482" s="3">
        <v>1</v>
      </c>
      <c r="G1482" s="1">
        <v>4708.46</v>
      </c>
    </row>
    <row r="1483" spans="1:7" x14ac:dyDescent="0.25">
      <c r="A1483" s="111" t="str">
        <f t="shared" si="23"/>
        <v>JDH4-02-007-CN-4060R</v>
      </c>
      <c r="B1483" t="s">
        <v>4098</v>
      </c>
      <c r="C1483" t="s">
        <v>2068</v>
      </c>
      <c r="D1483" s="1">
        <v>2354.23</v>
      </c>
      <c r="E1483" s="3">
        <v>1</v>
      </c>
      <c r="F1483" s="3">
        <v>1</v>
      </c>
      <c r="G1483" s="1">
        <v>2354.23</v>
      </c>
    </row>
    <row r="1484" spans="1:7" x14ac:dyDescent="0.25">
      <c r="A1484" s="111" t="str">
        <f t="shared" si="23"/>
        <v>JDH4-02-007-CN-4130R</v>
      </c>
      <c r="B1484" t="s">
        <v>4099</v>
      </c>
      <c r="C1484" t="s">
        <v>2085</v>
      </c>
      <c r="D1484" s="1">
        <v>28773.91</v>
      </c>
      <c r="E1484" s="3">
        <v>1</v>
      </c>
      <c r="F1484" s="3">
        <v>1</v>
      </c>
      <c r="G1484" s="1">
        <v>28773.91</v>
      </c>
    </row>
    <row r="1485" spans="1:7" x14ac:dyDescent="0.25">
      <c r="A1485" s="111" t="str">
        <f t="shared" si="23"/>
        <v>JDH4-02-007-CN-4200</v>
      </c>
      <c r="B1485" t="s">
        <v>2086</v>
      </c>
      <c r="C1485" t="s">
        <v>2087</v>
      </c>
      <c r="D1485" s="1">
        <v>20959.32</v>
      </c>
      <c r="E1485" s="3">
        <v>1</v>
      </c>
      <c r="F1485" s="3">
        <v>1</v>
      </c>
      <c r="G1485" s="1">
        <v>20959.32</v>
      </c>
    </row>
    <row r="1486" spans="1:7" x14ac:dyDescent="0.25">
      <c r="A1486" s="111" t="str">
        <f t="shared" si="23"/>
        <v>JDH4-02-007-CN-4270R</v>
      </c>
      <c r="B1486" t="s">
        <v>4100</v>
      </c>
      <c r="C1486" t="s">
        <v>2089</v>
      </c>
      <c r="D1486" s="1">
        <v>2877.4</v>
      </c>
      <c r="E1486" s="3">
        <v>1</v>
      </c>
      <c r="F1486" s="3">
        <v>1</v>
      </c>
      <c r="G1486" s="1">
        <v>2877.4</v>
      </c>
    </row>
    <row r="1487" spans="1:7" x14ac:dyDescent="0.25">
      <c r="A1487" s="111" t="str">
        <f t="shared" si="23"/>
        <v>JDH4-02-007-CN-4340</v>
      </c>
      <c r="B1487" t="s">
        <v>2090</v>
      </c>
      <c r="C1487" t="s">
        <v>2076</v>
      </c>
      <c r="D1487" s="1">
        <v>10479.66</v>
      </c>
      <c r="E1487" s="3">
        <v>1</v>
      </c>
      <c r="F1487" s="3">
        <v>1</v>
      </c>
      <c r="G1487" s="1">
        <v>10479.66</v>
      </c>
    </row>
    <row r="1488" spans="1:7" x14ac:dyDescent="0.25">
      <c r="A1488" s="111" t="str">
        <f t="shared" si="23"/>
        <v>JDH4-02-007-CN-4650</v>
      </c>
      <c r="B1488" t="s">
        <v>2091</v>
      </c>
      <c r="C1488" t="s">
        <v>2092</v>
      </c>
      <c r="D1488" s="1">
        <v>8311.08</v>
      </c>
      <c r="E1488" s="3">
        <v>1</v>
      </c>
      <c r="F1488" s="3">
        <v>1</v>
      </c>
      <c r="G1488" s="1">
        <v>8311.08</v>
      </c>
    </row>
    <row r="1489" spans="1:7" x14ac:dyDescent="0.25">
      <c r="A1489" s="111" t="str">
        <f t="shared" si="23"/>
        <v>Pipe Encasement</v>
      </c>
      <c r="B1489" t="s">
        <v>1733</v>
      </c>
      <c r="D1489" s="1">
        <v>5288.43</v>
      </c>
      <c r="E1489" s="3"/>
      <c r="F1489" s="3">
        <v>1</v>
      </c>
      <c r="G1489" s="1">
        <v>5288.43</v>
      </c>
    </row>
    <row r="1490" spans="1:7" x14ac:dyDescent="0.25">
      <c r="A1490" s="111" t="str">
        <f t="shared" si="23"/>
        <v>JDH4-02-007-CN-4410</v>
      </c>
      <c r="B1490" t="s">
        <v>2093</v>
      </c>
      <c r="C1490" t="s">
        <v>2094</v>
      </c>
      <c r="D1490" s="1">
        <v>5288.43</v>
      </c>
      <c r="E1490" s="3">
        <v>1</v>
      </c>
      <c r="F1490" s="3">
        <v>1</v>
      </c>
      <c r="G1490" s="1">
        <v>5288.43</v>
      </c>
    </row>
    <row r="1491" spans="1:7" x14ac:dyDescent="0.25">
      <c r="A1491" s="111" t="str">
        <f t="shared" si="23"/>
        <v>Valves</v>
      </c>
      <c r="B1491" t="s">
        <v>127</v>
      </c>
      <c r="D1491" s="1">
        <v>18457.78</v>
      </c>
      <c r="E1491" s="3"/>
      <c r="F1491" s="3">
        <v>1</v>
      </c>
      <c r="G1491" s="1">
        <v>18457.78</v>
      </c>
    </row>
    <row r="1492" spans="1:7" x14ac:dyDescent="0.25">
      <c r="A1492" s="111" t="str">
        <f t="shared" si="23"/>
        <v>JDH4-02-007-CN-4480</v>
      </c>
      <c r="B1492" t="s">
        <v>2095</v>
      </c>
      <c r="C1492" t="s">
        <v>2096</v>
      </c>
      <c r="D1492" s="1">
        <v>11204.14</v>
      </c>
      <c r="E1492" s="3">
        <v>1</v>
      </c>
      <c r="F1492" s="3">
        <v>1</v>
      </c>
      <c r="G1492" s="1">
        <v>11204.14</v>
      </c>
    </row>
    <row r="1493" spans="1:7" x14ac:dyDescent="0.25">
      <c r="A1493" s="111" t="str">
        <f t="shared" si="23"/>
        <v>JDH4-02-007-CN-4570</v>
      </c>
      <c r="B1493" t="s">
        <v>2097</v>
      </c>
      <c r="C1493" t="s">
        <v>2098</v>
      </c>
      <c r="D1493" s="1">
        <v>7253.64</v>
      </c>
      <c r="E1493" s="3">
        <v>1</v>
      </c>
      <c r="F1493" s="3">
        <v>1</v>
      </c>
      <c r="G1493" s="1">
        <v>7253.64</v>
      </c>
    </row>
    <row r="1494" spans="1:7" x14ac:dyDescent="0.25">
      <c r="A1494" s="111" t="str">
        <f t="shared" si="23"/>
        <v>Risers</v>
      </c>
      <c r="B1494" t="s">
        <v>499</v>
      </c>
      <c r="D1494" s="1">
        <v>8830.52</v>
      </c>
      <c r="E1494" s="3"/>
      <c r="F1494" s="3">
        <v>1</v>
      </c>
      <c r="G1494" s="1">
        <v>8830.52</v>
      </c>
    </row>
    <row r="1495" spans="1:7" x14ac:dyDescent="0.25">
      <c r="A1495" s="111" t="str">
        <f t="shared" si="23"/>
        <v>JDH4-02-007-CN-4720</v>
      </c>
      <c r="B1495" t="s">
        <v>2099</v>
      </c>
      <c r="C1495" t="s">
        <v>2100</v>
      </c>
      <c r="D1495" s="1">
        <v>8830.52</v>
      </c>
      <c r="E1495" s="3">
        <v>1</v>
      </c>
      <c r="F1495" s="3">
        <v>1</v>
      </c>
      <c r="G1495" s="1">
        <v>8830.52</v>
      </c>
    </row>
    <row r="1496" spans="1:7" x14ac:dyDescent="0.25">
      <c r="A1496" s="111" t="str">
        <f t="shared" si="23"/>
        <v>Potable Network</v>
      </c>
      <c r="B1496" t="s">
        <v>120</v>
      </c>
      <c r="D1496" s="1">
        <v>139057.87</v>
      </c>
      <c r="E1496" s="3"/>
      <c r="F1496" s="3">
        <v>1</v>
      </c>
      <c r="G1496" s="1">
        <v>139057.87</v>
      </c>
    </row>
    <row r="1497" spans="1:7" x14ac:dyDescent="0.25">
      <c r="A1497" s="111" t="str">
        <f t="shared" si="23"/>
        <v>Pipe Works</v>
      </c>
      <c r="B1497" t="s">
        <v>1722</v>
      </c>
      <c r="D1497" s="1">
        <v>84122.85</v>
      </c>
      <c r="E1497" s="3"/>
      <c r="F1497" s="3">
        <v>1</v>
      </c>
      <c r="G1497" s="1">
        <v>84122.85</v>
      </c>
    </row>
    <row r="1498" spans="1:7" x14ac:dyDescent="0.25">
      <c r="A1498" s="111" t="str">
        <f t="shared" si="23"/>
        <v>JDH4-02-007-CN-3310</v>
      </c>
      <c r="B1498" t="s">
        <v>2101</v>
      </c>
      <c r="C1498" t="s">
        <v>2082</v>
      </c>
      <c r="D1498" s="1">
        <v>8412.2900000000009</v>
      </c>
      <c r="E1498" s="3">
        <v>1</v>
      </c>
      <c r="F1498" s="3">
        <v>1</v>
      </c>
      <c r="G1498" s="1">
        <v>8412.2900000000009</v>
      </c>
    </row>
    <row r="1499" spans="1:7" x14ac:dyDescent="0.25">
      <c r="A1499" s="111" t="str">
        <f t="shared" si="23"/>
        <v>JDH4-02-007-CN-3380</v>
      </c>
      <c r="B1499" t="s">
        <v>2102</v>
      </c>
      <c r="C1499" t="s">
        <v>2068</v>
      </c>
      <c r="D1499" s="1">
        <v>4206.1499999999996</v>
      </c>
      <c r="E1499" s="3">
        <v>1</v>
      </c>
      <c r="F1499" s="3">
        <v>1</v>
      </c>
      <c r="G1499" s="1">
        <v>4206.1499999999996</v>
      </c>
    </row>
    <row r="1500" spans="1:7" x14ac:dyDescent="0.25">
      <c r="A1500" s="111" t="str">
        <f t="shared" si="23"/>
        <v>JDH4-02-007-CN-3450</v>
      </c>
      <c r="B1500" t="s">
        <v>2103</v>
      </c>
      <c r="C1500" t="s">
        <v>2085</v>
      </c>
      <c r="D1500" s="1">
        <v>42061.41</v>
      </c>
      <c r="E1500" s="3">
        <v>1</v>
      </c>
      <c r="F1500" s="3">
        <v>1</v>
      </c>
      <c r="G1500" s="1">
        <v>42061.41</v>
      </c>
    </row>
    <row r="1501" spans="1:7" x14ac:dyDescent="0.25">
      <c r="A1501" s="111" t="str">
        <f t="shared" si="23"/>
        <v>JDH4-02-007-CN-3520</v>
      </c>
      <c r="B1501" t="s">
        <v>2104</v>
      </c>
      <c r="C1501" t="s">
        <v>2087</v>
      </c>
      <c r="D1501" s="1">
        <v>16824.560000000001</v>
      </c>
      <c r="E1501" s="3">
        <v>1</v>
      </c>
      <c r="F1501" s="3">
        <v>1</v>
      </c>
      <c r="G1501" s="1">
        <v>16824.560000000001</v>
      </c>
    </row>
    <row r="1502" spans="1:7" x14ac:dyDescent="0.25">
      <c r="A1502" s="111" t="str">
        <f t="shared" si="23"/>
        <v>JDH4-02-007-CN-3590</v>
      </c>
      <c r="B1502" t="s">
        <v>2105</v>
      </c>
      <c r="C1502" t="s">
        <v>2074</v>
      </c>
      <c r="D1502" s="1">
        <v>4206.1499999999996</v>
      </c>
      <c r="E1502" s="3">
        <v>1</v>
      </c>
      <c r="F1502" s="3">
        <v>1</v>
      </c>
      <c r="G1502" s="1">
        <v>4206.1499999999996</v>
      </c>
    </row>
    <row r="1503" spans="1:7" x14ac:dyDescent="0.25">
      <c r="A1503" s="111" t="str">
        <f t="shared" si="23"/>
        <v>JDH4-02-007-CN-3660</v>
      </c>
      <c r="B1503" t="s">
        <v>2106</v>
      </c>
      <c r="C1503" t="s">
        <v>2107</v>
      </c>
      <c r="D1503" s="1">
        <v>8412.2900000000009</v>
      </c>
      <c r="E1503" s="3">
        <v>1</v>
      </c>
      <c r="F1503" s="3">
        <v>1</v>
      </c>
      <c r="G1503" s="1">
        <v>8412.2900000000009</v>
      </c>
    </row>
    <row r="1504" spans="1:7" x14ac:dyDescent="0.25">
      <c r="A1504" s="111" t="str">
        <f t="shared" si="23"/>
        <v>Pipe Encasement</v>
      </c>
      <c r="B1504" t="s">
        <v>1733</v>
      </c>
      <c r="D1504" s="1">
        <v>6577.42</v>
      </c>
      <c r="E1504" s="3"/>
      <c r="F1504" s="3">
        <v>1</v>
      </c>
      <c r="G1504" s="1">
        <v>6577.42</v>
      </c>
    </row>
    <row r="1505" spans="1:7" x14ac:dyDescent="0.25">
      <c r="A1505" s="111" t="str">
        <f t="shared" si="23"/>
        <v>JDH4-02-007-CN-3730</v>
      </c>
      <c r="B1505" t="s">
        <v>2108</v>
      </c>
      <c r="C1505" t="s">
        <v>2094</v>
      </c>
      <c r="D1505" s="1">
        <v>6577.42</v>
      </c>
      <c r="E1505" s="3">
        <v>1</v>
      </c>
      <c r="F1505" s="3">
        <v>1</v>
      </c>
      <c r="G1505" s="1">
        <v>6577.42</v>
      </c>
    </row>
    <row r="1506" spans="1:7" x14ac:dyDescent="0.25">
      <c r="A1506" s="111" t="str">
        <f t="shared" si="23"/>
        <v>Valves</v>
      </c>
      <c r="B1506" t="s">
        <v>127</v>
      </c>
      <c r="D1506" s="1">
        <v>10512.52</v>
      </c>
      <c r="E1506" s="3"/>
      <c r="F1506" s="3">
        <v>1</v>
      </c>
      <c r="G1506" s="1">
        <v>10512.52</v>
      </c>
    </row>
    <row r="1507" spans="1:7" x14ac:dyDescent="0.25">
      <c r="A1507" s="111" t="str">
        <f t="shared" si="23"/>
        <v>JDH4-02-007-CN-3800</v>
      </c>
      <c r="B1507" t="s">
        <v>2109</v>
      </c>
      <c r="C1507" t="s">
        <v>2096</v>
      </c>
      <c r="D1507" s="1">
        <v>10512.52</v>
      </c>
      <c r="E1507" s="3">
        <v>1</v>
      </c>
      <c r="F1507" s="3">
        <v>1</v>
      </c>
      <c r="G1507" s="1">
        <v>10512.52</v>
      </c>
    </row>
    <row r="1508" spans="1:7" x14ac:dyDescent="0.25">
      <c r="A1508" s="111" t="str">
        <f t="shared" si="23"/>
        <v>Valve Chambers</v>
      </c>
      <c r="B1508" t="s">
        <v>2019</v>
      </c>
      <c r="D1508" s="1">
        <v>37845.08</v>
      </c>
      <c r="E1508" s="3"/>
      <c r="F1508" s="3">
        <v>1</v>
      </c>
      <c r="G1508" s="1">
        <v>37845.08</v>
      </c>
    </row>
    <row r="1509" spans="1:7" x14ac:dyDescent="0.25">
      <c r="A1509" s="111" t="str">
        <f t="shared" si="23"/>
        <v>JDH4-02-007-CN-4620</v>
      </c>
      <c r="B1509" t="s">
        <v>2110</v>
      </c>
      <c r="C1509" t="s">
        <v>2111</v>
      </c>
      <c r="D1509" s="1">
        <v>37845.08</v>
      </c>
      <c r="E1509" s="3">
        <v>1</v>
      </c>
      <c r="F1509" s="3">
        <v>1</v>
      </c>
      <c r="G1509" s="1">
        <v>37845.08</v>
      </c>
    </row>
    <row r="1510" spans="1:7" x14ac:dyDescent="0.25">
      <c r="A1510" s="111" t="str">
        <f t="shared" si="23"/>
        <v>Electrical Works</v>
      </c>
      <c r="B1510" t="s">
        <v>1785</v>
      </c>
      <c r="D1510" s="1">
        <v>171249.01</v>
      </c>
      <c r="E1510" s="3"/>
      <c r="F1510" s="3">
        <v>1</v>
      </c>
      <c r="G1510" s="1">
        <v>171249.01</v>
      </c>
    </row>
    <row r="1511" spans="1:7" x14ac:dyDescent="0.25">
      <c r="A1511" s="111" t="str">
        <f t="shared" si="23"/>
        <v>Telecommunication</v>
      </c>
      <c r="B1511" t="s">
        <v>1799</v>
      </c>
      <c r="D1511" s="1">
        <v>171249.01</v>
      </c>
      <c r="E1511" s="3"/>
      <c r="F1511" s="3">
        <v>1</v>
      </c>
      <c r="G1511" s="1">
        <v>171249.01</v>
      </c>
    </row>
    <row r="1512" spans="1:7" x14ac:dyDescent="0.25">
      <c r="A1512" s="111" t="str">
        <f t="shared" si="23"/>
        <v>JDH4-02-007-CN-3130</v>
      </c>
      <c r="B1512" t="s">
        <v>2114</v>
      </c>
      <c r="C1512" t="s">
        <v>2115</v>
      </c>
      <c r="D1512" s="1">
        <v>3973.73</v>
      </c>
      <c r="E1512" s="3">
        <v>1</v>
      </c>
      <c r="F1512" s="3">
        <v>1</v>
      </c>
      <c r="G1512" s="1">
        <v>3973.73</v>
      </c>
    </row>
    <row r="1513" spans="1:7" x14ac:dyDescent="0.25">
      <c r="A1513" s="111" t="str">
        <f t="shared" si="23"/>
        <v>JDH4-02-007-CN-3240</v>
      </c>
      <c r="B1513" t="s">
        <v>2116</v>
      </c>
      <c r="C1513" t="s">
        <v>2080</v>
      </c>
      <c r="D1513" s="1">
        <v>34060.58</v>
      </c>
      <c r="E1513" s="3">
        <v>1</v>
      </c>
      <c r="F1513" s="3">
        <v>1</v>
      </c>
      <c r="G1513" s="1">
        <v>34060.58</v>
      </c>
    </row>
    <row r="1514" spans="1:7" x14ac:dyDescent="0.25">
      <c r="A1514" s="111" t="str">
        <f t="shared" si="23"/>
        <v>JDH4-02-007-CN-3060</v>
      </c>
      <c r="B1514" t="s">
        <v>2112</v>
      </c>
      <c r="C1514" t="s">
        <v>2113</v>
      </c>
      <c r="D1514" s="1">
        <v>133214.70000000001</v>
      </c>
      <c r="E1514" s="3">
        <v>1</v>
      </c>
      <c r="F1514" s="3">
        <v>1</v>
      </c>
      <c r="G1514" s="1">
        <v>133214.70000000001</v>
      </c>
    </row>
    <row r="1515" spans="1:7" x14ac:dyDescent="0.25">
      <c r="A1515" s="111" t="str">
        <f t="shared" si="23"/>
        <v>Road 10</v>
      </c>
      <c r="B1515" t="s">
        <v>2342</v>
      </c>
      <c r="D1515" s="1">
        <v>908137.39</v>
      </c>
      <c r="E1515" s="3"/>
      <c r="F1515" s="3">
        <v>1</v>
      </c>
      <c r="G1515" s="1">
        <v>908137.39</v>
      </c>
    </row>
    <row r="1516" spans="1:7" x14ac:dyDescent="0.25">
      <c r="A1516" s="111" t="str">
        <f t="shared" si="23"/>
        <v>Sewerage Network</v>
      </c>
      <c r="B1516" t="s">
        <v>221</v>
      </c>
      <c r="D1516" s="1">
        <v>419517.38</v>
      </c>
      <c r="E1516" s="3"/>
      <c r="F1516" s="3">
        <v>1</v>
      </c>
      <c r="G1516" s="1">
        <v>419517.38</v>
      </c>
    </row>
    <row r="1517" spans="1:7" x14ac:dyDescent="0.25">
      <c r="A1517" s="111" t="str">
        <f t="shared" si="23"/>
        <v>Pipe Works</v>
      </c>
      <c r="B1517" t="s">
        <v>1722</v>
      </c>
      <c r="D1517" s="1">
        <v>288229.71999999997</v>
      </c>
      <c r="E1517" s="3"/>
      <c r="F1517" s="3">
        <v>1</v>
      </c>
      <c r="G1517" s="1">
        <v>288229.71999999997</v>
      </c>
    </row>
    <row r="1518" spans="1:7" x14ac:dyDescent="0.25">
      <c r="A1518" s="111" t="str">
        <f t="shared" si="23"/>
        <v>JDH4-02-007-CN-4830</v>
      </c>
      <c r="B1518" t="s">
        <v>2343</v>
      </c>
      <c r="C1518" t="s">
        <v>2344</v>
      </c>
      <c r="D1518" s="1">
        <v>28822.98</v>
      </c>
      <c r="E1518" s="3">
        <v>1</v>
      </c>
      <c r="F1518" s="3">
        <v>1</v>
      </c>
      <c r="G1518" s="1">
        <v>28822.98</v>
      </c>
    </row>
    <row r="1519" spans="1:7" x14ac:dyDescent="0.25">
      <c r="A1519" s="111" t="str">
        <f t="shared" si="23"/>
        <v>JDH4-02-007-CN-4900</v>
      </c>
      <c r="B1519" t="s">
        <v>2345</v>
      </c>
      <c r="C1519" t="s">
        <v>2346</v>
      </c>
      <c r="D1519" s="1">
        <v>14411.47</v>
      </c>
      <c r="E1519" s="3">
        <v>1</v>
      </c>
      <c r="F1519" s="3">
        <v>1</v>
      </c>
      <c r="G1519" s="1">
        <v>14411.47</v>
      </c>
    </row>
    <row r="1520" spans="1:7" x14ac:dyDescent="0.25">
      <c r="A1520" s="111" t="str">
        <f t="shared" si="23"/>
        <v>JDH4-02-007-CN-4970</v>
      </c>
      <c r="B1520" t="s">
        <v>2347</v>
      </c>
      <c r="C1520" t="s">
        <v>2348</v>
      </c>
      <c r="D1520" s="1">
        <v>144114.85999999999</v>
      </c>
      <c r="E1520" s="3">
        <v>1</v>
      </c>
      <c r="F1520" s="3">
        <v>1</v>
      </c>
      <c r="G1520" s="1">
        <v>144114.85999999999</v>
      </c>
    </row>
    <row r="1521" spans="1:7" x14ac:dyDescent="0.25">
      <c r="A1521" s="111" t="str">
        <f t="shared" si="23"/>
        <v>JDH4-02-007-CN-5040</v>
      </c>
      <c r="B1521" t="s">
        <v>2349</v>
      </c>
      <c r="C1521" t="s">
        <v>2350</v>
      </c>
      <c r="D1521" s="1">
        <v>57645.96</v>
      </c>
      <c r="E1521" s="3">
        <v>1</v>
      </c>
      <c r="F1521" s="3">
        <v>1</v>
      </c>
      <c r="G1521" s="1">
        <v>57645.96</v>
      </c>
    </row>
    <row r="1522" spans="1:7" x14ac:dyDescent="0.25">
      <c r="A1522" s="111" t="str">
        <f t="shared" si="23"/>
        <v>JDH4-02-007-CN-5110</v>
      </c>
      <c r="B1522" t="s">
        <v>2351</v>
      </c>
      <c r="C1522" t="s">
        <v>2352</v>
      </c>
      <c r="D1522" s="1">
        <v>14411.47</v>
      </c>
      <c r="E1522" s="3">
        <v>1</v>
      </c>
      <c r="F1522" s="3">
        <v>1</v>
      </c>
      <c r="G1522" s="1">
        <v>14411.47</v>
      </c>
    </row>
    <row r="1523" spans="1:7" x14ac:dyDescent="0.25">
      <c r="A1523" s="111" t="str">
        <f t="shared" si="23"/>
        <v>JDH4-02-007-CN-5180</v>
      </c>
      <c r="B1523" t="s">
        <v>2353</v>
      </c>
      <c r="C1523" t="s">
        <v>2354</v>
      </c>
      <c r="D1523" s="1">
        <v>28822.98</v>
      </c>
      <c r="E1523" s="3">
        <v>1</v>
      </c>
      <c r="F1523" s="3">
        <v>1</v>
      </c>
      <c r="G1523" s="1">
        <v>28822.98</v>
      </c>
    </row>
    <row r="1524" spans="1:7" x14ac:dyDescent="0.25">
      <c r="A1524" s="111" t="str">
        <f t="shared" si="23"/>
        <v>Pipe Encasement</v>
      </c>
      <c r="B1524" t="s">
        <v>1733</v>
      </c>
      <c r="D1524" s="1">
        <v>1521.08</v>
      </c>
      <c r="E1524" s="3"/>
      <c r="F1524" s="3">
        <v>1</v>
      </c>
      <c r="G1524" s="1">
        <v>1521.08</v>
      </c>
    </row>
    <row r="1525" spans="1:7" x14ac:dyDescent="0.25">
      <c r="A1525" s="111" t="str">
        <f t="shared" si="23"/>
        <v>JDH4-02-007-CN-5320</v>
      </c>
      <c r="B1525" t="s">
        <v>2355</v>
      </c>
      <c r="C1525" t="s">
        <v>2356</v>
      </c>
      <c r="D1525" s="1">
        <v>1521.08</v>
      </c>
      <c r="E1525" s="3">
        <v>1</v>
      </c>
      <c r="F1525" s="3">
        <v>1</v>
      </c>
      <c r="G1525" s="1">
        <v>1521.08</v>
      </c>
    </row>
    <row r="1526" spans="1:7" x14ac:dyDescent="0.25">
      <c r="A1526" s="111" t="str">
        <f t="shared" si="23"/>
        <v>Manholes</v>
      </c>
      <c r="B1526" t="s">
        <v>486</v>
      </c>
      <c r="D1526" s="1">
        <v>129766.58</v>
      </c>
      <c r="E1526" s="3"/>
      <c r="F1526" s="3">
        <v>1</v>
      </c>
      <c r="G1526" s="1">
        <v>129766.58</v>
      </c>
    </row>
    <row r="1527" spans="1:7" x14ac:dyDescent="0.25">
      <c r="A1527" s="111" t="str">
        <f t="shared" si="23"/>
        <v>JDH4-02-007-CN-5250</v>
      </c>
      <c r="B1527" t="s">
        <v>2357</v>
      </c>
      <c r="C1527" t="s">
        <v>2358</v>
      </c>
      <c r="D1527" s="1">
        <v>129766.58</v>
      </c>
      <c r="E1527" s="3">
        <v>1</v>
      </c>
      <c r="F1527" s="3">
        <v>1</v>
      </c>
      <c r="G1527" s="1">
        <v>129766.58</v>
      </c>
    </row>
    <row r="1528" spans="1:7" x14ac:dyDescent="0.25">
      <c r="A1528" s="111" t="str">
        <f t="shared" si="23"/>
        <v>TSE Network</v>
      </c>
      <c r="B1528" t="s">
        <v>491</v>
      </c>
      <c r="D1528" s="1">
        <v>221839.87</v>
      </c>
      <c r="E1528" s="3"/>
      <c r="F1528" s="3">
        <v>1</v>
      </c>
      <c r="G1528" s="1">
        <v>221839.87</v>
      </c>
    </row>
    <row r="1529" spans="1:7" x14ac:dyDescent="0.25">
      <c r="A1529" s="111" t="str">
        <f t="shared" si="23"/>
        <v>Pipe Works</v>
      </c>
      <c r="B1529" t="s">
        <v>1722</v>
      </c>
      <c r="D1529" s="1">
        <v>201483.45</v>
      </c>
      <c r="E1529" s="3"/>
      <c r="F1529" s="3">
        <v>1</v>
      </c>
      <c r="G1529" s="1">
        <v>201483.45</v>
      </c>
    </row>
    <row r="1530" spans="1:7" x14ac:dyDescent="0.25">
      <c r="A1530" s="111" t="str">
        <f t="shared" si="23"/>
        <v>JDH4-02-007-CN-4050</v>
      </c>
      <c r="B1530" t="s">
        <v>2359</v>
      </c>
      <c r="C1530" t="s">
        <v>2360</v>
      </c>
      <c r="D1530" s="1">
        <v>18901.669999999998</v>
      </c>
      <c r="E1530" s="3">
        <v>1</v>
      </c>
      <c r="F1530" s="3">
        <v>1</v>
      </c>
      <c r="G1530" s="1">
        <v>18901.669999999998</v>
      </c>
    </row>
    <row r="1531" spans="1:7" x14ac:dyDescent="0.25">
      <c r="A1531" s="111" t="str">
        <f t="shared" si="23"/>
        <v>JDH4-02-007-CN-4120</v>
      </c>
      <c r="B1531" t="s">
        <v>2361</v>
      </c>
      <c r="C1531" t="s">
        <v>2346</v>
      </c>
      <c r="D1531" s="1">
        <v>9450.86</v>
      </c>
      <c r="E1531" s="3">
        <v>1</v>
      </c>
      <c r="F1531" s="3">
        <v>1</v>
      </c>
      <c r="G1531" s="1">
        <v>9450.86</v>
      </c>
    </row>
    <row r="1532" spans="1:7" x14ac:dyDescent="0.25">
      <c r="A1532" s="111" t="str">
        <f t="shared" si="23"/>
        <v>JDH4-02-007-CN-4190</v>
      </c>
      <c r="B1532" t="s">
        <v>2362</v>
      </c>
      <c r="C1532" t="s">
        <v>2363</v>
      </c>
      <c r="D1532" s="1">
        <v>94508.42</v>
      </c>
      <c r="E1532" s="3">
        <v>1</v>
      </c>
      <c r="F1532" s="3">
        <v>1</v>
      </c>
      <c r="G1532" s="1">
        <v>94508.42</v>
      </c>
    </row>
    <row r="1533" spans="1:7" x14ac:dyDescent="0.25">
      <c r="A1533" s="111" t="str">
        <f t="shared" si="23"/>
        <v>JDH4-02-007-CN-4260</v>
      </c>
      <c r="B1533" t="s">
        <v>2364</v>
      </c>
      <c r="C1533" t="s">
        <v>2365</v>
      </c>
      <c r="D1533" s="1">
        <v>37803.35</v>
      </c>
      <c r="E1533" s="3">
        <v>1</v>
      </c>
      <c r="F1533" s="3">
        <v>1</v>
      </c>
      <c r="G1533" s="1">
        <v>37803.35</v>
      </c>
    </row>
    <row r="1534" spans="1:7" x14ac:dyDescent="0.25">
      <c r="A1534" s="111" t="str">
        <f t="shared" si="23"/>
        <v>JDH4-02-007-CN-4710</v>
      </c>
      <c r="B1534" t="s">
        <v>2366</v>
      </c>
      <c r="C1534" t="s">
        <v>2367</v>
      </c>
      <c r="D1534" s="1">
        <v>12466.62</v>
      </c>
      <c r="E1534" s="3">
        <v>1</v>
      </c>
      <c r="F1534" s="2">
        <v>1</v>
      </c>
      <c r="G1534" s="1">
        <v>12466.62</v>
      </c>
    </row>
    <row r="1535" spans="1:7" x14ac:dyDescent="0.25">
      <c r="A1535" s="111" t="str">
        <f t="shared" si="23"/>
        <v>JDH4-02-007-CN-4330</v>
      </c>
      <c r="B1535" t="s">
        <v>2368</v>
      </c>
      <c r="C1535" t="s">
        <v>2369</v>
      </c>
      <c r="D1535" s="1">
        <v>9450.86</v>
      </c>
      <c r="E1535" s="3">
        <v>1</v>
      </c>
      <c r="F1535" s="2">
        <v>1</v>
      </c>
      <c r="G1535" s="1">
        <v>9450.86</v>
      </c>
    </row>
    <row r="1536" spans="1:7" x14ac:dyDescent="0.25">
      <c r="A1536" s="111" t="str">
        <f t="shared" si="23"/>
        <v>JDH4-02-007-CN-4400</v>
      </c>
      <c r="B1536" t="s">
        <v>2370</v>
      </c>
      <c r="C1536" t="s">
        <v>2354</v>
      </c>
      <c r="D1536" s="1">
        <v>18901.669999999998</v>
      </c>
      <c r="E1536" s="3">
        <v>1</v>
      </c>
      <c r="F1536" s="3">
        <v>1</v>
      </c>
      <c r="G1536" s="1">
        <v>18901.669999999998</v>
      </c>
    </row>
    <row r="1537" spans="1:7" x14ac:dyDescent="0.25">
      <c r="A1537" s="111" t="str">
        <f t="shared" si="23"/>
        <v>Pipe Encasement</v>
      </c>
      <c r="B1537" t="s">
        <v>1733</v>
      </c>
      <c r="D1537" s="1">
        <v>9368.07</v>
      </c>
      <c r="E1537" s="3"/>
      <c r="F1537" s="3">
        <v>1</v>
      </c>
      <c r="G1537" s="1">
        <v>9368.07</v>
      </c>
    </row>
    <row r="1538" spans="1:7" x14ac:dyDescent="0.25">
      <c r="A1538" s="111" t="str">
        <f t="shared" si="23"/>
        <v>JDH4-02-007-CN-4470</v>
      </c>
      <c r="B1538" t="s">
        <v>2371</v>
      </c>
      <c r="C1538" t="s">
        <v>2372</v>
      </c>
      <c r="D1538" s="1">
        <v>9368.07</v>
      </c>
      <c r="E1538" s="3">
        <v>1</v>
      </c>
      <c r="F1538" s="3">
        <v>1</v>
      </c>
      <c r="G1538" s="1">
        <v>9368.07</v>
      </c>
    </row>
    <row r="1539" spans="1:7" x14ac:dyDescent="0.25">
      <c r="A1539" s="111" t="str">
        <f t="shared" si="23"/>
        <v>Valves</v>
      </c>
      <c r="B1539" t="s">
        <v>127</v>
      </c>
      <c r="D1539" s="1">
        <v>10988.35</v>
      </c>
      <c r="E1539" s="3"/>
      <c r="F1539" s="3">
        <v>1</v>
      </c>
      <c r="G1539" s="1">
        <v>10988.35</v>
      </c>
    </row>
    <row r="1540" spans="1:7" x14ac:dyDescent="0.25">
      <c r="A1540" s="111" t="str">
        <f t="shared" ref="A1540:A1603" si="24">TRIM(B1540)</f>
        <v>JDH4-02-007-CN-4540</v>
      </c>
      <c r="B1540" t="s">
        <v>2373</v>
      </c>
      <c r="C1540" t="s">
        <v>2374</v>
      </c>
      <c r="D1540" s="1">
        <v>3734.71</v>
      </c>
      <c r="E1540" s="3">
        <v>1</v>
      </c>
      <c r="F1540" s="3">
        <v>1</v>
      </c>
      <c r="G1540" s="1">
        <v>3734.71</v>
      </c>
    </row>
    <row r="1541" spans="1:7" x14ac:dyDescent="0.25">
      <c r="A1541" s="111" t="str">
        <f t="shared" si="24"/>
        <v>JDH4-02-007-CN-4590</v>
      </c>
      <c r="B1541" t="s">
        <v>2375</v>
      </c>
      <c r="C1541" t="s">
        <v>2376</v>
      </c>
      <c r="D1541" s="1">
        <v>7253.64</v>
      </c>
      <c r="E1541" s="3">
        <v>1</v>
      </c>
      <c r="F1541" s="3">
        <v>1</v>
      </c>
      <c r="G1541" s="1">
        <v>7253.64</v>
      </c>
    </row>
    <row r="1542" spans="1:7" x14ac:dyDescent="0.25">
      <c r="A1542" s="111" t="str">
        <f t="shared" si="24"/>
        <v>Potable Network</v>
      </c>
      <c r="B1542" t="s">
        <v>120</v>
      </c>
      <c r="D1542" s="1">
        <v>62644.01</v>
      </c>
      <c r="E1542" s="3"/>
      <c r="F1542" s="3">
        <v>1</v>
      </c>
      <c r="G1542" s="1">
        <v>62644.01</v>
      </c>
    </row>
    <row r="1543" spans="1:7" x14ac:dyDescent="0.25">
      <c r="A1543" s="111" t="str">
        <f t="shared" si="24"/>
        <v>Pipe Works</v>
      </c>
      <c r="B1543" t="s">
        <v>1722</v>
      </c>
      <c r="D1543" s="1">
        <v>20491.46</v>
      </c>
      <c r="F1543" s="2">
        <v>1</v>
      </c>
      <c r="G1543" s="1">
        <v>20491.46</v>
      </c>
    </row>
    <row r="1544" spans="1:7" x14ac:dyDescent="0.25">
      <c r="A1544" s="111" t="str">
        <f t="shared" si="24"/>
        <v>JDH4-02-007-CN-3370</v>
      </c>
      <c r="B1544" t="s">
        <v>2377</v>
      </c>
      <c r="C1544" t="s">
        <v>2360</v>
      </c>
      <c r="D1544" s="1">
        <v>2049.15</v>
      </c>
      <c r="E1544" s="3">
        <v>1</v>
      </c>
      <c r="F1544" s="3">
        <v>1</v>
      </c>
      <c r="G1544" s="1">
        <v>2049.15</v>
      </c>
    </row>
    <row r="1545" spans="1:7" x14ac:dyDescent="0.25">
      <c r="A1545" s="111" t="str">
        <f t="shared" si="24"/>
        <v>JDH4-02-007-CN-3440</v>
      </c>
      <c r="B1545" t="s">
        <v>2378</v>
      </c>
      <c r="C1545" t="s">
        <v>2346</v>
      </c>
      <c r="D1545" s="1">
        <v>1024.57</v>
      </c>
      <c r="E1545" s="3">
        <v>1</v>
      </c>
      <c r="F1545" s="3">
        <v>1</v>
      </c>
      <c r="G1545" s="1">
        <v>1024.57</v>
      </c>
    </row>
    <row r="1546" spans="1:7" x14ac:dyDescent="0.25">
      <c r="A1546" s="111" t="str">
        <f t="shared" si="24"/>
        <v>JDH4-02-007-CN-3510</v>
      </c>
      <c r="B1546" t="s">
        <v>2379</v>
      </c>
      <c r="C1546" t="s">
        <v>2363</v>
      </c>
      <c r="D1546" s="1">
        <v>10245.73</v>
      </c>
      <c r="E1546" s="3">
        <v>1</v>
      </c>
      <c r="F1546" s="3">
        <v>1</v>
      </c>
      <c r="G1546" s="1">
        <v>10245.73</v>
      </c>
    </row>
    <row r="1547" spans="1:7" x14ac:dyDescent="0.25">
      <c r="A1547" s="111" t="str">
        <f t="shared" si="24"/>
        <v>JDH4-02-007-CN-3580</v>
      </c>
      <c r="B1547" t="s">
        <v>2380</v>
      </c>
      <c r="C1547" t="s">
        <v>2365</v>
      </c>
      <c r="D1547" s="1">
        <v>4098.29</v>
      </c>
      <c r="E1547" s="3">
        <v>1</v>
      </c>
      <c r="F1547" s="3">
        <v>1</v>
      </c>
      <c r="G1547" s="1">
        <v>4098.29</v>
      </c>
    </row>
    <row r="1548" spans="1:7" x14ac:dyDescent="0.25">
      <c r="A1548" s="111" t="str">
        <f t="shared" si="24"/>
        <v>JDH4-02-007-CN-3650</v>
      </c>
      <c r="B1548" t="s">
        <v>2381</v>
      </c>
      <c r="C1548" t="s">
        <v>2352</v>
      </c>
      <c r="D1548" s="1">
        <v>1024.57</v>
      </c>
      <c r="E1548" s="3">
        <v>1</v>
      </c>
      <c r="F1548" s="3">
        <v>1</v>
      </c>
      <c r="G1548" s="1">
        <v>1024.57</v>
      </c>
    </row>
    <row r="1549" spans="1:7" x14ac:dyDescent="0.25">
      <c r="A1549" s="111" t="str">
        <f t="shared" si="24"/>
        <v>JDH4-02-007-CN-3720</v>
      </c>
      <c r="B1549" t="s">
        <v>2382</v>
      </c>
      <c r="C1549" t="s">
        <v>2383</v>
      </c>
      <c r="D1549" s="1">
        <v>2049.15</v>
      </c>
      <c r="E1549" s="3">
        <v>1</v>
      </c>
      <c r="F1549" s="3">
        <v>1</v>
      </c>
      <c r="G1549" s="1">
        <v>2049.15</v>
      </c>
    </row>
    <row r="1550" spans="1:7" x14ac:dyDescent="0.25">
      <c r="A1550" s="111" t="str">
        <f t="shared" si="24"/>
        <v>Pipe Encasement</v>
      </c>
      <c r="B1550" t="s">
        <v>1733</v>
      </c>
      <c r="D1550" s="1">
        <v>1679.34</v>
      </c>
      <c r="E1550" s="3"/>
      <c r="F1550" s="2">
        <v>1</v>
      </c>
      <c r="G1550" s="1">
        <v>1679.34</v>
      </c>
    </row>
    <row r="1551" spans="1:7" x14ac:dyDescent="0.25">
      <c r="A1551" s="111" t="str">
        <f t="shared" si="24"/>
        <v>JDH4-02-007-CN-3790</v>
      </c>
      <c r="B1551" t="s">
        <v>2384</v>
      </c>
      <c r="C1551" t="s">
        <v>2372</v>
      </c>
      <c r="D1551" s="1">
        <v>1679.34</v>
      </c>
      <c r="E1551" s="3">
        <v>1</v>
      </c>
      <c r="F1551" s="3">
        <v>1</v>
      </c>
      <c r="G1551" s="1">
        <v>1679.34</v>
      </c>
    </row>
    <row r="1552" spans="1:7" x14ac:dyDescent="0.25">
      <c r="A1552" s="111" t="str">
        <f t="shared" si="24"/>
        <v>Valves</v>
      </c>
      <c r="B1552" t="s">
        <v>127</v>
      </c>
      <c r="D1552" s="1">
        <v>2628.13</v>
      </c>
      <c r="E1552" s="3"/>
      <c r="F1552" s="3">
        <v>1</v>
      </c>
      <c r="G1552" s="1">
        <v>2628.13</v>
      </c>
    </row>
    <row r="1553" spans="1:7" x14ac:dyDescent="0.25">
      <c r="A1553" s="111" t="str">
        <f t="shared" si="24"/>
        <v>JDH4-02-007-CN-3860</v>
      </c>
      <c r="B1553" t="s">
        <v>2385</v>
      </c>
      <c r="C1553" t="s">
        <v>2374</v>
      </c>
      <c r="D1553" s="1">
        <v>2628.13</v>
      </c>
      <c r="E1553" s="3">
        <v>1</v>
      </c>
      <c r="F1553" s="3">
        <v>1</v>
      </c>
      <c r="G1553" s="1">
        <v>2628.13</v>
      </c>
    </row>
    <row r="1554" spans="1:7" x14ac:dyDescent="0.25">
      <c r="A1554" s="111" t="str">
        <f t="shared" si="24"/>
        <v>Valve Chambers</v>
      </c>
      <c r="B1554" t="s">
        <v>2019</v>
      </c>
      <c r="D1554" s="1">
        <v>37845.08</v>
      </c>
      <c r="E1554" s="3"/>
      <c r="F1554" s="3">
        <v>1</v>
      </c>
      <c r="G1554" s="1">
        <v>37845.08</v>
      </c>
    </row>
    <row r="1555" spans="1:7" x14ac:dyDescent="0.25">
      <c r="A1555" s="111" t="str">
        <f t="shared" si="24"/>
        <v>JDH4-02-007-CN-4640</v>
      </c>
      <c r="B1555" t="s">
        <v>2386</v>
      </c>
      <c r="C1555" t="s">
        <v>2387</v>
      </c>
      <c r="D1555" s="1">
        <v>37845.08</v>
      </c>
      <c r="E1555" s="3">
        <v>1</v>
      </c>
      <c r="F1555" s="3">
        <v>1</v>
      </c>
      <c r="G1555" s="1">
        <v>37845.08</v>
      </c>
    </row>
    <row r="1556" spans="1:7" x14ac:dyDescent="0.25">
      <c r="A1556" s="111" t="str">
        <f t="shared" si="24"/>
        <v>Electrical Works</v>
      </c>
      <c r="B1556" t="s">
        <v>1785</v>
      </c>
      <c r="D1556" s="1">
        <v>204136.13</v>
      </c>
      <c r="E1556" s="3"/>
      <c r="F1556" s="3">
        <v>1</v>
      </c>
      <c r="G1556" s="1">
        <v>204136.13</v>
      </c>
    </row>
    <row r="1557" spans="1:7" x14ac:dyDescent="0.25">
      <c r="A1557" s="111" t="str">
        <f t="shared" si="24"/>
        <v>MV &amp; LV Cables</v>
      </c>
      <c r="B1557" t="s">
        <v>1888</v>
      </c>
      <c r="D1557" s="1">
        <v>36633.78</v>
      </c>
      <c r="F1557" s="2">
        <v>1</v>
      </c>
      <c r="G1557" s="1">
        <v>36633.78</v>
      </c>
    </row>
    <row r="1558" spans="1:7" x14ac:dyDescent="0.25">
      <c r="A1558" s="111" t="str">
        <f t="shared" si="24"/>
        <v>Low Voltage Cable</v>
      </c>
      <c r="B1558" t="s">
        <v>222</v>
      </c>
      <c r="D1558" s="1">
        <v>36633.78</v>
      </c>
      <c r="E1558" s="3"/>
      <c r="F1558" s="3">
        <v>1</v>
      </c>
      <c r="G1558" s="1">
        <v>36633.78</v>
      </c>
    </row>
    <row r="1559" spans="1:7" x14ac:dyDescent="0.25">
      <c r="A1559" s="111" t="str">
        <f t="shared" si="24"/>
        <v>JDH4-02-007-CN-2670</v>
      </c>
      <c r="B1559" t="s">
        <v>2394</v>
      </c>
      <c r="C1559" t="s">
        <v>2395</v>
      </c>
      <c r="D1559" s="1">
        <v>9839.7199999999993</v>
      </c>
      <c r="E1559" s="3">
        <v>1</v>
      </c>
      <c r="F1559" s="3">
        <v>1</v>
      </c>
      <c r="G1559" s="1">
        <v>9839.7199999999993</v>
      </c>
    </row>
    <row r="1560" spans="1:7" x14ac:dyDescent="0.25">
      <c r="A1560" s="111" t="str">
        <f t="shared" si="24"/>
        <v>JDH4-02-007-CN-2680</v>
      </c>
      <c r="B1560" t="s">
        <v>2396</v>
      </c>
      <c r="C1560" t="s">
        <v>2397</v>
      </c>
      <c r="D1560" s="1">
        <v>26794.06</v>
      </c>
      <c r="E1560" s="3">
        <v>1</v>
      </c>
      <c r="F1560" s="3">
        <v>1</v>
      </c>
      <c r="G1560" s="1">
        <v>26794.06</v>
      </c>
    </row>
    <row r="1561" spans="1:7" x14ac:dyDescent="0.25">
      <c r="A1561" s="111" t="str">
        <f t="shared" si="24"/>
        <v>Telecommunication</v>
      </c>
      <c r="B1561" t="s">
        <v>1799</v>
      </c>
      <c r="D1561" s="1">
        <v>167502.35</v>
      </c>
      <c r="E1561" s="3"/>
      <c r="F1561" s="3">
        <v>1</v>
      </c>
      <c r="G1561" s="1">
        <v>167502.35</v>
      </c>
    </row>
    <row r="1562" spans="1:7" x14ac:dyDescent="0.25">
      <c r="A1562" s="111" t="str">
        <f t="shared" si="24"/>
        <v>JDH4-02-007-CN-3120</v>
      </c>
      <c r="B1562" t="s">
        <v>2398</v>
      </c>
      <c r="C1562" t="s">
        <v>2399</v>
      </c>
      <c r="D1562" s="1">
        <v>76068.62</v>
      </c>
      <c r="E1562" s="3">
        <v>1</v>
      </c>
      <c r="F1562" s="3">
        <v>1</v>
      </c>
      <c r="G1562" s="1">
        <v>76068.62</v>
      </c>
    </row>
    <row r="1563" spans="1:7" x14ac:dyDescent="0.25">
      <c r="A1563" s="111" t="str">
        <f t="shared" si="24"/>
        <v>JDH4-02-007-CN-3190</v>
      </c>
      <c r="B1563" t="s">
        <v>2400</v>
      </c>
      <c r="C1563" t="s">
        <v>2401</v>
      </c>
      <c r="D1563" s="1">
        <v>3406.06</v>
      </c>
      <c r="E1563" s="3">
        <v>1</v>
      </c>
      <c r="F1563" s="3">
        <v>1</v>
      </c>
      <c r="G1563" s="1">
        <v>3406.06</v>
      </c>
    </row>
    <row r="1564" spans="1:7" x14ac:dyDescent="0.25">
      <c r="A1564" s="111" t="str">
        <f t="shared" si="24"/>
        <v>JDH4-02-007-CN-3230</v>
      </c>
      <c r="B1564" t="s">
        <v>2402</v>
      </c>
      <c r="C1564" t="s">
        <v>2403</v>
      </c>
      <c r="D1564" s="1">
        <v>70997.38</v>
      </c>
      <c r="E1564" s="3">
        <v>1</v>
      </c>
      <c r="F1564" s="2">
        <v>1</v>
      </c>
      <c r="G1564" s="1">
        <v>70997.38</v>
      </c>
    </row>
    <row r="1565" spans="1:7" x14ac:dyDescent="0.25">
      <c r="A1565" s="111" t="str">
        <f t="shared" si="24"/>
        <v>JDH4-02-007-CN-3300</v>
      </c>
      <c r="B1565" t="s">
        <v>2404</v>
      </c>
      <c r="C1565" t="s">
        <v>2358</v>
      </c>
      <c r="D1565" s="1">
        <v>17030.29</v>
      </c>
      <c r="E1565" s="3">
        <v>1</v>
      </c>
      <c r="F1565" s="3">
        <v>1</v>
      </c>
      <c r="G1565" s="1">
        <v>17030.29</v>
      </c>
    </row>
    <row r="1566" spans="1:7" x14ac:dyDescent="0.25">
      <c r="A1566" s="111" t="str">
        <f t="shared" si="24"/>
        <v>Out of Zone</v>
      </c>
      <c r="B1566" t="s">
        <v>2405</v>
      </c>
      <c r="D1566" s="1">
        <v>49496.57</v>
      </c>
      <c r="E1566" s="3"/>
      <c r="F1566" s="3">
        <v>1</v>
      </c>
      <c r="G1566" s="1">
        <v>49496.57</v>
      </c>
    </row>
    <row r="1567" spans="1:7" x14ac:dyDescent="0.25">
      <c r="A1567" s="111" t="str">
        <f t="shared" si="24"/>
        <v>Electrical Works</v>
      </c>
      <c r="B1567" t="s">
        <v>1785</v>
      </c>
      <c r="D1567" s="1">
        <v>49496.57</v>
      </c>
      <c r="E1567" s="3"/>
      <c r="F1567" s="3">
        <v>1</v>
      </c>
      <c r="G1567" s="1">
        <v>49496.57</v>
      </c>
    </row>
    <row r="1568" spans="1:7" x14ac:dyDescent="0.25">
      <c r="A1568" s="111" t="str">
        <f t="shared" si="24"/>
        <v>LV Cables</v>
      </c>
      <c r="B1568" t="s">
        <v>4076</v>
      </c>
      <c r="D1568" s="1">
        <v>49496.57</v>
      </c>
      <c r="E1568" s="3"/>
      <c r="F1568" s="3">
        <v>1</v>
      </c>
      <c r="G1568" s="1">
        <v>49496.57</v>
      </c>
    </row>
    <row r="1569" spans="1:7" x14ac:dyDescent="0.25">
      <c r="A1569" s="111" t="str">
        <f t="shared" si="24"/>
        <v>Low Voltage Cable</v>
      </c>
      <c r="B1569" t="s">
        <v>222</v>
      </c>
      <c r="D1569" s="1">
        <v>49496.57</v>
      </c>
      <c r="E1569" s="3"/>
      <c r="F1569" s="3">
        <v>1</v>
      </c>
      <c r="G1569" s="1">
        <v>49496.57</v>
      </c>
    </row>
    <row r="1570" spans="1:7" x14ac:dyDescent="0.25">
      <c r="A1570" s="111" t="str">
        <f t="shared" si="24"/>
        <v>JDH4-02-007-CN-2690</v>
      </c>
      <c r="B1570" t="s">
        <v>2412</v>
      </c>
      <c r="C1570" t="s">
        <v>2413</v>
      </c>
      <c r="D1570" s="1">
        <v>13245.78</v>
      </c>
      <c r="E1570" s="3">
        <v>1</v>
      </c>
      <c r="F1570" s="3">
        <v>1</v>
      </c>
      <c r="G1570" s="1">
        <v>13245.78</v>
      </c>
    </row>
    <row r="1571" spans="1:7" x14ac:dyDescent="0.25">
      <c r="A1571" s="111" t="str">
        <f t="shared" si="24"/>
        <v>JDH4-02-007-CN-2700</v>
      </c>
      <c r="B1571" t="s">
        <v>2414</v>
      </c>
      <c r="C1571" t="s">
        <v>2415</v>
      </c>
      <c r="D1571" s="1">
        <v>36250.79</v>
      </c>
      <c r="E1571" s="3">
        <v>1</v>
      </c>
      <c r="F1571" s="2">
        <v>1</v>
      </c>
      <c r="G1571" s="1">
        <v>36250.79</v>
      </c>
    </row>
    <row r="1572" spans="1:7" x14ac:dyDescent="0.25">
      <c r="A1572" s="111" t="str">
        <f t="shared" si="24"/>
        <v>Sewage Lift Station</v>
      </c>
      <c r="B1572" t="s">
        <v>2416</v>
      </c>
      <c r="D1572" s="1">
        <v>3049343.44</v>
      </c>
      <c r="E1572" s="3"/>
      <c r="F1572" s="3">
        <v>0.60529999999999995</v>
      </c>
      <c r="G1572" s="1">
        <v>1845852.34</v>
      </c>
    </row>
    <row r="1573" spans="1:7" x14ac:dyDescent="0.25">
      <c r="A1573" s="111" t="str">
        <f t="shared" si="24"/>
        <v>Site Works</v>
      </c>
      <c r="B1573" t="s">
        <v>2417</v>
      </c>
      <c r="D1573" s="1">
        <v>10249.719999999999</v>
      </c>
      <c r="E1573" s="3"/>
      <c r="F1573" s="3">
        <v>1</v>
      </c>
      <c r="G1573" s="1">
        <v>10249.719999999999</v>
      </c>
    </row>
    <row r="1574" spans="1:7" x14ac:dyDescent="0.25">
      <c r="A1574" s="111" t="str">
        <f t="shared" si="24"/>
        <v>JDH4-02-007-CN-5910</v>
      </c>
      <c r="B1574" t="s">
        <v>2418</v>
      </c>
      <c r="C1574" t="s">
        <v>2419</v>
      </c>
      <c r="D1574" s="1">
        <v>3942.2</v>
      </c>
      <c r="E1574" s="3">
        <v>1</v>
      </c>
      <c r="F1574" s="3">
        <v>1</v>
      </c>
      <c r="G1574" s="1">
        <v>3942.2</v>
      </c>
    </row>
    <row r="1575" spans="1:7" x14ac:dyDescent="0.25">
      <c r="A1575" s="111" t="str">
        <f t="shared" si="24"/>
        <v>JDH4-02-007-CN-5930</v>
      </c>
      <c r="B1575" t="s">
        <v>2422</v>
      </c>
      <c r="C1575" t="s">
        <v>2423</v>
      </c>
      <c r="D1575" s="1">
        <v>4730.6400000000003</v>
      </c>
      <c r="E1575" s="3">
        <v>1</v>
      </c>
      <c r="F1575" s="3">
        <v>1</v>
      </c>
      <c r="G1575" s="1">
        <v>4730.6400000000003</v>
      </c>
    </row>
    <row r="1576" spans="1:7" x14ac:dyDescent="0.25">
      <c r="A1576" s="111" t="str">
        <f t="shared" si="24"/>
        <v>JDH4-02-007-CN-5920</v>
      </c>
      <c r="B1576" t="s">
        <v>2420</v>
      </c>
      <c r="C1576" t="s">
        <v>2421</v>
      </c>
      <c r="D1576" s="1">
        <v>1576.88</v>
      </c>
      <c r="E1576" s="3">
        <v>1</v>
      </c>
      <c r="F1576" s="3">
        <v>1</v>
      </c>
      <c r="G1576" s="1">
        <v>1576.88</v>
      </c>
    </row>
    <row r="1577" spans="1:7" x14ac:dyDescent="0.25">
      <c r="A1577" s="111" t="str">
        <f t="shared" si="24"/>
        <v>Concrete Works</v>
      </c>
      <c r="B1577" t="s">
        <v>2424</v>
      </c>
      <c r="D1577" s="1">
        <v>67679.63</v>
      </c>
      <c r="E1577" s="3"/>
      <c r="F1577" s="3">
        <v>1</v>
      </c>
      <c r="G1577" s="1">
        <v>67679.63</v>
      </c>
    </row>
    <row r="1578" spans="1:7" x14ac:dyDescent="0.25">
      <c r="A1578" s="111" t="str">
        <f t="shared" si="24"/>
        <v>JDH4-02-007-CN-1010</v>
      </c>
      <c r="B1578" t="s">
        <v>2425</v>
      </c>
      <c r="C1578" t="s">
        <v>2426</v>
      </c>
      <c r="D1578" s="1">
        <v>2081.48</v>
      </c>
      <c r="E1578" s="3">
        <v>1</v>
      </c>
      <c r="F1578" s="3">
        <v>1</v>
      </c>
      <c r="G1578" s="1">
        <v>2081.48</v>
      </c>
    </row>
    <row r="1579" spans="1:7" x14ac:dyDescent="0.25">
      <c r="A1579" s="111" t="str">
        <f t="shared" si="24"/>
        <v>JDH4-02-007-CN-1020</v>
      </c>
      <c r="B1579" t="s">
        <v>2427</v>
      </c>
      <c r="C1579" t="s">
        <v>2428</v>
      </c>
      <c r="D1579" s="1">
        <v>25230.06</v>
      </c>
      <c r="E1579" s="3">
        <v>1</v>
      </c>
      <c r="F1579" s="3">
        <v>1</v>
      </c>
      <c r="G1579" s="1">
        <v>25230.06</v>
      </c>
    </row>
    <row r="1580" spans="1:7" x14ac:dyDescent="0.25">
      <c r="A1580" s="111" t="str">
        <f t="shared" si="24"/>
        <v>JDH4-02-007-CN-1030</v>
      </c>
      <c r="B1580" t="s">
        <v>2429</v>
      </c>
      <c r="C1580" t="s">
        <v>2430</v>
      </c>
      <c r="D1580" s="1">
        <v>40368.089999999997</v>
      </c>
      <c r="E1580" s="3">
        <v>1</v>
      </c>
      <c r="F1580" s="3">
        <v>1</v>
      </c>
      <c r="G1580" s="1">
        <v>40368.089999999997</v>
      </c>
    </row>
    <row r="1581" spans="1:7" x14ac:dyDescent="0.25">
      <c r="A1581" s="111" t="str">
        <f t="shared" si="24"/>
        <v>Thermal &amp; Moisture Protection</v>
      </c>
      <c r="B1581" t="s">
        <v>2431</v>
      </c>
      <c r="D1581" s="1">
        <v>7001.35</v>
      </c>
      <c r="E1581" s="3"/>
      <c r="F1581" s="3">
        <v>1</v>
      </c>
      <c r="G1581" s="1">
        <v>7001.35</v>
      </c>
    </row>
    <row r="1582" spans="1:7" x14ac:dyDescent="0.25">
      <c r="A1582" s="111" t="str">
        <f t="shared" si="24"/>
        <v>JDH4-02-007-CN-1050</v>
      </c>
      <c r="B1582" t="s">
        <v>2432</v>
      </c>
      <c r="C1582" t="s">
        <v>2433</v>
      </c>
      <c r="D1582" s="1">
        <v>2270.71</v>
      </c>
      <c r="E1582" s="3">
        <v>1</v>
      </c>
      <c r="F1582" s="3">
        <v>1</v>
      </c>
      <c r="G1582" s="1">
        <v>2270.71</v>
      </c>
    </row>
    <row r="1583" spans="1:7" x14ac:dyDescent="0.25">
      <c r="A1583" s="111" t="str">
        <f t="shared" si="24"/>
        <v>JDH4-02-007-CN-1060</v>
      </c>
      <c r="B1583" t="s">
        <v>2434</v>
      </c>
      <c r="C1583" t="s">
        <v>2435</v>
      </c>
      <c r="D1583" s="1">
        <v>4730.6400000000003</v>
      </c>
      <c r="E1583" s="3">
        <v>1</v>
      </c>
      <c r="F1583" s="3">
        <v>1</v>
      </c>
      <c r="G1583" s="1">
        <v>4730.6400000000003</v>
      </c>
    </row>
    <row r="1584" spans="1:7" x14ac:dyDescent="0.25">
      <c r="A1584" s="111" t="str">
        <f t="shared" si="24"/>
        <v>Metals</v>
      </c>
      <c r="B1584" t="s">
        <v>2436</v>
      </c>
      <c r="D1584" s="1">
        <v>10092.02</v>
      </c>
      <c r="E1584" s="3"/>
      <c r="F1584" s="3">
        <v>1</v>
      </c>
      <c r="G1584" s="1">
        <v>10092.02</v>
      </c>
    </row>
    <row r="1585" spans="1:7" x14ac:dyDescent="0.25">
      <c r="A1585" s="111" t="str">
        <f t="shared" si="24"/>
        <v>JDH4-02-007-CN-1040</v>
      </c>
      <c r="B1585" t="s">
        <v>2437</v>
      </c>
      <c r="C1585" t="s">
        <v>2438</v>
      </c>
      <c r="D1585" s="1">
        <v>10092.02</v>
      </c>
      <c r="E1585" s="3">
        <v>1</v>
      </c>
      <c r="F1585" s="3">
        <v>1</v>
      </c>
      <c r="G1585" s="1">
        <v>10092.02</v>
      </c>
    </row>
    <row r="1586" spans="1:7" x14ac:dyDescent="0.25">
      <c r="A1586" s="111" t="str">
        <f t="shared" si="24"/>
        <v>Mechanical Works</v>
      </c>
      <c r="B1586" t="s">
        <v>2439</v>
      </c>
      <c r="D1586" s="1">
        <v>1705863.69</v>
      </c>
      <c r="E1586" s="3"/>
      <c r="F1586" s="3">
        <v>0.67659999999999998</v>
      </c>
      <c r="G1586" s="1">
        <v>1154271.5900000001</v>
      </c>
    </row>
    <row r="1587" spans="1:7" x14ac:dyDescent="0.25">
      <c r="A1587" s="111" t="str">
        <f t="shared" si="24"/>
        <v>Pipes &amp; Fittings</v>
      </c>
      <c r="B1587" t="s">
        <v>2440</v>
      </c>
      <c r="D1587" s="1">
        <v>256712.33</v>
      </c>
      <c r="E1587" s="3"/>
      <c r="F1587" s="3">
        <v>1</v>
      </c>
      <c r="G1587" s="1">
        <v>256712.33</v>
      </c>
    </row>
    <row r="1588" spans="1:7" x14ac:dyDescent="0.25">
      <c r="A1588" s="111" t="str">
        <f t="shared" si="24"/>
        <v>JDH4-02-007-CN-1090</v>
      </c>
      <c r="B1588" t="s">
        <v>2441</v>
      </c>
      <c r="C1588" t="s">
        <v>2442</v>
      </c>
      <c r="D1588" s="1">
        <v>30587.94</v>
      </c>
      <c r="E1588" s="3">
        <v>1</v>
      </c>
      <c r="F1588" s="3">
        <v>1</v>
      </c>
      <c r="G1588" s="1">
        <v>30587.94</v>
      </c>
    </row>
    <row r="1589" spans="1:7" x14ac:dyDescent="0.25">
      <c r="A1589" s="111" t="str">
        <f t="shared" si="24"/>
        <v>JDH4-02-007-CN-1100</v>
      </c>
      <c r="B1589" t="s">
        <v>2443</v>
      </c>
      <c r="C1589" t="s">
        <v>2444</v>
      </c>
      <c r="D1589" s="1">
        <v>29014.560000000001</v>
      </c>
      <c r="E1589" s="3">
        <v>1</v>
      </c>
      <c r="F1589" s="3">
        <v>1</v>
      </c>
      <c r="G1589" s="1">
        <v>29014.560000000001</v>
      </c>
    </row>
    <row r="1590" spans="1:7" x14ac:dyDescent="0.25">
      <c r="A1590" s="111" t="str">
        <f t="shared" si="24"/>
        <v>JDH4-02-007-CN-1120</v>
      </c>
      <c r="B1590" t="s">
        <v>2445</v>
      </c>
      <c r="C1590" t="s">
        <v>2446</v>
      </c>
      <c r="D1590" s="1">
        <v>13876.54</v>
      </c>
      <c r="E1590" s="3">
        <v>1</v>
      </c>
      <c r="F1590" s="3">
        <v>1</v>
      </c>
      <c r="G1590" s="1">
        <v>13876.54</v>
      </c>
    </row>
    <row r="1591" spans="1:7" x14ac:dyDescent="0.25">
      <c r="A1591" s="111" t="str">
        <f t="shared" si="24"/>
        <v>JDH4-02-007-CN-1130</v>
      </c>
      <c r="B1591" t="s">
        <v>2447</v>
      </c>
      <c r="C1591" t="s">
        <v>2448</v>
      </c>
      <c r="D1591" s="1">
        <v>9461.27</v>
      </c>
      <c r="E1591" s="3">
        <v>1</v>
      </c>
      <c r="F1591" s="3">
        <v>1</v>
      </c>
      <c r="G1591" s="1">
        <v>9461.27</v>
      </c>
    </row>
    <row r="1592" spans="1:7" x14ac:dyDescent="0.25">
      <c r="A1592" s="111" t="str">
        <f t="shared" si="24"/>
        <v>JDH4-02-007-CN-1140</v>
      </c>
      <c r="B1592" t="s">
        <v>2449</v>
      </c>
      <c r="C1592" t="s">
        <v>2450</v>
      </c>
      <c r="D1592" s="1">
        <v>11353.53</v>
      </c>
      <c r="E1592" s="3">
        <v>1</v>
      </c>
      <c r="F1592" s="2">
        <v>1</v>
      </c>
      <c r="G1592" s="1">
        <v>11353.53</v>
      </c>
    </row>
    <row r="1593" spans="1:7" x14ac:dyDescent="0.25">
      <c r="A1593" s="111" t="str">
        <f t="shared" si="24"/>
        <v>JDH4-02-007-CN-1160</v>
      </c>
      <c r="B1593" t="s">
        <v>2453</v>
      </c>
      <c r="C1593" t="s">
        <v>2454</v>
      </c>
      <c r="D1593" s="1">
        <v>157687.85</v>
      </c>
      <c r="E1593" s="3">
        <v>1</v>
      </c>
      <c r="F1593" s="3">
        <v>1</v>
      </c>
      <c r="G1593" s="1">
        <v>157687.85</v>
      </c>
    </row>
    <row r="1594" spans="1:7" x14ac:dyDescent="0.25">
      <c r="A1594" s="111" t="str">
        <f t="shared" si="24"/>
        <v>JDH4-02-007-CN-1150</v>
      </c>
      <c r="B1594" t="s">
        <v>2451</v>
      </c>
      <c r="C1594" t="s">
        <v>2452</v>
      </c>
      <c r="D1594" s="1">
        <v>4730.6400000000003</v>
      </c>
      <c r="E1594" s="3">
        <v>1</v>
      </c>
      <c r="F1594" s="3">
        <v>1</v>
      </c>
      <c r="G1594" s="1">
        <v>4730.6400000000003</v>
      </c>
    </row>
    <row r="1595" spans="1:7" x14ac:dyDescent="0.25">
      <c r="A1595" s="111" t="str">
        <f t="shared" si="24"/>
        <v>Control Equipment</v>
      </c>
      <c r="B1595" t="s">
        <v>2455</v>
      </c>
      <c r="D1595" s="1">
        <v>118265.89</v>
      </c>
      <c r="E1595" s="3"/>
      <c r="F1595" s="3">
        <v>1</v>
      </c>
      <c r="G1595" s="1">
        <v>118265.89</v>
      </c>
    </row>
    <row r="1596" spans="1:7" x14ac:dyDescent="0.25">
      <c r="A1596" s="111" t="str">
        <f t="shared" si="24"/>
        <v>JDH4-02-007-CN-1200</v>
      </c>
      <c r="B1596" t="s">
        <v>2460</v>
      </c>
      <c r="C1596" t="s">
        <v>2461</v>
      </c>
      <c r="D1596" s="1">
        <v>9461.27</v>
      </c>
      <c r="E1596" s="3">
        <v>1</v>
      </c>
      <c r="F1596" s="3">
        <v>1</v>
      </c>
      <c r="G1596" s="1">
        <v>9461.27</v>
      </c>
    </row>
    <row r="1597" spans="1:7" x14ac:dyDescent="0.25">
      <c r="A1597" s="111" t="str">
        <f t="shared" si="24"/>
        <v>JDH4-02-007-CN-1190</v>
      </c>
      <c r="B1597" t="s">
        <v>2458</v>
      </c>
      <c r="C1597" t="s">
        <v>2459</v>
      </c>
      <c r="D1597" s="1">
        <v>4730.6400000000003</v>
      </c>
      <c r="E1597" s="3">
        <v>1</v>
      </c>
      <c r="F1597" s="3">
        <v>1</v>
      </c>
      <c r="G1597" s="1">
        <v>4730.6400000000003</v>
      </c>
    </row>
    <row r="1598" spans="1:7" x14ac:dyDescent="0.25">
      <c r="A1598" s="111" t="str">
        <f t="shared" si="24"/>
        <v>JDH4-02-007-CN-1180</v>
      </c>
      <c r="B1598" t="s">
        <v>2456</v>
      </c>
      <c r="C1598" t="s">
        <v>2457</v>
      </c>
      <c r="D1598" s="1">
        <v>94612.71</v>
      </c>
      <c r="E1598" s="3">
        <v>1</v>
      </c>
      <c r="F1598" s="3">
        <v>1</v>
      </c>
      <c r="G1598" s="1">
        <v>94612.71</v>
      </c>
    </row>
    <row r="1599" spans="1:7" x14ac:dyDescent="0.25">
      <c r="A1599" s="111" t="str">
        <f t="shared" si="24"/>
        <v>JDH4-02-007-CN-1210</v>
      </c>
      <c r="B1599" t="s">
        <v>2462</v>
      </c>
      <c r="C1599" t="s">
        <v>2463</v>
      </c>
      <c r="D1599" s="1">
        <v>9461.27</v>
      </c>
      <c r="E1599" s="3">
        <v>1</v>
      </c>
      <c r="F1599" s="3">
        <v>1</v>
      </c>
      <c r="G1599" s="1">
        <v>9461.27</v>
      </c>
    </row>
    <row r="1600" spans="1:7" x14ac:dyDescent="0.25">
      <c r="A1600" s="111" t="str">
        <f t="shared" si="24"/>
        <v>Interface Works</v>
      </c>
      <c r="B1600" t="s">
        <v>2464</v>
      </c>
      <c r="D1600" s="1">
        <v>63075.14</v>
      </c>
      <c r="E1600" s="3"/>
      <c r="F1600" s="3">
        <v>1</v>
      </c>
      <c r="G1600" s="1">
        <v>63075.14</v>
      </c>
    </row>
    <row r="1601" spans="1:7" x14ac:dyDescent="0.25">
      <c r="A1601" s="111" t="str">
        <f t="shared" si="24"/>
        <v>JDH4-02-007-CN-1220</v>
      </c>
      <c r="B1601" t="s">
        <v>2465</v>
      </c>
      <c r="C1601" t="s">
        <v>2466</v>
      </c>
      <c r="D1601" s="1">
        <v>63075.14</v>
      </c>
      <c r="E1601" s="3">
        <v>1</v>
      </c>
      <c r="F1601" s="3">
        <v>1</v>
      </c>
      <c r="G1601" s="1">
        <v>63075.14</v>
      </c>
    </row>
    <row r="1602" spans="1:7" x14ac:dyDescent="0.25">
      <c r="A1602" s="111" t="str">
        <f t="shared" si="24"/>
        <v>Anti Water Hammer Equipment</v>
      </c>
      <c r="B1602" t="s">
        <v>2467</v>
      </c>
      <c r="D1602" s="1">
        <v>883051.97</v>
      </c>
      <c r="E1602" s="3"/>
      <c r="F1602" s="3">
        <v>0.6</v>
      </c>
      <c r="G1602" s="1">
        <v>529831.18000000005</v>
      </c>
    </row>
    <row r="1603" spans="1:7" x14ac:dyDescent="0.25">
      <c r="A1603" s="111" t="str">
        <f t="shared" si="24"/>
        <v>JDH4-02-007-CN-1230</v>
      </c>
      <c r="B1603" t="s">
        <v>2468</v>
      </c>
      <c r="C1603" t="s">
        <v>2469</v>
      </c>
      <c r="D1603" s="1">
        <v>883051.97</v>
      </c>
      <c r="E1603" s="3">
        <v>0.6</v>
      </c>
      <c r="F1603" s="3">
        <v>0.6</v>
      </c>
      <c r="G1603" s="1">
        <v>529831.18000000005</v>
      </c>
    </row>
    <row r="1604" spans="1:7" x14ac:dyDescent="0.25">
      <c r="A1604" s="111" t="str">
        <f t="shared" ref="A1604:A1667" si="25">TRIM(B1604)</f>
        <v>Air Conditioning &amp; Ventilation</v>
      </c>
      <c r="B1604" t="s">
        <v>2470</v>
      </c>
      <c r="D1604" s="1">
        <v>18922.54</v>
      </c>
      <c r="E1604" s="3"/>
      <c r="F1604" s="3">
        <v>1</v>
      </c>
      <c r="G1604" s="1">
        <v>18922.54</v>
      </c>
    </row>
    <row r="1605" spans="1:7" x14ac:dyDescent="0.25">
      <c r="A1605" s="111" t="str">
        <f t="shared" si="25"/>
        <v>JDH4-02-007-CN-1240</v>
      </c>
      <c r="B1605" t="s">
        <v>2471</v>
      </c>
      <c r="C1605" t="s">
        <v>2472</v>
      </c>
      <c r="D1605" s="1">
        <v>18922.54</v>
      </c>
      <c r="E1605" s="3">
        <v>1</v>
      </c>
      <c r="F1605" s="3">
        <v>1</v>
      </c>
      <c r="G1605" s="1">
        <v>18922.54</v>
      </c>
    </row>
    <row r="1606" spans="1:7" x14ac:dyDescent="0.25">
      <c r="A1606" s="111" t="str">
        <f t="shared" si="25"/>
        <v>Fuel System</v>
      </c>
      <c r="B1606" t="s">
        <v>1045</v>
      </c>
      <c r="D1606" s="1">
        <v>75690.17</v>
      </c>
      <c r="F1606" s="2">
        <v>1</v>
      </c>
      <c r="G1606" s="1">
        <v>75690.17</v>
      </c>
    </row>
    <row r="1607" spans="1:7" x14ac:dyDescent="0.25">
      <c r="A1607" s="111" t="str">
        <f t="shared" si="25"/>
        <v>JDH4-02-007-CN-1260</v>
      </c>
      <c r="B1607" t="s">
        <v>2473</v>
      </c>
      <c r="C1607" t="s">
        <v>2474</v>
      </c>
      <c r="D1607" s="1">
        <v>18922.54</v>
      </c>
      <c r="E1607" s="3">
        <v>1</v>
      </c>
      <c r="F1607" s="3">
        <v>1</v>
      </c>
      <c r="G1607" s="1">
        <v>18922.54</v>
      </c>
    </row>
    <row r="1608" spans="1:7" x14ac:dyDescent="0.25">
      <c r="A1608" s="111" t="str">
        <f t="shared" si="25"/>
        <v>JDH4-02-007-CN-1270</v>
      </c>
      <c r="B1608" t="s">
        <v>2475</v>
      </c>
      <c r="C1608" t="s">
        <v>2476</v>
      </c>
      <c r="D1608" s="1">
        <v>47306.36</v>
      </c>
      <c r="E1608" s="3">
        <v>1</v>
      </c>
      <c r="F1608" s="3">
        <v>1</v>
      </c>
      <c r="G1608" s="1">
        <v>47306.36</v>
      </c>
    </row>
    <row r="1609" spans="1:7" x14ac:dyDescent="0.25">
      <c r="A1609" s="111" t="str">
        <f t="shared" si="25"/>
        <v>JDH4-02-007-CN-1280</v>
      </c>
      <c r="B1609" t="s">
        <v>2477</v>
      </c>
      <c r="C1609" t="s">
        <v>2478</v>
      </c>
      <c r="D1609" s="1">
        <v>9461.27</v>
      </c>
      <c r="E1609" s="3">
        <v>1</v>
      </c>
      <c r="F1609" s="3">
        <v>1</v>
      </c>
      <c r="G1609" s="1">
        <v>9461.27</v>
      </c>
    </row>
    <row r="1610" spans="1:7" x14ac:dyDescent="0.25">
      <c r="A1610" s="111" t="str">
        <f t="shared" si="25"/>
        <v>Fire Fighting</v>
      </c>
      <c r="B1610" t="s">
        <v>2479</v>
      </c>
      <c r="D1610" s="1">
        <v>56767.63</v>
      </c>
      <c r="E1610" s="3"/>
      <c r="F1610" s="3">
        <v>1</v>
      </c>
      <c r="G1610" s="1">
        <v>56767.63</v>
      </c>
    </row>
    <row r="1611" spans="1:7" x14ac:dyDescent="0.25">
      <c r="A1611" s="111" t="str">
        <f t="shared" si="25"/>
        <v>JDH4-02-007-CN-1290</v>
      </c>
      <c r="B1611" t="s">
        <v>2480</v>
      </c>
      <c r="C1611" t="s">
        <v>2481</v>
      </c>
      <c r="D1611" s="1">
        <v>47306.36</v>
      </c>
      <c r="E1611" s="3">
        <v>1</v>
      </c>
      <c r="F1611" s="3">
        <v>1</v>
      </c>
      <c r="G1611" s="1">
        <v>47306.36</v>
      </c>
    </row>
    <row r="1612" spans="1:7" x14ac:dyDescent="0.25">
      <c r="A1612" s="111" t="str">
        <f t="shared" si="25"/>
        <v>JDH4-02-007-CN-1300</v>
      </c>
      <c r="B1612" t="s">
        <v>2482</v>
      </c>
      <c r="C1612" t="s">
        <v>2483</v>
      </c>
      <c r="D1612" s="1">
        <v>9461.27</v>
      </c>
      <c r="E1612" s="3">
        <v>1</v>
      </c>
      <c r="F1612" s="3">
        <v>1</v>
      </c>
      <c r="G1612" s="1">
        <v>9461.27</v>
      </c>
    </row>
    <row r="1613" spans="1:7" x14ac:dyDescent="0.25">
      <c r="A1613" s="111" t="str">
        <f t="shared" si="25"/>
        <v>Pumps</v>
      </c>
      <c r="B1613" t="s">
        <v>1306</v>
      </c>
      <c r="D1613" s="1">
        <v>233378.02</v>
      </c>
      <c r="E1613" s="3"/>
      <c r="F1613" s="3">
        <v>0.15</v>
      </c>
      <c r="G1613" s="1">
        <v>35006.699999999997</v>
      </c>
    </row>
    <row r="1614" spans="1:7" x14ac:dyDescent="0.25">
      <c r="A1614" s="111" t="str">
        <f t="shared" si="25"/>
        <v>JDH4-02-007-CN-1070</v>
      </c>
      <c r="B1614" t="s">
        <v>2484</v>
      </c>
      <c r="C1614" t="s">
        <v>2485</v>
      </c>
      <c r="D1614" s="1">
        <v>233378.02</v>
      </c>
      <c r="E1614" s="3">
        <v>0.15</v>
      </c>
      <c r="F1614" s="3">
        <v>0.15</v>
      </c>
      <c r="G1614" s="1">
        <v>35006.699999999997</v>
      </c>
    </row>
    <row r="1615" spans="1:7" x14ac:dyDescent="0.25">
      <c r="A1615" s="111" t="str">
        <f t="shared" si="25"/>
        <v>Electrical Works</v>
      </c>
      <c r="B1615" t="s">
        <v>2486</v>
      </c>
      <c r="D1615" s="1">
        <v>1230213.92</v>
      </c>
      <c r="E1615" s="3"/>
      <c r="F1615" s="3">
        <v>0.47010000000000002</v>
      </c>
      <c r="G1615" s="1">
        <v>578314.93000000005</v>
      </c>
    </row>
    <row r="1616" spans="1:7" x14ac:dyDescent="0.25">
      <c r="A1616" s="111" t="str">
        <f t="shared" si="25"/>
        <v>Main Distribution Board</v>
      </c>
      <c r="B1616" t="s">
        <v>2487</v>
      </c>
      <c r="D1616" s="1">
        <v>104073.98</v>
      </c>
      <c r="E1616" s="3"/>
      <c r="F1616" s="3">
        <v>0.5</v>
      </c>
      <c r="G1616" s="1">
        <v>52036.99</v>
      </c>
    </row>
    <row r="1617" spans="1:7" x14ac:dyDescent="0.25">
      <c r="A1617" s="111" t="str">
        <f t="shared" si="25"/>
        <v>JDH4-02-007-CN-1310</v>
      </c>
      <c r="B1617" t="s">
        <v>2488</v>
      </c>
      <c r="C1617" t="s">
        <v>2489</v>
      </c>
      <c r="D1617" s="1">
        <v>75690.17</v>
      </c>
      <c r="E1617" s="3">
        <v>0.5</v>
      </c>
      <c r="F1617" s="3">
        <v>0.5</v>
      </c>
      <c r="G1617" s="1">
        <v>37845.089999999997</v>
      </c>
    </row>
    <row r="1618" spans="1:7" x14ac:dyDescent="0.25">
      <c r="A1618" s="111" t="str">
        <f t="shared" si="25"/>
        <v>JDH4-02-007-CN-1320</v>
      </c>
      <c r="B1618" t="s">
        <v>2490</v>
      </c>
      <c r="C1618" t="s">
        <v>2491</v>
      </c>
      <c r="D1618" s="1">
        <v>28383.81</v>
      </c>
      <c r="E1618" s="3">
        <v>0.5</v>
      </c>
      <c r="F1618" s="3">
        <v>0.5</v>
      </c>
      <c r="G1618" s="1">
        <v>14191.91</v>
      </c>
    </row>
    <row r="1619" spans="1:7" x14ac:dyDescent="0.25">
      <c r="A1619" s="111" t="str">
        <f t="shared" si="25"/>
        <v>Local Control Panel</v>
      </c>
      <c r="B1619" t="s">
        <v>2492</v>
      </c>
      <c r="D1619" s="1">
        <v>107227.74</v>
      </c>
      <c r="E1619" s="3"/>
      <c r="F1619" s="3">
        <v>0.5</v>
      </c>
      <c r="G1619" s="1">
        <v>53613.87</v>
      </c>
    </row>
    <row r="1620" spans="1:7" x14ac:dyDescent="0.25">
      <c r="A1620" s="111" t="str">
        <f t="shared" si="25"/>
        <v>JDH4-02-007-CN-1330</v>
      </c>
      <c r="B1620" t="s">
        <v>2493</v>
      </c>
      <c r="C1620" t="s">
        <v>2494</v>
      </c>
      <c r="D1620" s="1">
        <v>25230.06</v>
      </c>
      <c r="E1620" s="3">
        <v>0.5</v>
      </c>
      <c r="F1620" s="3">
        <v>0.5</v>
      </c>
      <c r="G1620" s="1">
        <v>12615.03</v>
      </c>
    </row>
    <row r="1621" spans="1:7" x14ac:dyDescent="0.25">
      <c r="A1621" s="111" t="str">
        <f t="shared" si="25"/>
        <v>JDH4-02-007-CN-1350</v>
      </c>
      <c r="B1621" t="s">
        <v>2495</v>
      </c>
      <c r="C1621" t="s">
        <v>2496</v>
      </c>
      <c r="D1621" s="1">
        <v>25230.06</v>
      </c>
      <c r="E1621" s="3">
        <v>0.5</v>
      </c>
      <c r="F1621" s="3">
        <v>0.5</v>
      </c>
      <c r="G1621" s="1">
        <v>12615.03</v>
      </c>
    </row>
    <row r="1622" spans="1:7" x14ac:dyDescent="0.25">
      <c r="A1622" s="111" t="str">
        <f t="shared" si="25"/>
        <v>JDH4-02-007-CN-1360</v>
      </c>
      <c r="B1622" t="s">
        <v>2497</v>
      </c>
      <c r="C1622" t="s">
        <v>2498</v>
      </c>
      <c r="D1622" s="1">
        <v>28383.81</v>
      </c>
      <c r="E1622" s="3">
        <v>0.5</v>
      </c>
      <c r="F1622" s="3">
        <v>0.5</v>
      </c>
      <c r="G1622" s="1">
        <v>14191.91</v>
      </c>
    </row>
    <row r="1623" spans="1:7" x14ac:dyDescent="0.25">
      <c r="A1623" s="111" t="str">
        <f t="shared" si="25"/>
        <v>JDH4-02-007-CN-1370</v>
      </c>
      <c r="B1623" t="s">
        <v>2499</v>
      </c>
      <c r="C1623" t="s">
        <v>2500</v>
      </c>
      <c r="D1623" s="1">
        <v>28383.81</v>
      </c>
      <c r="E1623" s="3">
        <v>0.5</v>
      </c>
      <c r="F1623" s="3">
        <v>0.5</v>
      </c>
      <c r="G1623" s="1">
        <v>14191.91</v>
      </c>
    </row>
    <row r="1624" spans="1:7" x14ac:dyDescent="0.25">
      <c r="A1624" s="111" t="str">
        <f t="shared" si="25"/>
        <v>Diesel Generator</v>
      </c>
      <c r="B1624" t="s">
        <v>2501</v>
      </c>
      <c r="D1624" s="1">
        <v>75690.17</v>
      </c>
      <c r="E1624" s="3"/>
      <c r="F1624" s="3">
        <v>1</v>
      </c>
      <c r="G1624" s="1">
        <v>75690.17</v>
      </c>
    </row>
    <row r="1625" spans="1:7" x14ac:dyDescent="0.25">
      <c r="A1625" s="111" t="str">
        <f t="shared" si="25"/>
        <v>JDH4-02-007-CN-1380</v>
      </c>
      <c r="B1625" t="s">
        <v>2502</v>
      </c>
      <c r="C1625" t="s">
        <v>2503</v>
      </c>
      <c r="D1625" s="1">
        <v>75690.17</v>
      </c>
      <c r="E1625" s="3">
        <v>1</v>
      </c>
      <c r="F1625" s="3">
        <v>1</v>
      </c>
      <c r="G1625" s="1">
        <v>75690.17</v>
      </c>
    </row>
    <row r="1626" spans="1:7" x14ac:dyDescent="0.25">
      <c r="A1626" s="111" t="str">
        <f t="shared" si="25"/>
        <v>Power Factor Correction Capacitor Bank</v>
      </c>
      <c r="B1626" t="s">
        <v>1402</v>
      </c>
      <c r="D1626" s="1">
        <v>22076.3</v>
      </c>
      <c r="E1626" s="3"/>
      <c r="F1626" s="3">
        <v>0.5</v>
      </c>
      <c r="G1626" s="1">
        <v>11038.15</v>
      </c>
    </row>
    <row r="1627" spans="1:7" x14ac:dyDescent="0.25">
      <c r="A1627" s="111" t="str">
        <f t="shared" si="25"/>
        <v>JDH4-02-007-CN-1390</v>
      </c>
      <c r="B1627" t="s">
        <v>2504</v>
      </c>
      <c r="C1627" t="s">
        <v>2505</v>
      </c>
      <c r="D1627" s="1">
        <v>22076.3</v>
      </c>
      <c r="E1627" s="3">
        <v>0.5</v>
      </c>
      <c r="F1627" s="3">
        <v>0.5</v>
      </c>
      <c r="G1627" s="1">
        <v>11038.15</v>
      </c>
    </row>
    <row r="1628" spans="1:7" x14ac:dyDescent="0.25">
      <c r="A1628" s="111" t="str">
        <f t="shared" si="25"/>
        <v>Low-Voltage Electrical Power Conductors and Cables</v>
      </c>
      <c r="B1628" t="s">
        <v>1421</v>
      </c>
      <c r="D1628" s="1">
        <v>17535.2</v>
      </c>
      <c r="E1628" s="3"/>
      <c r="F1628" s="3">
        <v>0.3</v>
      </c>
      <c r="G1628" s="1">
        <v>5260.56</v>
      </c>
    </row>
    <row r="1629" spans="1:7" x14ac:dyDescent="0.25">
      <c r="A1629" s="111" t="str">
        <f t="shared" si="25"/>
        <v>JDH4-02-007-CN-1410</v>
      </c>
      <c r="B1629" t="s">
        <v>2506</v>
      </c>
      <c r="C1629" t="s">
        <v>2507</v>
      </c>
      <c r="D1629" s="1">
        <v>17535.2</v>
      </c>
      <c r="E1629" s="3">
        <v>0.3</v>
      </c>
      <c r="F1629" s="3">
        <v>0.3</v>
      </c>
      <c r="G1629" s="1">
        <v>5260.56</v>
      </c>
    </row>
    <row r="1630" spans="1:7" x14ac:dyDescent="0.25">
      <c r="A1630" s="111" t="str">
        <f t="shared" si="25"/>
        <v>Wiring Devices</v>
      </c>
      <c r="B1630" t="s">
        <v>1451</v>
      </c>
      <c r="D1630" s="1">
        <v>5044.1400000000003</v>
      </c>
      <c r="E1630" s="3"/>
      <c r="F1630" s="3">
        <v>1</v>
      </c>
      <c r="G1630" s="1">
        <v>5044.1400000000003</v>
      </c>
    </row>
    <row r="1631" spans="1:7" x14ac:dyDescent="0.25">
      <c r="A1631" s="111" t="str">
        <f t="shared" si="25"/>
        <v>JDH4-02-007-CN-1420</v>
      </c>
      <c r="B1631" t="s">
        <v>2508</v>
      </c>
      <c r="C1631" t="s">
        <v>2509</v>
      </c>
      <c r="D1631" s="1">
        <v>5044.1400000000003</v>
      </c>
      <c r="E1631" s="3">
        <v>1</v>
      </c>
      <c r="F1631" s="3">
        <v>1</v>
      </c>
      <c r="G1631" s="1">
        <v>5044.1400000000003</v>
      </c>
    </row>
    <row r="1632" spans="1:7" x14ac:dyDescent="0.25">
      <c r="A1632" s="111" t="str">
        <f t="shared" si="25"/>
        <v>Enclosed Switches and Circuit Breakers</v>
      </c>
      <c r="B1632" t="s">
        <v>1470</v>
      </c>
      <c r="D1632" s="1">
        <v>8830.52</v>
      </c>
      <c r="E1632" s="3"/>
      <c r="F1632" s="3">
        <v>0</v>
      </c>
      <c r="G1632">
        <v>0</v>
      </c>
    </row>
    <row r="1633" spans="1:7" x14ac:dyDescent="0.25">
      <c r="A1633" s="111" t="str">
        <f t="shared" si="25"/>
        <v>JDH4-02-007-CN-1440</v>
      </c>
      <c r="B1633" t="s">
        <v>2510</v>
      </c>
      <c r="C1633" t="s">
        <v>2511</v>
      </c>
      <c r="D1633" s="1">
        <v>8830.52</v>
      </c>
      <c r="E1633" s="3">
        <v>0</v>
      </c>
      <c r="F1633" s="3">
        <v>0</v>
      </c>
      <c r="G1633">
        <v>0</v>
      </c>
    </row>
    <row r="1634" spans="1:7" x14ac:dyDescent="0.25">
      <c r="A1634" s="111" t="str">
        <f t="shared" si="25"/>
        <v>Lighting</v>
      </c>
      <c r="B1634" t="s">
        <v>2512</v>
      </c>
      <c r="D1634" s="1">
        <v>16399.53</v>
      </c>
      <c r="E1634" s="3"/>
      <c r="F1634" s="2">
        <v>1</v>
      </c>
      <c r="G1634" s="1">
        <v>16399.53</v>
      </c>
    </row>
    <row r="1635" spans="1:7" x14ac:dyDescent="0.25">
      <c r="A1635" s="111" t="str">
        <f t="shared" si="25"/>
        <v>JDH4-02-007-CN-1450</v>
      </c>
      <c r="B1635" t="s">
        <v>2513</v>
      </c>
      <c r="C1635" t="s">
        <v>2514</v>
      </c>
      <c r="D1635" s="1">
        <v>16399.53</v>
      </c>
      <c r="E1635" s="3">
        <v>1</v>
      </c>
      <c r="F1635" s="3">
        <v>1</v>
      </c>
      <c r="G1635" s="1">
        <v>16399.53</v>
      </c>
    </row>
    <row r="1636" spans="1:7" x14ac:dyDescent="0.25">
      <c r="A1636" s="111" t="str">
        <f t="shared" si="25"/>
        <v>Grounding and Bonding for Electrical Systems</v>
      </c>
      <c r="B1636" t="s">
        <v>2515</v>
      </c>
      <c r="D1636" s="1">
        <v>18607.150000000001</v>
      </c>
      <c r="E1636" s="3"/>
      <c r="F1636" s="3">
        <v>0</v>
      </c>
      <c r="G1636">
        <v>0</v>
      </c>
    </row>
    <row r="1637" spans="1:7" x14ac:dyDescent="0.25">
      <c r="A1637" s="111" t="str">
        <f t="shared" si="25"/>
        <v>JDH4-02-007-CN-1460</v>
      </c>
      <c r="B1637" t="s">
        <v>2516</v>
      </c>
      <c r="C1637" t="s">
        <v>2517</v>
      </c>
      <c r="D1637" s="1">
        <v>18607.150000000001</v>
      </c>
      <c r="E1637" s="3">
        <v>0</v>
      </c>
      <c r="F1637" s="3">
        <v>0</v>
      </c>
      <c r="G1637">
        <v>0</v>
      </c>
    </row>
    <row r="1638" spans="1:7" x14ac:dyDescent="0.25">
      <c r="A1638" s="111" t="str">
        <f t="shared" si="25"/>
        <v>Electrical Manholes</v>
      </c>
      <c r="B1638" t="s">
        <v>1504</v>
      </c>
      <c r="D1638" s="1">
        <v>10723.17</v>
      </c>
      <c r="E1638" s="3"/>
      <c r="F1638" s="3">
        <v>1</v>
      </c>
      <c r="G1638" s="1">
        <v>10723.17</v>
      </c>
    </row>
    <row r="1639" spans="1:7" x14ac:dyDescent="0.25">
      <c r="A1639" s="111" t="str">
        <f t="shared" si="25"/>
        <v>JDH4-02-007-CN-1470</v>
      </c>
      <c r="B1639" t="s">
        <v>2518</v>
      </c>
      <c r="C1639" t="s">
        <v>2519</v>
      </c>
      <c r="D1639" s="1">
        <v>10723.17</v>
      </c>
      <c r="E1639" s="3">
        <v>1</v>
      </c>
      <c r="F1639" s="3">
        <v>1</v>
      </c>
      <c r="G1639" s="1">
        <v>10723.17</v>
      </c>
    </row>
    <row r="1640" spans="1:7" x14ac:dyDescent="0.25">
      <c r="A1640" s="111" t="str">
        <f t="shared" si="25"/>
        <v>ICT (Data&amp; telephone System)</v>
      </c>
      <c r="B1640" t="s">
        <v>1523</v>
      </c>
      <c r="D1640" s="1">
        <v>44152.59</v>
      </c>
      <c r="E1640" s="3"/>
      <c r="F1640" s="3">
        <v>0.25</v>
      </c>
      <c r="G1640" s="1">
        <v>11038.15</v>
      </c>
    </row>
    <row r="1641" spans="1:7" x14ac:dyDescent="0.25">
      <c r="A1641" s="111" t="str">
        <f t="shared" si="25"/>
        <v>JDH4-02-007-CN-1490</v>
      </c>
      <c r="B1641" t="s">
        <v>2520</v>
      </c>
      <c r="C1641" t="s">
        <v>2521</v>
      </c>
      <c r="D1641" s="1">
        <v>22076.3</v>
      </c>
      <c r="E1641" s="3">
        <v>0.5</v>
      </c>
      <c r="F1641" s="2">
        <v>0.5</v>
      </c>
      <c r="G1641" s="1">
        <v>11038.15</v>
      </c>
    </row>
    <row r="1642" spans="1:7" x14ac:dyDescent="0.25">
      <c r="A1642" s="111" t="str">
        <f t="shared" si="25"/>
        <v>JDH4-02-007-CN-1500</v>
      </c>
      <c r="B1642" t="s">
        <v>2522</v>
      </c>
      <c r="C1642" t="s">
        <v>2523</v>
      </c>
      <c r="D1642" s="1">
        <v>1261.5</v>
      </c>
      <c r="E1642" s="3">
        <v>0</v>
      </c>
      <c r="F1642" s="3">
        <v>0</v>
      </c>
      <c r="G1642">
        <v>0</v>
      </c>
    </row>
    <row r="1643" spans="1:7" x14ac:dyDescent="0.25">
      <c r="A1643" s="111" t="str">
        <f t="shared" si="25"/>
        <v>JDH4-02-007-CN-1510</v>
      </c>
      <c r="B1643" t="s">
        <v>2524</v>
      </c>
      <c r="C1643" t="s">
        <v>2525</v>
      </c>
      <c r="D1643" s="1">
        <v>18922.54</v>
      </c>
      <c r="E1643" s="3">
        <v>0</v>
      </c>
      <c r="F1643" s="3">
        <v>0</v>
      </c>
      <c r="G1643">
        <v>0</v>
      </c>
    </row>
    <row r="1644" spans="1:7" x14ac:dyDescent="0.25">
      <c r="A1644" s="111" t="str">
        <f t="shared" si="25"/>
        <v>JDH4-02-007-CN-1520</v>
      </c>
      <c r="B1644" t="s">
        <v>2526</v>
      </c>
      <c r="C1644" t="s">
        <v>2527</v>
      </c>
      <c r="D1644" s="1">
        <v>1892.25</v>
      </c>
      <c r="E1644" s="3">
        <v>0</v>
      </c>
      <c r="F1644" s="3">
        <v>0</v>
      </c>
      <c r="G1644">
        <v>0</v>
      </c>
    </row>
    <row r="1645" spans="1:7" x14ac:dyDescent="0.25">
      <c r="A1645" s="111" t="str">
        <f t="shared" si="25"/>
        <v>Security System (CCTV System)</v>
      </c>
      <c r="B1645" t="s">
        <v>1059</v>
      </c>
      <c r="D1645" s="1">
        <v>198686.69</v>
      </c>
      <c r="E1645" s="3"/>
      <c r="F1645" s="3">
        <v>1</v>
      </c>
      <c r="G1645" s="1">
        <v>198686.69</v>
      </c>
    </row>
    <row r="1646" spans="1:7" x14ac:dyDescent="0.25">
      <c r="A1646" s="111" t="str">
        <f t="shared" si="25"/>
        <v>JDH4-02-007-CN-1530</v>
      </c>
      <c r="B1646" t="s">
        <v>2528</v>
      </c>
      <c r="C1646" t="s">
        <v>2529</v>
      </c>
      <c r="D1646" s="1">
        <v>198686.69</v>
      </c>
      <c r="E1646" s="3">
        <v>1</v>
      </c>
      <c r="F1646" s="3">
        <v>1</v>
      </c>
      <c r="G1646" s="1">
        <v>198686.69</v>
      </c>
    </row>
    <row r="1647" spans="1:7" x14ac:dyDescent="0.25">
      <c r="A1647" s="111" t="str">
        <f t="shared" si="25"/>
        <v>Duct Bank and Handhole For Telecom Network</v>
      </c>
      <c r="B1647" t="s">
        <v>2530</v>
      </c>
      <c r="D1647" s="1">
        <v>8199.77</v>
      </c>
      <c r="E1647" s="3"/>
      <c r="F1647" s="3">
        <v>1</v>
      </c>
      <c r="G1647" s="1">
        <v>8199.77</v>
      </c>
    </row>
    <row r="1648" spans="1:7" x14ac:dyDescent="0.25">
      <c r="A1648" s="111" t="str">
        <f t="shared" si="25"/>
        <v>JDH4-02-007-CN-1540</v>
      </c>
      <c r="B1648" t="s">
        <v>2531</v>
      </c>
      <c r="C1648" t="s">
        <v>2532</v>
      </c>
      <c r="D1648" s="1">
        <v>5046.01</v>
      </c>
      <c r="E1648" s="3">
        <v>1</v>
      </c>
      <c r="F1648" s="2">
        <v>1</v>
      </c>
      <c r="G1648" s="1">
        <v>5046.01</v>
      </c>
    </row>
    <row r="1649" spans="1:7" x14ac:dyDescent="0.25">
      <c r="A1649" s="111" t="str">
        <f t="shared" si="25"/>
        <v>JDH4-02-007-CN-1550</v>
      </c>
      <c r="B1649" t="s">
        <v>2533</v>
      </c>
      <c r="C1649" t="s">
        <v>2534</v>
      </c>
      <c r="D1649" s="1">
        <v>3153.76</v>
      </c>
      <c r="E1649" s="3">
        <v>1</v>
      </c>
      <c r="F1649" s="3">
        <v>1</v>
      </c>
      <c r="G1649" s="1">
        <v>3153.76</v>
      </c>
    </row>
    <row r="1650" spans="1:7" x14ac:dyDescent="0.25">
      <c r="A1650" s="111" t="str">
        <f t="shared" si="25"/>
        <v>Programmable Logic Controllers</v>
      </c>
      <c r="B1650" t="s">
        <v>1542</v>
      </c>
      <c r="D1650" s="1">
        <v>252300.56</v>
      </c>
      <c r="E1650" s="3"/>
      <c r="F1650" s="3">
        <v>0.3</v>
      </c>
      <c r="G1650" s="1">
        <v>75690.17</v>
      </c>
    </row>
    <row r="1651" spans="1:7" x14ac:dyDescent="0.25">
      <c r="A1651" s="111" t="str">
        <f t="shared" si="25"/>
        <v>JDH4-02-007-CN-1570</v>
      </c>
      <c r="B1651" t="s">
        <v>2535</v>
      </c>
      <c r="C1651" t="s">
        <v>2536</v>
      </c>
      <c r="D1651" s="1">
        <v>252300.56</v>
      </c>
      <c r="E1651" s="3">
        <v>0.3</v>
      </c>
      <c r="F1651" s="3">
        <v>0.3</v>
      </c>
      <c r="G1651" s="1">
        <v>75690.17</v>
      </c>
    </row>
    <row r="1652" spans="1:7" x14ac:dyDescent="0.25">
      <c r="A1652" s="111" t="str">
        <f t="shared" si="25"/>
        <v>Process Control Wiring</v>
      </c>
      <c r="B1652" t="s">
        <v>1561</v>
      </c>
      <c r="D1652" s="1">
        <v>157687.85</v>
      </c>
      <c r="E1652" s="3"/>
      <c r="F1652" s="3">
        <v>0</v>
      </c>
      <c r="G1652">
        <v>0</v>
      </c>
    </row>
    <row r="1653" spans="1:7" x14ac:dyDescent="0.25">
      <c r="A1653" s="111" t="str">
        <f t="shared" si="25"/>
        <v>JDH4-02-007-CN-1580</v>
      </c>
      <c r="B1653" t="s">
        <v>2537</v>
      </c>
      <c r="C1653" t="s">
        <v>2538</v>
      </c>
      <c r="D1653" s="1">
        <v>157687.85</v>
      </c>
      <c r="E1653" s="3">
        <v>0</v>
      </c>
      <c r="F1653" s="3">
        <v>0</v>
      </c>
      <c r="G1653">
        <v>0</v>
      </c>
    </row>
    <row r="1654" spans="1:7" x14ac:dyDescent="0.25">
      <c r="A1654" s="111" t="str">
        <f t="shared" si="25"/>
        <v>Instrumentation for Process Systems</v>
      </c>
      <c r="B1654" t="s">
        <v>1576</v>
      </c>
      <c r="D1654" s="1">
        <v>182978.56</v>
      </c>
      <c r="E1654" s="3"/>
      <c r="F1654" s="3">
        <v>0.3</v>
      </c>
      <c r="G1654" s="1">
        <v>54893.57</v>
      </c>
    </row>
    <row r="1655" spans="1:7" x14ac:dyDescent="0.25">
      <c r="A1655" s="111" t="str">
        <f t="shared" si="25"/>
        <v>JDH4-02-007-CN-1600</v>
      </c>
      <c r="B1655" t="s">
        <v>2539</v>
      </c>
      <c r="C1655" t="s">
        <v>2540</v>
      </c>
      <c r="D1655" s="1">
        <v>182978.56</v>
      </c>
      <c r="E1655" s="3">
        <v>0.3</v>
      </c>
      <c r="F1655" s="2">
        <v>0.3</v>
      </c>
      <c r="G1655" s="1">
        <v>54893.57</v>
      </c>
    </row>
    <row r="1656" spans="1:7" x14ac:dyDescent="0.25">
      <c r="A1656" s="111" t="str">
        <f t="shared" si="25"/>
        <v>Fence Work</v>
      </c>
      <c r="B1656" t="s">
        <v>2541</v>
      </c>
      <c r="D1656" s="1">
        <v>18243.11</v>
      </c>
      <c r="E1656" s="3"/>
      <c r="F1656" s="3">
        <v>1</v>
      </c>
      <c r="G1656" s="1">
        <v>18243.11</v>
      </c>
    </row>
    <row r="1657" spans="1:7" x14ac:dyDescent="0.25">
      <c r="A1657" s="111" t="str">
        <f t="shared" si="25"/>
        <v>JDH4-02-007-CN-5890</v>
      </c>
      <c r="B1657" t="s">
        <v>2542</v>
      </c>
      <c r="C1657" t="s">
        <v>2543</v>
      </c>
      <c r="D1657" s="1">
        <v>11984.28</v>
      </c>
      <c r="E1657" s="3">
        <v>1</v>
      </c>
      <c r="F1657" s="3">
        <v>1</v>
      </c>
      <c r="G1657" s="1">
        <v>11984.28</v>
      </c>
    </row>
    <row r="1658" spans="1:7" x14ac:dyDescent="0.25">
      <c r="A1658" s="111" t="str">
        <f t="shared" si="25"/>
        <v>JDH4-02-007-CN-5900</v>
      </c>
      <c r="B1658" t="s">
        <v>2544</v>
      </c>
      <c r="C1658" t="s">
        <v>2545</v>
      </c>
      <c r="D1658" s="1">
        <v>6258.83</v>
      </c>
      <c r="E1658" s="3">
        <v>1</v>
      </c>
      <c r="F1658" s="3">
        <v>1</v>
      </c>
      <c r="G1658" s="1">
        <v>6258.83</v>
      </c>
    </row>
    <row r="1659" spans="1:7" x14ac:dyDescent="0.25">
      <c r="A1659" s="111" t="str">
        <f t="shared" si="25"/>
        <v>MV Cable Works</v>
      </c>
      <c r="B1659" t="s">
        <v>4101</v>
      </c>
      <c r="D1659" s="1">
        <v>888341.63</v>
      </c>
      <c r="E1659" s="3"/>
      <c r="F1659" s="3">
        <v>1</v>
      </c>
      <c r="G1659" s="1">
        <v>888341.63</v>
      </c>
    </row>
    <row r="1660" spans="1:7" x14ac:dyDescent="0.25">
      <c r="A1660" s="111" t="str">
        <f t="shared" si="25"/>
        <v>Medium Voltage Cable Road 8</v>
      </c>
      <c r="B1660" t="s">
        <v>4102</v>
      </c>
      <c r="D1660" s="1">
        <v>165937.26999999999</v>
      </c>
      <c r="E1660" s="3"/>
      <c r="F1660" s="3">
        <v>1</v>
      </c>
      <c r="G1660" s="1">
        <v>165937.26999999999</v>
      </c>
    </row>
    <row r="1661" spans="1:7" x14ac:dyDescent="0.25">
      <c r="A1661" s="111" t="str">
        <f t="shared" si="25"/>
        <v>JDH4-02-007-CN-2480</v>
      </c>
      <c r="B1661" t="s">
        <v>4104</v>
      </c>
      <c r="C1661" t="s">
        <v>1893</v>
      </c>
      <c r="D1661" s="1">
        <v>31916.02</v>
      </c>
      <c r="E1661" s="3">
        <v>1</v>
      </c>
      <c r="F1661" s="3">
        <v>1</v>
      </c>
      <c r="G1661" s="1">
        <v>31916.02</v>
      </c>
    </row>
    <row r="1662" spans="1:7" x14ac:dyDescent="0.25">
      <c r="A1662" s="111" t="str">
        <f t="shared" si="25"/>
        <v>JDH4-02-007-CN-2420</v>
      </c>
      <c r="B1662" t="s">
        <v>4103</v>
      </c>
      <c r="C1662" t="s">
        <v>1891</v>
      </c>
      <c r="D1662" s="1">
        <v>7545</v>
      </c>
      <c r="E1662" s="3">
        <v>1</v>
      </c>
      <c r="F1662" s="2">
        <v>1</v>
      </c>
      <c r="G1662" s="1">
        <v>7545</v>
      </c>
    </row>
    <row r="1663" spans="1:7" x14ac:dyDescent="0.25">
      <c r="A1663" s="111" t="str">
        <f t="shared" si="25"/>
        <v>JDH4-02-007-CN-2540</v>
      </c>
      <c r="B1663" t="s">
        <v>4105</v>
      </c>
      <c r="C1663" t="s">
        <v>1895</v>
      </c>
      <c r="D1663" s="1">
        <v>126476.25</v>
      </c>
      <c r="E1663" s="3">
        <v>1</v>
      </c>
      <c r="F1663" s="3">
        <v>1</v>
      </c>
      <c r="G1663" s="1">
        <v>126476.25</v>
      </c>
    </row>
    <row r="1664" spans="1:7" x14ac:dyDescent="0.25">
      <c r="A1664" s="111" t="str">
        <f t="shared" si="25"/>
        <v>Medium Voltage Cable Road 7</v>
      </c>
      <c r="B1664" t="s">
        <v>4106</v>
      </c>
      <c r="D1664" s="1">
        <v>130128.34</v>
      </c>
      <c r="E1664" s="3"/>
      <c r="F1664" s="3">
        <v>1</v>
      </c>
      <c r="G1664" s="1">
        <v>130128.34</v>
      </c>
    </row>
    <row r="1665" spans="1:7" x14ac:dyDescent="0.25">
      <c r="A1665" s="111" t="str">
        <f t="shared" si="25"/>
        <v>JDH4-02-007-CN-2500</v>
      </c>
      <c r="B1665" t="s">
        <v>4108</v>
      </c>
      <c r="C1665" t="s">
        <v>2206</v>
      </c>
      <c r="D1665" s="1">
        <v>13876.53</v>
      </c>
      <c r="E1665" s="3">
        <v>1</v>
      </c>
      <c r="F1665" s="3">
        <v>1</v>
      </c>
      <c r="G1665" s="1">
        <v>13876.53</v>
      </c>
    </row>
    <row r="1666" spans="1:7" x14ac:dyDescent="0.25">
      <c r="A1666" s="111" t="str">
        <f t="shared" si="25"/>
        <v>JDH4-02-007-CN-2440</v>
      </c>
      <c r="B1666" t="s">
        <v>4107</v>
      </c>
      <c r="C1666" t="s">
        <v>2204</v>
      </c>
      <c r="D1666" s="1">
        <v>6530.33</v>
      </c>
      <c r="E1666" s="3">
        <v>1</v>
      </c>
      <c r="F1666" s="3">
        <v>1</v>
      </c>
      <c r="G1666" s="1">
        <v>6530.33</v>
      </c>
    </row>
    <row r="1667" spans="1:7" x14ac:dyDescent="0.25">
      <c r="A1667" s="111" t="str">
        <f t="shared" si="25"/>
        <v>JDH4-02-007-CN-2560</v>
      </c>
      <c r="B1667" t="s">
        <v>4109</v>
      </c>
      <c r="C1667" t="s">
        <v>2208</v>
      </c>
      <c r="D1667" s="1">
        <v>109721.48</v>
      </c>
      <c r="E1667" s="3">
        <v>1</v>
      </c>
      <c r="F1667" s="3">
        <v>1</v>
      </c>
      <c r="G1667" s="1">
        <v>109721.48</v>
      </c>
    </row>
    <row r="1668" spans="1:7" x14ac:dyDescent="0.25">
      <c r="A1668" s="111" t="str">
        <f t="shared" ref="A1668:A1731" si="26">TRIM(B1668)</f>
        <v>Medium Voltage Cable Road 1</v>
      </c>
      <c r="B1668" t="s">
        <v>4110</v>
      </c>
      <c r="D1668" s="1">
        <v>264999.32</v>
      </c>
      <c r="E1668" s="3"/>
      <c r="F1668" s="3">
        <v>1</v>
      </c>
      <c r="G1668" s="1">
        <v>264999.32</v>
      </c>
    </row>
    <row r="1669" spans="1:7" x14ac:dyDescent="0.25">
      <c r="A1669" s="111" t="str">
        <f t="shared" si="26"/>
        <v>JDH4-02-007-CN-2430</v>
      </c>
      <c r="B1669" t="s">
        <v>4111</v>
      </c>
      <c r="C1669" t="s">
        <v>2034</v>
      </c>
      <c r="D1669" s="1">
        <v>13372.86</v>
      </c>
      <c r="E1669" s="3">
        <v>1</v>
      </c>
      <c r="F1669" s="3">
        <v>1</v>
      </c>
      <c r="G1669" s="1">
        <v>13372.86</v>
      </c>
    </row>
    <row r="1670" spans="1:7" x14ac:dyDescent="0.25">
      <c r="A1670" s="111" t="str">
        <f t="shared" si="26"/>
        <v>JDH4-02-007-CN-2490</v>
      </c>
      <c r="B1670" t="s">
        <v>4112</v>
      </c>
      <c r="C1670" t="s">
        <v>2036</v>
      </c>
      <c r="D1670" s="1">
        <v>27290.51</v>
      </c>
      <c r="E1670" s="3">
        <v>1</v>
      </c>
      <c r="F1670" s="3">
        <v>1</v>
      </c>
      <c r="G1670" s="1">
        <v>27290.51</v>
      </c>
    </row>
    <row r="1671" spans="1:7" x14ac:dyDescent="0.25">
      <c r="A1671" s="111" t="str">
        <f t="shared" si="26"/>
        <v>JDH4-02-007-CN-2550</v>
      </c>
      <c r="B1671" t="s">
        <v>4113</v>
      </c>
      <c r="C1671" t="s">
        <v>2038</v>
      </c>
      <c r="D1671" s="1">
        <v>224335.95</v>
      </c>
      <c r="E1671" s="3">
        <v>1</v>
      </c>
      <c r="F1671" s="3">
        <v>1</v>
      </c>
      <c r="G1671" s="1">
        <v>224335.95</v>
      </c>
    </row>
    <row r="1672" spans="1:7" x14ac:dyDescent="0.25">
      <c r="A1672" s="111" t="str">
        <f t="shared" si="26"/>
        <v>Medium Voltage Cable Road 10</v>
      </c>
      <c r="B1672" t="s">
        <v>4114</v>
      </c>
      <c r="D1672" s="1">
        <v>130978.55</v>
      </c>
      <c r="E1672" s="3"/>
      <c r="F1672" s="3">
        <v>1</v>
      </c>
      <c r="G1672" s="1">
        <v>130978.55</v>
      </c>
    </row>
    <row r="1673" spans="1:7" x14ac:dyDescent="0.25">
      <c r="A1673" s="111" t="str">
        <f t="shared" si="26"/>
        <v>JDH4-02-007-CN-2460</v>
      </c>
      <c r="B1673" t="s">
        <v>4115</v>
      </c>
      <c r="C1673" t="s">
        <v>2389</v>
      </c>
      <c r="D1673" s="1">
        <v>6816.52</v>
      </c>
      <c r="E1673" s="3">
        <v>1</v>
      </c>
      <c r="F1673" s="3">
        <v>1</v>
      </c>
      <c r="G1673" s="1">
        <v>6816.52</v>
      </c>
    </row>
    <row r="1674" spans="1:7" x14ac:dyDescent="0.25">
      <c r="A1674" s="111" t="str">
        <f t="shared" si="26"/>
        <v>JDH4-02-007-CN-2520</v>
      </c>
      <c r="B1674" t="s">
        <v>4116</v>
      </c>
      <c r="C1674" t="s">
        <v>2391</v>
      </c>
      <c r="D1674" s="1">
        <v>9251.02</v>
      </c>
      <c r="E1674" s="3">
        <v>1</v>
      </c>
      <c r="F1674" s="3">
        <v>1</v>
      </c>
      <c r="G1674" s="1">
        <v>9251.02</v>
      </c>
    </row>
    <row r="1675" spans="1:7" x14ac:dyDescent="0.25">
      <c r="A1675" s="111" t="str">
        <f t="shared" si="26"/>
        <v>JDH4-02-007-CN-2580</v>
      </c>
      <c r="B1675" t="s">
        <v>4117</v>
      </c>
      <c r="C1675" t="s">
        <v>2393</v>
      </c>
      <c r="D1675" s="1">
        <v>114911.01</v>
      </c>
      <c r="E1675" s="3">
        <v>1</v>
      </c>
      <c r="F1675" s="3">
        <v>1</v>
      </c>
      <c r="G1675" s="1">
        <v>114911.01</v>
      </c>
    </row>
    <row r="1676" spans="1:7" x14ac:dyDescent="0.25">
      <c r="A1676" s="111" t="str">
        <f t="shared" si="26"/>
        <v>Medium Voltage Cable Out of Zone</v>
      </c>
      <c r="B1676" t="s">
        <v>4118</v>
      </c>
      <c r="D1676" s="1">
        <v>196298.15</v>
      </c>
      <c r="E1676" s="3"/>
      <c r="F1676" s="3">
        <v>1</v>
      </c>
      <c r="G1676" s="1">
        <v>196298.15</v>
      </c>
    </row>
    <row r="1677" spans="1:7" x14ac:dyDescent="0.25">
      <c r="A1677" s="111" t="str">
        <f t="shared" si="26"/>
        <v>JDH4-02-007-CN-2470</v>
      </c>
      <c r="B1677" t="s">
        <v>4119</v>
      </c>
      <c r="C1677" t="s">
        <v>2407</v>
      </c>
      <c r="D1677" s="1">
        <v>9236.1200000000008</v>
      </c>
      <c r="E1677" s="3">
        <v>1</v>
      </c>
      <c r="F1677" s="3">
        <v>1</v>
      </c>
      <c r="G1677" s="1">
        <v>9236.1200000000008</v>
      </c>
    </row>
    <row r="1678" spans="1:7" x14ac:dyDescent="0.25">
      <c r="A1678" s="111" t="str">
        <f t="shared" si="26"/>
        <v>JDH4-02-007-CN-2530</v>
      </c>
      <c r="B1678" t="s">
        <v>4120</v>
      </c>
      <c r="C1678" t="s">
        <v>2409</v>
      </c>
      <c r="D1678" s="1">
        <v>33303.68</v>
      </c>
      <c r="E1678" s="3">
        <v>1</v>
      </c>
      <c r="F1678" s="3">
        <v>1</v>
      </c>
      <c r="G1678" s="1">
        <v>33303.68</v>
      </c>
    </row>
    <row r="1679" spans="1:7" x14ac:dyDescent="0.25">
      <c r="A1679" s="111" t="str">
        <f t="shared" si="26"/>
        <v>JDH4-02-007-CN-2590</v>
      </c>
      <c r="B1679" t="s">
        <v>4121</v>
      </c>
      <c r="C1679" t="s">
        <v>2411</v>
      </c>
      <c r="D1679" s="1">
        <v>153758.35</v>
      </c>
      <c r="E1679" s="3">
        <v>1</v>
      </c>
      <c r="F1679" s="3">
        <v>1</v>
      </c>
      <c r="G1679" s="1">
        <v>153758.35</v>
      </c>
    </row>
    <row r="1680" spans="1:7" x14ac:dyDescent="0.25">
      <c r="A1680" s="111" t="str">
        <f t="shared" si="26"/>
        <v>Plot Backfilling 2</v>
      </c>
      <c r="B1680" t="s">
        <v>4122</v>
      </c>
      <c r="D1680" s="1">
        <v>3041122.86</v>
      </c>
      <c r="E1680" s="3"/>
      <c r="F1680" s="3">
        <v>0.81669999999999998</v>
      </c>
      <c r="G1680" s="1">
        <v>2483583.67</v>
      </c>
    </row>
    <row r="1681" spans="1:7" x14ac:dyDescent="0.25">
      <c r="A1681" s="111" t="str">
        <f t="shared" si="26"/>
        <v>JDH4-02-007-CN-1860</v>
      </c>
      <c r="B1681" t="s">
        <v>4123</v>
      </c>
      <c r="C1681" t="s">
        <v>1667</v>
      </c>
      <c r="D1681" s="1">
        <v>1013707.62</v>
      </c>
      <c r="E1681" s="3">
        <v>1</v>
      </c>
      <c r="F1681" s="3">
        <v>1</v>
      </c>
      <c r="G1681" s="1">
        <v>1013707.62</v>
      </c>
    </row>
    <row r="1682" spans="1:7" x14ac:dyDescent="0.25">
      <c r="A1682" s="111" t="str">
        <f t="shared" si="26"/>
        <v>JDH4-02-007-CN-1870</v>
      </c>
      <c r="B1682" t="s">
        <v>4124</v>
      </c>
      <c r="C1682" t="s">
        <v>1669</v>
      </c>
      <c r="D1682" s="1">
        <v>1013707.62</v>
      </c>
      <c r="E1682" s="3">
        <v>0.85</v>
      </c>
      <c r="F1682" s="3">
        <v>0.85</v>
      </c>
      <c r="G1682" s="1">
        <v>861651.48</v>
      </c>
    </row>
    <row r="1683" spans="1:7" x14ac:dyDescent="0.25">
      <c r="A1683" s="111" t="str">
        <f t="shared" si="26"/>
        <v>JDH4-02-007-CN-1880</v>
      </c>
      <c r="B1683" t="s">
        <v>4125</v>
      </c>
      <c r="C1683" t="s">
        <v>1671</v>
      </c>
      <c r="D1683" s="1">
        <v>1013707.62</v>
      </c>
      <c r="E1683" s="3">
        <v>0.6</v>
      </c>
      <c r="F1683" s="3">
        <v>0.6</v>
      </c>
      <c r="G1683" s="1">
        <v>608224.56999999995</v>
      </c>
    </row>
    <row r="1684" spans="1:7" x14ac:dyDescent="0.25">
      <c r="A1684" s="111" t="str">
        <f t="shared" si="26"/>
        <v>Additional Works</v>
      </c>
      <c r="B1684" t="s">
        <v>4126</v>
      </c>
      <c r="D1684" s="1">
        <v>4574877.1900000004</v>
      </c>
      <c r="E1684" s="3"/>
      <c r="F1684" s="3">
        <v>0.92500000000000004</v>
      </c>
      <c r="G1684" s="1">
        <v>4231761.4000000004</v>
      </c>
    </row>
    <row r="1685" spans="1:7" x14ac:dyDescent="0.25">
      <c r="A1685" s="111" t="str">
        <f t="shared" si="26"/>
        <v>JDH4-02-007-CN-1740</v>
      </c>
      <c r="B1685" t="s">
        <v>4127</v>
      </c>
      <c r="C1685" t="s">
        <v>4128</v>
      </c>
      <c r="D1685" s="1">
        <v>1143719.3</v>
      </c>
      <c r="E1685" s="3">
        <v>1</v>
      </c>
      <c r="F1685" s="3">
        <v>1</v>
      </c>
      <c r="G1685" s="1">
        <v>1143719.3</v>
      </c>
    </row>
    <row r="1686" spans="1:7" x14ac:dyDescent="0.25">
      <c r="A1686" s="111" t="str">
        <f t="shared" si="26"/>
        <v>JDH4-02-007-CN-5940</v>
      </c>
      <c r="B1686" t="s">
        <v>4129</v>
      </c>
      <c r="C1686" t="s">
        <v>4130</v>
      </c>
      <c r="D1686" s="1">
        <v>1143719.3</v>
      </c>
      <c r="E1686" s="3">
        <v>1</v>
      </c>
      <c r="F1686" s="3">
        <v>1</v>
      </c>
      <c r="G1686" s="1">
        <v>1143719.3</v>
      </c>
    </row>
    <row r="1687" spans="1:7" x14ac:dyDescent="0.25">
      <c r="A1687" s="111" t="str">
        <f t="shared" si="26"/>
        <v>JDH4-02-007-CN-5960</v>
      </c>
      <c r="B1687" t="s">
        <v>4132</v>
      </c>
      <c r="C1687" t="s">
        <v>4133</v>
      </c>
      <c r="D1687" s="1">
        <v>1143719.3</v>
      </c>
      <c r="E1687" s="3">
        <v>0.85</v>
      </c>
      <c r="F1687" s="3">
        <v>0.85</v>
      </c>
      <c r="G1687" s="1">
        <v>972161.4</v>
      </c>
    </row>
    <row r="1688" spans="1:7" x14ac:dyDescent="0.25">
      <c r="A1688" s="111" t="str">
        <f t="shared" si="26"/>
        <v>JDH4-02-007-CN-5950</v>
      </c>
      <c r="B1688" t="s">
        <v>4131</v>
      </c>
      <c r="C1688" t="s">
        <v>3540</v>
      </c>
      <c r="D1688" s="1">
        <v>1143719.3</v>
      </c>
      <c r="E1688" s="3">
        <v>0.85</v>
      </c>
      <c r="F1688" s="3">
        <v>0.85</v>
      </c>
      <c r="G1688" s="1">
        <v>972161.4</v>
      </c>
    </row>
    <row r="1689" spans="1:7" x14ac:dyDescent="0.25">
      <c r="A1689" s="111" t="str">
        <f t="shared" si="26"/>
        <v>Testing &amp; Commissioning</v>
      </c>
      <c r="B1689" t="s">
        <v>223</v>
      </c>
      <c r="D1689" s="1">
        <v>5730434.7800000003</v>
      </c>
      <c r="E1689" s="3"/>
      <c r="F1689" s="3">
        <v>0.70709999999999995</v>
      </c>
      <c r="G1689" s="1">
        <v>4052236.02</v>
      </c>
    </row>
    <row r="1690" spans="1:7" x14ac:dyDescent="0.25">
      <c r="A1690" s="111" t="str">
        <f t="shared" si="26"/>
        <v>JDH4-02-007-TC-1020</v>
      </c>
      <c r="B1690" t="s">
        <v>2546</v>
      </c>
      <c r="C1690" t="s">
        <v>2547</v>
      </c>
      <c r="D1690" s="1">
        <v>818633.54</v>
      </c>
      <c r="E1690" s="3">
        <v>1</v>
      </c>
      <c r="F1690" s="3">
        <v>1</v>
      </c>
      <c r="G1690" s="1">
        <v>818633.54</v>
      </c>
    </row>
    <row r="1691" spans="1:7" x14ac:dyDescent="0.25">
      <c r="A1691" s="111" t="str">
        <f t="shared" si="26"/>
        <v>JDH4-02-007-TC-1000</v>
      </c>
      <c r="B1691" t="s">
        <v>2550</v>
      </c>
      <c r="C1691" t="s">
        <v>238</v>
      </c>
      <c r="D1691" s="1">
        <v>818633.54</v>
      </c>
      <c r="E1691" s="3">
        <v>1</v>
      </c>
      <c r="F1691" s="3">
        <v>1</v>
      </c>
      <c r="G1691" s="1">
        <v>818633.54</v>
      </c>
    </row>
    <row r="1692" spans="1:7" x14ac:dyDescent="0.25">
      <c r="A1692" s="111" t="str">
        <f t="shared" si="26"/>
        <v>JDH4-02-007-TC-1060</v>
      </c>
      <c r="B1692" t="s">
        <v>2557</v>
      </c>
      <c r="C1692" t="s">
        <v>2558</v>
      </c>
      <c r="D1692" s="1">
        <v>818633.54</v>
      </c>
      <c r="E1692" s="3">
        <v>0.55000000000000004</v>
      </c>
      <c r="F1692" s="3">
        <v>0.55000000000000004</v>
      </c>
      <c r="G1692" s="1">
        <v>450248.45</v>
      </c>
    </row>
    <row r="1693" spans="1:7" x14ac:dyDescent="0.25">
      <c r="A1693" s="111" t="str">
        <f t="shared" si="26"/>
        <v>JDH4-02-007-TC-1030</v>
      </c>
      <c r="B1693" t="s">
        <v>2548</v>
      </c>
      <c r="C1693" t="s">
        <v>2549</v>
      </c>
      <c r="D1693" s="1">
        <v>818633.54</v>
      </c>
      <c r="E1693" s="3">
        <v>1</v>
      </c>
      <c r="F1693" s="3">
        <v>1</v>
      </c>
      <c r="G1693" s="1">
        <v>818633.54</v>
      </c>
    </row>
    <row r="1694" spans="1:7" x14ac:dyDescent="0.25">
      <c r="A1694" s="111" t="str">
        <f t="shared" si="26"/>
        <v>JDH4-02-007-TC-1010</v>
      </c>
      <c r="B1694" t="s">
        <v>2551</v>
      </c>
      <c r="C1694" t="s">
        <v>2552</v>
      </c>
      <c r="D1694" s="1">
        <v>818633.54</v>
      </c>
      <c r="E1694" s="3">
        <v>1</v>
      </c>
      <c r="F1694" s="3">
        <v>1</v>
      </c>
      <c r="G1694" s="1">
        <v>818633.54</v>
      </c>
    </row>
    <row r="1695" spans="1:7" x14ac:dyDescent="0.25">
      <c r="A1695" s="111" t="str">
        <f t="shared" si="26"/>
        <v>JDH4-02-007-TC-1050</v>
      </c>
      <c r="B1695" t="s">
        <v>2555</v>
      </c>
      <c r="C1695" t="s">
        <v>2556</v>
      </c>
      <c r="D1695" s="1">
        <v>818633.54</v>
      </c>
      <c r="E1695" s="3">
        <v>0.2</v>
      </c>
      <c r="F1695" s="3">
        <v>0.2</v>
      </c>
      <c r="G1695" s="1">
        <v>163726.71</v>
      </c>
    </row>
    <row r="1696" spans="1:7" x14ac:dyDescent="0.25">
      <c r="A1696" s="111" t="str">
        <f t="shared" si="26"/>
        <v>JDH4-02-007-TC-1040</v>
      </c>
      <c r="B1696" t="s">
        <v>2553</v>
      </c>
      <c r="C1696" t="s">
        <v>2554</v>
      </c>
      <c r="D1696" s="1">
        <v>818633.54</v>
      </c>
      <c r="E1696" s="3">
        <v>0.2</v>
      </c>
      <c r="F1696" s="3">
        <v>0.2</v>
      </c>
      <c r="G1696" s="1">
        <v>163726.71</v>
      </c>
    </row>
    <row r="1697" spans="1:7" x14ac:dyDescent="0.25">
      <c r="A1697" s="111" t="str">
        <f t="shared" si="26"/>
        <v>Project Hand Over &amp; Close-out</v>
      </c>
      <c r="B1697" t="s">
        <v>2559</v>
      </c>
      <c r="D1697" s="1">
        <v>0</v>
      </c>
      <c r="E1697" s="3"/>
      <c r="F1697" s="3">
        <v>0</v>
      </c>
      <c r="G1697">
        <v>0</v>
      </c>
    </row>
    <row r="1698" spans="1:7" x14ac:dyDescent="0.25">
      <c r="A1698" s="111" t="str">
        <f t="shared" si="26"/>
        <v>As-Built DWGs</v>
      </c>
      <c r="B1698" t="s">
        <v>224</v>
      </c>
      <c r="D1698" s="1">
        <v>0</v>
      </c>
      <c r="E1698" s="3"/>
      <c r="F1698" s="3">
        <v>0</v>
      </c>
      <c r="G1698">
        <v>0</v>
      </c>
    </row>
    <row r="1699" spans="1:7" x14ac:dyDescent="0.25">
      <c r="A1699" s="111" t="str">
        <f t="shared" si="26"/>
        <v>As-Built DWGs Submittal</v>
      </c>
      <c r="B1699" t="s">
        <v>225</v>
      </c>
      <c r="D1699" s="1">
        <v>0</v>
      </c>
      <c r="E1699" s="3"/>
      <c r="F1699" s="3">
        <v>0</v>
      </c>
      <c r="G1699">
        <v>0</v>
      </c>
    </row>
    <row r="1700" spans="1:7" x14ac:dyDescent="0.25">
      <c r="A1700" s="111" t="str">
        <f t="shared" si="26"/>
        <v>JDH4-02-007-AB-1020</v>
      </c>
      <c r="B1700" t="s">
        <v>2560</v>
      </c>
      <c r="C1700" t="s">
        <v>2561</v>
      </c>
      <c r="D1700" s="1">
        <v>0</v>
      </c>
      <c r="E1700" s="3">
        <v>1</v>
      </c>
      <c r="F1700" s="3">
        <v>1</v>
      </c>
      <c r="G1700">
        <v>0</v>
      </c>
    </row>
    <row r="1701" spans="1:7" x14ac:dyDescent="0.25">
      <c r="A1701" s="111" t="str">
        <f t="shared" si="26"/>
        <v>JDH4-02-007-AB-1030</v>
      </c>
      <c r="B1701" t="s">
        <v>2562</v>
      </c>
      <c r="C1701" t="s">
        <v>2563</v>
      </c>
      <c r="D1701" s="1">
        <v>0</v>
      </c>
      <c r="E1701" s="3">
        <v>1</v>
      </c>
      <c r="F1701" s="3">
        <v>1</v>
      </c>
      <c r="G1701">
        <v>0</v>
      </c>
    </row>
    <row r="1702" spans="1:7" x14ac:dyDescent="0.25">
      <c r="A1702" s="111" t="str">
        <f t="shared" si="26"/>
        <v>JDH4-02-007-AB-1010</v>
      </c>
      <c r="B1702" t="s">
        <v>2565</v>
      </c>
      <c r="C1702" t="s">
        <v>2566</v>
      </c>
      <c r="D1702" s="1">
        <v>0</v>
      </c>
      <c r="E1702" s="3">
        <v>1</v>
      </c>
      <c r="F1702" s="3">
        <v>1</v>
      </c>
      <c r="G1702">
        <v>0</v>
      </c>
    </row>
    <row r="1703" spans="1:7" x14ac:dyDescent="0.25">
      <c r="A1703" s="111" t="str">
        <f t="shared" si="26"/>
        <v>JDH4-02-007-AB-1000</v>
      </c>
      <c r="B1703" t="s">
        <v>2564</v>
      </c>
      <c r="C1703" t="s">
        <v>226</v>
      </c>
      <c r="D1703" s="1">
        <v>0</v>
      </c>
      <c r="E1703" s="3">
        <v>1</v>
      </c>
      <c r="F1703" s="3">
        <v>1</v>
      </c>
      <c r="G1703">
        <v>0</v>
      </c>
    </row>
    <row r="1704" spans="1:7" x14ac:dyDescent="0.25">
      <c r="A1704" s="111" t="str">
        <f t="shared" si="26"/>
        <v>JDH4-02-007-AB-1040</v>
      </c>
      <c r="B1704" t="s">
        <v>2567</v>
      </c>
      <c r="C1704" t="s">
        <v>2568</v>
      </c>
      <c r="D1704" s="1">
        <v>0</v>
      </c>
      <c r="E1704" s="3">
        <v>0</v>
      </c>
      <c r="F1704" s="3">
        <v>0</v>
      </c>
      <c r="G1704">
        <v>0</v>
      </c>
    </row>
    <row r="1705" spans="1:7" x14ac:dyDescent="0.25">
      <c r="A1705" s="111" t="str">
        <f t="shared" si="26"/>
        <v>JDH4-02-007-AB-1060</v>
      </c>
      <c r="B1705" t="s">
        <v>2571</v>
      </c>
      <c r="C1705" t="s">
        <v>2572</v>
      </c>
      <c r="D1705" s="1">
        <v>0</v>
      </c>
      <c r="E1705" s="3">
        <v>0</v>
      </c>
      <c r="F1705" s="3">
        <v>0</v>
      </c>
      <c r="G1705">
        <v>0</v>
      </c>
    </row>
    <row r="1706" spans="1:7" x14ac:dyDescent="0.25">
      <c r="A1706" s="111" t="str">
        <f t="shared" si="26"/>
        <v>JDH4-02-007-AB-1050</v>
      </c>
      <c r="B1706" t="s">
        <v>2569</v>
      </c>
      <c r="C1706" t="s">
        <v>2570</v>
      </c>
      <c r="D1706" s="1">
        <v>0</v>
      </c>
      <c r="E1706" s="3">
        <v>0</v>
      </c>
      <c r="F1706" s="3">
        <v>0</v>
      </c>
      <c r="G1706">
        <v>0</v>
      </c>
    </row>
    <row r="1707" spans="1:7" x14ac:dyDescent="0.25">
      <c r="A1707" s="111" t="str">
        <f t="shared" si="26"/>
        <v>As-Built DWGs Approval</v>
      </c>
      <c r="B1707" t="s">
        <v>227</v>
      </c>
      <c r="D1707" s="1">
        <v>0</v>
      </c>
      <c r="F1707" s="3">
        <v>0</v>
      </c>
      <c r="G1707">
        <v>0</v>
      </c>
    </row>
    <row r="1708" spans="1:7" x14ac:dyDescent="0.25">
      <c r="A1708" s="111" t="str">
        <f t="shared" si="26"/>
        <v>JDH4-02-007-AB-1090</v>
      </c>
      <c r="B1708" t="s">
        <v>2573</v>
      </c>
      <c r="C1708" t="s">
        <v>2574</v>
      </c>
      <c r="D1708" s="1">
        <v>0</v>
      </c>
      <c r="E1708" s="3">
        <v>1</v>
      </c>
      <c r="F1708" s="3">
        <v>1</v>
      </c>
      <c r="G1708">
        <v>0</v>
      </c>
    </row>
    <row r="1709" spans="1:7" x14ac:dyDescent="0.25">
      <c r="A1709" s="111" t="str">
        <f t="shared" si="26"/>
        <v>JDH4-02-007-AB-1080</v>
      </c>
      <c r="B1709" t="s">
        <v>2579</v>
      </c>
      <c r="C1709" t="s">
        <v>2580</v>
      </c>
      <c r="D1709" s="1">
        <v>0</v>
      </c>
      <c r="E1709" s="3">
        <v>1</v>
      </c>
      <c r="F1709" s="3">
        <v>1</v>
      </c>
      <c r="G1709">
        <v>0</v>
      </c>
    </row>
    <row r="1710" spans="1:7" x14ac:dyDescent="0.25">
      <c r="A1710" s="111" t="str">
        <f t="shared" si="26"/>
        <v>JDH4-02-007-AB-1070</v>
      </c>
      <c r="B1710" t="s">
        <v>2577</v>
      </c>
      <c r="C1710" t="s">
        <v>2578</v>
      </c>
      <c r="D1710" s="1">
        <v>0</v>
      </c>
      <c r="E1710" s="3">
        <v>1</v>
      </c>
      <c r="F1710" s="3">
        <v>1</v>
      </c>
      <c r="G1710">
        <v>0</v>
      </c>
    </row>
    <row r="1711" spans="1:7" x14ac:dyDescent="0.25">
      <c r="A1711" s="111" t="str">
        <f t="shared" si="26"/>
        <v>JDH4-02-007-AB-1100</v>
      </c>
      <c r="B1711" t="s">
        <v>2575</v>
      </c>
      <c r="C1711" t="s">
        <v>2576</v>
      </c>
      <c r="D1711" s="1">
        <v>0</v>
      </c>
      <c r="E1711" s="3">
        <v>1</v>
      </c>
      <c r="F1711" s="3">
        <v>1</v>
      </c>
      <c r="G1711">
        <v>0</v>
      </c>
    </row>
    <row r="1712" spans="1:7" x14ac:dyDescent="0.25">
      <c r="A1712" s="111" t="str">
        <f t="shared" si="26"/>
        <v>JDH4-02-007-AB-1110</v>
      </c>
      <c r="B1712" t="s">
        <v>2581</v>
      </c>
      <c r="C1712" t="s">
        <v>2582</v>
      </c>
      <c r="D1712" s="1">
        <v>0</v>
      </c>
      <c r="E1712" s="3">
        <v>0</v>
      </c>
      <c r="F1712" s="3">
        <v>0</v>
      </c>
      <c r="G1712">
        <v>0</v>
      </c>
    </row>
    <row r="1713" spans="1:7" x14ac:dyDescent="0.25">
      <c r="A1713" s="111" t="str">
        <f t="shared" si="26"/>
        <v>JDH4-02-007-AB-1130</v>
      </c>
      <c r="B1713" t="s">
        <v>2585</v>
      </c>
      <c r="C1713" t="s">
        <v>2586</v>
      </c>
      <c r="D1713" s="1">
        <v>0</v>
      </c>
      <c r="E1713" s="3">
        <v>0</v>
      </c>
      <c r="F1713" s="3">
        <v>0</v>
      </c>
      <c r="G1713">
        <v>0</v>
      </c>
    </row>
    <row r="1714" spans="1:7" x14ac:dyDescent="0.25">
      <c r="A1714" s="111" t="str">
        <f t="shared" si="26"/>
        <v>JDH4-02-007-AB-1120</v>
      </c>
      <c r="B1714" t="s">
        <v>2583</v>
      </c>
      <c r="C1714" t="s">
        <v>2584</v>
      </c>
      <c r="D1714" s="1">
        <v>0</v>
      </c>
      <c r="E1714" s="3">
        <v>0</v>
      </c>
      <c r="F1714" s="3">
        <v>0</v>
      </c>
      <c r="G1714">
        <v>0</v>
      </c>
    </row>
    <row r="1715" spans="1:7" x14ac:dyDescent="0.25">
      <c r="A1715" s="111" t="str">
        <f t="shared" si="26"/>
        <v>Demobilization</v>
      </c>
      <c r="B1715" t="s">
        <v>2587</v>
      </c>
      <c r="D1715" s="1">
        <v>0</v>
      </c>
      <c r="E1715" s="3"/>
      <c r="F1715" s="3">
        <v>0</v>
      </c>
      <c r="G1715">
        <v>0</v>
      </c>
    </row>
    <row r="1716" spans="1:7" x14ac:dyDescent="0.25">
      <c r="A1716" s="111" t="str">
        <f t="shared" si="26"/>
        <v>JDH4-02-007-DM-1000</v>
      </c>
      <c r="B1716" t="s">
        <v>2588</v>
      </c>
      <c r="C1716" t="s">
        <v>228</v>
      </c>
      <c r="D1716" s="1">
        <v>0</v>
      </c>
      <c r="E1716" s="3">
        <v>0</v>
      </c>
      <c r="F1716" s="3">
        <v>0</v>
      </c>
      <c r="G1716">
        <v>0</v>
      </c>
    </row>
    <row r="1717" spans="1:7" x14ac:dyDescent="0.25">
      <c r="A1717" s="111" t="str">
        <f t="shared" si="26"/>
        <v>JDH4-02-007-DM-1010</v>
      </c>
      <c r="B1717" t="s">
        <v>2589</v>
      </c>
      <c r="C1717" t="s">
        <v>2590</v>
      </c>
      <c r="D1717" s="1">
        <v>0</v>
      </c>
      <c r="E1717" s="3">
        <v>0</v>
      </c>
      <c r="F1717" s="3">
        <v>0</v>
      </c>
      <c r="G1717">
        <v>0</v>
      </c>
    </row>
    <row r="1718" spans="1:7" x14ac:dyDescent="0.25">
      <c r="A1718" s="111" t="str">
        <f t="shared" si="26"/>
        <v>JDH4-02-007-DM-1020</v>
      </c>
      <c r="B1718" t="s">
        <v>2591</v>
      </c>
      <c r="C1718" t="s">
        <v>2592</v>
      </c>
      <c r="D1718" s="1">
        <v>0</v>
      </c>
      <c r="E1718" s="3">
        <v>0</v>
      </c>
      <c r="F1718" s="3">
        <v>0</v>
      </c>
      <c r="G1718">
        <v>0</v>
      </c>
    </row>
    <row r="1719" spans="1:7" x14ac:dyDescent="0.25">
      <c r="A1719" s="111" t="str">
        <f t="shared" si="26"/>
        <v>JDH4-02-007-DM-1030</v>
      </c>
      <c r="B1719" t="s">
        <v>2593</v>
      </c>
      <c r="C1719" t="s">
        <v>229</v>
      </c>
      <c r="D1719" s="1">
        <v>0</v>
      </c>
      <c r="E1719" s="3">
        <v>0</v>
      </c>
      <c r="F1719" s="3">
        <v>0</v>
      </c>
      <c r="G1719">
        <v>0</v>
      </c>
    </row>
    <row r="1720" spans="1:7" x14ac:dyDescent="0.25">
      <c r="A1720" s="111" t="str">
        <f t="shared" si="26"/>
        <v>JDH4-02-007-DM-1040</v>
      </c>
      <c r="B1720" t="s">
        <v>2594</v>
      </c>
      <c r="C1720" t="s">
        <v>2595</v>
      </c>
      <c r="D1720" s="1">
        <v>0</v>
      </c>
      <c r="E1720" s="3">
        <v>0</v>
      </c>
      <c r="F1720" s="3">
        <v>0</v>
      </c>
      <c r="G1720">
        <v>0</v>
      </c>
    </row>
    <row r="1721" spans="1:7" x14ac:dyDescent="0.25">
      <c r="A1721" s="111" t="str">
        <f t="shared" si="26"/>
        <v/>
      </c>
      <c r="D1721" s="1"/>
      <c r="E1721" s="3"/>
      <c r="F1721" s="3"/>
    </row>
    <row r="1722" spans="1:7" x14ac:dyDescent="0.25">
      <c r="A1722" s="111" t="str">
        <f t="shared" si="26"/>
        <v/>
      </c>
      <c r="D1722" s="1"/>
      <c r="E1722" s="3"/>
      <c r="F1722" s="3"/>
    </row>
    <row r="1723" spans="1:7" x14ac:dyDescent="0.25">
      <c r="A1723" s="111" t="str">
        <f t="shared" si="26"/>
        <v/>
      </c>
      <c r="D1723" s="1"/>
      <c r="E1723" s="3"/>
      <c r="F1723" s="3"/>
    </row>
    <row r="1724" spans="1:7" x14ac:dyDescent="0.25">
      <c r="A1724" s="111" t="str">
        <f t="shared" si="26"/>
        <v/>
      </c>
      <c r="D1724" s="1"/>
      <c r="E1724" s="3"/>
      <c r="F1724" s="3"/>
    </row>
    <row r="1725" spans="1:7" x14ac:dyDescent="0.25">
      <c r="A1725" s="111" t="str">
        <f t="shared" si="26"/>
        <v/>
      </c>
      <c r="D1725" s="1"/>
      <c r="F1725" s="3"/>
    </row>
    <row r="1726" spans="1:7" x14ac:dyDescent="0.25">
      <c r="A1726" s="111" t="str">
        <f t="shared" si="26"/>
        <v/>
      </c>
      <c r="D1726" s="1"/>
      <c r="E1726" s="3"/>
      <c r="F1726" s="3"/>
    </row>
    <row r="1727" spans="1:7" x14ac:dyDescent="0.25">
      <c r="A1727" s="111" t="str">
        <f t="shared" si="26"/>
        <v/>
      </c>
      <c r="D1727" s="1"/>
      <c r="E1727" s="3"/>
      <c r="F1727" s="3"/>
    </row>
    <row r="1728" spans="1:7" x14ac:dyDescent="0.25">
      <c r="A1728" s="111" t="str">
        <f t="shared" si="26"/>
        <v/>
      </c>
      <c r="D1728" s="1"/>
      <c r="E1728" s="3"/>
      <c r="F1728" s="3"/>
    </row>
    <row r="1729" spans="1:6" x14ac:dyDescent="0.25">
      <c r="A1729" s="111" t="str">
        <f t="shared" si="26"/>
        <v/>
      </c>
      <c r="D1729" s="1"/>
      <c r="E1729" s="3"/>
      <c r="F1729" s="3"/>
    </row>
    <row r="1730" spans="1:6" x14ac:dyDescent="0.25">
      <c r="A1730" s="111" t="str">
        <f t="shared" si="26"/>
        <v/>
      </c>
      <c r="D1730" s="1"/>
      <c r="E1730" s="3"/>
      <c r="F1730" s="3"/>
    </row>
    <row r="1731" spans="1:6" x14ac:dyDescent="0.25">
      <c r="A1731" s="111" t="str">
        <f t="shared" si="26"/>
        <v/>
      </c>
      <c r="D1731" s="1"/>
      <c r="F1731" s="3"/>
    </row>
    <row r="1732" spans="1:6" x14ac:dyDescent="0.25">
      <c r="A1732" s="111" t="str">
        <f t="shared" ref="A1732:A1765" si="27">TRIM(B1732)</f>
        <v/>
      </c>
      <c r="D1732" s="1"/>
      <c r="E1732" s="3"/>
      <c r="F1732" s="3"/>
    </row>
    <row r="1733" spans="1:6" x14ac:dyDescent="0.25">
      <c r="A1733" s="111" t="str">
        <f t="shared" si="27"/>
        <v/>
      </c>
      <c r="D1733" s="1"/>
      <c r="E1733" s="3"/>
      <c r="F1733" s="3"/>
    </row>
    <row r="1734" spans="1:6" x14ac:dyDescent="0.25">
      <c r="A1734" s="111" t="str">
        <f t="shared" si="27"/>
        <v/>
      </c>
      <c r="D1734" s="1"/>
      <c r="F1734" s="3"/>
    </row>
    <row r="1735" spans="1:6" x14ac:dyDescent="0.25">
      <c r="A1735" s="111" t="str">
        <f t="shared" si="27"/>
        <v/>
      </c>
      <c r="D1735" s="1"/>
      <c r="E1735" s="3"/>
      <c r="F1735" s="3"/>
    </row>
    <row r="1736" spans="1:6" x14ac:dyDescent="0.25">
      <c r="A1736" s="111" t="str">
        <f t="shared" si="27"/>
        <v/>
      </c>
      <c r="D1736" s="1"/>
      <c r="E1736" s="3"/>
      <c r="F1736" s="3"/>
    </row>
    <row r="1737" spans="1:6" x14ac:dyDescent="0.25">
      <c r="A1737" s="111" t="str">
        <f t="shared" si="27"/>
        <v/>
      </c>
      <c r="D1737" s="1"/>
      <c r="E1737" s="3"/>
      <c r="F1737" s="3"/>
    </row>
    <row r="1738" spans="1:6" x14ac:dyDescent="0.25">
      <c r="A1738" s="111" t="str">
        <f t="shared" si="27"/>
        <v/>
      </c>
      <c r="D1738" s="1"/>
      <c r="E1738" s="3"/>
      <c r="F1738" s="3"/>
    </row>
    <row r="1739" spans="1:6" x14ac:dyDescent="0.25">
      <c r="A1739" s="111" t="str">
        <f t="shared" si="27"/>
        <v/>
      </c>
      <c r="D1739" s="1"/>
      <c r="E1739" s="3"/>
      <c r="F1739" s="3"/>
    </row>
    <row r="1740" spans="1:6" x14ac:dyDescent="0.25">
      <c r="A1740" s="111" t="str">
        <f t="shared" si="27"/>
        <v/>
      </c>
      <c r="D1740" s="1"/>
      <c r="E1740" s="3"/>
      <c r="F1740" s="3"/>
    </row>
    <row r="1741" spans="1:6" x14ac:dyDescent="0.25">
      <c r="A1741" s="111" t="str">
        <f t="shared" si="27"/>
        <v/>
      </c>
      <c r="D1741" s="1"/>
      <c r="E1741" s="3"/>
      <c r="F1741" s="3"/>
    </row>
    <row r="1742" spans="1:6" x14ac:dyDescent="0.25">
      <c r="A1742" s="111" t="str">
        <f t="shared" si="27"/>
        <v/>
      </c>
      <c r="D1742" s="1"/>
      <c r="E1742" s="3"/>
      <c r="F1742" s="3"/>
    </row>
    <row r="1743" spans="1:6" x14ac:dyDescent="0.25">
      <c r="A1743" s="111" t="str">
        <f t="shared" si="27"/>
        <v/>
      </c>
      <c r="D1743" s="1"/>
      <c r="E1743" s="3"/>
      <c r="F1743" s="3"/>
    </row>
    <row r="1744" spans="1:6" x14ac:dyDescent="0.25">
      <c r="A1744" s="111" t="str">
        <f t="shared" si="27"/>
        <v/>
      </c>
      <c r="D1744" s="1"/>
      <c r="E1744" s="3"/>
      <c r="F1744" s="3"/>
    </row>
    <row r="1745" spans="1:6" x14ac:dyDescent="0.25">
      <c r="A1745" s="111" t="str">
        <f t="shared" si="27"/>
        <v/>
      </c>
      <c r="D1745" s="1"/>
      <c r="E1745" s="3"/>
      <c r="F1745" s="3"/>
    </row>
    <row r="1746" spans="1:6" x14ac:dyDescent="0.25">
      <c r="A1746" s="111" t="str">
        <f t="shared" si="27"/>
        <v/>
      </c>
      <c r="D1746" s="1"/>
      <c r="E1746" s="3"/>
      <c r="F1746" s="3"/>
    </row>
    <row r="1747" spans="1:6" x14ac:dyDescent="0.25">
      <c r="A1747" s="111" t="str">
        <f t="shared" si="27"/>
        <v/>
      </c>
      <c r="D1747" s="1"/>
      <c r="E1747" s="3"/>
      <c r="F1747" s="3"/>
    </row>
    <row r="1748" spans="1:6" x14ac:dyDescent="0.25">
      <c r="A1748" s="111" t="str">
        <f t="shared" si="27"/>
        <v/>
      </c>
      <c r="D1748" s="1"/>
      <c r="E1748" s="3"/>
      <c r="F1748" s="3"/>
    </row>
    <row r="1749" spans="1:6" x14ac:dyDescent="0.25">
      <c r="A1749" s="111" t="str">
        <f t="shared" si="27"/>
        <v/>
      </c>
      <c r="D1749" s="1"/>
      <c r="E1749" s="3"/>
      <c r="F1749" s="3"/>
    </row>
    <row r="1750" spans="1:6" x14ac:dyDescent="0.25">
      <c r="A1750" s="111" t="str">
        <f t="shared" si="27"/>
        <v/>
      </c>
      <c r="D1750" s="1"/>
      <c r="E1750" s="3"/>
      <c r="F1750" s="3"/>
    </row>
    <row r="1751" spans="1:6" x14ac:dyDescent="0.25">
      <c r="A1751" s="111" t="str">
        <f t="shared" si="27"/>
        <v/>
      </c>
      <c r="D1751" s="1"/>
      <c r="E1751" s="3"/>
      <c r="F1751" s="3"/>
    </row>
    <row r="1752" spans="1:6" x14ac:dyDescent="0.25">
      <c r="A1752" s="111" t="str">
        <f t="shared" si="27"/>
        <v/>
      </c>
      <c r="D1752" s="1"/>
      <c r="F1752" s="3"/>
    </row>
    <row r="1753" spans="1:6" x14ac:dyDescent="0.25">
      <c r="A1753" s="111" t="str">
        <f t="shared" si="27"/>
        <v/>
      </c>
      <c r="D1753" s="1"/>
      <c r="E1753" s="3"/>
      <c r="F1753" s="3"/>
    </row>
    <row r="1754" spans="1:6" x14ac:dyDescent="0.25">
      <c r="A1754" s="111" t="str">
        <f t="shared" si="27"/>
        <v/>
      </c>
      <c r="D1754" s="1"/>
      <c r="E1754" s="3"/>
      <c r="F1754" s="3"/>
    </row>
    <row r="1755" spans="1:6" x14ac:dyDescent="0.25">
      <c r="A1755" s="111" t="str">
        <f t="shared" si="27"/>
        <v/>
      </c>
      <c r="D1755" s="1"/>
      <c r="E1755" s="3"/>
      <c r="F1755" s="3"/>
    </row>
    <row r="1756" spans="1:6" x14ac:dyDescent="0.25">
      <c r="A1756" s="111" t="str">
        <f t="shared" si="27"/>
        <v/>
      </c>
      <c r="D1756" s="1"/>
      <c r="E1756" s="3"/>
      <c r="F1756" s="3"/>
    </row>
    <row r="1757" spans="1:6" x14ac:dyDescent="0.25">
      <c r="A1757" s="111" t="str">
        <f t="shared" si="27"/>
        <v/>
      </c>
      <c r="D1757" s="1"/>
      <c r="E1757" s="3"/>
      <c r="F1757" s="3"/>
    </row>
    <row r="1758" spans="1:6" x14ac:dyDescent="0.25">
      <c r="A1758" s="111" t="str">
        <f t="shared" si="27"/>
        <v/>
      </c>
      <c r="D1758" s="1"/>
      <c r="E1758" s="3"/>
      <c r="F1758" s="3"/>
    </row>
    <row r="1759" spans="1:6" x14ac:dyDescent="0.25">
      <c r="A1759" s="111" t="str">
        <f t="shared" si="27"/>
        <v/>
      </c>
      <c r="D1759" s="1"/>
      <c r="E1759" s="3"/>
      <c r="F1759" s="3"/>
    </row>
    <row r="1760" spans="1:6" x14ac:dyDescent="0.25">
      <c r="A1760" s="111" t="str">
        <f t="shared" si="27"/>
        <v/>
      </c>
      <c r="D1760" s="1"/>
      <c r="E1760" s="3"/>
      <c r="F1760" s="3"/>
    </row>
    <row r="1761" spans="1:6" x14ac:dyDescent="0.25">
      <c r="A1761" s="111" t="str">
        <f t="shared" si="27"/>
        <v/>
      </c>
      <c r="D1761" s="1"/>
      <c r="E1761" s="3"/>
      <c r="F1761" s="3"/>
    </row>
    <row r="1762" spans="1:6" x14ac:dyDescent="0.25">
      <c r="A1762" s="111" t="str">
        <f t="shared" si="27"/>
        <v/>
      </c>
      <c r="D1762" s="1"/>
      <c r="E1762" s="3"/>
      <c r="F1762" s="3"/>
    </row>
    <row r="1763" spans="1:6" x14ac:dyDescent="0.25">
      <c r="A1763" s="111" t="str">
        <f t="shared" si="27"/>
        <v/>
      </c>
      <c r="D1763" s="1"/>
      <c r="E1763" s="3"/>
      <c r="F1763" s="3"/>
    </row>
    <row r="1764" spans="1:6" x14ac:dyDescent="0.25">
      <c r="A1764" s="111" t="str">
        <f t="shared" si="27"/>
        <v/>
      </c>
      <c r="D1764" s="1"/>
      <c r="E1764" s="3"/>
      <c r="F1764" s="3"/>
    </row>
    <row r="1765" spans="1:6" x14ac:dyDescent="0.25">
      <c r="A1765" s="111" t="str">
        <f t="shared" si="27"/>
        <v/>
      </c>
      <c r="D1765" s="1"/>
      <c r="E1765" s="3"/>
      <c r="F17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 Progress</vt:lpstr>
      <vt:lpstr>Current week</vt:lpstr>
      <vt:lpstr>Previous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MANSOOR</dc:creator>
  <cp:lastModifiedBy>Muhammed Sablin (Sr planning Engr.)</cp:lastModifiedBy>
  <dcterms:created xsi:type="dcterms:W3CDTF">2015-06-05T18:17:20Z</dcterms:created>
  <dcterms:modified xsi:type="dcterms:W3CDTF">2026-10-20T08:43:36Z</dcterms:modified>
</cp:coreProperties>
</file>
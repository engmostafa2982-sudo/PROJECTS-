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otaibi\Downloads\"/>
    </mc:Choice>
  </mc:AlternateContent>
  <xr:revisionPtr revIDLastSave="0" documentId="13_ncr:1_{9D3C6154-3A79-4B34-8DE2-DF77C82C0291}" xr6:coauthVersionLast="36" xr6:coauthVersionMax="36" xr10:uidLastSave="{00000000-0000-0000-0000-000000000000}"/>
  <bookViews>
    <workbookView xWindow="0" yWindow="0" windowWidth="28800" windowHeight="12105" tabRatio="839" activeTab="7" xr2:uid="{00000000-000D-0000-FFFF-FFFF00000000}"/>
  </bookViews>
  <sheets>
    <sheet name="General Summary " sheetId="4" r:id="rId1"/>
    <sheet name="Cover1" sheetId="8" r:id="rId2"/>
    <sheet name="Preamble1" sheetId="9" r:id="rId3"/>
    <sheet name="P.1" sheetId="5" r:id="rId4"/>
    <sheet name="Cover2" sheetId="10" r:id="rId5"/>
    <sheet name="Preamble2" sheetId="11" r:id="rId6"/>
    <sheet name="P.2" sheetId="6" r:id="rId7"/>
    <sheet name="Cover3" sheetId="12" r:id="rId8"/>
    <sheet name="Preamble3" sheetId="13" r:id="rId9"/>
    <sheet name="P.3" sheetId="7" r:id="rId10"/>
    <sheet name="Chamber1" sheetId="14" state="hidden" r:id="rId11"/>
    <sheet name="MAN TYPE1" sheetId="15" state="hidden" r:id="rId12"/>
  </sheets>
  <definedNames>
    <definedName name="\" hidden="1">{#N/A,#N/A,TRUE,"Front";#N/A,#N/A,TRUE,"Simple Letter";#N/A,#N/A,TRUE,"Inside";#N/A,#N/A,TRUE,"Contents";#N/A,#N/A,TRUE,"Basis";#N/A,#N/A,TRUE,"Inclusions";#N/A,#N/A,TRUE,"Exclusions";#N/A,#N/A,TRUE,"Areas";#N/A,#N/A,TRUE,"Summary";#N/A,#N/A,TRUE,"Detail"}</definedName>
    <definedName name="\0">#N/A</definedName>
    <definedName name="\00">#REF!</definedName>
    <definedName name="\2" hidden="1">#REF!</definedName>
    <definedName name="\44333">#REF!</definedName>
    <definedName name="\a">#REF!</definedName>
    <definedName name="\add9a">#REF!</definedName>
    <definedName name="\b">#N/A</definedName>
    <definedName name="\c">#REF!</definedName>
    <definedName name="\d">#REF!</definedName>
    <definedName name="\e">#REF!</definedName>
    <definedName name="\F">#REF!</definedName>
    <definedName name="\h">#REF!</definedName>
    <definedName name="\i">#N/A</definedName>
    <definedName name="\j">#REF!</definedName>
    <definedName name="\k">#REF!</definedName>
    <definedName name="\l">#REF!</definedName>
    <definedName name="\m">#REF!</definedName>
    <definedName name="\n">#REF!</definedName>
    <definedName name="\o">#REF!</definedName>
    <definedName name="\P">#REF!</definedName>
    <definedName name="\q">#N/A</definedName>
    <definedName name="\r">#REF!</definedName>
    <definedName name="\s">#N/A</definedName>
    <definedName name="\T">#REF!</definedName>
    <definedName name="\X">#REF!</definedName>
    <definedName name="\z">#N/A</definedName>
    <definedName name="\zpr">#REF!</definedName>
    <definedName name="_" hidden="1">#REF!</definedName>
    <definedName name="__" hidden="1">#REF!</definedName>
    <definedName name="_________________________________________________________________________________________________ccr1" hidden="1">{#N/A,#N/A,TRUE,"Cover";#N/A,#N/A,TRUE,"Conts";#N/A,#N/A,TRUE,"VOS";#N/A,#N/A,TRUE,"Warrington";#N/A,#N/A,TRUE,"Widnes"}</definedName>
    <definedName name="_______________________________________________________________________________________________ccr1" hidden="1">{#N/A,#N/A,TRUE,"Cover";#N/A,#N/A,TRUE,"Conts";#N/A,#N/A,TRUE,"VOS";#N/A,#N/A,TRUE,"Warrington";#N/A,#N/A,TRUE,"Widnes"}</definedName>
    <definedName name="___________________________________________________________________________________ccr1" hidden="1">{#N/A,#N/A,TRUE,"Cover";#N/A,#N/A,TRUE,"Conts";#N/A,#N/A,TRUE,"VOS";#N/A,#N/A,TRUE,"Warrington";#N/A,#N/A,TRUE,"Widnes"}</definedName>
    <definedName name="_________________________________________________________________________________ccr1" hidden="1">{#N/A,#N/A,TRUE,"Cover";#N/A,#N/A,TRUE,"Conts";#N/A,#N/A,TRUE,"VOS";#N/A,#N/A,TRUE,"Warrington";#N/A,#N/A,TRUE,"Widnes"}</definedName>
    <definedName name="_______________________________________________________________________________ccr1" hidden="1">{#N/A,#N/A,TRUE,"Cover";#N/A,#N/A,TRUE,"Conts";#N/A,#N/A,TRUE,"VOS";#N/A,#N/A,TRUE,"Warrington";#N/A,#N/A,TRUE,"Widnes"}</definedName>
    <definedName name="______________________________________________________________________________ccr1" hidden="1">{#N/A,#N/A,TRUE,"Cover";#N/A,#N/A,TRUE,"Conts";#N/A,#N/A,TRUE,"VOS";#N/A,#N/A,TRUE,"Warrington";#N/A,#N/A,TRUE,"Widnes"}</definedName>
    <definedName name="____________________________________________________________________________ccr1" hidden="1">{#N/A,#N/A,TRUE,"Cover";#N/A,#N/A,TRUE,"Conts";#N/A,#N/A,TRUE,"VOS";#N/A,#N/A,TRUE,"Warrington";#N/A,#N/A,TRUE,"Widnes"}</definedName>
    <definedName name="___________________________________________________________________________ccr1" hidden="1">{#N/A,#N/A,TRUE,"Cover";#N/A,#N/A,TRUE,"Conts";#N/A,#N/A,TRUE,"VOS";#N/A,#N/A,TRUE,"Warrington";#N/A,#N/A,TRUE,"Widnes"}</definedName>
    <definedName name="__________________________________________________________________________ccr1" hidden="1">{#N/A,#N/A,TRUE,"Cover";#N/A,#N/A,TRUE,"Conts";#N/A,#N/A,TRUE,"VOS";#N/A,#N/A,TRUE,"Warrington";#N/A,#N/A,TRUE,"Widnes"}</definedName>
    <definedName name="_________________________________________________________________________ccr1" hidden="1">{#N/A,#N/A,TRUE,"Cover";#N/A,#N/A,TRUE,"Conts";#N/A,#N/A,TRUE,"VOS";#N/A,#N/A,TRUE,"Warrington";#N/A,#N/A,TRUE,"Widnes"}</definedName>
    <definedName name="________________________________________________________________________ccr1" hidden="1">{#N/A,#N/A,TRUE,"Cover";#N/A,#N/A,TRUE,"Conts";#N/A,#N/A,TRUE,"VOS";#N/A,#N/A,TRUE,"Warrington";#N/A,#N/A,TRUE,"Widnes"}</definedName>
    <definedName name="_______________________________________________________________________ccr1" hidden="1">{#N/A,#N/A,TRUE,"Cover";#N/A,#N/A,TRUE,"Conts";#N/A,#N/A,TRUE,"VOS";#N/A,#N/A,TRUE,"Warrington";#N/A,#N/A,TRUE,"Widnes"}</definedName>
    <definedName name="_____________________________________________________________________ccr1" hidden="1">{#N/A,#N/A,TRUE,"Cover";#N/A,#N/A,TRUE,"Conts";#N/A,#N/A,TRUE,"VOS";#N/A,#N/A,TRUE,"Warrington";#N/A,#N/A,TRUE,"Widnes"}</definedName>
    <definedName name="____________________________________________________________________ccr1" hidden="1">{#N/A,#N/A,TRUE,"Cover";#N/A,#N/A,TRUE,"Conts";#N/A,#N/A,TRUE,"VOS";#N/A,#N/A,TRUE,"Warrington";#N/A,#N/A,TRUE,"Widnes"}</definedName>
    <definedName name="___________________________________________________________________ccr1" hidden="1">{#N/A,#N/A,TRUE,"Cover";#N/A,#N/A,TRUE,"Conts";#N/A,#N/A,TRUE,"VOS";#N/A,#N/A,TRUE,"Warrington";#N/A,#N/A,TRUE,"Widnes"}</definedName>
    <definedName name="_________________________________________________________________ccr1" hidden="1">{#N/A,#N/A,TRUE,"Cover";#N/A,#N/A,TRUE,"Conts";#N/A,#N/A,TRUE,"VOS";#N/A,#N/A,TRUE,"Warrington";#N/A,#N/A,TRUE,"Widnes"}</definedName>
    <definedName name="________________________________________________________________ccr1" hidden="1">{#N/A,#N/A,TRUE,"Cover";#N/A,#N/A,TRUE,"Conts";#N/A,#N/A,TRUE,"VOS";#N/A,#N/A,TRUE,"Warrington";#N/A,#N/A,TRUE,"Widnes"}</definedName>
    <definedName name="_______________________________________________________________ccr1" hidden="1">{#N/A,#N/A,TRUE,"Cover";#N/A,#N/A,TRUE,"Conts";#N/A,#N/A,TRUE,"VOS";#N/A,#N/A,TRUE,"Warrington";#N/A,#N/A,TRUE,"Widnes"}</definedName>
    <definedName name="______________________________________________________________ccr1" hidden="1">{#N/A,#N/A,TRUE,"Cover";#N/A,#N/A,TRUE,"Conts";#N/A,#N/A,TRUE,"VOS";#N/A,#N/A,TRUE,"Warrington";#N/A,#N/A,TRUE,"Widnes"}</definedName>
    <definedName name="_____________________________________________________________ccr1" hidden="1">{#N/A,#N/A,TRUE,"Cover";#N/A,#N/A,TRUE,"Conts";#N/A,#N/A,TRUE,"VOS";#N/A,#N/A,TRUE,"Warrington";#N/A,#N/A,TRUE,"Widnes"}</definedName>
    <definedName name="____________________________________________________________ccr1" hidden="1">{#N/A,#N/A,TRUE,"Cover";#N/A,#N/A,TRUE,"Conts";#N/A,#N/A,TRUE,"VOS";#N/A,#N/A,TRUE,"Warrington";#N/A,#N/A,TRUE,"Widnes"}</definedName>
    <definedName name="___________________________________________________________ccr1" hidden="1">{#N/A,#N/A,TRUE,"Cover";#N/A,#N/A,TRUE,"Conts";#N/A,#N/A,TRUE,"VOS";#N/A,#N/A,TRUE,"Warrington";#N/A,#N/A,TRUE,"Widnes"}</definedName>
    <definedName name="__________________________________________________________ccr1" hidden="1">{#N/A,#N/A,TRUE,"Cover";#N/A,#N/A,TRUE,"Conts";#N/A,#N/A,TRUE,"VOS";#N/A,#N/A,TRUE,"Warrington";#N/A,#N/A,TRUE,"Widnes"}</definedName>
    <definedName name="_________________________________________________________ccr1" hidden="1">{#N/A,#N/A,TRUE,"Cover";#N/A,#N/A,TRUE,"Conts";#N/A,#N/A,TRUE,"VOS";#N/A,#N/A,TRUE,"Warrington";#N/A,#N/A,TRUE,"Widnes"}</definedName>
    <definedName name="________________________________________________________ccr1" hidden="1">{#N/A,#N/A,TRUE,"Cover";#N/A,#N/A,TRUE,"Conts";#N/A,#N/A,TRUE,"VOS";#N/A,#N/A,TRUE,"Warrington";#N/A,#N/A,TRUE,"Widnes"}</definedName>
    <definedName name="_______________________________________________________ccr1" hidden="1">{#N/A,#N/A,TRUE,"Cover";#N/A,#N/A,TRUE,"Conts";#N/A,#N/A,TRUE,"VOS";#N/A,#N/A,TRUE,"Warrington";#N/A,#N/A,TRUE,"Widnes"}</definedName>
    <definedName name="______________________________________________________ccr1" hidden="1">{#N/A,#N/A,TRUE,"Cover";#N/A,#N/A,TRUE,"Conts";#N/A,#N/A,TRUE,"VOS";#N/A,#N/A,TRUE,"Warrington";#N/A,#N/A,TRUE,"Widnes"}</definedName>
    <definedName name="_____________________________________________________ccr1" hidden="1">{#N/A,#N/A,TRUE,"Cover";#N/A,#N/A,TRUE,"Conts";#N/A,#N/A,TRUE,"VOS";#N/A,#N/A,TRUE,"Warrington";#N/A,#N/A,TRUE,"Widnes"}</definedName>
    <definedName name="____________________________________________________ccr1" hidden="1">{#N/A,#N/A,TRUE,"Cover";#N/A,#N/A,TRUE,"Conts";#N/A,#N/A,TRUE,"VOS";#N/A,#N/A,TRUE,"Warrington";#N/A,#N/A,TRUE,"Widnes"}</definedName>
    <definedName name="___________________________________________________ccr1" hidden="1">{#N/A,#N/A,TRUE,"Cover";#N/A,#N/A,TRUE,"Conts";#N/A,#N/A,TRUE,"VOS";#N/A,#N/A,TRUE,"Warrington";#N/A,#N/A,TRUE,"Widnes"}</definedName>
    <definedName name="__________________________________________________ccr1" hidden="1">{#N/A,#N/A,TRUE,"Cover";#N/A,#N/A,TRUE,"Conts";#N/A,#N/A,TRUE,"VOS";#N/A,#N/A,TRUE,"Warrington";#N/A,#N/A,TRUE,"Widnes"}</definedName>
    <definedName name="_________________________________________________ccr1" hidden="1">{#N/A,#N/A,TRUE,"Cover";#N/A,#N/A,TRUE,"Conts";#N/A,#N/A,TRUE,"VOS";#N/A,#N/A,TRUE,"Warrington";#N/A,#N/A,TRUE,"Widnes"}</definedName>
    <definedName name="________________________________________________ccr1" hidden="1">{#N/A,#N/A,TRUE,"Cover";#N/A,#N/A,TRUE,"Conts";#N/A,#N/A,TRUE,"VOS";#N/A,#N/A,TRUE,"Warrington";#N/A,#N/A,TRUE,"Widnes"}</definedName>
    <definedName name="_______________________________________________ccr1" hidden="1">{#N/A,#N/A,TRUE,"Cover";#N/A,#N/A,TRUE,"Conts";#N/A,#N/A,TRUE,"VOS";#N/A,#N/A,TRUE,"Warrington";#N/A,#N/A,TRUE,"Widnes"}</definedName>
    <definedName name="______________________________________________ccr1" hidden="1">{#N/A,#N/A,TRUE,"Cover";#N/A,#N/A,TRUE,"Conts";#N/A,#N/A,TRUE,"VOS";#N/A,#N/A,TRUE,"Warrington";#N/A,#N/A,TRUE,"Widnes"}</definedName>
    <definedName name="____________________________________________ccr1" hidden="1">{#N/A,#N/A,TRUE,"Cover";#N/A,#N/A,TRUE,"Conts";#N/A,#N/A,TRUE,"VOS";#N/A,#N/A,TRUE,"Warrington";#N/A,#N/A,TRUE,"Widnes"}</definedName>
    <definedName name="___________________________________________ccr1" hidden="1">{#N/A,#N/A,TRUE,"Cover";#N/A,#N/A,TRUE,"Conts";#N/A,#N/A,TRUE,"VOS";#N/A,#N/A,TRUE,"Warrington";#N/A,#N/A,TRUE,"Widnes"}</definedName>
    <definedName name="__________________________________________ccr1" hidden="1">{#N/A,#N/A,TRUE,"Cover";#N/A,#N/A,TRUE,"Conts";#N/A,#N/A,TRUE,"VOS";#N/A,#N/A,TRUE,"Warrington";#N/A,#N/A,TRUE,"Widnes"}</definedName>
    <definedName name="_________________________________________ccr1" hidden="1">{#N/A,#N/A,TRUE,"Cover";#N/A,#N/A,TRUE,"Conts";#N/A,#N/A,TRUE,"VOS";#N/A,#N/A,TRUE,"Warrington";#N/A,#N/A,TRUE,"Widnes"}</definedName>
    <definedName name="________________________________________ccr1" hidden="1">{#N/A,#N/A,TRUE,"Cover";#N/A,#N/A,TRUE,"Conts";#N/A,#N/A,TRUE,"VOS";#N/A,#N/A,TRUE,"Warrington";#N/A,#N/A,TRUE,"Widnes"}</definedName>
    <definedName name="_______________________________________ccr1" hidden="1">{#N/A,#N/A,TRUE,"Cover";#N/A,#N/A,TRUE,"Conts";#N/A,#N/A,TRUE,"VOS";#N/A,#N/A,TRUE,"Warrington";#N/A,#N/A,TRUE,"Widnes"}</definedName>
    <definedName name="______________________________________ccr1" hidden="1">{#N/A,#N/A,TRUE,"Cover";#N/A,#N/A,TRUE,"Conts";#N/A,#N/A,TRUE,"VOS";#N/A,#N/A,TRUE,"Warrington";#N/A,#N/A,TRUE,"Widnes"}</definedName>
    <definedName name="_____________________________________ccr1" hidden="1">{#N/A,#N/A,TRUE,"Cover";#N/A,#N/A,TRUE,"Conts";#N/A,#N/A,TRUE,"VOS";#N/A,#N/A,TRUE,"Warrington";#N/A,#N/A,TRUE,"Widnes"}</definedName>
    <definedName name="____________________________________ccr1" hidden="1">{#N/A,#N/A,TRUE,"Cover";#N/A,#N/A,TRUE,"Conts";#N/A,#N/A,TRUE,"VOS";#N/A,#N/A,TRUE,"Warrington";#N/A,#N/A,TRUE,"Widnes"}</definedName>
    <definedName name="___________________________________ccr1" hidden="1">{#N/A,#N/A,TRUE,"Cover";#N/A,#N/A,TRUE,"Conts";#N/A,#N/A,TRUE,"VOS";#N/A,#N/A,TRUE,"Warrington";#N/A,#N/A,TRUE,"Widnes"}</definedName>
    <definedName name="__________________________________ccr1" hidden="1">{#N/A,#N/A,TRUE,"Cover";#N/A,#N/A,TRUE,"Conts";#N/A,#N/A,TRUE,"VOS";#N/A,#N/A,TRUE,"Warrington";#N/A,#N/A,TRUE,"Widnes"}</definedName>
    <definedName name="_________________________________ccr1" hidden="1">{#N/A,#N/A,TRUE,"Cover";#N/A,#N/A,TRUE,"Conts";#N/A,#N/A,TRUE,"VOS";#N/A,#N/A,TRUE,"Warrington";#N/A,#N/A,TRUE,"Widnes"}</definedName>
    <definedName name="_______________________________ccr1" hidden="1">{#N/A,#N/A,TRUE,"Cover";#N/A,#N/A,TRUE,"Conts";#N/A,#N/A,TRUE,"VOS";#N/A,#N/A,TRUE,"Warrington";#N/A,#N/A,TRUE,"Widnes"}</definedName>
    <definedName name="______________________________ccr1" hidden="1">{#N/A,#N/A,TRUE,"Cover";#N/A,#N/A,TRUE,"Conts";#N/A,#N/A,TRUE,"VOS";#N/A,#N/A,TRUE,"Warrington";#N/A,#N/A,TRUE,"Widnes"}</definedName>
    <definedName name="_____________________________ccr1" hidden="1">{#N/A,#N/A,TRUE,"Cover";#N/A,#N/A,TRUE,"Conts";#N/A,#N/A,TRUE,"VOS";#N/A,#N/A,TRUE,"Warrington";#N/A,#N/A,TRUE,"Widnes"}</definedName>
    <definedName name="____________________________ccr1" hidden="1">{#N/A,#N/A,TRUE,"Cover";#N/A,#N/A,TRUE,"Conts";#N/A,#N/A,TRUE,"VOS";#N/A,#N/A,TRUE,"Warrington";#N/A,#N/A,TRUE,"Widnes"}</definedName>
    <definedName name="___________________________ccr1" hidden="1">{#N/A,#N/A,TRUE,"Cover";#N/A,#N/A,TRUE,"Conts";#N/A,#N/A,TRUE,"VOS";#N/A,#N/A,TRUE,"Warrington";#N/A,#N/A,TRUE,"Widnes"}</definedName>
    <definedName name="__________________________ccr1" hidden="1">{#N/A,#N/A,TRUE,"Cover";#N/A,#N/A,TRUE,"Conts";#N/A,#N/A,TRUE,"VOS";#N/A,#N/A,TRUE,"Warrington";#N/A,#N/A,TRUE,"Widnes"}</definedName>
    <definedName name="__________________________dep2">#REF!</definedName>
    <definedName name="__________________________dep3">#REF!</definedName>
    <definedName name="__________________________ext2">#REF!</definedName>
    <definedName name="__________________________ext3">#REF!</definedName>
    <definedName name="__________________________len2">#REF!</definedName>
    <definedName name="__________________________len3">#REF!</definedName>
    <definedName name="__________________________pc1">#REF!</definedName>
    <definedName name="__________________________pc2">#REF!</definedName>
    <definedName name="__________________________pc3">#REF!</definedName>
    <definedName name="__________________________tbc2">#REF!</definedName>
    <definedName name="__________________________tbc3">#REF!</definedName>
    <definedName name="__________________________wid2">#REF!</definedName>
    <definedName name="__________________________wid3">#REF!</definedName>
    <definedName name="_________________________ccr1" hidden="1">{#N/A,#N/A,TRUE,"Cover";#N/A,#N/A,TRUE,"Conts";#N/A,#N/A,TRUE,"VOS";#N/A,#N/A,TRUE,"Warrington";#N/A,#N/A,TRUE,"Widnes"}</definedName>
    <definedName name="_________________________dep2">#REF!</definedName>
    <definedName name="_________________________dep3">#REF!</definedName>
    <definedName name="_________________________ext2">#REF!</definedName>
    <definedName name="_________________________ext3">#REF!</definedName>
    <definedName name="_________________________len2">#REF!</definedName>
    <definedName name="_________________________len3">#REF!</definedName>
    <definedName name="_________________________pc1">#REF!</definedName>
    <definedName name="_________________________pc2">#REF!</definedName>
    <definedName name="_________________________pc3">#REF!</definedName>
    <definedName name="_________________________tbc2">#REF!</definedName>
    <definedName name="_________________________tbc3">#REF!</definedName>
    <definedName name="_________________________wid2">#REF!</definedName>
    <definedName name="_________________________wid3">#REF!</definedName>
    <definedName name="________________________ccr1" hidden="1">{#N/A,#N/A,TRUE,"Cover";#N/A,#N/A,TRUE,"Conts";#N/A,#N/A,TRUE,"VOS";#N/A,#N/A,TRUE,"Warrington";#N/A,#N/A,TRUE,"Widnes"}</definedName>
    <definedName name="_______________________ccr1" hidden="1">{#N/A,#N/A,TRUE,"Cover";#N/A,#N/A,TRUE,"Conts";#N/A,#N/A,TRUE,"VOS";#N/A,#N/A,TRUE,"Warrington";#N/A,#N/A,TRUE,"Widnes"}</definedName>
    <definedName name="_______________________dep2">#REF!</definedName>
    <definedName name="_______________________dep3">#REF!</definedName>
    <definedName name="_______________________ext2">#REF!</definedName>
    <definedName name="_______________________ext3">#REF!</definedName>
    <definedName name="_______________________len2">#REF!</definedName>
    <definedName name="_______________________len3">#REF!</definedName>
    <definedName name="_______________________pc1">#REF!</definedName>
    <definedName name="_______________________pc2">#REF!</definedName>
    <definedName name="_______________________pc3">#REF!</definedName>
    <definedName name="_______________________tbc2">#REF!</definedName>
    <definedName name="_______________________tbc3">#REF!</definedName>
    <definedName name="_______________________wid2">#REF!</definedName>
    <definedName name="_______________________wid3">#REF!</definedName>
    <definedName name="______________________ccr1" hidden="1">{#N/A,#N/A,TRUE,"Cover";#N/A,#N/A,TRUE,"Conts";#N/A,#N/A,TRUE,"VOS";#N/A,#N/A,TRUE,"Warrington";#N/A,#N/A,TRUE,"Widnes"}</definedName>
    <definedName name="______________________dep2">#REF!</definedName>
    <definedName name="______________________dep3">#REF!</definedName>
    <definedName name="______________________ext2">#REF!</definedName>
    <definedName name="______________________ext3">#REF!</definedName>
    <definedName name="______________________len2">#REF!</definedName>
    <definedName name="______________________len3">#REF!</definedName>
    <definedName name="______________________pc1">#REF!</definedName>
    <definedName name="______________________pc2">#REF!</definedName>
    <definedName name="______________________pc3">#REF!</definedName>
    <definedName name="______________________tbc2">#REF!</definedName>
    <definedName name="______________________tbc3">#REF!</definedName>
    <definedName name="______________________wid2">#REF!</definedName>
    <definedName name="______________________wid3">#REF!</definedName>
    <definedName name="_____________________A1" hidden="1">{#N/A,#N/A,TRUE,"Basic";#N/A,#N/A,TRUE,"EXT-TABLE";#N/A,#N/A,TRUE,"STEEL";#N/A,#N/A,TRUE,"INT-Table";#N/A,#N/A,TRUE,"STEEL";#N/A,#N/A,TRUE,"Door"}</definedName>
    <definedName name="_____________________ccr1" hidden="1">{#N/A,#N/A,TRUE,"Cover";#N/A,#N/A,TRUE,"Conts";#N/A,#N/A,TRUE,"VOS";#N/A,#N/A,TRUE,"Warrington";#N/A,#N/A,TRUE,"Widnes"}</definedName>
    <definedName name="_____________________dep2">#REF!</definedName>
    <definedName name="_____________________dep3">#REF!</definedName>
    <definedName name="_____________________ext2">#REF!</definedName>
    <definedName name="_____________________ext3">#REF!</definedName>
    <definedName name="_____________________len2">#REF!</definedName>
    <definedName name="_____________________len3">#REF!</definedName>
    <definedName name="_____________________pc1">#REF!</definedName>
    <definedName name="_____________________pc2">#REF!</definedName>
    <definedName name="_____________________pc3">#REF!</definedName>
    <definedName name="_____________________tbc2">#REF!</definedName>
    <definedName name="_____________________tbc3">#REF!</definedName>
    <definedName name="_____________________wid2">#REF!</definedName>
    <definedName name="_____________________wid3">#REF!</definedName>
    <definedName name="____________________ccr1" hidden="1">{#N/A,#N/A,TRUE,"Cover";#N/A,#N/A,TRUE,"Conts";#N/A,#N/A,TRUE,"VOS";#N/A,#N/A,TRUE,"Warrington";#N/A,#N/A,TRUE,"Widnes"}</definedName>
    <definedName name="____________________dep2">#REF!</definedName>
    <definedName name="____________________dep3">#REF!</definedName>
    <definedName name="____________________ext2">#REF!</definedName>
    <definedName name="____________________ext3">#REF!</definedName>
    <definedName name="____________________len2">#REF!</definedName>
    <definedName name="____________________len3">#REF!</definedName>
    <definedName name="____________________pc1">#REF!</definedName>
    <definedName name="____________________pc2">#REF!</definedName>
    <definedName name="____________________pc3">#REF!</definedName>
    <definedName name="____________________tbc2">#REF!</definedName>
    <definedName name="____________________tbc3">#REF!</definedName>
    <definedName name="____________________wid2">#REF!</definedName>
    <definedName name="____________________wid3">#REF!</definedName>
    <definedName name="___________________ccr1" hidden="1">{#N/A,#N/A,TRUE,"Cover";#N/A,#N/A,TRUE,"Conts";#N/A,#N/A,TRUE,"VOS";#N/A,#N/A,TRUE,"Warrington";#N/A,#N/A,TRUE,"Widnes"}</definedName>
    <definedName name="___________________dep2">#REF!</definedName>
    <definedName name="___________________dep3">#REF!</definedName>
    <definedName name="___________________ext2">#REF!</definedName>
    <definedName name="___________________ext3">#REF!</definedName>
    <definedName name="___________________len2">#REF!</definedName>
    <definedName name="___________________len3">#REF!</definedName>
    <definedName name="___________________pc1">#REF!</definedName>
    <definedName name="___________________pc2">#REF!</definedName>
    <definedName name="___________________pc3">#REF!</definedName>
    <definedName name="___________________tbc2">#REF!</definedName>
    <definedName name="___________________tbc3">#REF!</definedName>
    <definedName name="___________________wid2">#REF!</definedName>
    <definedName name="___________________wid3">#REF!</definedName>
    <definedName name="__________________ccr1" hidden="1">{#N/A,#N/A,TRUE,"Cover";#N/A,#N/A,TRUE,"Conts";#N/A,#N/A,TRUE,"VOS";#N/A,#N/A,TRUE,"Warrington";#N/A,#N/A,TRUE,"Widnes"}</definedName>
    <definedName name="__________________dep2">#REF!</definedName>
    <definedName name="__________________dep3">#REF!</definedName>
    <definedName name="__________________ext2">#REF!</definedName>
    <definedName name="__________________ext3">#REF!</definedName>
    <definedName name="__________________len2">#REF!</definedName>
    <definedName name="__________________len3">#REF!</definedName>
    <definedName name="__________________pc1">#REF!</definedName>
    <definedName name="__________________pc2">#REF!</definedName>
    <definedName name="__________________pc3">#REF!</definedName>
    <definedName name="__________________tbc2">#REF!</definedName>
    <definedName name="__________________tbc3">#REF!</definedName>
    <definedName name="__________________wid2">#REF!</definedName>
    <definedName name="__________________wid3">#REF!</definedName>
    <definedName name="_________________A1" hidden="1">{#N/A,#N/A,TRUE,"Basic";#N/A,#N/A,TRUE,"EXT-TABLE";#N/A,#N/A,TRUE,"STEEL";#N/A,#N/A,TRUE,"INT-Table";#N/A,#N/A,TRUE,"STEEL";#N/A,#N/A,TRUE,"Door"}</definedName>
    <definedName name="_________________ccr1" hidden="1">{#N/A,#N/A,TRUE,"Cover";#N/A,#N/A,TRUE,"Conts";#N/A,#N/A,TRUE,"VOS";#N/A,#N/A,TRUE,"Warrington";#N/A,#N/A,TRUE,"Widnes"}</definedName>
    <definedName name="_________________dep2">#REF!</definedName>
    <definedName name="_________________dep3">#REF!</definedName>
    <definedName name="_________________ext2">#REF!</definedName>
    <definedName name="_________________ext3">#REF!</definedName>
    <definedName name="_________________len2">#REF!</definedName>
    <definedName name="_________________len3">#REF!</definedName>
    <definedName name="_________________pc1">#REF!</definedName>
    <definedName name="_________________pc2">#REF!</definedName>
    <definedName name="_________________pc3">#REF!</definedName>
    <definedName name="_________________tbc2">#REF!</definedName>
    <definedName name="_________________tbc3">#REF!</definedName>
    <definedName name="_________________wid2">#REF!</definedName>
    <definedName name="_________________wid3">#REF!</definedName>
    <definedName name="________________B19000">#REF!</definedName>
    <definedName name="________________B19999">#REF!</definedName>
    <definedName name="________________B20000">#REF!</definedName>
    <definedName name="________________ccr1" hidden="1">{#N/A,#N/A,TRUE,"Cover";#N/A,#N/A,TRUE,"Conts";#N/A,#N/A,TRUE,"VOS";#N/A,#N/A,TRUE,"Warrington";#N/A,#N/A,TRUE,"Widnes"}</definedName>
    <definedName name="________________dep2">#REF!</definedName>
    <definedName name="________________dep3">#REF!</definedName>
    <definedName name="________________e20000">#REF!</definedName>
    <definedName name="________________e99991">#REF!</definedName>
    <definedName name="________________ext2">#REF!</definedName>
    <definedName name="________________ext3">#REF!</definedName>
    <definedName name="________________len2">#REF!</definedName>
    <definedName name="________________len3">#REF!</definedName>
    <definedName name="________________pc1">#REF!</definedName>
    <definedName name="________________pc2">#REF!</definedName>
    <definedName name="________________pc3">#REF!</definedName>
    <definedName name="________________tbc2">#REF!</definedName>
    <definedName name="________________tbc3">#REF!</definedName>
    <definedName name="________________wid2">#REF!</definedName>
    <definedName name="________________wid3">#REF!</definedName>
    <definedName name="_______________A1" hidden="1">{#N/A,#N/A,TRUE,"Basic";#N/A,#N/A,TRUE,"EXT-TABLE";#N/A,#N/A,TRUE,"STEEL";#N/A,#N/A,TRUE,"INT-Table";#N/A,#N/A,TRUE,"STEEL";#N/A,#N/A,TRUE,"Door"}</definedName>
    <definedName name="_______________ab1" hidden="1">{#N/A,#N/A,FALSE,"SumD";#N/A,#N/A,FALSE,"ElecD";#N/A,#N/A,FALSE,"MechD";#N/A,#N/A,FALSE,"GeotD";#N/A,#N/A,FALSE,"PrcsD";#N/A,#N/A,FALSE,"TunnD";#N/A,#N/A,FALSE,"CivlD";#N/A,#N/A,FALSE,"NtwkD";#N/A,#N/A,FALSE,"EstgD";#N/A,#N/A,FALSE,"PEngD"}</definedName>
    <definedName name="_______________as1" hidden="1">{#N/A,#N/A,FALSE,"SumD";#N/A,#N/A,FALSE,"ElecD";#N/A,#N/A,FALSE,"MechD";#N/A,#N/A,FALSE,"GeotD";#N/A,#N/A,FALSE,"PrcsD";#N/A,#N/A,FALSE,"TunnD";#N/A,#N/A,FALSE,"CivlD";#N/A,#N/A,FALSE,"NtwkD";#N/A,#N/A,FALSE,"EstgD";#N/A,#N/A,FALSE,"PEngD"}</definedName>
    <definedName name="_______________B19000">#REF!</definedName>
    <definedName name="_______________B19999">#REF!</definedName>
    <definedName name="_______________B20000">#REF!</definedName>
    <definedName name="_______________ccr1" hidden="1">{#N/A,#N/A,TRUE,"Cover";#N/A,#N/A,TRUE,"Conts";#N/A,#N/A,TRUE,"VOS";#N/A,#N/A,TRUE,"Warrington";#N/A,#N/A,TRUE,"Widnes"}</definedName>
    <definedName name="_______________dep2">#REF!</definedName>
    <definedName name="_______________dep3">#REF!</definedName>
    <definedName name="_______________e20000">#REF!</definedName>
    <definedName name="_______________e99991">#REF!</definedName>
    <definedName name="_______________ext2">#REF!</definedName>
    <definedName name="_______________ext3">#REF!</definedName>
    <definedName name="_______________len2">#REF!</definedName>
    <definedName name="_______________len3">#REF!</definedName>
    <definedName name="_______________new10">#REF!</definedName>
    <definedName name="_______________new11">#REF!</definedName>
    <definedName name="_______________new12">#REF!</definedName>
    <definedName name="_______________new13">#REF!</definedName>
    <definedName name="_______________new14">#REF!</definedName>
    <definedName name="_______________new15">#REF!</definedName>
    <definedName name="_______________new16">#REF!</definedName>
    <definedName name="_______________new17">#REF!</definedName>
    <definedName name="_______________new2">#REF!</definedName>
    <definedName name="_______________new3">#REF!</definedName>
    <definedName name="_______________new4">#REF!</definedName>
    <definedName name="_______________new5">#REF!</definedName>
    <definedName name="_______________new6">#REF!</definedName>
    <definedName name="_______________new7">#REF!</definedName>
    <definedName name="_______________new9">#REF!</definedName>
    <definedName name="_______________old3" hidden="1">{#N/A,#N/A,FALSE,"Summary";#N/A,#N/A,FALSE,"3TJ";#N/A,#N/A,FALSE,"3TN";#N/A,#N/A,FALSE,"3TP";#N/A,#N/A,FALSE,"3SJ";#N/A,#N/A,FALSE,"3CJ";#N/A,#N/A,FALSE,"3CN";#N/A,#N/A,FALSE,"3CP";#N/A,#N/A,FALSE,"3A"}</definedName>
    <definedName name="_______________old5" hidden="1">{#N/A,#N/A,FALSE,"Summary";#N/A,#N/A,FALSE,"3TJ";#N/A,#N/A,FALSE,"3TN";#N/A,#N/A,FALSE,"3TP";#N/A,#N/A,FALSE,"3SJ";#N/A,#N/A,FALSE,"3CJ";#N/A,#N/A,FALSE,"3CN";#N/A,#N/A,FALSE,"3CP";#N/A,#N/A,FALSE,"3A"}</definedName>
    <definedName name="_______________old7" hidden="1">{#N/A,#N/A,FALSE,"Summary";#N/A,#N/A,FALSE,"3TJ";#N/A,#N/A,FALSE,"3TN";#N/A,#N/A,FALSE,"3TP";#N/A,#N/A,FALSE,"3SJ";#N/A,#N/A,FALSE,"3CJ";#N/A,#N/A,FALSE,"3CN";#N/A,#N/A,FALSE,"3CP";#N/A,#N/A,FALSE,"3A"}</definedName>
    <definedName name="_______________pc1">#REF!</definedName>
    <definedName name="_______________pc2">#REF!</definedName>
    <definedName name="_______________pc3">#REF!</definedName>
    <definedName name="_______________tbc2">#REF!</definedName>
    <definedName name="_______________tbc3">#REF!</definedName>
    <definedName name="_______________U14">#REF!</definedName>
    <definedName name="_______________U60">#REF!</definedName>
    <definedName name="_______________wid2">#REF!</definedName>
    <definedName name="_______________wid3">#REF!</definedName>
    <definedName name="______________ab1" hidden="1">{#N/A,#N/A,FALSE,"SumD";#N/A,#N/A,FALSE,"ElecD";#N/A,#N/A,FALSE,"MechD";#N/A,#N/A,FALSE,"GeotD";#N/A,#N/A,FALSE,"PrcsD";#N/A,#N/A,FALSE,"TunnD";#N/A,#N/A,FALSE,"CivlD";#N/A,#N/A,FALSE,"NtwkD";#N/A,#N/A,FALSE,"EstgD";#N/A,#N/A,FALSE,"PEngD"}</definedName>
    <definedName name="______________as1" hidden="1">{#N/A,#N/A,FALSE,"SumD";#N/A,#N/A,FALSE,"ElecD";#N/A,#N/A,FALSE,"MechD";#N/A,#N/A,FALSE,"GeotD";#N/A,#N/A,FALSE,"PrcsD";#N/A,#N/A,FALSE,"TunnD";#N/A,#N/A,FALSE,"CivlD";#N/A,#N/A,FALSE,"NtwkD";#N/A,#N/A,FALSE,"EstgD";#N/A,#N/A,FALSE,"PEngD"}</definedName>
    <definedName name="______________B19000">#REF!</definedName>
    <definedName name="______________B19999">#REF!</definedName>
    <definedName name="______________B20000">#REF!</definedName>
    <definedName name="______________ccr1" hidden="1">{#N/A,#N/A,TRUE,"Cover";#N/A,#N/A,TRUE,"Conts";#N/A,#N/A,TRUE,"VOS";#N/A,#N/A,TRUE,"Warrington";#N/A,#N/A,TRUE,"Widnes"}</definedName>
    <definedName name="______________dep2">#REF!</definedName>
    <definedName name="______________dep3">#REF!</definedName>
    <definedName name="______________e20000">#REF!</definedName>
    <definedName name="______________e99991">#REF!</definedName>
    <definedName name="______________ext2">#REF!</definedName>
    <definedName name="______________ext3">#REF!</definedName>
    <definedName name="______________len2">#REF!</definedName>
    <definedName name="______________len3">#REF!</definedName>
    <definedName name="______________new10">#REF!</definedName>
    <definedName name="______________new11">#REF!</definedName>
    <definedName name="______________new12">#REF!</definedName>
    <definedName name="______________new13">#REF!</definedName>
    <definedName name="______________new14">#REF!</definedName>
    <definedName name="______________new15">#REF!</definedName>
    <definedName name="______________new16">#REF!</definedName>
    <definedName name="______________new17">#REF!</definedName>
    <definedName name="______________new2">#REF!</definedName>
    <definedName name="______________new3">#REF!</definedName>
    <definedName name="______________new4">#REF!</definedName>
    <definedName name="______________new5">#REF!</definedName>
    <definedName name="______________new6">#REF!</definedName>
    <definedName name="______________new7">#REF!</definedName>
    <definedName name="______________new9">#REF!</definedName>
    <definedName name="______________old3" hidden="1">{#N/A,#N/A,FALSE,"Summary";#N/A,#N/A,FALSE,"3TJ";#N/A,#N/A,FALSE,"3TN";#N/A,#N/A,FALSE,"3TP";#N/A,#N/A,FALSE,"3SJ";#N/A,#N/A,FALSE,"3CJ";#N/A,#N/A,FALSE,"3CN";#N/A,#N/A,FALSE,"3CP";#N/A,#N/A,FALSE,"3A"}</definedName>
    <definedName name="______________old5" hidden="1">{#N/A,#N/A,FALSE,"Summary";#N/A,#N/A,FALSE,"3TJ";#N/A,#N/A,FALSE,"3TN";#N/A,#N/A,FALSE,"3TP";#N/A,#N/A,FALSE,"3SJ";#N/A,#N/A,FALSE,"3CJ";#N/A,#N/A,FALSE,"3CN";#N/A,#N/A,FALSE,"3CP";#N/A,#N/A,FALSE,"3A"}</definedName>
    <definedName name="______________old7" hidden="1">{#N/A,#N/A,FALSE,"Summary";#N/A,#N/A,FALSE,"3TJ";#N/A,#N/A,FALSE,"3TN";#N/A,#N/A,FALSE,"3TP";#N/A,#N/A,FALSE,"3SJ";#N/A,#N/A,FALSE,"3CJ";#N/A,#N/A,FALSE,"3CN";#N/A,#N/A,FALSE,"3CP";#N/A,#N/A,FALSE,"3A"}</definedName>
    <definedName name="______________pc1">#REF!</definedName>
    <definedName name="______________pc2">#REF!</definedName>
    <definedName name="______________pc3">#REF!</definedName>
    <definedName name="______________tbc2">#REF!</definedName>
    <definedName name="______________tbc3">#REF!</definedName>
    <definedName name="______________U14">#REF!</definedName>
    <definedName name="______________U60">#REF!</definedName>
    <definedName name="______________wid2">#REF!</definedName>
    <definedName name="______________wid3">#REF!</definedName>
    <definedName name="_____________ab1" hidden="1">{#N/A,#N/A,FALSE,"SumD";#N/A,#N/A,FALSE,"ElecD";#N/A,#N/A,FALSE,"MechD";#N/A,#N/A,FALSE,"GeotD";#N/A,#N/A,FALSE,"PrcsD";#N/A,#N/A,FALSE,"TunnD";#N/A,#N/A,FALSE,"CivlD";#N/A,#N/A,FALSE,"NtwkD";#N/A,#N/A,FALSE,"EstgD";#N/A,#N/A,FALSE,"PEngD"}</definedName>
    <definedName name="_____________as1" hidden="1">{#N/A,#N/A,FALSE,"SumD";#N/A,#N/A,FALSE,"ElecD";#N/A,#N/A,FALSE,"MechD";#N/A,#N/A,FALSE,"GeotD";#N/A,#N/A,FALSE,"PrcsD";#N/A,#N/A,FALSE,"TunnD";#N/A,#N/A,FALSE,"CivlD";#N/A,#N/A,FALSE,"NtwkD";#N/A,#N/A,FALSE,"EstgD";#N/A,#N/A,FALSE,"PEngD"}</definedName>
    <definedName name="_____________B19000">#REF!</definedName>
    <definedName name="_____________B19999">#REF!</definedName>
    <definedName name="_____________B20000">#REF!</definedName>
    <definedName name="_____________ccr1" localSheetId="7" hidden="1">{#N/A,#N/A,TRUE,"Cover";#N/A,#N/A,TRUE,"Conts";#N/A,#N/A,TRUE,"VOS";#N/A,#N/A,TRUE,"Warrington";#N/A,#N/A,TRUE,"Widnes"}</definedName>
    <definedName name="_____________ccr1" localSheetId="0" hidden="1">{#N/A,#N/A,TRUE,"Cover";#N/A,#N/A,TRUE,"Conts";#N/A,#N/A,TRUE,"VOS";#N/A,#N/A,TRUE,"Warrington";#N/A,#N/A,TRUE,"Widnes"}</definedName>
    <definedName name="_____________ccr1" localSheetId="9"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dep2">#REF!</definedName>
    <definedName name="_____________dep3">#REF!</definedName>
    <definedName name="_____________e20000">#REF!</definedName>
    <definedName name="_____________e99991">#REF!</definedName>
    <definedName name="_____________ext2">#REF!</definedName>
    <definedName name="_____________ext3">#REF!</definedName>
    <definedName name="_____________len2">#REF!</definedName>
    <definedName name="_____________len3">#REF!</definedName>
    <definedName name="_____________new10">#REF!</definedName>
    <definedName name="_____________new11">#REF!</definedName>
    <definedName name="_____________new12">#REF!</definedName>
    <definedName name="_____________new13">#REF!</definedName>
    <definedName name="_____________new14">#REF!</definedName>
    <definedName name="_____________new15">#REF!</definedName>
    <definedName name="_____________new16">#REF!</definedName>
    <definedName name="_____________new17">#REF!</definedName>
    <definedName name="_____________new2">#REF!</definedName>
    <definedName name="_____________new3">#REF!</definedName>
    <definedName name="_____________new4">#REF!</definedName>
    <definedName name="_____________new5">#REF!</definedName>
    <definedName name="_____________new6">#REF!</definedName>
    <definedName name="_____________new7">#REF!</definedName>
    <definedName name="_____________new9">#REF!</definedName>
    <definedName name="_____________old3" hidden="1">{#N/A,#N/A,FALSE,"Summary";#N/A,#N/A,FALSE,"3TJ";#N/A,#N/A,FALSE,"3TN";#N/A,#N/A,FALSE,"3TP";#N/A,#N/A,FALSE,"3SJ";#N/A,#N/A,FALSE,"3CJ";#N/A,#N/A,FALSE,"3CN";#N/A,#N/A,FALSE,"3CP";#N/A,#N/A,FALSE,"3A"}</definedName>
    <definedName name="_____________old5" hidden="1">{#N/A,#N/A,FALSE,"Summary";#N/A,#N/A,FALSE,"3TJ";#N/A,#N/A,FALSE,"3TN";#N/A,#N/A,FALSE,"3TP";#N/A,#N/A,FALSE,"3SJ";#N/A,#N/A,FALSE,"3CJ";#N/A,#N/A,FALSE,"3CN";#N/A,#N/A,FALSE,"3CP";#N/A,#N/A,FALSE,"3A"}</definedName>
    <definedName name="_____________old7" hidden="1">{#N/A,#N/A,FALSE,"Summary";#N/A,#N/A,FALSE,"3TJ";#N/A,#N/A,FALSE,"3TN";#N/A,#N/A,FALSE,"3TP";#N/A,#N/A,FALSE,"3SJ";#N/A,#N/A,FALSE,"3CJ";#N/A,#N/A,FALSE,"3CN";#N/A,#N/A,FALSE,"3CP";#N/A,#N/A,FALSE,"3A"}</definedName>
    <definedName name="_____________pc1">#REF!</definedName>
    <definedName name="_____________pc2">#REF!</definedName>
    <definedName name="_____________pc3">#REF!</definedName>
    <definedName name="_____________tbc2">#REF!</definedName>
    <definedName name="_____________tbc3">#REF!</definedName>
    <definedName name="_____________U14">#REF!</definedName>
    <definedName name="_____________U60">#REF!</definedName>
    <definedName name="_____________wid2">#REF!</definedName>
    <definedName name="_____________wid3">#REF!</definedName>
    <definedName name="____________ab1" hidden="1">{#N/A,#N/A,FALSE,"SumD";#N/A,#N/A,FALSE,"ElecD";#N/A,#N/A,FALSE,"MechD";#N/A,#N/A,FALSE,"GeotD";#N/A,#N/A,FALSE,"PrcsD";#N/A,#N/A,FALSE,"TunnD";#N/A,#N/A,FALSE,"CivlD";#N/A,#N/A,FALSE,"NtwkD";#N/A,#N/A,FALSE,"EstgD";#N/A,#N/A,FALSE,"PEngD"}</definedName>
    <definedName name="____________as1" hidden="1">{#N/A,#N/A,FALSE,"SumD";#N/A,#N/A,FALSE,"ElecD";#N/A,#N/A,FALSE,"MechD";#N/A,#N/A,FALSE,"GeotD";#N/A,#N/A,FALSE,"PrcsD";#N/A,#N/A,FALSE,"TunnD";#N/A,#N/A,FALSE,"CivlD";#N/A,#N/A,FALSE,"NtwkD";#N/A,#N/A,FALSE,"EstgD";#N/A,#N/A,FALSE,"PEngD"}</definedName>
    <definedName name="____________B19000">#REF!</definedName>
    <definedName name="____________B19999">#REF!</definedName>
    <definedName name="____________B20000">#REF!</definedName>
    <definedName name="____________ccr1" hidden="1">{#N/A,#N/A,TRUE,"Cover";#N/A,#N/A,TRUE,"Conts";#N/A,#N/A,TRUE,"VOS";#N/A,#N/A,TRUE,"Warrington";#N/A,#N/A,TRUE,"Widnes"}</definedName>
    <definedName name="____________dep2">#REF!</definedName>
    <definedName name="____________dep3">#REF!</definedName>
    <definedName name="____________e20000">#REF!</definedName>
    <definedName name="____________e99991">#REF!</definedName>
    <definedName name="____________ext2">#REF!</definedName>
    <definedName name="____________ext3">#REF!</definedName>
    <definedName name="____________len2">#REF!</definedName>
    <definedName name="____________len3">#REF!</definedName>
    <definedName name="____________new10">#REF!</definedName>
    <definedName name="____________new11">#REF!</definedName>
    <definedName name="____________new12">#REF!</definedName>
    <definedName name="____________new13">#REF!</definedName>
    <definedName name="____________new14">#REF!</definedName>
    <definedName name="____________new15">#REF!</definedName>
    <definedName name="____________new16">#REF!</definedName>
    <definedName name="____________new17">#REF!</definedName>
    <definedName name="____________new2">#REF!</definedName>
    <definedName name="____________new3">#REF!</definedName>
    <definedName name="____________new4">#REF!</definedName>
    <definedName name="____________new5">#REF!</definedName>
    <definedName name="____________new6">#REF!</definedName>
    <definedName name="____________new7">#REF!</definedName>
    <definedName name="____________new9">#REF!</definedName>
    <definedName name="____________old3" hidden="1">{#N/A,#N/A,FALSE,"Summary";#N/A,#N/A,FALSE,"3TJ";#N/A,#N/A,FALSE,"3TN";#N/A,#N/A,FALSE,"3TP";#N/A,#N/A,FALSE,"3SJ";#N/A,#N/A,FALSE,"3CJ";#N/A,#N/A,FALSE,"3CN";#N/A,#N/A,FALSE,"3CP";#N/A,#N/A,FALSE,"3A"}</definedName>
    <definedName name="____________old5" hidden="1">{#N/A,#N/A,FALSE,"Summary";#N/A,#N/A,FALSE,"3TJ";#N/A,#N/A,FALSE,"3TN";#N/A,#N/A,FALSE,"3TP";#N/A,#N/A,FALSE,"3SJ";#N/A,#N/A,FALSE,"3CJ";#N/A,#N/A,FALSE,"3CN";#N/A,#N/A,FALSE,"3CP";#N/A,#N/A,FALSE,"3A"}</definedName>
    <definedName name="____________old7" hidden="1">{#N/A,#N/A,FALSE,"Summary";#N/A,#N/A,FALSE,"3TJ";#N/A,#N/A,FALSE,"3TN";#N/A,#N/A,FALSE,"3TP";#N/A,#N/A,FALSE,"3SJ";#N/A,#N/A,FALSE,"3CJ";#N/A,#N/A,FALSE,"3CN";#N/A,#N/A,FALSE,"3CP";#N/A,#N/A,FALSE,"3A"}</definedName>
    <definedName name="____________pc1">#REF!</definedName>
    <definedName name="____________pc2">#REF!</definedName>
    <definedName name="____________pc3">#REF!</definedName>
    <definedName name="____________tbc2">#REF!</definedName>
    <definedName name="____________tbc3">#REF!</definedName>
    <definedName name="____________U14">#REF!</definedName>
    <definedName name="____________U60">#REF!</definedName>
    <definedName name="____________wid2">#REF!</definedName>
    <definedName name="____________wid3">#REF!</definedName>
    <definedName name="___________A1" hidden="1">{#N/A,#N/A,TRUE,"Basic";#N/A,#N/A,TRUE,"EXT-TABLE";#N/A,#N/A,TRUE,"STEEL";#N/A,#N/A,TRUE,"INT-Table";#N/A,#N/A,TRUE,"STEEL";#N/A,#N/A,TRUE,"Door"}</definedName>
    <definedName name="___________ab1" hidden="1">{#N/A,#N/A,FALSE,"SumD";#N/A,#N/A,FALSE,"ElecD";#N/A,#N/A,FALSE,"MechD";#N/A,#N/A,FALSE,"GeotD";#N/A,#N/A,FALSE,"PrcsD";#N/A,#N/A,FALSE,"TunnD";#N/A,#N/A,FALSE,"CivlD";#N/A,#N/A,FALSE,"NtwkD";#N/A,#N/A,FALSE,"EstgD";#N/A,#N/A,FALSE,"PEngD"}</definedName>
    <definedName name="___________as1" hidden="1">{#N/A,#N/A,FALSE,"SumD";#N/A,#N/A,FALSE,"ElecD";#N/A,#N/A,FALSE,"MechD";#N/A,#N/A,FALSE,"GeotD";#N/A,#N/A,FALSE,"PrcsD";#N/A,#N/A,FALSE,"TunnD";#N/A,#N/A,FALSE,"CivlD";#N/A,#N/A,FALSE,"NtwkD";#N/A,#N/A,FALSE,"EstgD";#N/A,#N/A,FALSE,"PEngD"}</definedName>
    <definedName name="___________B19000">#REF!</definedName>
    <definedName name="___________B19999">#REF!</definedName>
    <definedName name="___________B20000">#REF!</definedName>
    <definedName name="___________ccr1" localSheetId="7" hidden="1">{#N/A,#N/A,TRUE,"Cover";#N/A,#N/A,TRUE,"Conts";#N/A,#N/A,TRUE,"VOS";#N/A,#N/A,TRUE,"Warrington";#N/A,#N/A,TRUE,"Widnes"}</definedName>
    <definedName name="___________ccr1" localSheetId="0" hidden="1">{#N/A,#N/A,TRUE,"Cover";#N/A,#N/A,TRUE,"Conts";#N/A,#N/A,TRUE,"VOS";#N/A,#N/A,TRUE,"Warrington";#N/A,#N/A,TRUE,"Widnes"}</definedName>
    <definedName name="___________ccr1" localSheetId="9"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ccr2" hidden="1">{#N/A,#N/A,TRUE,"Cover";#N/A,#N/A,TRUE,"Conts";#N/A,#N/A,TRUE,"VOS";#N/A,#N/A,TRUE,"Warrington";#N/A,#N/A,TRUE,"Widnes"}</definedName>
    <definedName name="___________dep2">#REF!</definedName>
    <definedName name="___________dep3">#REF!</definedName>
    <definedName name="___________e20000">#REF!</definedName>
    <definedName name="___________e99991">#REF!</definedName>
    <definedName name="___________ext2">#REF!</definedName>
    <definedName name="___________ext3">#REF!</definedName>
    <definedName name="___________len2">#REF!</definedName>
    <definedName name="___________len3">#REF!</definedName>
    <definedName name="___________new10">#REF!</definedName>
    <definedName name="___________new11">#REF!</definedName>
    <definedName name="___________new12">#REF!</definedName>
    <definedName name="___________new13">#REF!</definedName>
    <definedName name="___________new14">#REF!</definedName>
    <definedName name="___________new15">#REF!</definedName>
    <definedName name="___________new16">#REF!</definedName>
    <definedName name="___________new17">#REF!</definedName>
    <definedName name="___________new2">#REF!</definedName>
    <definedName name="___________new3">#REF!</definedName>
    <definedName name="___________new4">#REF!</definedName>
    <definedName name="___________new5">#REF!</definedName>
    <definedName name="___________new6">#REF!</definedName>
    <definedName name="___________new7">#REF!</definedName>
    <definedName name="___________new9">#REF!</definedName>
    <definedName name="___________old3" hidden="1">{#N/A,#N/A,FALSE,"Summary";#N/A,#N/A,FALSE,"3TJ";#N/A,#N/A,FALSE,"3TN";#N/A,#N/A,FALSE,"3TP";#N/A,#N/A,FALSE,"3SJ";#N/A,#N/A,FALSE,"3CJ";#N/A,#N/A,FALSE,"3CN";#N/A,#N/A,FALSE,"3CP";#N/A,#N/A,FALSE,"3A"}</definedName>
    <definedName name="___________old5" hidden="1">{#N/A,#N/A,FALSE,"Summary";#N/A,#N/A,FALSE,"3TJ";#N/A,#N/A,FALSE,"3TN";#N/A,#N/A,FALSE,"3TP";#N/A,#N/A,FALSE,"3SJ";#N/A,#N/A,FALSE,"3CJ";#N/A,#N/A,FALSE,"3CN";#N/A,#N/A,FALSE,"3CP";#N/A,#N/A,FALSE,"3A"}</definedName>
    <definedName name="___________old7" hidden="1">{#N/A,#N/A,FALSE,"Summary";#N/A,#N/A,FALSE,"3TJ";#N/A,#N/A,FALSE,"3TN";#N/A,#N/A,FALSE,"3TP";#N/A,#N/A,FALSE,"3SJ";#N/A,#N/A,FALSE,"3CJ";#N/A,#N/A,FALSE,"3CN";#N/A,#N/A,FALSE,"3CP";#N/A,#N/A,FALSE,"3A"}</definedName>
    <definedName name="___________pc1">#REF!</definedName>
    <definedName name="___________pc2">#REF!</definedName>
    <definedName name="___________pc3">#REF!</definedName>
    <definedName name="___________tbc2">#REF!</definedName>
    <definedName name="___________tbc3">#REF!</definedName>
    <definedName name="___________U14">#REF!</definedName>
    <definedName name="___________U60">#REF!</definedName>
    <definedName name="___________wid2">#REF!</definedName>
    <definedName name="___________wid3">#REF!</definedName>
    <definedName name="__________A1" hidden="1">{#N/A,#N/A,TRUE,"Basic";#N/A,#N/A,TRUE,"EXT-TABLE";#N/A,#N/A,TRUE,"STEEL";#N/A,#N/A,TRUE,"INT-Table";#N/A,#N/A,TRUE,"STEEL";#N/A,#N/A,TRUE,"Door"}</definedName>
    <definedName name="__________ab1" hidden="1">{#N/A,#N/A,FALSE,"SumD";#N/A,#N/A,FALSE,"ElecD";#N/A,#N/A,FALSE,"MechD";#N/A,#N/A,FALSE,"GeotD";#N/A,#N/A,FALSE,"PrcsD";#N/A,#N/A,FALSE,"TunnD";#N/A,#N/A,FALSE,"CivlD";#N/A,#N/A,FALSE,"NtwkD";#N/A,#N/A,FALSE,"EstgD";#N/A,#N/A,FALSE,"PEngD"}</definedName>
    <definedName name="__________as1" hidden="1">{#N/A,#N/A,FALSE,"SumD";#N/A,#N/A,FALSE,"ElecD";#N/A,#N/A,FALSE,"MechD";#N/A,#N/A,FALSE,"GeotD";#N/A,#N/A,FALSE,"PrcsD";#N/A,#N/A,FALSE,"TunnD";#N/A,#N/A,FALSE,"CivlD";#N/A,#N/A,FALSE,"NtwkD";#N/A,#N/A,FALSE,"EstgD";#N/A,#N/A,FALSE,"PEngD"}</definedName>
    <definedName name="__________B19000">#REF!</definedName>
    <definedName name="__________B19999">#REF!</definedName>
    <definedName name="__________B20000">#REF!</definedName>
    <definedName name="__________ccr1" localSheetId="7" hidden="1">{#N/A,#N/A,TRUE,"Cover";#N/A,#N/A,TRUE,"Conts";#N/A,#N/A,TRUE,"VOS";#N/A,#N/A,TRUE,"Warrington";#N/A,#N/A,TRUE,"Widnes"}</definedName>
    <definedName name="__________ccr1" localSheetId="0" hidden="1">{#N/A,#N/A,TRUE,"Cover";#N/A,#N/A,TRUE,"Conts";#N/A,#N/A,TRUE,"VOS";#N/A,#N/A,TRUE,"Warrington";#N/A,#N/A,TRUE,"Widnes"}</definedName>
    <definedName name="__________ccr1" localSheetId="9"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dep2">#REF!</definedName>
    <definedName name="__________dep3">#REF!</definedName>
    <definedName name="__________e20000">#REF!</definedName>
    <definedName name="__________e99991">#REF!</definedName>
    <definedName name="__________ext2">#REF!</definedName>
    <definedName name="__________ext3">#REF!</definedName>
    <definedName name="__________fd2" hidden="1">{#N/A,#N/A,TRUE,"Cover Memo";"Complete Sys. Estimate",#N/A,TRUE,"Change Summary";"Complete Sys. Estimate",#N/A,TRUE,"Estimate Summary";"Complete Sys. Estimate",#N/A,TRUE,"Dept. Summary";"Complete Sys. Estimate",#N/A,TRUE,"DOW Detail"}</definedName>
    <definedName name="__________len2">#REF!</definedName>
    <definedName name="__________len3">#REF!</definedName>
    <definedName name="__________new10">#REF!</definedName>
    <definedName name="__________new11">#REF!</definedName>
    <definedName name="__________new12">#REF!</definedName>
    <definedName name="__________new13">#REF!</definedName>
    <definedName name="__________new14">#REF!</definedName>
    <definedName name="__________new15">#REF!</definedName>
    <definedName name="__________new16">#REF!</definedName>
    <definedName name="__________new17">#REF!</definedName>
    <definedName name="__________new2">#REF!</definedName>
    <definedName name="__________new3">#REF!</definedName>
    <definedName name="__________new4">#REF!</definedName>
    <definedName name="__________new5">#REF!</definedName>
    <definedName name="__________new6">#REF!</definedName>
    <definedName name="__________new7">#REF!</definedName>
    <definedName name="__________new9">#REF!</definedName>
    <definedName name="__________old3" hidden="1">{#N/A,#N/A,FALSE,"Summary";#N/A,#N/A,FALSE,"3TJ";#N/A,#N/A,FALSE,"3TN";#N/A,#N/A,FALSE,"3TP";#N/A,#N/A,FALSE,"3SJ";#N/A,#N/A,FALSE,"3CJ";#N/A,#N/A,FALSE,"3CN";#N/A,#N/A,FALSE,"3CP";#N/A,#N/A,FALSE,"3A"}</definedName>
    <definedName name="__________old5" hidden="1">{#N/A,#N/A,FALSE,"Summary";#N/A,#N/A,FALSE,"3TJ";#N/A,#N/A,FALSE,"3TN";#N/A,#N/A,FALSE,"3TP";#N/A,#N/A,FALSE,"3SJ";#N/A,#N/A,FALSE,"3CJ";#N/A,#N/A,FALSE,"3CN";#N/A,#N/A,FALSE,"3CP";#N/A,#N/A,FALSE,"3A"}</definedName>
    <definedName name="__________old7" hidden="1">{#N/A,#N/A,FALSE,"Summary";#N/A,#N/A,FALSE,"3TJ";#N/A,#N/A,FALSE,"3TN";#N/A,#N/A,FALSE,"3TP";#N/A,#N/A,FALSE,"3SJ";#N/A,#N/A,FALSE,"3CJ";#N/A,#N/A,FALSE,"3CN";#N/A,#N/A,FALSE,"3CP";#N/A,#N/A,FALSE,"3A"}</definedName>
    <definedName name="__________pc1">#REF!</definedName>
    <definedName name="__________pc2">#REF!</definedName>
    <definedName name="__________pc3">#REF!</definedName>
    <definedName name="__________tbc2">#REF!</definedName>
    <definedName name="__________tbc3">#REF!</definedName>
    <definedName name="__________U14">#REF!</definedName>
    <definedName name="__________U60">#REF!</definedName>
    <definedName name="__________wid2">#REF!</definedName>
    <definedName name="__________wid3">#REF!</definedName>
    <definedName name="_________A1" hidden="1">{#N/A,#N/A,TRUE,"Basic";#N/A,#N/A,TRUE,"EXT-TABLE";#N/A,#N/A,TRUE,"STEEL";#N/A,#N/A,TRUE,"INT-Table";#N/A,#N/A,TRUE,"STEEL";#N/A,#N/A,TRUE,"Door"}</definedName>
    <definedName name="_________ab1"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as2" hidden="1">{#N/A,#N/A,FALSE,"SumD";#N/A,#N/A,FALSE,"ElecD";#N/A,#N/A,FALSE,"MechD";#N/A,#N/A,FALSE,"GeotD";#N/A,#N/A,FALSE,"PrcsD";#N/A,#N/A,FALSE,"TunnD";#N/A,#N/A,FALSE,"CivlD";#N/A,#N/A,FALSE,"NtwkD";#N/A,#N/A,FALSE,"EstgD";#N/A,#N/A,FALSE,"PEngD"}</definedName>
    <definedName name="_________B19000">#REF!</definedName>
    <definedName name="_________B19999">#REF!</definedName>
    <definedName name="_________B20000">#REF!</definedName>
    <definedName name="_________BIL1">#REF!</definedName>
    <definedName name="_________BIL10">#REF!</definedName>
    <definedName name="_________BIL11">#REF!</definedName>
    <definedName name="_________BIL12">#REF!</definedName>
    <definedName name="_________BIL2">#REF!</definedName>
    <definedName name="_________BIL3">#REF!</definedName>
    <definedName name="_________BIL4">#REF!</definedName>
    <definedName name="_________BIL5">#REF!</definedName>
    <definedName name="_________BIL6">#REF!</definedName>
    <definedName name="_________BIL7">#REF!</definedName>
    <definedName name="_________BIL8">#REF!</definedName>
    <definedName name="_________BIL9">#REF!</definedName>
    <definedName name="_________ccr1" localSheetId="7" hidden="1">{#N/A,#N/A,TRUE,"Cover";#N/A,#N/A,TRUE,"Conts";#N/A,#N/A,TRUE,"VOS";#N/A,#N/A,TRUE,"Warrington";#N/A,#N/A,TRUE,"Widnes"}</definedName>
    <definedName name="_________ccr1" localSheetId="0" hidden="1">{#N/A,#N/A,TRUE,"Cover";#N/A,#N/A,TRUE,"Conts";#N/A,#N/A,TRUE,"VOS";#N/A,#N/A,TRUE,"Warrington";#N/A,#N/A,TRUE,"Widnes"}</definedName>
    <definedName name="_________ccr1" localSheetId="9"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CSM1">#REF!</definedName>
    <definedName name="_________CSM10">#REF!</definedName>
    <definedName name="_________CSM11">#REF!</definedName>
    <definedName name="_________CSM12">#REF!</definedName>
    <definedName name="_________CSM2">#REF!</definedName>
    <definedName name="_________CSM3">#REF!</definedName>
    <definedName name="_________CSM4">#REF!</definedName>
    <definedName name="_________CSM5">#REF!</definedName>
    <definedName name="_________CSM6">#REF!</definedName>
    <definedName name="_________CSM7">#REF!</definedName>
    <definedName name="_________CSM8">#REF!</definedName>
    <definedName name="_________CSM9">#REF!</definedName>
    <definedName name="_________dep2">#REF!</definedName>
    <definedName name="_________dep3">#REF!</definedName>
    <definedName name="_________e20000">#REF!</definedName>
    <definedName name="_________e99991">#REF!</definedName>
    <definedName name="_________ETC01">#REF!</definedName>
    <definedName name="_________ext2">#REF!</definedName>
    <definedName name="_________ext3">#REF!</definedName>
    <definedName name="_________len2">#REF!</definedName>
    <definedName name="_________len3">#REF!</definedName>
    <definedName name="_________new10">#REF!</definedName>
    <definedName name="_________new11">#REF!</definedName>
    <definedName name="_________new12">#REF!</definedName>
    <definedName name="_________new13">#REF!</definedName>
    <definedName name="_________new14">#REF!</definedName>
    <definedName name="_________new15">#REF!</definedName>
    <definedName name="_________new16">#REF!</definedName>
    <definedName name="_________new17">#REF!</definedName>
    <definedName name="_________new2">#REF!</definedName>
    <definedName name="_________new3">#REF!</definedName>
    <definedName name="_________new4">#REF!</definedName>
    <definedName name="_________new5">#REF!</definedName>
    <definedName name="_________new6">#REF!</definedName>
    <definedName name="_________new7">#REF!</definedName>
    <definedName name="_________new9">#REF!</definedName>
    <definedName name="_________No1">#REF!</definedName>
    <definedName name="_________No2">#REF!</definedName>
    <definedName name="_________No3">#REF!</definedName>
    <definedName name="_________old3"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_pc1">#REF!</definedName>
    <definedName name="_________pc2">#REF!</definedName>
    <definedName name="_________pc3">#REF!</definedName>
    <definedName name="_________tbc2">#REF!</definedName>
    <definedName name="_________tbc3">#REF!</definedName>
    <definedName name="_________U14">#REF!</definedName>
    <definedName name="_________U60">#REF!</definedName>
    <definedName name="_________wid2">#REF!</definedName>
    <definedName name="_________wid3">#REF!</definedName>
    <definedName name="_________z1" hidden="1">{#N/A,#N/A,TRUE,"Cover Memo";"Complete Sys. Estimate",#N/A,TRUE,"Change Summary";"Complete Sys. Estimate",#N/A,TRUE,"Estimate Summary";"Complete Sys. Estimate",#N/A,TRUE,"Dept. Summary";"Complete Sys. Estimate",#N/A,TRUE,"DOW Detail"}</definedName>
    <definedName name="________ab1"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B19000">#REF!</definedName>
    <definedName name="________B19999">#REF!</definedName>
    <definedName name="________B20000">#REF!</definedName>
    <definedName name="________ccr1" localSheetId="7" hidden="1">{#N/A,#N/A,TRUE,"Cover";#N/A,#N/A,TRUE,"Conts";#N/A,#N/A,TRUE,"VOS";#N/A,#N/A,TRUE,"Warrington";#N/A,#N/A,TRUE,"Widnes"}</definedName>
    <definedName name="________ccr1" localSheetId="0" hidden="1">{#N/A,#N/A,TRUE,"Cover";#N/A,#N/A,TRUE,"Conts";#N/A,#N/A,TRUE,"VOS";#N/A,#N/A,TRUE,"Warrington";#N/A,#N/A,TRUE,"Widnes"}</definedName>
    <definedName name="________ccr1" localSheetId="9"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ccr2" hidden="1">{#N/A,#N/A,TRUE,"Cover";#N/A,#N/A,TRUE,"Conts";#N/A,#N/A,TRUE,"VOS";#N/A,#N/A,TRUE,"Warrington";#N/A,#N/A,TRUE,"Widnes"}</definedName>
    <definedName name="________dep2">#REF!</definedName>
    <definedName name="________dep3">#REF!</definedName>
    <definedName name="________e20000">#REF!</definedName>
    <definedName name="________e99991">#REF!</definedName>
    <definedName name="________ext2">#REF!</definedName>
    <definedName name="________ext3">#REF!</definedName>
    <definedName name="________fd2" hidden="1">{#N/A,#N/A,TRUE,"Cover Memo";"Complete Sys. Estimate",#N/A,TRUE,"Change Summary";"Complete Sys. Estimate",#N/A,TRUE,"Estimate Summary";"Complete Sys. Estimate",#N/A,TRUE,"Dept. Summary";"Complete Sys. Estimate",#N/A,TRUE,"DOW Detail"}</definedName>
    <definedName name="________len2">#REF!</definedName>
    <definedName name="________len3">#REF!</definedName>
    <definedName name="________new10">#REF!</definedName>
    <definedName name="________new11">#REF!</definedName>
    <definedName name="________new12">#REF!</definedName>
    <definedName name="________new13">#REF!</definedName>
    <definedName name="________new14">#REF!</definedName>
    <definedName name="________new15">#REF!</definedName>
    <definedName name="________new16">#REF!</definedName>
    <definedName name="________new17">#REF!</definedName>
    <definedName name="________new2">#REF!</definedName>
    <definedName name="________new3">#REF!</definedName>
    <definedName name="________new4">#REF!</definedName>
    <definedName name="________new5">#REF!</definedName>
    <definedName name="________new6">#REF!</definedName>
    <definedName name="________new7">#REF!</definedName>
    <definedName name="________new9">#REF!</definedName>
    <definedName name="________old3"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_pc1">#REF!</definedName>
    <definedName name="________pc2">#REF!</definedName>
    <definedName name="________pc3">#REF!</definedName>
    <definedName name="________res1">#REF!</definedName>
    <definedName name="________tab2">#REF!</definedName>
    <definedName name="________tbc2">#REF!</definedName>
    <definedName name="________tbc3">#REF!</definedName>
    <definedName name="________U14">#REF!</definedName>
    <definedName name="________U60">#REF!</definedName>
    <definedName name="________wid2">#REF!</definedName>
    <definedName name="________wid3">#REF!</definedName>
    <definedName name="_______A1" hidden="1">{#N/A,#N/A,TRUE,"Basic";#N/A,#N/A,TRUE,"EXT-TABLE";#N/A,#N/A,TRUE,"STEEL";#N/A,#N/A,TRUE,"INT-Table";#N/A,#N/A,TRUE,"STEEL";#N/A,#N/A,TRUE,"Door"}</definedName>
    <definedName name="_______ab1" hidden="1">{#N/A,#N/A,FALSE,"SumD";#N/A,#N/A,FALSE,"ElecD";#N/A,#N/A,FALSE,"MechD";#N/A,#N/A,FALSE,"GeotD";#N/A,#N/A,FALSE,"PrcsD";#N/A,#N/A,FALSE,"TunnD";#N/A,#N/A,FALSE,"CivlD";#N/A,#N/A,FALSE,"NtwkD";#N/A,#N/A,FALSE,"EstgD";#N/A,#N/A,FALSE,"PEngD"}</definedName>
    <definedName name="_______as1" hidden="1">{#N/A,#N/A,FALSE,"SumD";#N/A,#N/A,FALSE,"ElecD";#N/A,#N/A,FALSE,"MechD";#N/A,#N/A,FALSE,"GeotD";#N/A,#N/A,FALSE,"PrcsD";#N/A,#N/A,FALSE,"TunnD";#N/A,#N/A,FALSE,"CivlD";#N/A,#N/A,FALSE,"NtwkD";#N/A,#N/A,FALSE,"EstgD";#N/A,#N/A,FALSE,"PEngD"}</definedName>
    <definedName name="_______B19000">#REF!</definedName>
    <definedName name="_______B19999">#REF!</definedName>
    <definedName name="_______B20000">#REF!</definedName>
    <definedName name="_______BIL1">#REF!</definedName>
    <definedName name="_______BIL10">#REF!</definedName>
    <definedName name="_______BIL11">#REF!</definedName>
    <definedName name="_______BIL12">#REF!</definedName>
    <definedName name="_______BIL2">#REF!</definedName>
    <definedName name="_______BIL3">#REF!</definedName>
    <definedName name="_______BIL4">#REF!</definedName>
    <definedName name="_______BIL5">#REF!</definedName>
    <definedName name="_______BIL6">#REF!</definedName>
    <definedName name="_______BIL7">#REF!</definedName>
    <definedName name="_______BIL8">#REF!</definedName>
    <definedName name="_______BIL9">#REF!</definedName>
    <definedName name="_______ccr1" localSheetId="7" hidden="1">{#N/A,#N/A,TRUE,"Cover";#N/A,#N/A,TRUE,"Conts";#N/A,#N/A,TRUE,"VOS";#N/A,#N/A,TRUE,"Warrington";#N/A,#N/A,TRUE,"Widnes"}</definedName>
    <definedName name="_______ccr1" localSheetId="0" hidden="1">{#N/A,#N/A,TRUE,"Cover";#N/A,#N/A,TRUE,"Conts";#N/A,#N/A,TRUE,"VOS";#N/A,#N/A,TRUE,"Warrington";#N/A,#N/A,TRUE,"Widnes"}</definedName>
    <definedName name="_______ccr1" localSheetId="9"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ccr2" hidden="1">{#N/A,#N/A,TRUE,"Cover";#N/A,#N/A,TRUE,"Conts";#N/A,#N/A,TRUE,"VOS";#N/A,#N/A,TRUE,"Warrington";#N/A,#N/A,TRUE,"Widnes"}</definedName>
    <definedName name="_______CSM1">#REF!</definedName>
    <definedName name="_______CSM10">#REF!</definedName>
    <definedName name="_______CSM11">#REF!</definedName>
    <definedName name="_______CSM12">#REF!</definedName>
    <definedName name="_______CSM2">#REF!</definedName>
    <definedName name="_______CSM3">#REF!</definedName>
    <definedName name="_______CSM4">#REF!</definedName>
    <definedName name="_______CSM5">#REF!</definedName>
    <definedName name="_______CSM6">#REF!</definedName>
    <definedName name="_______CSM7">#REF!</definedName>
    <definedName name="_______CSM8">#REF!</definedName>
    <definedName name="_______CSM9">#REF!</definedName>
    <definedName name="_______dep2">#REF!</definedName>
    <definedName name="_______dep3">#REF!</definedName>
    <definedName name="_______e20000">#REF!</definedName>
    <definedName name="_______e99991">#REF!</definedName>
    <definedName name="_______ext2">#REF!</definedName>
    <definedName name="_______ext3">#REF!</definedName>
    <definedName name="_______len2">#REF!</definedName>
    <definedName name="_______len3">#REF!</definedName>
    <definedName name="_______new10">#REF!</definedName>
    <definedName name="_______new11">#REF!</definedName>
    <definedName name="_______new12">#REF!</definedName>
    <definedName name="_______new13">#REF!</definedName>
    <definedName name="_______new14">#REF!</definedName>
    <definedName name="_______new15">#REF!</definedName>
    <definedName name="_______new16">#REF!</definedName>
    <definedName name="_______new17">#REF!</definedName>
    <definedName name="_______new2">#REF!</definedName>
    <definedName name="_______new3">#REF!</definedName>
    <definedName name="_______new4">#REF!</definedName>
    <definedName name="_______new5">#REF!</definedName>
    <definedName name="_______new6">#REF!</definedName>
    <definedName name="_______new7">#REF!</definedName>
    <definedName name="_______new9">#REF!</definedName>
    <definedName name="_______old3" hidden="1">{#N/A,#N/A,FALSE,"Summary";#N/A,#N/A,FALSE,"3TJ";#N/A,#N/A,FALSE,"3TN";#N/A,#N/A,FALSE,"3TP";#N/A,#N/A,FALSE,"3SJ";#N/A,#N/A,FALSE,"3CJ";#N/A,#N/A,FALSE,"3CN";#N/A,#N/A,FALSE,"3CP";#N/A,#N/A,FALSE,"3A"}</definedName>
    <definedName name="_______old5" hidden="1">{#N/A,#N/A,FALSE,"Summary";#N/A,#N/A,FALSE,"3TJ";#N/A,#N/A,FALSE,"3TN";#N/A,#N/A,FALSE,"3TP";#N/A,#N/A,FALSE,"3SJ";#N/A,#N/A,FALSE,"3CJ";#N/A,#N/A,FALSE,"3CN";#N/A,#N/A,FALSE,"3CP";#N/A,#N/A,FALSE,"3A"}</definedName>
    <definedName name="_______old7" hidden="1">{#N/A,#N/A,FALSE,"Summary";#N/A,#N/A,FALSE,"3TJ";#N/A,#N/A,FALSE,"3TN";#N/A,#N/A,FALSE,"3TP";#N/A,#N/A,FALSE,"3SJ";#N/A,#N/A,FALSE,"3CJ";#N/A,#N/A,FALSE,"3CN";#N/A,#N/A,FALSE,"3CP";#N/A,#N/A,FALSE,"3A"}</definedName>
    <definedName name="_______pc1">#REF!</definedName>
    <definedName name="_______pc2">#REF!</definedName>
    <definedName name="_______pc3">#REF!</definedName>
    <definedName name="_______tbc2">#REF!</definedName>
    <definedName name="_______tbc3">#REF!</definedName>
    <definedName name="_______U14">#REF!</definedName>
    <definedName name="_______U60">#REF!</definedName>
    <definedName name="_______wid2">#REF!</definedName>
    <definedName name="_______wid3">#REF!</definedName>
    <definedName name="_______z1" hidden="1">{#N/A,#N/A,TRUE,"Cover Memo";"Complete Sys. Estimate",#N/A,TRUE,"Change Summary";"Complete Sys. Estimate",#N/A,TRUE,"Estimate Summary";"Complete Sys. Estimate",#N/A,TRUE,"Dept. Summary";"Complete Sys. Estimate",#N/A,TRUE,"DOW Detail"}</definedName>
    <definedName name="______A1" hidden="1">{#N/A,#N/A,TRUE,"Basic";#N/A,#N/A,TRUE,"EXT-TABLE";#N/A,#N/A,TRUE,"STEEL";#N/A,#N/A,TRUE,"INT-Table";#N/A,#N/A,TRUE,"STEEL";#N/A,#N/A,TRUE,"Door"}</definedName>
    <definedName name="______ab1" hidden="1">{#N/A,#N/A,FALSE,"SumD";#N/A,#N/A,FALSE,"ElecD";#N/A,#N/A,FALSE,"MechD";#N/A,#N/A,FALSE,"GeotD";#N/A,#N/A,FALSE,"PrcsD";#N/A,#N/A,FALSE,"TunnD";#N/A,#N/A,FALSE,"CivlD";#N/A,#N/A,FALSE,"NtwkD";#N/A,#N/A,FALSE,"EstgD";#N/A,#N/A,FALSE,"PEngD"}</definedName>
    <definedName name="______as1" hidden="1">{#N/A,#N/A,FALSE,"SumD";#N/A,#N/A,FALSE,"ElecD";#N/A,#N/A,FALSE,"MechD";#N/A,#N/A,FALSE,"GeotD";#N/A,#N/A,FALSE,"PrcsD";#N/A,#N/A,FALSE,"TunnD";#N/A,#N/A,FALSE,"CivlD";#N/A,#N/A,FALSE,"NtwkD";#N/A,#N/A,FALSE,"EstgD";#N/A,#N/A,FALSE,"PEngD"}</definedName>
    <definedName name="______B19000">#REF!</definedName>
    <definedName name="______B19999">#REF!</definedName>
    <definedName name="______B20000">#REF!</definedName>
    <definedName name="______cat12" hidden="1">{#N/A,#N/A,TRUE,"Front";#N/A,#N/A,TRUE,"Simple Letter";#N/A,#N/A,TRUE,"Inside";#N/A,#N/A,TRUE,"Contents";#N/A,#N/A,TRUE,"Basis";#N/A,#N/A,TRUE,"Inclusions";#N/A,#N/A,TRUE,"Exclusions";#N/A,#N/A,TRUE,"Areas";#N/A,#N/A,TRUE,"Summary";#N/A,#N/A,TRUE,"Detail"}</definedName>
    <definedName name="______ccr1" localSheetId="7" hidden="1">{#N/A,#N/A,TRUE,"Cover";#N/A,#N/A,TRUE,"Conts";#N/A,#N/A,TRUE,"VOS";#N/A,#N/A,TRUE,"Warrington";#N/A,#N/A,TRUE,"Widnes"}</definedName>
    <definedName name="______ccr1" localSheetId="0" hidden="1">{#N/A,#N/A,TRUE,"Cover";#N/A,#N/A,TRUE,"Conts";#N/A,#N/A,TRUE,"VOS";#N/A,#N/A,TRUE,"Warrington";#N/A,#N/A,TRUE,"Widnes"}</definedName>
    <definedName name="______ccr1" localSheetId="9"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dep2">#REF!</definedName>
    <definedName name="______dep3">#REF!</definedName>
    <definedName name="______e20000">#REF!</definedName>
    <definedName name="______e99991">#REF!</definedName>
    <definedName name="______ext2">#REF!</definedName>
    <definedName name="______ext3">#REF!</definedName>
    <definedName name="______Fac01">#REF!</definedName>
    <definedName name="______fd2" hidden="1">{#N/A,#N/A,TRUE,"Cover Memo";"Complete Sys. Estimate",#N/A,TRUE,"Change Summary";"Complete Sys. Estimate",#N/A,TRUE,"Estimate Summary";"Complete Sys. Estimate",#N/A,TRUE,"Dept. Summary";"Complete Sys. Estimate",#N/A,TRUE,"DOW Detail"}</definedName>
    <definedName name="______hp10" hidden="1">{#N/A,#N/A,TRUE,"Front";#N/A,#N/A,TRUE,"Simple Letter";#N/A,#N/A,TRUE,"Inside";#N/A,#N/A,TRUE,"Contents";#N/A,#N/A,TRUE,"Basis";#N/A,#N/A,TRUE,"Inclusions";#N/A,#N/A,TRUE,"Exclusions";#N/A,#N/A,TRUE,"Areas";#N/A,#N/A,TRUE,"Summary";#N/A,#N/A,TRUE,"Detail"}</definedName>
    <definedName name="______len2">#REF!</definedName>
    <definedName name="______len3">#REF!</definedName>
    <definedName name="______new10">#REF!</definedName>
    <definedName name="______new11">#REF!</definedName>
    <definedName name="______new12">#REF!</definedName>
    <definedName name="______new13">#REF!</definedName>
    <definedName name="______new14">#REF!</definedName>
    <definedName name="______new15">#REF!</definedName>
    <definedName name="______new16">#REF!</definedName>
    <definedName name="______new17">#REF!</definedName>
    <definedName name="______new2">#REF!</definedName>
    <definedName name="______new3">#REF!</definedName>
    <definedName name="______new4">#REF!</definedName>
    <definedName name="______new5">#REF!</definedName>
    <definedName name="______new6">#REF!</definedName>
    <definedName name="______new7">#REF!</definedName>
    <definedName name="______new9">#REF!</definedName>
    <definedName name="______nr83">#REF!</definedName>
    <definedName name="______old3"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c1">#REF!</definedName>
    <definedName name="______pc2">#REF!</definedName>
    <definedName name="______pc3">#REF!</definedName>
    <definedName name="______SOC2">#REF!</definedName>
    <definedName name="______tab2">#REF!</definedName>
    <definedName name="______tbc2">#REF!</definedName>
    <definedName name="______tbc3">#REF!</definedName>
    <definedName name="______U14">#REF!</definedName>
    <definedName name="______U60">#REF!</definedName>
    <definedName name="______wid2">#REF!</definedName>
    <definedName name="______wid3">#REF!</definedName>
    <definedName name="_____4449_with_attachement">#REF!</definedName>
    <definedName name="_____a122" hidden="1">{#N/A,#N/A,FALSE,"속도"}</definedName>
    <definedName name="_____ab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B19000">#REF!</definedName>
    <definedName name="_____B19999">#REF!</definedName>
    <definedName name="_____B20000">#REF!</definedName>
    <definedName name="_____BIL1">#REF!</definedName>
    <definedName name="_____BIL10">#REF!</definedName>
    <definedName name="_____BIL11">#REF!</definedName>
    <definedName name="_____BIL12">#REF!</definedName>
    <definedName name="_____BIL2">#REF!</definedName>
    <definedName name="_____BIL3">#REF!</definedName>
    <definedName name="_____BIL4">#REF!</definedName>
    <definedName name="_____BIL5">#REF!</definedName>
    <definedName name="_____BIL6">#REF!</definedName>
    <definedName name="_____BIL7">#REF!</definedName>
    <definedName name="_____BIL8">#REF!</definedName>
    <definedName name="_____BIL9">#REF!</definedName>
    <definedName name="_____cat12" hidden="1">{#N/A,#N/A,TRUE,"Front";#N/A,#N/A,TRUE,"Simple Letter";#N/A,#N/A,TRUE,"Inside";#N/A,#N/A,TRUE,"Contents";#N/A,#N/A,TRUE,"Basis";#N/A,#N/A,TRUE,"Inclusions";#N/A,#N/A,TRUE,"Exclusions";#N/A,#N/A,TRUE,"Areas";#N/A,#N/A,TRUE,"Summary";#N/A,#N/A,TRUE,"Detail"}</definedName>
    <definedName name="_____ccr1" localSheetId="7" hidden="1">{#N/A,#N/A,TRUE,"Cover";#N/A,#N/A,TRUE,"Conts";#N/A,#N/A,TRUE,"VOS";#N/A,#N/A,TRUE,"Warrington";#N/A,#N/A,TRUE,"Widnes"}</definedName>
    <definedName name="_____ccr1" localSheetId="0" hidden="1">{#N/A,#N/A,TRUE,"Cover";#N/A,#N/A,TRUE,"Conts";#N/A,#N/A,TRUE,"VOS";#N/A,#N/A,TRUE,"Warrington";#N/A,#N/A,TRUE,"Widnes"}</definedName>
    <definedName name="_____ccr1" localSheetId="9"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ccr2" hidden="1">{#N/A,#N/A,TRUE,"Cover";#N/A,#N/A,TRUE,"Conts";#N/A,#N/A,TRUE,"VOS";#N/A,#N/A,TRUE,"Warrington";#N/A,#N/A,TRUE,"Widnes"}</definedName>
    <definedName name="_____CSM1">#REF!</definedName>
    <definedName name="_____CSM10">#REF!</definedName>
    <definedName name="_____CSM11">#REF!</definedName>
    <definedName name="_____CSM12">#REF!</definedName>
    <definedName name="_____CSM2">#REF!</definedName>
    <definedName name="_____CSM3">#REF!</definedName>
    <definedName name="_____CSM4">#REF!</definedName>
    <definedName name="_____CSM5">#REF!</definedName>
    <definedName name="_____CSM6">#REF!</definedName>
    <definedName name="_____CSM7">#REF!</definedName>
    <definedName name="_____CSM8">#REF!</definedName>
    <definedName name="_____CSM9">#REF!</definedName>
    <definedName name="_____dep2">#REF!</definedName>
    <definedName name="_____dep3">#REF!</definedName>
    <definedName name="_____e20000">#REF!</definedName>
    <definedName name="_____e99991">#REF!</definedName>
    <definedName name="_____EE1" hidden="1">{#N/A,#N/A,FALSE,"단가표지"}</definedName>
    <definedName name="_____ext2">#REF!</definedName>
    <definedName name="_____ext3">#REF!</definedName>
    <definedName name="_____KEY2" hidden="1">#REF!</definedName>
    <definedName name="_____len2">#REF!</definedName>
    <definedName name="_____len3">#REF!</definedName>
    <definedName name="_____may1" hidden="1">{#N/A,#N/A,FALSE,"MARCH"}</definedName>
    <definedName name="_____MCC3" hidden="1">{#N/A,#N/A,FALSE,"CCTV"}</definedName>
    <definedName name="_____new10">#REF!</definedName>
    <definedName name="_____new11">#REF!</definedName>
    <definedName name="_____new12">#REF!</definedName>
    <definedName name="_____new13">#REF!</definedName>
    <definedName name="_____new14">#REF!</definedName>
    <definedName name="_____new15">#REF!</definedName>
    <definedName name="_____new16">#REF!</definedName>
    <definedName name="_____new17">#REF!</definedName>
    <definedName name="_____new2">#REF!</definedName>
    <definedName name="_____new3">#REF!</definedName>
    <definedName name="_____new4">#REF!</definedName>
    <definedName name="_____new5">#REF!</definedName>
    <definedName name="_____new6">#REF!</definedName>
    <definedName name="_____new7">#REF!</definedName>
    <definedName name="_____new9">#REF!</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c1">#REF!</definedName>
    <definedName name="_____pc2">#REF!</definedName>
    <definedName name="_____pc3">#REF!</definedName>
    <definedName name="_____ped1" hidden="1">{"T_Pole",#N/A,FALSE,"T-Pole"}</definedName>
    <definedName name="_____PK2" hidden="1">{"'장비'!$A$3:$M$12"}</definedName>
    <definedName name="_____PKG3" hidden="1">{"'장비'!$A$3:$M$12"}</definedName>
    <definedName name="_____QQ1" hidden="1">{#N/A,#N/A,FALSE,"단가표지"}</definedName>
    <definedName name="_____qqq222" hidden="1">{"'장비'!$A$3:$M$12"}</definedName>
    <definedName name="_____QW1" hidden="1">{#N/A,#N/A,FALSE,"단가표지"}</definedName>
    <definedName name="_____RB10">#REF!</definedName>
    <definedName name="_____RB12">#REF!</definedName>
    <definedName name="_____RB14">#REF!</definedName>
    <definedName name="_____RB16">#REF!</definedName>
    <definedName name="_____RB18">#REF!</definedName>
    <definedName name="_____RB20">#REF!</definedName>
    <definedName name="_____RB22">#REF!</definedName>
    <definedName name="_____RB25">#REF!</definedName>
    <definedName name="_____RB28">#REF!</definedName>
    <definedName name="_____RB30">#REF!</definedName>
    <definedName name="_____RB32">#REF!</definedName>
    <definedName name="_____RB8">#REF!</definedName>
    <definedName name="_____RSB10">#REF!</definedName>
    <definedName name="_____RSB12">#REF!</definedName>
    <definedName name="_____RSB14">#REF!</definedName>
    <definedName name="_____RSB16">#REF!</definedName>
    <definedName name="_____RSB18">#REF!</definedName>
    <definedName name="_____RSB20">#REF!</definedName>
    <definedName name="_____RSB22">#REF!</definedName>
    <definedName name="_____RSB25">#REF!</definedName>
    <definedName name="_____RSB28">#REF!</definedName>
    <definedName name="_____RSB30">#REF!</definedName>
    <definedName name="_____RSB32">#REF!</definedName>
    <definedName name="_____RSB8">#REF!</definedName>
    <definedName name="_____SOC2">#REF!</definedName>
    <definedName name="_____SS1" hidden="1">{#N/A,#N/A,FALSE,"운반시간"}</definedName>
    <definedName name="_____tab2">#REF!</definedName>
    <definedName name="_____tbc2">#REF!</definedName>
    <definedName name="_____tbc3">#REF!</definedName>
    <definedName name="_____U14">#REF!</definedName>
    <definedName name="_____U60">#REF!</definedName>
    <definedName name="_____wid2">#REF!</definedName>
    <definedName name="_____wid3">#REF!</definedName>
    <definedName name="_____xlnm.Print_Area_15">#REF!</definedName>
    <definedName name="_____xlnm.Print_Titles_15">#REF!</definedName>
    <definedName name="_____z1" hidden="1">{#N/A,#N/A,TRUE,"Cover Memo";"Complete Sys. Estimate",#N/A,TRUE,"Change Summary";"Complete Sys. Estimate",#N/A,TRUE,"Estimate Summary";"Complete Sys. Estimate",#N/A,TRUE,"Dept. Summary";"Complete Sys. Estimate",#N/A,TRUE,"DOW Detail"}</definedName>
    <definedName name="____4449_with_attachement">#REF!</definedName>
    <definedName name="____A1" hidden="1">{#N/A,#N/A,FALSE,"type1";#N/A,#N/A,FALSE,"지지력";#N/A,#N/A,FALSE,"PILE계산";#N/A,#N/A,FALSE,"PILE ";#N/A,#N/A,FALSE,"철근량";#N/A,#N/A,FALSE,"균열검토";#N/A,#N/A,FALSE,"날개벽";#N/A,#N/A,FALSE,"주철근조립도";#N/A,#N/A,FALSE,"교좌"}</definedName>
    <definedName name="____A10" hidden="1">{#N/A,#N/A,FALSE,"CCTV"}</definedName>
    <definedName name="____a11" hidden="1">{"'장비'!$A$3:$M$12"}</definedName>
    <definedName name="____a122" hidden="1">{#N/A,#N/A,FALSE,"속도"}</definedName>
    <definedName name="____ab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as2" hidden="1">{#N/A,#N/A,FALSE,"SumD";#N/A,#N/A,FALSE,"ElecD";#N/A,#N/A,FALSE,"MechD";#N/A,#N/A,FALSE,"GeotD";#N/A,#N/A,FALSE,"PrcsD";#N/A,#N/A,FALSE,"TunnD";#N/A,#N/A,FALSE,"CivlD";#N/A,#N/A,FALSE,"NtwkD";#N/A,#N/A,FALSE,"EstgD";#N/A,#N/A,FALSE,"PEngD"}</definedName>
    <definedName name="____B19000">#REF!</definedName>
    <definedName name="____B19999">#REF!</definedName>
    <definedName name="____B20000">#REF!</definedName>
    <definedName name="____cat12" hidden="1">{#N/A,#N/A,TRUE,"Front";#N/A,#N/A,TRUE,"Simple Letter";#N/A,#N/A,TRUE,"Inside";#N/A,#N/A,TRUE,"Contents";#N/A,#N/A,TRUE,"Basis";#N/A,#N/A,TRUE,"Inclusions";#N/A,#N/A,TRUE,"Exclusions";#N/A,#N/A,TRUE,"Areas";#N/A,#N/A,TRUE,"Summary";#N/A,#N/A,TRUE,"Detail"}</definedName>
    <definedName name="____ccr1" localSheetId="7" hidden="1">{#N/A,#N/A,TRUE,"Cover";#N/A,#N/A,TRUE,"Conts";#N/A,#N/A,TRUE,"VOS";#N/A,#N/A,TRUE,"Warrington";#N/A,#N/A,TRUE,"Widnes"}</definedName>
    <definedName name="____ccr1" localSheetId="0" hidden="1">{#N/A,#N/A,TRUE,"Cover";#N/A,#N/A,TRUE,"Conts";#N/A,#N/A,TRUE,"VOS";#N/A,#N/A,TRUE,"Warrington";#N/A,#N/A,TRUE,"Widnes"}</definedName>
    <definedName name="____ccr1" localSheetId="9"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7" hidden="1">{#N/A,#N/A,TRUE,"Cover";#N/A,#N/A,TRUE,"Conts";#N/A,#N/A,TRUE,"VOS";#N/A,#N/A,TRUE,"Warrington";#N/A,#N/A,TRUE,"Widnes"}</definedName>
    <definedName name="____ccr2" localSheetId="0" hidden="1">{#N/A,#N/A,TRUE,"Cover";#N/A,#N/A,TRUE,"Conts";#N/A,#N/A,TRUE,"VOS";#N/A,#N/A,TRUE,"Warrington";#N/A,#N/A,TRUE,"Widnes"}</definedName>
    <definedName name="____ccr2" localSheetId="9"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dep2">#REF!</definedName>
    <definedName name="____dep3">#REF!</definedName>
    <definedName name="____e20000">#REF!</definedName>
    <definedName name="____e99991">#REF!</definedName>
    <definedName name="____EE1" hidden="1">{#N/A,#N/A,FALSE,"단가표지"}</definedName>
    <definedName name="____ETC01">#REF!</definedName>
    <definedName name="____ext2">#REF!</definedName>
    <definedName name="____ext3">#REF!</definedName>
    <definedName name="____fd2" hidden="1">{#N/A,#N/A,TRUE,"Cover Memo";"Complete Sys. Estimate",#N/A,TRUE,"Change Summary";"Complete Sys. Estimate",#N/A,TRUE,"Estimate Summary";"Complete Sys. Estimate",#N/A,TRUE,"Dept. Summary";"Complete Sys. Estimate",#N/A,TRUE,"DOW Detail"}</definedName>
    <definedName name="____H3" hidden="1">{"'장비'!$A$3:$M$12"}</definedName>
    <definedName name="____hp10" hidden="1">{#N/A,#N/A,TRUE,"Front";#N/A,#N/A,TRUE,"Simple Letter";#N/A,#N/A,TRUE,"Inside";#N/A,#N/A,TRUE,"Contents";#N/A,#N/A,TRUE,"Basis";#N/A,#N/A,TRUE,"Inclusions";#N/A,#N/A,TRUE,"Exclusions";#N/A,#N/A,TRUE,"Areas";#N/A,#N/A,TRUE,"Summary";#N/A,#N/A,TRUE,"Detail"}</definedName>
    <definedName name="____jay1">#REF!</definedName>
    <definedName name="____Key11" hidden="1">#REF!</definedName>
    <definedName name="____key2" hidden="1">#REF!</definedName>
    <definedName name="____len2">#REF!</definedName>
    <definedName name="____len3">#REF!</definedName>
    <definedName name="____Lx1">#REF!</definedName>
    <definedName name="____Ly1">#REF!</definedName>
    <definedName name="____Lz1">#REF!</definedName>
    <definedName name="____Lz2">#REF!</definedName>
    <definedName name="____MCC3" hidden="1">{#N/A,#N/A,FALSE,"CCTV"}</definedName>
    <definedName name="____Mf1">#REF!</definedName>
    <definedName name="____Mf2">#REF!</definedName>
    <definedName name="____new10">#REF!</definedName>
    <definedName name="____new11">#REF!</definedName>
    <definedName name="____new12">#REF!</definedName>
    <definedName name="____new13">#REF!</definedName>
    <definedName name="____new14">#REF!</definedName>
    <definedName name="____new15">#REF!</definedName>
    <definedName name="____new16">#REF!</definedName>
    <definedName name="____new17">#REF!</definedName>
    <definedName name="____new2">#REF!</definedName>
    <definedName name="____new3">#REF!</definedName>
    <definedName name="____new4">#REF!</definedName>
    <definedName name="____new5">#REF!</definedName>
    <definedName name="____new6">#REF!</definedName>
    <definedName name="____new7">#REF!</definedName>
    <definedName name="____new9">#REF!</definedName>
    <definedName name="____No1">#REF!</definedName>
    <definedName name="____No2">#REF!</definedName>
    <definedName name="____No3">#REF!</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pc1">#REF!</definedName>
    <definedName name="____pc2">#REF!</definedName>
    <definedName name="____pc3">#REF!</definedName>
    <definedName name="____PK2" hidden="1">{"'장비'!$A$3:$M$12"}</definedName>
    <definedName name="____PKG3" hidden="1">{"'장비'!$A$3:$M$12"}</definedName>
    <definedName name="____QQ1" hidden="1">{#N/A,#N/A,FALSE,"단가표지"}</definedName>
    <definedName name="____qqq222" hidden="1">{"'장비'!$A$3:$M$12"}</definedName>
    <definedName name="____QW1" hidden="1">{#N/A,#N/A,FALSE,"단가표지"}</definedName>
    <definedName name="____SF1">#REF!</definedName>
    <definedName name="____SOC2">#REF!</definedName>
    <definedName name="____SS1" hidden="1">{#N/A,#N/A,FALSE,"운반시간"}</definedName>
    <definedName name="____tab2">#REF!</definedName>
    <definedName name="____TAG1">#REF!</definedName>
    <definedName name="____tbc2">#REF!</definedName>
    <definedName name="____tbc3">#REF!</definedName>
    <definedName name="____tg1">#REF!</definedName>
    <definedName name="____U14">#REF!</definedName>
    <definedName name="____U60">#REF!</definedName>
    <definedName name="____Wf1">#REF!</definedName>
    <definedName name="____Wf2">#REF!</definedName>
    <definedName name="____wid2">#REF!</definedName>
    <definedName name="____wid3">#REF!</definedName>
    <definedName name="____xlfn.BAHTTEXT" hidden="1">#NAME?</definedName>
    <definedName name="___1A1_" hidden="1">{#N/A,#N/A,TRUE,"Basic";#N/A,#N/A,TRUE,"EXT-TABLE";#N/A,#N/A,TRUE,"STEEL";#N/A,#N/A,TRUE,"INT-Table";#N/A,#N/A,TRUE,"STEEL";#N/A,#N/A,TRUE,"Door"}</definedName>
    <definedName name="___4449_with_attachement">#REF!</definedName>
    <definedName name="___A1">#REF!</definedName>
    <definedName name="___a11" hidden="1">{"'장비'!$A$3:$M$12"}</definedName>
    <definedName name="___a122" hidden="1">{#N/A,#N/A,FALSE,"속도"}</definedName>
    <definedName name="___ab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UX3">#REF!</definedName>
    <definedName name="___B19000">#REF!</definedName>
    <definedName name="___B19999">#REF!</definedName>
    <definedName name="___B20000">#REF!</definedName>
    <definedName name="___BIL1">#REF!</definedName>
    <definedName name="___BIL10">#REF!</definedName>
    <definedName name="___BIL11">#REF!</definedName>
    <definedName name="___BIL12">#REF!</definedName>
    <definedName name="___BIL2">#REF!</definedName>
    <definedName name="___BIL3">#REF!</definedName>
    <definedName name="___BIL4">#REF!</definedName>
    <definedName name="___BIL5">#REF!</definedName>
    <definedName name="___BIL6">#REF!</definedName>
    <definedName name="___BIL7">#REF!</definedName>
    <definedName name="___BIL8">#REF!</definedName>
    <definedName name="___BIL9">#REF!</definedName>
    <definedName name="___boq1">#REF!</definedName>
    <definedName name="___cat12" hidden="1">{#N/A,#N/A,TRUE,"Front";#N/A,#N/A,TRUE,"Simple Letter";#N/A,#N/A,TRUE,"Inside";#N/A,#N/A,TRUE,"Contents";#N/A,#N/A,TRUE,"Basis";#N/A,#N/A,TRUE,"Inclusions";#N/A,#N/A,TRUE,"Exclusions";#N/A,#N/A,TRUE,"Areas";#N/A,#N/A,TRUE,"Summary";#N/A,#N/A,TRUE,"Detail"}</definedName>
    <definedName name="___ccr1" localSheetId="7" hidden="1">{#N/A,#N/A,TRUE,"Cover";#N/A,#N/A,TRUE,"Conts";#N/A,#N/A,TRUE,"VOS";#N/A,#N/A,TRUE,"Warrington";#N/A,#N/A,TRUE,"Widnes"}</definedName>
    <definedName name="___ccr1" localSheetId="0" hidden="1">{#N/A,#N/A,TRUE,"Cover";#N/A,#N/A,TRUE,"Conts";#N/A,#N/A,TRUE,"VOS";#N/A,#N/A,TRUE,"Warrington";#N/A,#N/A,TRUE,"Widnes"}</definedName>
    <definedName name="___ccr1" localSheetId="9"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7" hidden="1">{#N/A,#N/A,TRUE,"Cover";#N/A,#N/A,TRUE,"Conts";#N/A,#N/A,TRUE,"VOS";#N/A,#N/A,TRUE,"Warrington";#N/A,#N/A,TRUE,"Widnes"}</definedName>
    <definedName name="___ccr2" localSheetId="0" hidden="1">{#N/A,#N/A,TRUE,"Cover";#N/A,#N/A,TRUE,"Conts";#N/A,#N/A,TRUE,"VOS";#N/A,#N/A,TRUE,"Warrington";#N/A,#N/A,TRUE,"Widnes"}</definedName>
    <definedName name="___ccr2" localSheetId="9"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CDN1">#REF!</definedName>
    <definedName name="___CDN2">#REF!</definedName>
    <definedName name="___com2" hidden="1">{"'Break down'!$A$4"}</definedName>
    <definedName name="___CSM1">#REF!</definedName>
    <definedName name="___CSM10">#REF!</definedName>
    <definedName name="___CSM11">#REF!</definedName>
    <definedName name="___CSM12">#REF!</definedName>
    <definedName name="___CSM2">#REF!</definedName>
    <definedName name="___CSM3">#REF!</definedName>
    <definedName name="___CSM4">#REF!</definedName>
    <definedName name="___CSM5">#REF!</definedName>
    <definedName name="___CSM6">#REF!</definedName>
    <definedName name="___CSM7">#REF!</definedName>
    <definedName name="___CSM8">#REF!</definedName>
    <definedName name="___CSM9">#REF!</definedName>
    <definedName name="___dbs1">#REF!</definedName>
    <definedName name="___dbs11">#REF!</definedName>
    <definedName name="___dbs76">#REF!</definedName>
    <definedName name="___dep2">#REF!</definedName>
    <definedName name="___dep3">#REF!</definedName>
    <definedName name="___DWR001">#REF!</definedName>
    <definedName name="___DWR002">#REF!</definedName>
    <definedName name="___DWR003">#REF!</definedName>
    <definedName name="___DWR004">#REF!</definedName>
    <definedName name="___DWR005">#REF!</definedName>
    <definedName name="___e20000">#REF!</definedName>
    <definedName name="___e99991">#REF!</definedName>
    <definedName name="___EE1" hidden="1">{#N/A,#N/A,FALSE,"단가표지"}</definedName>
    <definedName name="___ETC01">#REF!</definedName>
    <definedName name="___ext2">#REF!</definedName>
    <definedName name="___ext3">#REF!</definedName>
    <definedName name="___F1">#REF!</definedName>
    <definedName name="___FDN1">#REF!</definedName>
    <definedName name="___FDN2">#REF!</definedName>
    <definedName name="___ffy40">#REF!</definedName>
    <definedName name="___GHH2">#REF!</definedName>
    <definedName name="___H3" hidden="1">{"'장비'!$A$3:$M$12"}</definedName>
    <definedName name="___Hew1">#REF!</definedName>
    <definedName name="___HM11">#REF!</definedName>
    <definedName name="___HM13">#REF!</definedName>
    <definedName name="___HM14">#REF!</definedName>
    <definedName name="___HM15">#REF!</definedName>
    <definedName name="___HM16">#REF!</definedName>
    <definedName name="___HM17">#REF!</definedName>
    <definedName name="___HM18">#REF!</definedName>
    <definedName name="___HM19">#REF!</definedName>
    <definedName name="___HM20">#REF!</definedName>
    <definedName name="___HM21">#REF!</definedName>
    <definedName name="___HM22">#REF!</definedName>
    <definedName name="___HM23">#REF!</definedName>
    <definedName name="___HM24">#REF!</definedName>
    <definedName name="___HM25">#REF!</definedName>
    <definedName name="___HM26">#REF!</definedName>
    <definedName name="___HM27">#REF!</definedName>
    <definedName name="___HM28">#REF!</definedName>
    <definedName name="___HM29">#REF!</definedName>
    <definedName name="___HM30">#REF!</definedName>
    <definedName name="___HM31">#REF!</definedName>
    <definedName name="___HM32">#REF!</definedName>
    <definedName name="___HM33">#REF!</definedName>
    <definedName name="___HM34">#REF!</definedName>
    <definedName name="___HM35">#REF!</definedName>
    <definedName name="___HM36">#REF!</definedName>
    <definedName name="___HM37">#REF!</definedName>
    <definedName name="___HM38">#REF!</definedName>
    <definedName name="___HM39">#REF!</definedName>
    <definedName name="___HM40">#REF!</definedName>
    <definedName name="___HM41">#REF!</definedName>
    <definedName name="___HM42">#REF!</definedName>
    <definedName name="___HM43">#REF!</definedName>
    <definedName name="___HM44">#REF!</definedName>
    <definedName name="___HM45">#REF!</definedName>
    <definedName name="___HM46">#REF!</definedName>
    <definedName name="___HM47">#REF!</definedName>
    <definedName name="___HM48">#REF!</definedName>
    <definedName name="___HM49">#REF!</definedName>
    <definedName name="___HM50">#REF!</definedName>
    <definedName name="___HM51">#REF!</definedName>
    <definedName name="___HM52">#REF!</definedName>
    <definedName name="___HM53">#REF!</definedName>
    <definedName name="___HM54">#REF!</definedName>
    <definedName name="___HM55">#REF!</definedName>
    <definedName name="___HM56">#REF!</definedName>
    <definedName name="___HM57">#REF!</definedName>
    <definedName name="___HM58">#REF!</definedName>
    <definedName name="___HM59">#REF!</definedName>
    <definedName name="___HM60">#REF!</definedName>
    <definedName name="___HM61">#REF!</definedName>
    <definedName name="___HM62">#REF!</definedName>
    <definedName name="___HM63">#REF!</definedName>
    <definedName name="___HM64">#REF!</definedName>
    <definedName name="___HM65">#REF!</definedName>
    <definedName name="___HM66">#REF!</definedName>
    <definedName name="___HM67">#REF!</definedName>
    <definedName name="___HM68">#REF!</definedName>
    <definedName name="___hor1">#REF!</definedName>
    <definedName name="___Hos1">#REF!</definedName>
    <definedName name="___hp10" hidden="1">{#N/A,#N/A,TRUE,"Front";#N/A,#N/A,TRUE,"Simple Letter";#N/A,#N/A,TRUE,"Inside";#N/A,#N/A,TRUE,"Contents";#N/A,#N/A,TRUE,"Basis";#N/A,#N/A,TRUE,"Inclusions";#N/A,#N/A,TRUE,"Exclusions";#N/A,#N/A,TRUE,"Areas";#N/A,#N/A,TRUE,"Summary";#N/A,#N/A,TRUE,"Detail"}</definedName>
    <definedName name="___Hsb1">#REF!</definedName>
    <definedName name="___Hsb2">#REF!</definedName>
    <definedName name="___HSB3">#REF!</definedName>
    <definedName name="___Hsb4">#REF!</definedName>
    <definedName name="___HSB5">#REF!</definedName>
    <definedName name="___hsb6">#REF!</definedName>
    <definedName name="___hsb7">#REF!</definedName>
    <definedName name="___hsb8">#REF!</definedName>
    <definedName name="___HSH1">#REF!</definedName>
    <definedName name="___HSH2">#REF!</definedName>
    <definedName name="___Hsp1">#REF!</definedName>
    <definedName name="___Hsp2">#REF!</definedName>
    <definedName name="___Hwb1">#REF!</definedName>
    <definedName name="___Hwb2">#REF!</definedName>
    <definedName name="___HWB3">#REF!</definedName>
    <definedName name="___Hwb4">#REF!</definedName>
    <definedName name="___hwb5">#REF!</definedName>
    <definedName name="___hwb6">#REF!</definedName>
    <definedName name="___hwb7">#REF!</definedName>
    <definedName name="___hwb8">#REF!</definedName>
    <definedName name="___INDEX_SHEET___ASAP_Utilities">#REF!</definedName>
    <definedName name="___Key11" hidden="1">#REF!</definedName>
    <definedName name="___KEY2" hidden="1">#REF!</definedName>
    <definedName name="___KHM1">#REF!</definedName>
    <definedName name="___KHM10">#REF!</definedName>
    <definedName name="___KHM2">#REF!</definedName>
    <definedName name="___KHM3">#REF!</definedName>
    <definedName name="___KHM4">#REF!</definedName>
    <definedName name="___KHM5">#REF!</definedName>
    <definedName name="___KHM6">#REF!</definedName>
    <definedName name="___KHM7">#REF!</definedName>
    <definedName name="___KHM8">#REF!</definedName>
    <definedName name="___KHM9">#REF!</definedName>
    <definedName name="___len2">#REF!</definedName>
    <definedName name="___len3">#REF!</definedName>
    <definedName name="___LL3">#REF!</definedName>
    <definedName name="___Lx1">#REF!</definedName>
    <definedName name="___Ly1">#REF!</definedName>
    <definedName name="___Lz1">#REF!</definedName>
    <definedName name="___Lz2">#REF!</definedName>
    <definedName name="___may1" hidden="1">{#N/A,#N/A,FALSE,"MARCH"}</definedName>
    <definedName name="___mc13000">#REF!</definedName>
    <definedName name="___MCC3" hidden="1">{#N/A,#N/A,FALSE,"CCTV"}</definedName>
    <definedName name="___Mew1">#REF!</definedName>
    <definedName name="___Mey1">#REF!</definedName>
    <definedName name="___Mf1">#REF!</definedName>
    <definedName name="___Mf2">#REF!</definedName>
    <definedName name="___ML2">#REF!</definedName>
    <definedName name="___ML3">#REF!</definedName>
    <definedName name="___ML4">#REF!</definedName>
    <definedName name="___ML5">#REF!</definedName>
    <definedName name="___ML6">#REF!</definedName>
    <definedName name="___ML7">#REF!</definedName>
    <definedName name="___Mos1">#REF!</definedName>
    <definedName name="___Msb1">#REF!</definedName>
    <definedName name="___Msb2">#REF!</definedName>
    <definedName name="___MSB3">#REF!</definedName>
    <definedName name="___Msb4">#REF!</definedName>
    <definedName name="___msb5">#REF!</definedName>
    <definedName name="___msb6">#REF!</definedName>
    <definedName name="___msb7">#REF!</definedName>
    <definedName name="___msb8">#REF!</definedName>
    <definedName name="___Mwb1">#REF!</definedName>
    <definedName name="___Mwb2">#REF!</definedName>
    <definedName name="___MWB3">#REF!</definedName>
    <definedName name="___Mwb4">#REF!</definedName>
    <definedName name="___mwb5">#REF!</definedName>
    <definedName name="___mwb6">#REF!</definedName>
    <definedName name="___mwb7">#REF!</definedName>
    <definedName name="___mwb8">#REF!</definedName>
    <definedName name="___NB2">#REF!</definedName>
    <definedName name="___NB3">#REF!</definedName>
    <definedName name="___NB4">#REF!</definedName>
    <definedName name="___NB5">#REF!</definedName>
    <definedName name="___NB6">#REF!</definedName>
    <definedName name="___NB7">#REF!</definedName>
    <definedName name="___new10">#REF!</definedName>
    <definedName name="___new11">#REF!</definedName>
    <definedName name="___new12">#REF!</definedName>
    <definedName name="___new13">#REF!</definedName>
    <definedName name="___new14">#REF!</definedName>
    <definedName name="___new15">#REF!</definedName>
    <definedName name="___new16">#REF!</definedName>
    <definedName name="___new17">#REF!</definedName>
    <definedName name="___new2">#REF!</definedName>
    <definedName name="___new3">#REF!</definedName>
    <definedName name="___new4">#REF!</definedName>
    <definedName name="___new5">#REF!</definedName>
    <definedName name="___new6">#REF!</definedName>
    <definedName name="___new7">#REF!</definedName>
    <definedName name="___new9">#REF!</definedName>
    <definedName name="___No1">#REF!</definedName>
    <definedName name="___No2">#REF!</definedName>
    <definedName name="___No3">#REF!</definedName>
    <definedName name="___NP1">#REF!</definedName>
    <definedName name="___NP2">#REF!</definedName>
    <definedName name="___NSH1">#REF!</definedName>
    <definedName name="___NSH2">#REF!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pa1">#REF!</definedName>
    <definedName name="___pc1">#REF!</definedName>
    <definedName name="___pc2">#REF!</definedName>
    <definedName name="___pc3">#REF!</definedName>
    <definedName name="___pcd1">#REF!</definedName>
    <definedName name="___pcd2">#REF!</definedName>
    <definedName name="___ped1">#REF!</definedName>
    <definedName name="___ped2">#REF!</definedName>
    <definedName name="___ped3">#REF!</definedName>
    <definedName name="___ped4">#REF!</definedName>
    <definedName name="___ped6">#REF!</definedName>
    <definedName name="___ped7">#REF!</definedName>
    <definedName name="___PER2">#REF!</definedName>
    <definedName name="___PER3">#REF!</definedName>
    <definedName name="___PER4">#REF!</definedName>
    <definedName name="___PER5">#REF!</definedName>
    <definedName name="___PER6">#REF!</definedName>
    <definedName name="___PER7">#REF!</definedName>
    <definedName name="___PK2" hidden="1">{"'장비'!$A$3:$M$12"}</definedName>
    <definedName name="___PK2_1" hidden="1">{"'장비'!$A$3:$M$12"}</definedName>
    <definedName name="___PK2_2" hidden="1">{"'장비'!$A$3:$M$12"}</definedName>
    <definedName name="___PKG3" hidden="1">{"'장비'!$A$3:$M$12"}</definedName>
    <definedName name="___PKG3_1" hidden="1">{"'장비'!$A$3:$M$12"}</definedName>
    <definedName name="___PKG3_2" hidden="1">{"'장비'!$A$3:$M$12"}</definedName>
    <definedName name="___pl1">#REF!</definedName>
    <definedName name="___PL2">#REF!</definedName>
    <definedName name="___PL3">#REF!</definedName>
    <definedName name="___PR1">#N/A</definedName>
    <definedName name="___QQ1" hidden="1">{#N/A,#N/A,FALSE,"단가표지"}</definedName>
    <definedName name="___qqq222" hidden="1">{"'장비'!$A$3:$M$12"}</definedName>
    <definedName name="___qqq222_1" hidden="1">{"'장비'!$A$3:$M$12"}</definedName>
    <definedName name="___qqq222_2" hidden="1">{"'장비'!$A$3:$M$12"}</definedName>
    <definedName name="___qu1">#REF!</definedName>
    <definedName name="___qu2">#REF!</definedName>
    <definedName name="___QW1" hidden="1">{#N/A,#N/A,FALSE,"단가표지"}</definedName>
    <definedName name="___QZ2">#REF!</definedName>
    <definedName name="___R">#REF!</definedName>
    <definedName name="___RB10">#REF!</definedName>
    <definedName name="___RB12">#REF!</definedName>
    <definedName name="___RB14">#REF!</definedName>
    <definedName name="___RB16">#REF!</definedName>
    <definedName name="___RB18">#REF!</definedName>
    <definedName name="___RB20">#REF!</definedName>
    <definedName name="___RB22">#REF!</definedName>
    <definedName name="___RB25">#REF!</definedName>
    <definedName name="___RB28">#REF!</definedName>
    <definedName name="___RB30">#REF!</definedName>
    <definedName name="___RB32">#REF!</definedName>
    <definedName name="___RB8">#REF!</definedName>
    <definedName name="___rev5" hidden="1">{#N/A,#N/A,FALSE,"CCTV"}</definedName>
    <definedName name="___REW1">#REF!</definedName>
    <definedName name="___REW2">#REF!</definedName>
    <definedName name="___ROS1">#REF!</definedName>
    <definedName name="___ROS2">#REF!</definedName>
    <definedName name="___ROW1">#REF!</definedName>
    <definedName name="___ROW2">#REF!</definedName>
    <definedName name="___RSB10">#REF!</definedName>
    <definedName name="___RSB12">#REF!</definedName>
    <definedName name="___RSB14">#REF!</definedName>
    <definedName name="___RSB16">#REF!</definedName>
    <definedName name="___RSB18">#REF!</definedName>
    <definedName name="___RSB20">#REF!</definedName>
    <definedName name="___RSB22">#REF!</definedName>
    <definedName name="___RSB25">#REF!</definedName>
    <definedName name="___RSB28">#REF!</definedName>
    <definedName name="___RSB30">#REF!</definedName>
    <definedName name="___RSB32">#REF!</definedName>
    <definedName name="___RSB8">#REF!</definedName>
    <definedName name="___RTW1">#REF!</definedName>
    <definedName name="___RTW2">#REF!</definedName>
    <definedName name="___SBB1">#REF!</definedName>
    <definedName name="___SBB2">#REF!</definedName>
    <definedName name="___SBB3">#REF!</definedName>
    <definedName name="___SBB4">#REF!</definedName>
    <definedName name="___SBB5">#REF!</definedName>
    <definedName name="___SF1">#REF!</definedName>
    <definedName name="___SH2">#REF!</definedName>
    <definedName name="___SH3">#REF!</definedName>
    <definedName name="___SH4">#REF!</definedName>
    <definedName name="___SH5">#REF!</definedName>
    <definedName name="___SH6">#REF!</definedName>
    <definedName name="___SHH1">#REF!</definedName>
    <definedName name="___SHH2">#REF!</definedName>
    <definedName name="___SHH3">#REF!</definedName>
    <definedName name="___SM2">#REF!</definedName>
    <definedName name="___SM3">#REF!</definedName>
    <definedName name="___SM4">#REF!</definedName>
    <definedName name="___SM5">#REF!</definedName>
    <definedName name="___SM6">#REF!</definedName>
    <definedName name="___SM7">#REF!</definedName>
    <definedName name="___SOC2">#REF!</definedName>
    <definedName name="___SS1" hidden="1">{#N/A,#N/A,FALSE,"운반시간"}</definedName>
    <definedName name="___sss1">#REF!</definedName>
    <definedName name="___sss10">#REF!</definedName>
    <definedName name="___sss11">#REF!</definedName>
    <definedName name="___sss12">#REF!</definedName>
    <definedName name="___sss13">#REF!</definedName>
    <definedName name="___sss14">#REF!</definedName>
    <definedName name="___sss15">#REF!</definedName>
    <definedName name="___sss16">#REF!</definedName>
    <definedName name="___sss17">#REF!</definedName>
    <definedName name="___sss18">#REF!</definedName>
    <definedName name="___sss19">#REF!</definedName>
    <definedName name="___sss2">#REF!</definedName>
    <definedName name="___sss20">#REF!</definedName>
    <definedName name="___sss21">#REF!</definedName>
    <definedName name="___sss22">#REF!</definedName>
    <definedName name="___sss23">#REF!</definedName>
    <definedName name="___sss24">#REF!</definedName>
    <definedName name="___sss25">#REF!</definedName>
    <definedName name="___sss26">#REF!</definedName>
    <definedName name="___sss27">#REF!</definedName>
    <definedName name="___sss28">#REF!</definedName>
    <definedName name="___sss29">#REF!</definedName>
    <definedName name="___sss3">#REF!</definedName>
    <definedName name="___sss30">#REF!</definedName>
    <definedName name="___sss31">#REF!</definedName>
    <definedName name="___sss32">#REF!</definedName>
    <definedName name="___sss33">#REF!</definedName>
    <definedName name="___sss34">#REF!</definedName>
    <definedName name="___sss35">#REF!</definedName>
    <definedName name="___sss36">#REF!</definedName>
    <definedName name="___sss37">#REF!</definedName>
    <definedName name="___sss38">#REF!</definedName>
    <definedName name="___sss39">#REF!</definedName>
    <definedName name="___sss4">#REF!</definedName>
    <definedName name="___sss40">#REF!</definedName>
    <definedName name="___sss41">#REF!</definedName>
    <definedName name="___sss42">#REF!</definedName>
    <definedName name="___sss43">#REF!</definedName>
    <definedName name="___sss44">#REF!</definedName>
    <definedName name="___sss45">#REF!</definedName>
    <definedName name="___sss46">#REF!</definedName>
    <definedName name="___sss47">#REF!</definedName>
    <definedName name="___sss48">#REF!</definedName>
    <definedName name="___sss49">#REF!</definedName>
    <definedName name="___sss5">#REF!</definedName>
    <definedName name="___sss50">#REF!</definedName>
    <definedName name="___sss6">#REF!</definedName>
    <definedName name="___sss7">#REF!</definedName>
    <definedName name="___sss8">#REF!</definedName>
    <definedName name="___sss9">#REF!</definedName>
    <definedName name="___SV2">#REF!</definedName>
    <definedName name="___SV3">#REF!</definedName>
    <definedName name="___SV4">#REF!</definedName>
    <definedName name="___SV5">#REF!</definedName>
    <definedName name="___SV6">#REF!</definedName>
    <definedName name="___SV7">#REF!</definedName>
    <definedName name="___tab2">#REF!</definedName>
    <definedName name="___TAG1">#REF!</definedName>
    <definedName name="___tbc2">#REF!</definedName>
    <definedName name="___tbc3">#REF!</definedName>
    <definedName name="___tg1">#REF!</definedName>
    <definedName name="___TT1">#REF!</definedName>
    <definedName name="___TT2">#REF!</definedName>
    <definedName name="___TT3">#REF!</definedName>
    <definedName name="___U14">#REF!</definedName>
    <definedName name="___U60">#REF!</definedName>
    <definedName name="___ver1">#REF!</definedName>
    <definedName name="___ver3">#REF!</definedName>
    <definedName name="___Vew1">#REF!</definedName>
    <definedName name="___VOL2">#REF!</definedName>
    <definedName name="___VOL3">#REF!</definedName>
    <definedName name="___VOL4">#REF!</definedName>
    <definedName name="___VOL5">#REF!</definedName>
    <definedName name="___VOL6">#REF!</definedName>
    <definedName name="___VOL7">#REF!</definedName>
    <definedName name="___Vos1">#REF!</definedName>
    <definedName name="___Vu1">#REF!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1">#REF!</definedName>
    <definedName name="___Wht2">#REF!</definedName>
    <definedName name="___Wht3">#REF!</definedName>
    <definedName name="___Wht4">#REF!</definedName>
    <definedName name="___wht5">#REF!</definedName>
    <definedName name="___wht6">#REF!</definedName>
    <definedName name="___wht7">#REF!</definedName>
    <definedName name="___wht8">#REF!</definedName>
    <definedName name="___wid2">#REF!</definedName>
    <definedName name="___wid3">#REF!</definedName>
    <definedName name="___WO3">#REF!</definedName>
    <definedName name="___Wo4">#REF!</definedName>
    <definedName name="___wo5">#REF!</definedName>
    <definedName name="___wo6">#REF!</definedName>
    <definedName name="___wo7">#REF!</definedName>
    <definedName name="___wo8">#REF!</definedName>
    <definedName name="___Wp1">#REF!</definedName>
    <definedName name="___Wp2">#REF!</definedName>
    <definedName name="___wsb5">#REF!</definedName>
    <definedName name="___xlfn.BAHTTEXT" hidden="1">#NAME?</definedName>
    <definedName name="___xlfn.SUMIFS" hidden="1">#NAME?</definedName>
    <definedName name="___xlnm.Print_Titles">#REF!</definedName>
    <definedName name="___z1" hidden="1">{#N/A,#N/A,TRUE,"Cover Memo";"Complete Sys. Estimate",#N/A,TRUE,"Change Summary";"Complete Sys. Estimate",#N/A,TRUE,"Estimate Summary";"Complete Sys. Estimate",#N/A,TRUE,"Dept. Summary";"Complete Sys. Estimate",#N/A,TRUE,"DOW Detail"}</definedName>
    <definedName name="__1.2">#REF!</definedName>
    <definedName name="__1.3">#REF!</definedName>
    <definedName name="__1.4">#REF!</definedName>
    <definedName name="__1___123Graph_ACHART_1" hidden="1">#REF!</definedName>
    <definedName name="__1__123Graph_ACHART_1" hidden="1">#REF!</definedName>
    <definedName name="__1__123Graph_BCHART_2" hidden="1">#REF!</definedName>
    <definedName name="__1_1.2">#REF!</definedName>
    <definedName name="__10__123Graph_DCHART_1" hidden="1">#REF!</definedName>
    <definedName name="__10_5B.4">#REF!</definedName>
    <definedName name="__11_6.2">#REF!</definedName>
    <definedName name="__12_6.3">#REF!</definedName>
    <definedName name="__123Graph_A" hidden="1">#REF!</definedName>
    <definedName name="__123Graph_A¶ÚÝÄ" hidden="1">#REF!</definedName>
    <definedName name="__123Graph_A1" hidden="1">#REF!</definedName>
    <definedName name="__123Graph_ACHART1" hidden="1">#REF!</definedName>
    <definedName name="__123Graph_ACURRENT" hidden="1">#REF!</definedName>
    <definedName name="__123Graph_ACURVE" hidden="1">#REF!</definedName>
    <definedName name="__123Graph_AGraph1" hidden="1">#REF!</definedName>
    <definedName name="__123Graph_AGraph2" hidden="1">#REF!</definedName>
    <definedName name="__123Graph_AMPHISTG" hidden="1">#REF!</definedName>
    <definedName name="__123Graph_ANCF" hidden="1">#REF!</definedName>
    <definedName name="__123Graph_APAY" hidden="1">#REF!</definedName>
    <definedName name="__123Graph_APERFORMANCE" hidden="1">#REF!</definedName>
    <definedName name="__123Graph_APETER" hidden="1">#REF!</definedName>
    <definedName name="__123Graph_APOWERSAV" hidden="1">#REF!</definedName>
    <definedName name="__123Graph_Aｶﾚﾝﾄ" hidden="1">#REF!</definedName>
    <definedName name="__123Graph_A뛴噴" hidden="1">#REF!</definedName>
    <definedName name="__123Graph_A자금수지" hidden="1">#REF!</definedName>
    <definedName name="__123Graph_A자금운용" hidden="1">#REF!</definedName>
    <definedName name="__123Graph_B" hidden="1">#REF!</definedName>
    <definedName name="__123Graph_B¶ÚÝÄ" hidden="1">#REF!</definedName>
    <definedName name="__123Graph_B1" hidden="1">#REF!</definedName>
    <definedName name="__123Graph_B2" hidden="1">#REF!</definedName>
    <definedName name="__123Graph_B3" hidden="1">#REF!</definedName>
    <definedName name="__123Graph_BCurrent" hidden="1">#REF!</definedName>
    <definedName name="__123Graph_BGraph1" hidden="1">#REF!</definedName>
    <definedName name="__123Graph_BGraph2" hidden="1">#REF!</definedName>
    <definedName name="__123Graph_BNCF" hidden="1">#REF!</definedName>
    <definedName name="__123Graph_BPERFORMANCE" hidden="1">#REF!</definedName>
    <definedName name="__123Graph_BPOWERSAV" hidden="1">#REF!</definedName>
    <definedName name="__123Graph_Bｶﾚﾝﾄ" hidden="1">#REF!</definedName>
    <definedName name="__123Graph_B뛴噴" hidden="1">#REF!</definedName>
    <definedName name="__123Graph_B자금수지" hidden="1">#REF!</definedName>
    <definedName name="__123Graph_B자금운용" hidden="1">#REF!</definedName>
    <definedName name="__123Graph_C" hidden="1">#REF!</definedName>
    <definedName name="__123Graph_C¶ÚÝÄ" hidden="1">#REF!</definedName>
    <definedName name="__123Graph_C1" hidden="1">#REF!</definedName>
    <definedName name="__123Graph_C3" hidden="1">#REF!</definedName>
    <definedName name="__123Graph_CCONT" hidden="1">#REF!</definedName>
    <definedName name="__123Graph_CCOST" hidden="1">#REF!</definedName>
    <definedName name="__123Graph_CCURRENT" hidden="1">#REF!</definedName>
    <definedName name="__123Graph_CGM" hidden="1">#REF!</definedName>
    <definedName name="__123Graph_CGraph1" hidden="1">#REF!</definedName>
    <definedName name="__123Graph_CGraph2" hidden="1">#REF!</definedName>
    <definedName name="__123Graph_CREV" hidden="1">#REF!</definedName>
    <definedName name="__123Graph_Cｶﾚﾝﾄ" hidden="1">#REF!</definedName>
    <definedName name="__123Graph_C뛴噴" hidden="1">#REF!</definedName>
    <definedName name="__123Graph_C자금운용" hidden="1">#REF!</definedName>
    <definedName name="__123Graph_D" hidden="1">#REF!</definedName>
    <definedName name="__123Graph_D¶ÚÝÄ" hidden="1">#REF!</definedName>
    <definedName name="__123Graph_D2" hidden="1">#REF!</definedName>
    <definedName name="__123Graph_D3" hidden="1">#REF!</definedName>
    <definedName name="__123Graph_DCURRENT" hidden="1">#REF!</definedName>
    <definedName name="__123Graph_DGraph1" hidden="1">#REF!</definedName>
    <definedName name="__123Graph_DGraph2" hidden="1">#REF!</definedName>
    <definedName name="__123Graph_Dｶﾚﾝﾄ" hidden="1">#REF!</definedName>
    <definedName name="__123Graph_D뛴噴" hidden="1">#REF!</definedName>
    <definedName name="__123Graph_E" hidden="1">#REF!</definedName>
    <definedName name="__123Graph_E¶ÚÝÄ" hidden="1">#REF!</definedName>
    <definedName name="__123Graph_EGraph1" hidden="1">#REF!</definedName>
    <definedName name="__123Graph_EGraph2" hidden="1">#REF!</definedName>
    <definedName name="__123Graph_Eｶﾚﾝﾄ" hidden="1">#REF!</definedName>
    <definedName name="__123Graph_E뛴噴" hidden="1">#REF!</definedName>
    <definedName name="__123Graph_F" hidden="1">#REF!</definedName>
    <definedName name="__123Graph_F¶ÚÝÄ" hidden="1">#REF!</definedName>
    <definedName name="__123Graph_FGraph1" hidden="1">#REF!</definedName>
    <definedName name="__123Graph_FGraph2" hidden="1">#REF!</definedName>
    <definedName name="__123Graph_Fｶﾚﾝﾄ" hidden="1">#REF!</definedName>
    <definedName name="__123Graph_F뛴噴" hidden="1">#REF!</definedName>
    <definedName name="__123Graph_LBL_A"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CHART1" hidden="1">#REF!</definedName>
    <definedName name="__123Graph_XCONT" hidden="1">#REF!</definedName>
    <definedName name="__123Graph_XCOST" hidden="1">#REF!</definedName>
    <definedName name="__123Graph_XCurrent" hidden="1">#REF!</definedName>
    <definedName name="__123Graph_XCURVE" hidden="1">#REF!</definedName>
    <definedName name="__123Graph_XGM" hidden="1">#REF!</definedName>
    <definedName name="__123Graph_XMPHISTG" hidden="1">#REF!</definedName>
    <definedName name="__123Graph_XNCF" hidden="1">#REF!</definedName>
    <definedName name="__123Graph_XPAY" hidden="1">#REF!</definedName>
    <definedName name="__123Graph_XPERFORMANCE" hidden="1">#REF!</definedName>
    <definedName name="__123Graph_XPETER" hidden="1">#REF!</definedName>
    <definedName name="__123Graph_XPOWERSAV" hidden="1">#REF!</definedName>
    <definedName name="__123Graph_XREV" hidden="1">#REF!</definedName>
    <definedName name="__123Graph_X자금수지" hidden="1">#REF!</definedName>
    <definedName name="__123Graph_X자금운용" hidden="1">#REF!</definedName>
    <definedName name="__13_6.4">#REF!</definedName>
    <definedName name="__1A1_" hidden="1">{#N/A,#N/A,TRUE,"Basic";#N/A,#N/A,TRUE,"EXT-TABLE";#N/A,#N/A,TRUE,"STEEL";#N/A,#N/A,TRUE,"INT-Table";#N/A,#N/A,TRUE,"STEEL";#N/A,#N/A,TRUE,"Door"}</definedName>
    <definedName name="__1F" hidden="1">#REF!</definedName>
    <definedName name="__2___123Graph_ACHART_2" hidden="1">#REF!</definedName>
    <definedName name="__2___123Graph_BCHART_1" hidden="1">#REF!</definedName>
    <definedName name="__2__123Graph_ACHART_2" hidden="1">#REF!</definedName>
    <definedName name="__2__123Graph_CCHART_2" hidden="1">#REF!</definedName>
    <definedName name="__2_0_0_F" hidden="1">#REF!</definedName>
    <definedName name="__2_1.3">#REF!</definedName>
    <definedName name="__2A1_" hidden="1">{#N/A,#N/A,TRUE,"Basic";#N/A,#N/A,TRUE,"EXT-TABLE";#N/A,#N/A,TRUE,"STEEL";#N/A,#N/A,TRUE,"INT-Table";#N/A,#N/A,TRUE,"STEEL";#N/A,#N/A,TRUE,"Door"}</definedName>
    <definedName name="__3___123Graph_BCHART_2" hidden="1">#REF!</definedName>
    <definedName name="__3__123Graph_BCHART_2" hidden="1">#REF!</definedName>
    <definedName name="__3__123Graph_DCHART_2" hidden="1">#REF!</definedName>
    <definedName name="__3_1.4">#REF!</definedName>
    <definedName name="__4___123Graph_CCHART_1" hidden="1">#REF!</definedName>
    <definedName name="__4__123Graph_CCHART_1" hidden="1">#REF!</definedName>
    <definedName name="__4_5A.1">#REF!</definedName>
    <definedName name="__4449_with_attachement">#REF!</definedName>
    <definedName name="__4aa1_" hidden="1">{#N/A,#N/A,FALSE,"CCTV"}</definedName>
    <definedName name="__5___123Graph_DCHART_1" hidden="1">#REF!</definedName>
    <definedName name="__5__123Graph_DCHART_1" hidden="1">#REF!</definedName>
    <definedName name="__5_5A.2">#REF!</definedName>
    <definedName name="__5A.1">#REF!</definedName>
    <definedName name="__5A.2">#REF!</definedName>
    <definedName name="__5A.3">#REF!</definedName>
    <definedName name="__5B.1">#REF!</definedName>
    <definedName name="__5B.2">#REF!</definedName>
    <definedName name="__5B.3">#REF!</definedName>
    <definedName name="__5B.4">#REF!</definedName>
    <definedName name="__6.2">#REF!</definedName>
    <definedName name="__6.3">#REF!</definedName>
    <definedName name="__6.4">#REF!</definedName>
    <definedName name="__6__123Graph_ACHART_1" hidden="1">#REF!</definedName>
    <definedName name="__6_5A.3">#REF!</definedName>
    <definedName name="__7__123Graph_ACHART_2" hidden="1">#REF!</definedName>
    <definedName name="__7_5B.1">#REF!</definedName>
    <definedName name="__8__123Graph_BCHART_2" hidden="1">#REF!</definedName>
    <definedName name="__8_5B.2">#REF!</definedName>
    <definedName name="__9__123Graph_CCHART_1" hidden="1">#REF!</definedName>
    <definedName name="__9_5B.3">#REF!</definedName>
    <definedName name="__A1">#REF!</definedName>
    <definedName name="__A1_1" hidden="1">{#N/A,#N/A,FALSE,"type1";#N/A,#N/A,FALSE,"지지력";#N/A,#N/A,FALSE,"PILE계산";#N/A,#N/A,FALSE,"PILE ";#N/A,#N/A,FALSE,"철근량";#N/A,#N/A,FALSE,"균열검토";#N/A,#N/A,FALSE,"날개벽";#N/A,#N/A,FALSE,"주철근조립도";#N/A,#N/A,FALSE,"교좌"}</definedName>
    <definedName name="__A1_2" hidden="1">{#N/A,#N/A,FALSE,"type1";#N/A,#N/A,FALSE,"지지력";#N/A,#N/A,FALSE,"PILE계산";#N/A,#N/A,FALSE,"PILE ";#N/A,#N/A,FALSE,"철근량";#N/A,#N/A,FALSE,"균열검토";#N/A,#N/A,FALSE,"날개벽";#N/A,#N/A,FALSE,"주철근조립도";#N/A,#N/A,FALSE,"교좌"}</definedName>
    <definedName name="__A10" hidden="1">{#N/A,#N/A,FALSE,"CCTV"}</definedName>
    <definedName name="__A10_1" hidden="1">{#N/A,#N/A,FALSE,"CCTV"}</definedName>
    <definedName name="__A10_2" hidden="1">{#N/A,#N/A,FALSE,"CCTV"}</definedName>
    <definedName name="__a11" hidden="1">{"'장비'!$A$3:$M$12"}</definedName>
    <definedName name="__a122" hidden="1">{#N/A,#N/A,FALSE,"속도"}</definedName>
    <definedName name="__aa1" hidden="1">{#N/A,#N/A,FALSE,"CCTV"}</definedName>
    <definedName name="__ab1" hidden="1">{#N/A,#N/A,FALSE,"SumD";#N/A,#N/A,FALSE,"ElecD";#N/A,#N/A,FALSE,"MechD";#N/A,#N/A,FALSE,"GeotD";#N/A,#N/A,FALSE,"PrcsD";#N/A,#N/A,FALSE,"TunnD";#N/A,#N/A,FALSE,"CivlD";#N/A,#N/A,FALSE,"NtwkD";#N/A,#N/A,FALSE,"EstgD";#N/A,#N/A,FALSE,"PEngD"}</definedName>
    <definedName name="__ab1_1" hidden="1">{#N/A,#N/A,FALSE,"SumD";#N/A,#N/A,FALSE,"ElecD";#N/A,#N/A,FALSE,"MechD";#N/A,#N/A,FALSE,"GeotD";#N/A,#N/A,FALSE,"PrcsD";#N/A,#N/A,FALSE,"TunnD";#N/A,#N/A,FALSE,"CivlD";#N/A,#N/A,FALSE,"NtwkD";#N/A,#N/A,FALSE,"EstgD";#N/A,#N/A,FALSE,"PEngD"}</definedName>
    <definedName name="__all1">#REF!</definedName>
    <definedName name="__as1" hidden="1">{#N/A,#N/A,FALSE,"SumD";#N/A,#N/A,FALSE,"ElecD";#N/A,#N/A,FALSE,"MechD";#N/A,#N/A,FALSE,"GeotD";#N/A,#N/A,FALSE,"PrcsD";#N/A,#N/A,FALSE,"TunnD";#N/A,#N/A,FALSE,"CivlD";#N/A,#N/A,FALSE,"NtwkD";#N/A,#N/A,FALSE,"EstgD";#N/A,#N/A,FALSE,"PEngD"}</definedName>
    <definedName name="__as1_1" hidden="1">{#N/A,#N/A,FALSE,"SumD";#N/A,#N/A,FALSE,"ElecD";#N/A,#N/A,FALSE,"MechD";#N/A,#N/A,FALSE,"GeotD";#N/A,#N/A,FALSE,"PrcsD";#N/A,#N/A,FALSE,"TunnD";#N/A,#N/A,FALSE,"CivlD";#N/A,#N/A,FALSE,"NtwkD";#N/A,#N/A,FALSE,"EstgD";#N/A,#N/A,FALSE,"PEngD"}</definedName>
    <definedName name="__AUX3">#REF!</definedName>
    <definedName name="__B19000">#REF!</definedName>
    <definedName name="__B19999">#REF!</definedName>
    <definedName name="__B20000">#REF!</definedName>
    <definedName name="__BDR1">#REF!</definedName>
    <definedName name="__BDR2">#REF!</definedName>
    <definedName name="__BIL4">#REF!</definedName>
    <definedName name="__BP01" hidden="1">{#N/A,#N/A,FALSE,"TABLE"}</definedName>
    <definedName name="__cat12" hidden="1">{#N/A,#N/A,TRUE,"Front";#N/A,#N/A,TRUE,"Simple Letter";#N/A,#N/A,TRUE,"Inside";#N/A,#N/A,TRUE,"Contents";#N/A,#N/A,TRUE,"Basis";#N/A,#N/A,TRUE,"Inclusions";#N/A,#N/A,TRUE,"Exclusions";#N/A,#N/A,TRUE,"Areas";#N/A,#N/A,TRUE,"Summary";#N/A,#N/A,TRUE,"Detail"}</definedName>
    <definedName name="__ccc1" hidden="1">{#N/A,#N/A,FALSE,"SumD";#N/A,#N/A,FALSE,"ElecD";#N/A,#N/A,FALSE,"MechD";#N/A,#N/A,FALSE,"GeotD";#N/A,#N/A,FALSE,"PrcsD";#N/A,#N/A,FALSE,"TunnD";#N/A,#N/A,FALSE,"CivlD";#N/A,#N/A,FALSE,"NtwkD";#N/A,#N/A,FALSE,"EstgD";#N/A,#N/A,FALSE,"PEngD"}</definedName>
    <definedName name="__ccc2" hidden="1">{#N/A,#N/A,FALSE,"SumD";#N/A,#N/A,FALSE,"ElecD";#N/A,#N/A,FALSE,"MechD";#N/A,#N/A,FALSE,"GeotD";#N/A,#N/A,FALSE,"PrcsD";#N/A,#N/A,FALSE,"TunnD";#N/A,#N/A,FALSE,"CivlD";#N/A,#N/A,FALSE,"NtwkD";#N/A,#N/A,FALSE,"EstgD";#N/A,#N/A,FALSE,"PEngD"}</definedName>
    <definedName name="__ccr1" localSheetId="7" hidden="1">{#N/A,#N/A,TRUE,"Cover";#N/A,#N/A,TRUE,"Conts";#N/A,#N/A,TRUE,"VOS";#N/A,#N/A,TRUE,"Warrington";#N/A,#N/A,TRUE,"Widnes"}</definedName>
    <definedName name="__ccr1" localSheetId="0" hidden="1">{#N/A,#N/A,TRUE,"Cover";#N/A,#N/A,TRUE,"Conts";#N/A,#N/A,TRUE,"VOS";#N/A,#N/A,TRUE,"Warrington";#N/A,#N/A,TRUE,"Widnes"}</definedName>
    <definedName name="__ccr1" localSheetId="9"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ccr1_1" hidden="1">{#N/A,#N/A,TRUE,"Cover";#N/A,#N/A,TRUE,"Conts";#N/A,#N/A,TRUE,"VOS";#N/A,#N/A,TRUE,"Warrington";#N/A,#N/A,TRUE,"Widnes"}</definedName>
    <definedName name="__ccr2" hidden="1">{#N/A,#N/A,TRUE,"Cover";#N/A,#N/A,TRUE,"Conts";#N/A,#N/A,TRUE,"VOS";#N/A,#N/A,TRUE,"Warrington";#N/A,#N/A,TRUE,"Widnes"}</definedName>
    <definedName name="__cf2" hidden="1">{#N/A,#N/A,FALSE,"Variables";#N/A,#N/A,FALSE,"NPV Cashflows NZ$";#N/A,#N/A,FALSE,"Cashflows NZ$"}</definedName>
    <definedName name="__com2" hidden="1">{"'Break down'!$A$4"}</definedName>
    <definedName name="__CON1">#REF!</definedName>
    <definedName name="__CON2">#REF!</definedName>
    <definedName name="__dcd3" hidden="1">{#N/A,#N/A,TRUE,"Front";#N/A,#N/A,TRUE,"Simple Letter";#N/A,#N/A,TRUE,"Inside";#N/A,#N/A,TRUE,"Contents";#N/A,#N/A,TRUE,"Basis";#N/A,#N/A,TRUE,"Inclusions";#N/A,#N/A,TRUE,"Exclusions";#N/A,#N/A,TRUE,"Areas";#N/A,#N/A,TRUE,"Summary";#N/A,#N/A,TRUE,"Detail"}</definedName>
    <definedName name="__dep2">#REF!</definedName>
    <definedName name="__dep3">#REF!</definedName>
    <definedName name="__DWR001">#REF!</definedName>
    <definedName name="__DWR002">#REF!</definedName>
    <definedName name="__DWR003">#REF!</definedName>
    <definedName name="__DWR004">#REF!</definedName>
    <definedName name="__DWR005">#REF!</definedName>
    <definedName name="__dwr4">#REF!</definedName>
    <definedName name="__e20000">#REF!</definedName>
    <definedName name="__e99991">#REF!</definedName>
    <definedName name="__EE1" hidden="1">{#N/A,#N/A,FALSE,"단가표지"}</definedName>
    <definedName name="__ee222" hidden="1">{#N/A,#N/A,TRUE,"Cover";#N/A,#N/A,TRUE,"Conts";#N/A,#N/A,TRUE,"VOS";#N/A,#N/A,TRUE,"Warrington";#N/A,#N/A,TRUE,"Widnes"}</definedName>
    <definedName name="__ELL45">#REF!</definedName>
    <definedName name="__ELL90">#REF!</definedName>
    <definedName name="__ert34" hidden="1">{#N/A,#N/A,TRUE,"Front";#N/A,#N/A,TRUE,"Simple Letter";#N/A,#N/A,TRUE,"Inside";#N/A,#N/A,TRUE,"Contents";#N/A,#N/A,TRUE,"Basis";#N/A,#N/A,TRUE,"Inclusions";#N/A,#N/A,TRUE,"Exclusions";#N/A,#N/A,TRUE,"Areas";#N/A,#N/A,TRUE,"Summary";#N/A,#N/A,TRUE,"Detail"}</definedName>
    <definedName name="__ETC01">#REF!</definedName>
    <definedName name="__ext2">#REF!</definedName>
    <definedName name="__ext3">#REF!</definedName>
    <definedName name="__F3">#REF!</definedName>
    <definedName name="__fd2" hidden="1">{#N/A,#N/A,TRUE,"Cover Memo";"Complete Sys. Estimate",#N/A,TRUE,"Change Summary";"Complete Sys. Estimate",#N/A,TRUE,"Estimate Summary";"Complete Sys. Estimate",#N/A,TRUE,"Dept. Summary";"Complete Sys. Estimate",#N/A,TRUE,"DOW Detail"}</definedName>
    <definedName name="__FDN1">#REF!</definedName>
    <definedName name="__FDN2">#REF!</definedName>
    <definedName name="__FF3">#REF!</definedName>
    <definedName name="__ffy40">#REF!</definedName>
    <definedName name="__fos1">#REF!</definedName>
    <definedName name="__gfa1">#REF!</definedName>
    <definedName name="__gfa2">#REF!</definedName>
    <definedName name="__GHH2">#REF!</definedName>
    <definedName name="__H3" hidden="1">{"'장비'!$A$3:$M$12"}</definedName>
    <definedName name="__Hew1">#REF!</definedName>
    <definedName name="__HM11">#REF!</definedName>
    <definedName name="__HM13">#REF!</definedName>
    <definedName name="__HM14">#REF!</definedName>
    <definedName name="__HM15">#REF!</definedName>
    <definedName name="__HM16">#REF!</definedName>
    <definedName name="__HM17">#REF!</definedName>
    <definedName name="__HM18">#REF!</definedName>
    <definedName name="__HM19">#REF!</definedName>
    <definedName name="__HM20">#REF!</definedName>
    <definedName name="__HM21">#REF!</definedName>
    <definedName name="__HM22">#REF!</definedName>
    <definedName name="__HM23">#REF!</definedName>
    <definedName name="__HM24">#REF!</definedName>
    <definedName name="__HM25">#REF!</definedName>
    <definedName name="__HM26">#REF!</definedName>
    <definedName name="__HM27">#REF!</definedName>
    <definedName name="__HM28">#REF!</definedName>
    <definedName name="__HM29">#REF!</definedName>
    <definedName name="__HM30">#REF!</definedName>
    <definedName name="__HM31">#REF!</definedName>
    <definedName name="__HM32">#REF!</definedName>
    <definedName name="__HM33">#REF!</definedName>
    <definedName name="__HM34">#REF!</definedName>
    <definedName name="__HM35">#REF!</definedName>
    <definedName name="__HM36">#REF!</definedName>
    <definedName name="__HM37">#REF!</definedName>
    <definedName name="__HM38">#REF!</definedName>
    <definedName name="__HM39">#REF!</definedName>
    <definedName name="__HM40">#REF!</definedName>
    <definedName name="__HM41">#REF!</definedName>
    <definedName name="__HM42">#REF!</definedName>
    <definedName name="__HM43">#REF!</definedName>
    <definedName name="__HM44">#REF!</definedName>
    <definedName name="__HM45">#REF!</definedName>
    <definedName name="__HM46">#REF!</definedName>
    <definedName name="__HM47">#REF!</definedName>
    <definedName name="__HM48">#REF!</definedName>
    <definedName name="__HM49">#REF!</definedName>
    <definedName name="__HM50">#REF!</definedName>
    <definedName name="__HM51">#REF!</definedName>
    <definedName name="__HM52">#REF!</definedName>
    <definedName name="__HM53">#REF!</definedName>
    <definedName name="__HM54">#REF!</definedName>
    <definedName name="__HM55">#REF!</definedName>
    <definedName name="__HM56">#REF!</definedName>
    <definedName name="__HM57">#REF!</definedName>
    <definedName name="__HM58">#REF!</definedName>
    <definedName name="__HM59">#REF!</definedName>
    <definedName name="__HM60">#REF!</definedName>
    <definedName name="__HM61">#REF!</definedName>
    <definedName name="__HM62">#REF!</definedName>
    <definedName name="__HM63">#REF!</definedName>
    <definedName name="__HM64">#REF!</definedName>
    <definedName name="__HM65">#REF!</definedName>
    <definedName name="__HM66">#REF!</definedName>
    <definedName name="__HM67">#REF!</definedName>
    <definedName name="__HM68">#REF!</definedName>
    <definedName name="__hor1">#REF!</definedName>
    <definedName name="__Hos1">#REF!</definedName>
    <definedName name="__hp10" hidden="1">{#N/A,#N/A,TRUE,"Front";#N/A,#N/A,TRUE,"Simple Letter";#N/A,#N/A,TRUE,"Inside";#N/A,#N/A,TRUE,"Contents";#N/A,#N/A,TRUE,"Basis";#N/A,#N/A,TRUE,"Inclusions";#N/A,#N/A,TRUE,"Exclusions";#N/A,#N/A,TRUE,"Areas";#N/A,#N/A,TRUE,"Summary";#N/A,#N/A,TRUE,"Detail"}</definedName>
    <definedName name="__Hsb1">#REF!</definedName>
    <definedName name="__Hsb2">#REF!</definedName>
    <definedName name="__HSB3">#REF!</definedName>
    <definedName name="__Hsb4">#REF!</definedName>
    <definedName name="__HSB5">#REF!</definedName>
    <definedName name="__hsb6">#REF!</definedName>
    <definedName name="__hsb7">#REF!</definedName>
    <definedName name="__hsb8">#REF!</definedName>
    <definedName name="__HSH1">#REF!</definedName>
    <definedName name="__HSH2">#REF!</definedName>
    <definedName name="__Hsp1">#REF!</definedName>
    <definedName name="__Hsp2">#REF!</definedName>
    <definedName name="__Hwb1">#REF!</definedName>
    <definedName name="__Hwb2">#REF!</definedName>
    <definedName name="__HWB3">#REF!</definedName>
    <definedName name="__Hwb4">#REF!</definedName>
    <definedName name="__hwb5">#REF!</definedName>
    <definedName name="__hwb6">#REF!</definedName>
    <definedName name="__hwb7">#REF!</definedName>
    <definedName name="__hwb8">#REF!</definedName>
    <definedName name="__IntlFixup" hidden="1">TRUE</definedName>
    <definedName name="__IntlFixupTable" hidden="1">#REF!</definedName>
    <definedName name="__JKJJJJJJ" hidden="1">#REF!</definedName>
    <definedName name="__Key11" hidden="1">#REF!</definedName>
    <definedName name="__key2" hidden="1">#REF!</definedName>
    <definedName name="__KHM1">#REF!</definedName>
    <definedName name="__KHM10">#REF!</definedName>
    <definedName name="__KHM2">#REF!</definedName>
    <definedName name="__KHM3">#REF!</definedName>
    <definedName name="__KHM4">#REF!</definedName>
    <definedName name="__KHM5">#REF!</definedName>
    <definedName name="__KHM6">#REF!</definedName>
    <definedName name="__KHM7">#REF!</definedName>
    <definedName name="__KHM8">#REF!</definedName>
    <definedName name="__KHM9">#REF!</definedName>
    <definedName name="__ki501">#REF!</definedName>
    <definedName name="__kp1" hidden="1">{#N/A,#N/A,TRUE,"Front";#N/A,#N/A,TRUE,"Simple Letter";#N/A,#N/A,TRUE,"Inside";#N/A,#N/A,TRUE,"Contents";#N/A,#N/A,TRUE,"Basis";#N/A,#N/A,TRUE,"Inclusions";#N/A,#N/A,TRUE,"Exclusions";#N/A,#N/A,TRUE,"Areas";#N/A,#N/A,TRUE,"Summary";#N/A,#N/A,TRUE,"Detail"}</definedName>
    <definedName name="__len2">#REF!</definedName>
    <definedName name="__len3">#REF!</definedName>
    <definedName name="__LL3">#REF!</definedName>
    <definedName name="__MCC3" hidden="1">{#N/A,#N/A,FALSE,"CCTV"}</definedName>
    <definedName name="__MCC3_1" hidden="1">{#N/A,#N/A,FALSE,"CCTV"}</definedName>
    <definedName name="__MCC3_2" hidden="1">{#N/A,#N/A,FALSE,"CCTV"}</definedName>
    <definedName name="__Mew1">#REF!</definedName>
    <definedName name="__Mey1">#REF!</definedName>
    <definedName name="__ML2">#REF!</definedName>
    <definedName name="__ML3">#REF!</definedName>
    <definedName name="__ML4">#REF!</definedName>
    <definedName name="__ML5">#REF!</definedName>
    <definedName name="__ML6">#REF!</definedName>
    <definedName name="__ML7">#REF!</definedName>
    <definedName name="__Mos1">#REF!</definedName>
    <definedName name="__Msb1">#REF!</definedName>
    <definedName name="__Msb2">#REF!</definedName>
    <definedName name="__MSB3">#REF!</definedName>
    <definedName name="__Msb4">#REF!</definedName>
    <definedName name="__msb5">#REF!</definedName>
    <definedName name="__msb6">#REF!</definedName>
    <definedName name="__msb7">#REF!</definedName>
    <definedName name="__msb8">#REF!</definedName>
    <definedName name="__Mwb1">#REF!</definedName>
    <definedName name="__Mwb2">#REF!</definedName>
    <definedName name="__MWB3">#REF!</definedName>
    <definedName name="__Mwb4">#REF!</definedName>
    <definedName name="__mwb5">#REF!</definedName>
    <definedName name="__mwb6">#REF!</definedName>
    <definedName name="__mwb7">#REF!</definedName>
    <definedName name="__mwb8">#REF!</definedName>
    <definedName name="__NB2">#REF!</definedName>
    <definedName name="__NB3">#REF!</definedName>
    <definedName name="__NB4">#REF!</definedName>
    <definedName name="__NB5">#REF!</definedName>
    <definedName name="__NB6">#REF!</definedName>
    <definedName name="__NB7">#REF!</definedName>
    <definedName name="__ncr2" hidden="1">{#N/A,#N/A,FALSE,"현장 NCR 분석";#N/A,#N/A,FALSE,"현장품질감사";#N/A,#N/A,FALSE,"현장품질감사"}</definedName>
    <definedName name="__new10">#REF!</definedName>
    <definedName name="__new11">#REF!</definedName>
    <definedName name="__new12">#REF!</definedName>
    <definedName name="__new13">#REF!</definedName>
    <definedName name="__new14">#REF!</definedName>
    <definedName name="__new15">#REF!</definedName>
    <definedName name="__new16">#REF!</definedName>
    <definedName name="__new17">#REF!</definedName>
    <definedName name="__new2">#REF!</definedName>
    <definedName name="__new3">#REF!</definedName>
    <definedName name="__new4">#REF!</definedName>
    <definedName name="__new5">#REF!</definedName>
    <definedName name="__new6">#REF!</definedName>
    <definedName name="__new7">#REF!</definedName>
    <definedName name="__new9">#REF!</definedName>
    <definedName name="__No1">#REF!</definedName>
    <definedName name="__No2">#REF!</definedName>
    <definedName name="__No3">#REF!</definedName>
    <definedName name="__NP1">#REF!</definedName>
    <definedName name="__NP2">#REF!</definedName>
    <definedName name="__nr83">#REF!</definedName>
    <definedName name="__NSH1">#REF!</definedName>
    <definedName name="__NSH2">#REF!</definedName>
    <definedName name="__old2">#REF!</definedName>
    <definedName name="__old3" hidden="1">{#N/A,#N/A,FALSE,"Summary";#N/A,#N/A,FALSE,"3TJ";#N/A,#N/A,FALSE,"3TN";#N/A,#N/A,FALSE,"3TP";#N/A,#N/A,FALSE,"3SJ";#N/A,#N/A,FALSE,"3CJ";#N/A,#N/A,FALSE,"3CN";#N/A,#N/A,FALSE,"3CP";#N/A,#N/A,FALSE,"3A"}</definedName>
    <definedName name="__old3_1" hidden="1">{#N/A,#N/A,FALSE,"Summary";#N/A,#N/A,FALSE,"3TJ";#N/A,#N/A,FALSE,"3TN";#N/A,#N/A,FALSE,"3TP";#N/A,#N/A,FALSE,"3SJ";#N/A,#N/A,FALSE,"3CJ";#N/A,#N/A,FALSE,"3CN";#N/A,#N/A,FALSE,"3CP";#N/A,#N/A,FALSE,"3A"}</definedName>
    <definedName name="__old4">#REF!</definedName>
    <definedName name="__old5" hidden="1">{#N/A,#N/A,FALSE,"Summary";#N/A,#N/A,FALSE,"3TJ";#N/A,#N/A,FALSE,"3TN";#N/A,#N/A,FALSE,"3TP";#N/A,#N/A,FALSE,"3SJ";#N/A,#N/A,FALSE,"3CJ";#N/A,#N/A,FALSE,"3CN";#N/A,#N/A,FALSE,"3CP";#N/A,#N/A,FALSE,"3A"}</definedName>
    <definedName name="__old5_1" hidden="1">{#N/A,#N/A,FALSE,"Summary";#N/A,#N/A,FALSE,"3TJ";#N/A,#N/A,FALSE,"3TN";#N/A,#N/A,FALSE,"3TP";#N/A,#N/A,FALSE,"3SJ";#N/A,#N/A,FALSE,"3CJ";#N/A,#N/A,FALSE,"3CN";#N/A,#N/A,FALSE,"3CP";#N/A,#N/A,FALSE,"3A"}</definedName>
    <definedName name="__old6">#REF!</definedName>
    <definedName name="__old7" hidden="1">{#N/A,#N/A,FALSE,"Summary";#N/A,#N/A,FALSE,"3TJ";#N/A,#N/A,FALSE,"3TN";#N/A,#N/A,FALSE,"3TP";#N/A,#N/A,FALSE,"3SJ";#N/A,#N/A,FALSE,"3CJ";#N/A,#N/A,FALSE,"3CN";#N/A,#N/A,FALSE,"3CP";#N/A,#N/A,FALSE,"3A"}</definedName>
    <definedName name="__old7_1" hidden="1">{#N/A,#N/A,FALSE,"Summary";#N/A,#N/A,FALSE,"3TJ";#N/A,#N/A,FALSE,"3TN";#N/A,#N/A,FALSE,"3TP";#N/A,#N/A,FALSE,"3SJ";#N/A,#N/A,FALSE,"3CJ";#N/A,#N/A,FALSE,"3CN";#N/A,#N/A,FALSE,"3CP";#N/A,#N/A,FALSE,"3A"}</definedName>
    <definedName name="__pa1">#REF!</definedName>
    <definedName name="__PA3" hidden="1">{"'Sheet1'!$L$16"}</definedName>
    <definedName name="__pc1">#REF!</definedName>
    <definedName name="__pc2">#REF!</definedName>
    <definedName name="__pc3">#REF!</definedName>
    <definedName name="__pcd1">#REF!</definedName>
    <definedName name="__pcd2">#REF!</definedName>
    <definedName name="__ped1">#REF!</definedName>
    <definedName name="__ped2">#REF!</definedName>
    <definedName name="__ped3">#REF!</definedName>
    <definedName name="__ped4">#REF!</definedName>
    <definedName name="__ped6">#REF!</definedName>
    <definedName name="__ped7">#REF!</definedName>
    <definedName name="__PER2">#REF!</definedName>
    <definedName name="__PER3">#REF!</definedName>
    <definedName name="__PER4">#REF!</definedName>
    <definedName name="__PER5">#REF!</definedName>
    <definedName name="__PER6">#REF!</definedName>
    <definedName name="__PER7">#REF!</definedName>
    <definedName name="__pg1">#REF!</definedName>
    <definedName name="__pg2">#REF!</definedName>
    <definedName name="__pg3">#REF!</definedName>
    <definedName name="__pg4">#REF!</definedName>
    <definedName name="__pg5">#REF!</definedName>
    <definedName name="__ph1">#REF!</definedName>
    <definedName name="__PK2" hidden="1">{"'장비'!$A$3:$M$12"}</definedName>
    <definedName name="__PK2_1" hidden="1">{"'장비'!$A$3:$M$12"}</definedName>
    <definedName name="__PK2_2" hidden="1">{"'장비'!$A$3:$M$12"}</definedName>
    <definedName name="__PKG3" hidden="1">{"'장비'!$A$3:$M$12"}</definedName>
    <definedName name="__PKG3_1" hidden="1">{"'장비'!$A$3:$M$12"}</definedName>
    <definedName name="__PKG3_2" hidden="1">{"'장비'!$A$3:$M$12"}</definedName>
    <definedName name="__pl1">#REF!</definedName>
    <definedName name="__PL2">#REF!</definedName>
    <definedName name="__PL3">#REF!</definedName>
    <definedName name="__pn1">#REF!</definedName>
    <definedName name="__pn2">#REF!</definedName>
    <definedName name="__pn3">#REF!</definedName>
    <definedName name="__pn4">#REF!</definedName>
    <definedName name="__pn5">#REF!</definedName>
    <definedName name="__PR1">#N/A</definedName>
    <definedName name="__PVC1">#REF!</definedName>
    <definedName name="__PVC2">#REF!</definedName>
    <definedName name="__QQ1" hidden="1">{#N/A,#N/A,FALSE,"단가표지"}</definedName>
    <definedName name="__qqq222" hidden="1">{"'장비'!$A$3:$M$12"}</definedName>
    <definedName name="__qqq222_1" hidden="1">{"'장비'!$A$3:$M$12"}</definedName>
    <definedName name="__qqq222_2" hidden="1">{"'장비'!$A$3:$M$12"}</definedName>
    <definedName name="__QTY1">#N/A</definedName>
    <definedName name="__qu1">#REF!</definedName>
    <definedName name="__qu2">#REF!</definedName>
    <definedName name="__QW1" hidden="1">{#N/A,#N/A,FALSE,"단가표지"}</definedName>
    <definedName name="__QZ2">#REF!</definedName>
    <definedName name="__R">#REF!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v5" hidden="1">{#N/A,#N/A,FALSE,"CCTV"}</definedName>
    <definedName name="__REW1">#REF!</definedName>
    <definedName name="__REW2">#REF!</definedName>
    <definedName name="__ROS1">#REF!</definedName>
    <definedName name="__ROS2">#REF!</definedName>
    <definedName name="__ROW1">#REF!</definedName>
    <definedName name="__ROW2">#REF!</definedName>
    <definedName name="__RTW1">#REF!</definedName>
    <definedName name="__RTW2">#REF!</definedName>
    <definedName name="__s1">#REF!</definedName>
    <definedName name="__SBB1">#REF!</definedName>
    <definedName name="__SBB2">#REF!</definedName>
    <definedName name="__SBB3">#REF!</definedName>
    <definedName name="__SBB4">#REF!</definedName>
    <definedName name="__SBB5">#REF!</definedName>
    <definedName name="__SC1">#N/A</definedName>
    <definedName name="__SCH10">#REF!</definedName>
    <definedName name="__SCH40">#REF!</definedName>
    <definedName name="__SEC1200">#REF!</definedName>
    <definedName name="__SF1">#REF!</definedName>
    <definedName name="__SH2">#REF!</definedName>
    <definedName name="__SH3">#REF!</definedName>
    <definedName name="__SH4">#REF!</definedName>
    <definedName name="__SH5">#REF!</definedName>
    <definedName name="__SH6">#REF!</definedName>
    <definedName name="__SH7">#REF!</definedName>
    <definedName name="__SHH1">#REF!</definedName>
    <definedName name="__SHH2">#REF!</definedName>
    <definedName name="__SHH3">#REF!</definedName>
    <definedName name="__SM2">#REF!</definedName>
    <definedName name="__SM3">#REF!</definedName>
    <definedName name="__SM4">#REF!</definedName>
    <definedName name="__SM5">#REF!</definedName>
    <definedName name="__SM6">#REF!</definedName>
    <definedName name="__SM7">#REF!</definedName>
    <definedName name="__SOC2">#REF!</definedName>
    <definedName name="__SS1" hidden="1">{#N/A,#N/A,FALSE,"운반시간"}</definedName>
    <definedName name="__sss1">#REF!</definedName>
    <definedName name="__sss10">#REF!</definedName>
    <definedName name="__sss11">#REF!</definedName>
    <definedName name="__sss12">#REF!</definedName>
    <definedName name="__sss13">#REF!</definedName>
    <definedName name="__sss14">#REF!</definedName>
    <definedName name="__sss15">#REF!</definedName>
    <definedName name="__sss16">#REF!</definedName>
    <definedName name="__sss17">#REF!</definedName>
    <definedName name="__sss18">#REF!</definedName>
    <definedName name="__sss19">#REF!</definedName>
    <definedName name="__sss2">#REF!</definedName>
    <definedName name="__sss20">#REF!</definedName>
    <definedName name="__sss21">#REF!</definedName>
    <definedName name="__sss22">#REF!</definedName>
    <definedName name="__sss23">#REF!</definedName>
    <definedName name="__sss24">#REF!</definedName>
    <definedName name="__sss25">#REF!</definedName>
    <definedName name="__sss26">#REF!</definedName>
    <definedName name="__sss27">#REF!</definedName>
    <definedName name="__sss28">#REF!</definedName>
    <definedName name="__sss29">#REF!</definedName>
    <definedName name="__sss3">#REF!</definedName>
    <definedName name="__sss30">#REF!</definedName>
    <definedName name="__sss31">#REF!</definedName>
    <definedName name="__sss32">#REF!</definedName>
    <definedName name="__sss33">#REF!</definedName>
    <definedName name="__sss34">#REF!</definedName>
    <definedName name="__sss35">#REF!</definedName>
    <definedName name="__sss36">#REF!</definedName>
    <definedName name="__sss37">#REF!</definedName>
    <definedName name="__sss38">#REF!</definedName>
    <definedName name="__sss39">#REF!</definedName>
    <definedName name="__sss4">#REF!</definedName>
    <definedName name="__sss40">#REF!</definedName>
    <definedName name="__sss41">#REF!</definedName>
    <definedName name="__sss42">#REF!</definedName>
    <definedName name="__sss43">#REF!</definedName>
    <definedName name="__sss44">#REF!</definedName>
    <definedName name="__sss45">#REF!</definedName>
    <definedName name="__sss46">#REF!</definedName>
    <definedName name="__sss47">#REF!</definedName>
    <definedName name="__sss48">#REF!</definedName>
    <definedName name="__sss49">#REF!</definedName>
    <definedName name="__sss5">#REF!</definedName>
    <definedName name="__sss50">#REF!</definedName>
    <definedName name="__sss6">#REF!</definedName>
    <definedName name="__sss7">#REF!</definedName>
    <definedName name="__sss8">#REF!</definedName>
    <definedName name="__sss9">#REF!</definedName>
    <definedName name="__Sum1111" hidden="1">{#N/A,#N/A,TRUE,"Basic";#N/A,#N/A,TRUE,"EXT-TABLE";#N/A,#N/A,TRUE,"STEEL";#N/A,#N/A,TRUE,"INT-Table";#N/A,#N/A,TRUE,"STEEL";#N/A,#N/A,TRUE,"Door"}</definedName>
    <definedName name="__SV2">#REF!</definedName>
    <definedName name="__SV3">#REF!</definedName>
    <definedName name="__SV4">#REF!</definedName>
    <definedName name="__SV5">#REF!</definedName>
    <definedName name="__SV6">#REF!</definedName>
    <definedName name="__SV7">#REF!</definedName>
    <definedName name="__tab2">#REF!</definedName>
    <definedName name="__tbc2">#REF!</definedName>
    <definedName name="__tbc3">#REF!</definedName>
    <definedName name="__tg1" hidden="1">{"LKD",#N/A,FALSE,"표지"}</definedName>
    <definedName name="__tg3" hidden="1">{"LKD",#N/A,FALSE,"표지"}</definedName>
    <definedName name="__tg4" hidden="1">{"LKD",#N/A,FALSE,"표지"}</definedName>
    <definedName name="__TT1">#REF!</definedName>
    <definedName name="__TT2">#REF!</definedName>
    <definedName name="__TT3">#REF!</definedName>
    <definedName name="__U14">#REF!</definedName>
    <definedName name="__U60">#REF!</definedName>
    <definedName name="__ver1">#REF!</definedName>
    <definedName name="__ver3">#REF!</definedName>
    <definedName name="__Vew1">#REF!</definedName>
    <definedName name="__VOL2">#REF!</definedName>
    <definedName name="__VOL3">#REF!</definedName>
    <definedName name="__VOL4">#REF!</definedName>
    <definedName name="__VOL5">#REF!</definedName>
    <definedName name="__VOL6">#REF!</definedName>
    <definedName name="__VOL7">#REF!</definedName>
    <definedName name="__Vos1">#REF!</definedName>
    <definedName name="__Vu1">#REF!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er1">#REF!</definedName>
    <definedName name="__Wer2">#REF!</definedName>
    <definedName name="__Wer3">#REF!</definedName>
    <definedName name="__Wer4">#REF!</definedName>
    <definedName name="__Wht1">#REF!</definedName>
    <definedName name="__Wht2">#REF!</definedName>
    <definedName name="__Wht3">#REF!</definedName>
    <definedName name="__Wht4">#REF!</definedName>
    <definedName name="__wht5">#REF!</definedName>
    <definedName name="__wht6">#REF!</definedName>
    <definedName name="__wht7">#REF!</definedName>
    <definedName name="__wht8">#REF!</definedName>
    <definedName name="__wid2">#REF!</definedName>
    <definedName name="__wid3">#REF!</definedName>
    <definedName name="__WO3">#REF!</definedName>
    <definedName name="__Wo4">#REF!</definedName>
    <definedName name="__wo5">#REF!</definedName>
    <definedName name="__wo6">#REF!</definedName>
    <definedName name="__wo7">#REF!</definedName>
    <definedName name="__wo8">#REF!</definedName>
    <definedName name="__Wp1">#REF!</definedName>
    <definedName name="__Wp2">#REF!</definedName>
    <definedName name="__wsb5">#REF!</definedName>
    <definedName name="__wt5" hidden="1">{#N/A,#N/A,FALSE,"토공2"}</definedName>
    <definedName name="__xlfn.BAHTTEXT" hidden="1">#NAME?</definedName>
    <definedName name="__xlfn.SUMIFS" hidden="1">#NAME?</definedName>
    <definedName name="__xlnm.Print_Area_15">#REF!</definedName>
    <definedName name="__xlnm.Print_Area_3">#REF!</definedName>
    <definedName name="__xlnm.Print_Titles">#REF!</definedName>
    <definedName name="__xlnm.Print_Titles_1">#REF!</definedName>
    <definedName name="__xlnm.Print_Titles_15">#REF!</definedName>
    <definedName name="__yy5" hidden="1">{#N/A,#N/A,TRUE,"Front";#N/A,#N/A,TRUE,"Simple Letter";#N/A,#N/A,TRUE,"Inside";#N/A,#N/A,TRUE,"Contents";#N/A,#N/A,TRUE,"Basis";#N/A,#N/A,TRUE,"Inclusions";#N/A,#N/A,TRUE,"Exclusions";#N/A,#N/A,TRUE,"Areas";#N/A,#N/A,TRUE,"Summary";#N/A,#N/A,TRUE,"Detail"}</definedName>
    <definedName name="_0.01">#REF!</definedName>
    <definedName name="_0.02">#REF!</definedName>
    <definedName name="_0.03">#REF!</definedName>
    <definedName name="_0.04">#REF!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01">#REF!</definedName>
    <definedName name="_1.02">#REF!</definedName>
    <definedName name="_1.03">#REF!</definedName>
    <definedName name="_1.04">#REF!</definedName>
    <definedName name="_1.05">#REF!</definedName>
    <definedName name="_1.06">#REF!</definedName>
    <definedName name="_1.07">#REF!</definedName>
    <definedName name="_1.2">#REF!</definedName>
    <definedName name="_1.3">#REF!</definedName>
    <definedName name="_1.4">#REF!</definedName>
    <definedName name="_1_.">#REF!</definedName>
    <definedName name="_1_____123Graph_ACHART_1" hidden="1">#REF!</definedName>
    <definedName name="_1___123Graph_ACHART_1" hidden="1">#REF!</definedName>
    <definedName name="_1__123Graph_ACHART_1" hidden="1">#REF!</definedName>
    <definedName name="_1__123Graph_ACHART_12" hidden="1">#REF!</definedName>
    <definedName name="_1__123Graph_ACONTRAC._OIL" hidden="1">#REF!</definedName>
    <definedName name="_1__123Graph_AMOB_01" hidden="1">#REF!</definedName>
    <definedName name="_1__123Graph_ATOTAL_PQ" hidden="1">#REF!</definedName>
    <definedName name="_1__123Graph_BCHART_2" hidden="1">#REF!</definedName>
    <definedName name="_1_0__123Grap" hidden="1">#REF!</definedName>
    <definedName name="_1_0_0_F" hidden="1">#REF!</definedName>
    <definedName name="_1_0_K" hidden="1">#REF!</definedName>
    <definedName name="_1_0ELECB">#REF!</definedName>
    <definedName name="_1_1">#REF!</definedName>
    <definedName name="_1_1.2">#REF!</definedName>
    <definedName name="_1_10">#REF!</definedName>
    <definedName name="_1_2">#REF!</definedName>
    <definedName name="_1_3">#REF!</definedName>
    <definedName name="_1_4">#REF!</definedName>
    <definedName name="_1_4449_with_attachement">#REF!</definedName>
    <definedName name="_1_5">#REF!</definedName>
    <definedName name="_1_6">#REF!</definedName>
    <definedName name="_1_7">#REF!</definedName>
    <definedName name="_1_8">#REF!</definedName>
    <definedName name="_1_9">#REF!</definedName>
    <definedName name="_10">#N/A</definedName>
    <definedName name="_10_____123Graph_CCHART_1" hidden="1">#REF!</definedName>
    <definedName name="_10____123Graph_ACHART_2" hidden="1">#REF!</definedName>
    <definedName name="_10__123Graph_ACHART_18" hidden="1">#REF!</definedName>
    <definedName name="_10__123Graph_AMOB_02" hidden="1">#REF!</definedName>
    <definedName name="_10__123Graph_BCHART_16" hidden="1">#REF!</definedName>
    <definedName name="_10__123Graph_BChart_1A" hidden="1">#REF!</definedName>
    <definedName name="_10__123Graph_BMOB_01" hidden="1">#REF!</definedName>
    <definedName name="_10__123Graph_DCHART_1" hidden="1">#REF!</definedName>
    <definedName name="_10__123Graph_DMOB_02" hidden="1">#REF!</definedName>
    <definedName name="_10__123Graph_EMOB_02" hidden="1">#REF!</definedName>
    <definedName name="_10__123Graph_FMOB_02" hidden="1">#REF!</definedName>
    <definedName name="_10_0" hidden="1">#REF!</definedName>
    <definedName name="_10_0_0_F" hidden="1">#REF!</definedName>
    <definedName name="_10_1">#REF!</definedName>
    <definedName name="_10_10">#REF!</definedName>
    <definedName name="_10_11">#REF!</definedName>
    <definedName name="_10_12">#REF!</definedName>
    <definedName name="_10_13">#REF!</definedName>
    <definedName name="_10_2">#REF!</definedName>
    <definedName name="_10_3">#REF!</definedName>
    <definedName name="_10_³_¿ª" hidden="1">{#N/A,#N/A,FALSE,"CCTV"}</definedName>
    <definedName name="_10_4">#REF!</definedName>
    <definedName name="_10_5">#REF!</definedName>
    <definedName name="_10_5B.4">#REF!</definedName>
    <definedName name="_10_6">#REF!</definedName>
    <definedName name="_10_7">#REF!</definedName>
    <definedName name="_10_8">#REF!</definedName>
    <definedName name="_10_9">#REF!</definedName>
    <definedName name="_101__123Graph_LBL_CMOB_01" hidden="1">#REF!</definedName>
    <definedName name="_103wrn.Ã¶°ñÁý°èÇ_._.5Ä­." hidden="1">{#N/A,#N/A,FALSE,"Sheet1"}</definedName>
    <definedName name="_104__123Graph_LBL_CMOB_02" hidden="1">#REF!</definedName>
    <definedName name="_107__123Graph_LBL_DMOB_01" hidden="1">#REF!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_" hidden="1">{#N/A,#N/A,FALSE,"type1";#N/A,#N/A,FALSE,"지지력";#N/A,#N/A,FALSE,"PILE계산";#N/A,#N/A,FALSE,"PILE ";#N/A,#N/A,FALSE,"철근량";#N/A,#N/A,FALSE,"균열검토";#N/A,#N/A,FALSE,"날개벽";#N/A,#N/A,FALSE,"주철근조립도";#N/A,#N/A,FALSE,"교좌"}</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F" hidden="1">#REF!</definedName>
    <definedName name="_11">#REF!</definedName>
    <definedName name="_11_____123Graph_DCHART_1" hidden="1">#REF!</definedName>
    <definedName name="_11_____123Graph_XChart_1A" hidden="1">#REF!</definedName>
    <definedName name="_11____123Graph_BCHART_2" hidden="1">#REF!</definedName>
    <definedName name="_11__123Graph_BCHART_17" hidden="1">#REF!</definedName>
    <definedName name="_11__123Graph_BMOB_01" hidden="1">#REF!</definedName>
    <definedName name="_11__123Graph_BMOB_02" hidden="1">#REF!</definedName>
    <definedName name="_11__123Graph_DCHART_1" hidden="1">#REF!</definedName>
    <definedName name="_11__123Graph_EMOB_02" hidden="1">#REF!</definedName>
    <definedName name="_11__123Graph_FMOB_02" hidden="1">#REF!</definedName>
    <definedName name="_11__123Graph_LBL_AMOB_01" hidden="1">#REF!</definedName>
    <definedName name="_11_0_0_F" hidden="1">#REF!</definedName>
    <definedName name="_11_1">#REF!</definedName>
    <definedName name="_11_6.2">#REF!</definedName>
    <definedName name="_110__123Graph_LBL_DMOB_02" hidden="1">#REF!</definedName>
    <definedName name="_113__123Graph_LBL_EMOB_02" hidden="1">#REF!</definedName>
    <definedName name="_116__123Graph_LBL_FMOB_02" hidden="1">#REF!</definedName>
    <definedName name="_119__123Graph_XMOB_01" hidden="1">#REF!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2">#REF!</definedName>
    <definedName name="_12____123Graph_ACHART_1" hidden="1">#REF!</definedName>
    <definedName name="_12____123Graph_CCHART_1" hidden="1">#REF!</definedName>
    <definedName name="_12___0__123Grap" hidden="1">#REF!</definedName>
    <definedName name="_12__123Graph_ACHART_19" hidden="1">#REF!</definedName>
    <definedName name="_12__123Graph_BCHART_22" hidden="1">#REF!</definedName>
    <definedName name="_12__123Graph_BMOB_02" hidden="1">#REF!</definedName>
    <definedName name="_12__123Graph_CMOB_01" hidden="1">#REF!</definedName>
    <definedName name="_12__123Graph_FMOB_02" hidden="1">#REF!</definedName>
    <definedName name="_12__123Graph_LBL_AMOB_01" hidden="1">#REF!</definedName>
    <definedName name="_12__123Graph_LBL_AMOB_02" hidden="1">#REF!</definedName>
    <definedName name="_12_5A.1">#REF!</definedName>
    <definedName name="_12_6.3">#REF!</definedName>
    <definedName name="_122__123Graph_XMOB_02" hidden="1">#REF!</definedName>
    <definedName name="_123" hidden="1">#REF!</definedName>
    <definedName name="_123aGraph_Achart12" hidden="1">#REF!</definedName>
    <definedName name="_123graph" hidden="1">#REF!</definedName>
    <definedName name="_123Graph_ACURRENT" hidden="1">#REF!</definedName>
    <definedName name="_124Graph_E" hidden="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0_" hidden="1">{#N/A,#N/A,FALSE,"CCTV"}</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#REF!</definedName>
    <definedName name="_13.3">#REF!</definedName>
    <definedName name="_13____123Graph_ACHART_2" hidden="1">#REF!</definedName>
    <definedName name="_13____123Graph_DCHART_1" hidden="1">#REF!</definedName>
    <definedName name="_13__123Graph_ACHART_1A" hidden="1">#REF!</definedName>
    <definedName name="_13__123Graph_B자금운용" hidden="1">#REF!</definedName>
    <definedName name="_13__123Graph_CCHART_15" hidden="1">#REF!</definedName>
    <definedName name="_13__123Graph_CMOB_01" hidden="1">#REF!</definedName>
    <definedName name="_13__123Graph_CMOB_02" hidden="1">#REF!</definedName>
    <definedName name="_13__123Graph_LBL_AMOB_01" hidden="1">#REF!</definedName>
    <definedName name="_13__123Graph_LBL_AMOB_02" hidden="1">#REF!</definedName>
    <definedName name="_13__123Graph_LBL_BMOB_01" hidden="1">#REF!</definedName>
    <definedName name="_13_2__OPTI">#REF!</definedName>
    <definedName name="_13_2_0OPTI">#REF!</definedName>
    <definedName name="_13_6.4">#REF!</definedName>
    <definedName name="_139³_¿ª" hidden="1">{#N/A,#N/A,FALSE,"CCTV"}</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F" hidden="1">#REF!</definedName>
    <definedName name="_13Graph_LBL_B" hidden="1">#REF!</definedName>
    <definedName name="_14">#REF!</definedName>
    <definedName name="_14_____123Graph_XChart_1A" hidden="1">#REF!</definedName>
    <definedName name="_14____123Graph_BCHART_2" hidden="1">#REF!</definedName>
    <definedName name="_14___123Graph_AChart_1A" hidden="1">#REF!</definedName>
    <definedName name="_14__123Graph_ACHART_21" hidden="1">#REF!</definedName>
    <definedName name="_14__123Graph_BMOB_01" hidden="1">#REF!</definedName>
    <definedName name="_14__123Graph_CCHART_16" hidden="1">#REF!</definedName>
    <definedName name="_14__123Graph_CMOB_01" hidden="1">#REF!</definedName>
    <definedName name="_14__123Graph_CMOB_02" hidden="1">#REF!</definedName>
    <definedName name="_14__123Graph_DMOB_01" hidden="1">#REF!</definedName>
    <definedName name="_14__123Graph_LBL_AMOB_02" hidden="1">#REF!</definedName>
    <definedName name="_14__123Graph_LBL_BMOB_01" hidden="1">#REF!</definedName>
    <definedName name="_14__123Graph_LBL_BMOB_02" hidden="1">#REF!</definedName>
    <definedName name="_14_0_F" hidden="1">#REF!</definedName>
    <definedName name="_142"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#REF!</definedName>
    <definedName name="_15____123Graph_ACHART_1" hidden="1">#REF!</definedName>
    <definedName name="_15____123Graph_CCHART_1" hidden="1">#REF!</definedName>
    <definedName name="_15___123Graph_BChart_1A" hidden="1">#REF!</definedName>
    <definedName name="_15__123Graph_CCHART_17" hidden="1">#REF!</definedName>
    <definedName name="_15__123Graph_CMOB_01" hidden="1">#REF!</definedName>
    <definedName name="_15__123Graph_CMOB_02" hidden="1">#REF!</definedName>
    <definedName name="_15__123Graph_DMOB_01" hidden="1">#REF!</definedName>
    <definedName name="_15__123Graph_DMOB_02" hidden="1">#REF!</definedName>
    <definedName name="_15__123Graph_LBL_BMOB_01" hidden="1">#REF!</definedName>
    <definedName name="_15__123Graph_LBL_BMOB_02" hidden="1">#REF!</definedName>
    <definedName name="_15__123Graph_LBL_CMOB_01" hidden="1">#REF!</definedName>
    <definedName name="_15_0_0_F" hidden="1">#REF!</definedName>
    <definedName name="_15_5A.2">#REF!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#REF!</definedName>
    <definedName name="_16____123Graph_ACHART_2" hidden="1">#REF!</definedName>
    <definedName name="_16____123Graph_DCHART_1" hidden="1">#REF!</definedName>
    <definedName name="_16___0__123Grap" hidden="1">#REF!</definedName>
    <definedName name="_16___123Graph_XChart_1A" hidden="1">#REF!</definedName>
    <definedName name="_16__123Graph_ASEG_PIE" hidden="1">#REF!</definedName>
    <definedName name="_16__123Graph_CCHART_22" hidden="1">#REF!</definedName>
    <definedName name="_16__123Graph_DMOB_02" hidden="1">#REF!</definedName>
    <definedName name="_16__123Graph_EMOB_02" hidden="1">#REF!</definedName>
    <definedName name="_16__123Graph_LBL_BMOB_02" hidden="1">#REF!</definedName>
    <definedName name="_16__123Graph_LBL_CMOB_01" hidden="1">#REF!</definedName>
    <definedName name="_16__123Graph_LBL_CMOB_02" hidden="1">#REF!</definedName>
    <definedName name="_16_0_0_F" hidden="1">#REF!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7">#REF!</definedName>
    <definedName name="_17____123Graph_BCHART_2" hidden="1">#REF!</definedName>
    <definedName name="_17__123Graph_BMOB_02" hidden="1">#REF!</definedName>
    <definedName name="_17__123Graph_CSEG_PIE" hidden="1">#REF!</definedName>
    <definedName name="_17__123Graph_DMOB_01" hidden="1">#REF!</definedName>
    <definedName name="_17__123Graph_EMOB_02" hidden="1">#REF!</definedName>
    <definedName name="_17__123Graph_FMOB_02" hidden="1">#REF!</definedName>
    <definedName name="_17__123Graph_LBL_CMOB_01" hidden="1">#REF!</definedName>
    <definedName name="_17__123Graph_LBL_CMOB_02" hidden="1">#REF!</definedName>
    <definedName name="_17__123Graph_LBL_DMOB_01"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#REF!</definedName>
    <definedName name="_18____123Graph_CCHART_1" hidden="1">#REF!</definedName>
    <definedName name="_18___123Graph_AChart_1A" hidden="1">#REF!</definedName>
    <definedName name="_18__123Graph_ACHART_1" hidden="1">#REF!</definedName>
    <definedName name="_18__123Graph_BCHART_15" hidden="1">#REF!</definedName>
    <definedName name="_18__123Graph_CMOB_02" hidden="1">#REF!</definedName>
    <definedName name="_18__123Graph_DCHART_15" hidden="1">#REF!</definedName>
    <definedName name="_18__123Graph_DMOB_02" hidden="1">#REF!</definedName>
    <definedName name="_18__123Graph_FMOB_02" hidden="1">#REF!</definedName>
    <definedName name="_18__123Graph_LBL_AMOB_01" hidden="1">#REF!</definedName>
    <definedName name="_18__123Graph_LBL_CMOB_02" hidden="1">#REF!</definedName>
    <definedName name="_18__123Graph_LBL_DMOB_01" hidden="1">#REF!</definedName>
    <definedName name="_18__123Graph_LBL_DMOB_02" hidden="1">#REF!</definedName>
    <definedName name="_18_5A.3">#REF!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#REF!</definedName>
    <definedName name="_19____123Graph_DCHART_1" hidden="1">#REF!</definedName>
    <definedName name="_19__123Graph_AChart_1A" hidden="1">#REF!</definedName>
    <definedName name="_19__123Graph_C자금운용" hidden="1">#REF!</definedName>
    <definedName name="_19__123Graph_DCHART_16" hidden="1">#REF!</definedName>
    <definedName name="_19__123Graph_EMOB_02" hidden="1">#REF!</definedName>
    <definedName name="_19__123Graph_LBL_AMOB_01" hidden="1">#REF!</definedName>
    <definedName name="_19__123Graph_LBL_AMOB_02" hidden="1">#REF!</definedName>
    <definedName name="_19__123Graph_LBL_DMOB_01" hidden="1">#REF!</definedName>
    <definedName name="_19__123Graph_LBL_DMOB_02" hidden="1">#REF!</definedName>
    <definedName name="_19__123Graph_LBL_EMOB_02" hidden="1">#REF!</definedName>
    <definedName name="_1A_1">#REF!</definedName>
    <definedName name="_1A_10">#REF!</definedName>
    <definedName name="_1A_11">#REF!</definedName>
    <definedName name="_1A_12">#REF!</definedName>
    <definedName name="_1A_13">#REF!</definedName>
    <definedName name="_1A_14">#REF!</definedName>
    <definedName name="_1A_15">#REF!</definedName>
    <definedName name="_1A_16">#REF!</definedName>
    <definedName name="_1A_17">#REF!</definedName>
    <definedName name="_1A_18">#REF!</definedName>
    <definedName name="_1A_19">#REF!</definedName>
    <definedName name="_1A_2">#REF!</definedName>
    <definedName name="_1A_20">#REF!</definedName>
    <definedName name="_1A_21">#REF!</definedName>
    <definedName name="_1A_22">#REF!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#REF!</definedName>
    <definedName name="_1A_30">#REF!</definedName>
    <definedName name="_1A_4">#REF!</definedName>
    <definedName name="_1A_5">#REF!</definedName>
    <definedName name="_1A_6">#REF!</definedName>
    <definedName name="_1A_7">#REF!</definedName>
    <definedName name="_1A_8">#REF!</definedName>
    <definedName name="_1A_9">#REF!</definedName>
    <definedName name="_1A1_" hidden="1">{#N/A,#N/A,TRUE,"Basic";#N/A,#N/A,TRUE,"EXT-TABLE";#N/A,#N/A,TRUE,"STEEL";#N/A,#N/A,TRUE,"INT-Table";#N/A,#N/A,TRUE,"STEEL";#N/A,#N/A,TRUE,"Door"}</definedName>
    <definedName name="_1B_1">#REF!</definedName>
    <definedName name="_1B_10">#REF!</definedName>
    <definedName name="_1B_11">#REF!</definedName>
    <definedName name="_1B_12">#REF!</definedName>
    <definedName name="_1B_13">#REF!</definedName>
    <definedName name="_1B_14">#REF!</definedName>
    <definedName name="_1B_15">#REF!</definedName>
    <definedName name="_1B_16">#REF!</definedName>
    <definedName name="_1B_17">#REF!</definedName>
    <definedName name="_1B_18">#REF!</definedName>
    <definedName name="_1B_19">#REF!</definedName>
    <definedName name="_1B_2">#REF!</definedName>
    <definedName name="_1B_20">#REF!</definedName>
    <definedName name="_1B_21">#REF!</definedName>
    <definedName name="_1B_22">#REF!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#REF!</definedName>
    <definedName name="_1B_30">#REF!</definedName>
    <definedName name="_1B_4">#REF!</definedName>
    <definedName name="_1B_5">#REF!</definedName>
    <definedName name="_1B_6">#REF!</definedName>
    <definedName name="_1B_7">#REF!</definedName>
    <definedName name="_1B_8">#REF!</definedName>
    <definedName name="_1B_9">#REF!</definedName>
    <definedName name="_1C_1">#REF!</definedName>
    <definedName name="_1C_10">#REF!</definedName>
    <definedName name="_1C_11">#REF!</definedName>
    <definedName name="_1C_12">#REF!</definedName>
    <definedName name="_1C_13">#REF!</definedName>
    <definedName name="_1C_14">#REF!</definedName>
    <definedName name="_1C_15">#REF!</definedName>
    <definedName name="_1C_16">#REF!</definedName>
    <definedName name="_1C_17">#REF!</definedName>
    <definedName name="_1C_18">#REF!</definedName>
    <definedName name="_1C_19">#REF!</definedName>
    <definedName name="_1C_2">#REF!</definedName>
    <definedName name="_1C_20">#REF!</definedName>
    <definedName name="_1C_21">#REF!</definedName>
    <definedName name="_1C_22">#REF!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#REF!</definedName>
    <definedName name="_1C_30">#REF!</definedName>
    <definedName name="_1C_4">#REF!</definedName>
    <definedName name="_1C_5">#REF!</definedName>
    <definedName name="_1C_6">#REF!</definedName>
    <definedName name="_1C_7">#REF!</definedName>
    <definedName name="_1C_8">#REF!</definedName>
    <definedName name="_1C_9">#REF!</definedName>
    <definedName name="_1F" hidden="1">#REF!</definedName>
    <definedName name="_1M_1">#REF!</definedName>
    <definedName name="_1Y_0Crite">#REF!</definedName>
    <definedName name="_2">#N/A</definedName>
    <definedName name="_2_._solv" hidden="1">#REF!,#REF!</definedName>
    <definedName name="_2_____123Graph_AChart_1A" hidden="1">#REF!</definedName>
    <definedName name="_2___123Graph_ACHART_2" hidden="1">#REF!</definedName>
    <definedName name="_2___123Graph_BCHART_1" hidden="1">#REF!</definedName>
    <definedName name="_2__123Graph_ACHART_1" hidden="1">#REF!</definedName>
    <definedName name="_2__123Graph_ACHART_12" hidden="1">#REF!</definedName>
    <definedName name="_2__123Graph_ACHART_15" hidden="1">#REF!</definedName>
    <definedName name="_2__123Graph_ACHART_1A" hidden="1">#REF!</definedName>
    <definedName name="_2__123Graph_ACHART_2" hidden="1">#REF!</definedName>
    <definedName name="_2__123Graph_AMOB_01" hidden="1">#REF!</definedName>
    <definedName name="_2__123Graph_AMOB_02" hidden="1">#REF!</definedName>
    <definedName name="_2__123Graph_BCHART_1" hidden="1">#REF!</definedName>
    <definedName name="_2__123Graph_BCONTRAC._OIL" hidden="1">#REF!</definedName>
    <definedName name="_2__123Graph_BTOTAL_PQ" hidden="1">#REF!</definedName>
    <definedName name="_2__123Graph_CCHART_2" hidden="1">#REF!</definedName>
    <definedName name="_2_0__123Grap" hidden="1">#REF!</definedName>
    <definedName name="_2_0_0_F" hidden="1">#REF!</definedName>
    <definedName name="_2_1">#REF!</definedName>
    <definedName name="_2_1.3">#REF!</definedName>
    <definedName name="_20">#REF!</definedName>
    <definedName name="_20___0__123Grap" hidden="1">#REF!</definedName>
    <definedName name="_20___123Graph_BChart_1A" hidden="1">#REF!</definedName>
    <definedName name="_20__123Graph_BCHART_16" hidden="1">#REF!</definedName>
    <definedName name="_20__123Graph_DCHART_17" hidden="1">#REF!</definedName>
    <definedName name="_20__123Graph_FMOB_02" hidden="1">#REF!</definedName>
    <definedName name="_20__123Graph_LBL_AMOB_02" hidden="1">#REF!</definedName>
    <definedName name="_20__123Graph_LBL_BMOB_01" hidden="1">#REF!</definedName>
    <definedName name="_20__123Graph_LBL_DMOB_02" hidden="1">#REF!</definedName>
    <definedName name="_20__123Graph_LBL_EMOB_02" hidden="1">#REF!</definedName>
    <definedName name="_20__123Graph_LBL_FMOB_02" hidden="1">#REF!</definedName>
    <definedName name="_20_0_0_F" hidden="1">#REF!</definedName>
    <definedName name="_21">#REF!</definedName>
    <definedName name="_21__123Graph_ACHART_2" hidden="1">#REF!</definedName>
    <definedName name="_21__123Graph_CMOB_01" hidden="1">#REF!</definedName>
    <definedName name="_21__123Graph_DCHART_22" hidden="1">#REF!</definedName>
    <definedName name="_21__123Graph_DMOB_01" hidden="1">#REF!</definedName>
    <definedName name="_21__123Graph_LBL_AMOB_01" hidden="1">#REF!</definedName>
    <definedName name="_21__123Graph_LBL_BMOB_01" hidden="1">#REF!</definedName>
    <definedName name="_21__123Graph_LBL_BMOB_02" hidden="1">#REF!</definedName>
    <definedName name="_21__123Graph_LBL_EMOB_02" hidden="1">#REF!</definedName>
    <definedName name="_21__123Graph_LBL_FMOB_02" hidden="1">#REF!</definedName>
    <definedName name="_21__123Graph_XMOB_01" hidden="1">#REF!</definedName>
    <definedName name="_21_0_0_F" hidden="1">#REF!</definedName>
    <definedName name="_21_2__OPTI">#REF!</definedName>
    <definedName name="_21_5B.1">#REF!</definedName>
    <definedName name="_22">#REF!</definedName>
    <definedName name="_22___123Graph_AChart_1A" hidden="1">#REF!</definedName>
    <definedName name="_22___123Graph_XChart_1A" hidden="1">#REF!</definedName>
    <definedName name="_22__123Graph_BCHART_17" hidden="1">#REF!</definedName>
    <definedName name="_22__123Graph_BChart_1A" hidden="1">#REF!</definedName>
    <definedName name="_22__123Graph_ECHART_15" hidden="1">#REF!</definedName>
    <definedName name="_22__123Graph_LBL_AMOB_02" hidden="1">#REF!</definedName>
    <definedName name="_22__123Graph_LBL_BMOB_02" hidden="1">#REF!</definedName>
    <definedName name="_22__123Graph_LBL_CMOB_01" hidden="1">#REF!</definedName>
    <definedName name="_22__123Graph_LBL_FMOB_02" hidden="1">#REF!</definedName>
    <definedName name="_22__123Graph_XMOB_01" hidden="1">#REF!</definedName>
    <definedName name="_22__123Graph_XMOB_02" hidden="1">#REF!</definedName>
    <definedName name="_22A1_" hidden="1">{#N/A,#N/A,TRUE,"Basic";#N/A,#N/A,TRUE,"EXT-TABLE";#N/A,#N/A,TRUE,"STEEL";#N/A,#N/A,TRUE,"INT-Table";#N/A,#N/A,TRUE,"STEEL";#N/A,#N/A,TRUE,"Door"}</definedName>
    <definedName name="_23">#REF!</definedName>
    <definedName name="_23__123Graph_ACHART_1" hidden="1">#REF!</definedName>
    <definedName name="_23__123Graph_A자금운용" hidden="1">#REF!</definedName>
    <definedName name="_23__123Graph_ECHART_16" hidden="1">#REF!</definedName>
    <definedName name="_23__123Graph_LBL_BMOB_01" hidden="1">#REF!</definedName>
    <definedName name="_23__123Graph_LBL_CMOB_01" hidden="1">#REF!</definedName>
    <definedName name="_23__123Graph_LBL_CMOB_02" hidden="1">#REF!</definedName>
    <definedName name="_23__123Graph_XMOB_01" hidden="1">#REF!</definedName>
    <definedName name="_23__123Graph_XMOB_02" hidden="1">#REF!</definedName>
    <definedName name="_23_0_0_F" hidden="1">#REF!</definedName>
    <definedName name="_23³_¿ª" hidden="1">{#N/A,#N/A,FALSE,"CCTV"}</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a1_" hidden="1">{"'Sheet1'!$L$16"}</definedName>
    <definedName name="_24">#REF!</definedName>
    <definedName name="_24___0__123Grap" hidden="1">#REF!</definedName>
    <definedName name="_24__123Graph_AChart_1A" hidden="1">#REF!</definedName>
    <definedName name="_24__123Graph_BCHART_2" hidden="1">#REF!</definedName>
    <definedName name="_24__123Graph_BCHART_22" hidden="1">#REF!</definedName>
    <definedName name="_24__123Graph_CMOB_02" hidden="1">#REF!</definedName>
    <definedName name="_24__123Graph_DMOB_02" hidden="1">#REF!</definedName>
    <definedName name="_24__123Graph_ECHART_17" hidden="1">#REF!</definedName>
    <definedName name="_24__123Graph_LBL_BMOB_02" hidden="1">#REF!</definedName>
    <definedName name="_24__123Graph_LBL_CMOB_02" hidden="1">#REF!</definedName>
    <definedName name="_24__123Graph_LBL_DMOB_01" hidden="1">#REF!</definedName>
    <definedName name="_24__123Graph_XMOB_02" hidden="1">#REF!</definedName>
    <definedName name="_24__123Graph_X자금운용" hidden="1">#REF!</definedName>
    <definedName name="_24_0_0_F" hidden="1">#REF!</definedName>
    <definedName name="_24_5B.2">#REF!</definedName>
    <definedName name="_24³_¿ª" hidden="1">{#N/A,#N/A,FALSE,"CCTV"}</definedName>
    <definedName name="_25">#REF!</definedName>
    <definedName name="_25___123Graph_BChart_1A" hidden="1">#REF!</definedName>
    <definedName name="_25__123Graph_AChart_1A" hidden="1">#REF!</definedName>
    <definedName name="_25__123Graph_B자금운용" hidden="1">#REF!</definedName>
    <definedName name="_25__123Graph_ECHART_22" hidden="1">#REF!</definedName>
    <definedName name="_25__123Graph_LBL_CMOB_01" hidden="1">#REF!</definedName>
    <definedName name="_25__123Graph_LBL_DMOB_01" hidden="1">#REF!</definedName>
    <definedName name="_25__123Graph_LBL_DMOB_02" hidden="1">#REF!</definedName>
    <definedName name="_25_1">#REF!</definedName>
    <definedName name="_26">#REF!</definedName>
    <definedName name="_26__123Graph_ACHART_2" hidden="1">#REF!</definedName>
    <definedName name="_26__123Graph_BChart_1A" hidden="1">#REF!</definedName>
    <definedName name="_26__123Graph_CCHART_1" hidden="1">#REF!</definedName>
    <definedName name="_26__123Graph_CCHART_15" hidden="1">#REF!</definedName>
    <definedName name="_26__123Graph_FCHART_15" hidden="1">#REF!</definedName>
    <definedName name="_26__123Graph_LBL_CMOB_02" hidden="1">#REF!</definedName>
    <definedName name="_26__123Graph_LBL_DMOB_02" hidden="1">#REF!</definedName>
    <definedName name="_26__123Graph_LBL_EMOB_02" hidden="1">#REF!</definedName>
    <definedName name="_26__123Graph_XCHART_1A" hidden="1">#REF!</definedName>
    <definedName name="_26_0_0_F" hidden="1">#REF!</definedName>
    <definedName name="_27">#REF!</definedName>
    <definedName name="_27__123Graph_C자금운용" hidden="1">#REF!</definedName>
    <definedName name="_27__123Graph_EMOB_02" hidden="1">#REF!</definedName>
    <definedName name="_27__123Graph_FCHART_16" hidden="1">#REF!</definedName>
    <definedName name="_27__123Graph_LBL_DMOB_01" hidden="1">#REF!</definedName>
    <definedName name="_27__123Graph_LBL_EMOB_02" hidden="1">#REF!</definedName>
    <definedName name="_27__123Graph_LBL_FMOB_02" hidden="1">#REF!</definedName>
    <definedName name="_27_0_0_F" hidden="1">#REF!</definedName>
    <definedName name="_27_5B.3">#REF!</definedName>
    <definedName name="_28">#REF!</definedName>
    <definedName name="_28___0__123Grap" hidden="1">#REF!</definedName>
    <definedName name="_28___123Graph_XChart_1A" hidden="1">#REF!</definedName>
    <definedName name="_28__123Graph_BChart_1A" hidden="1">#REF!</definedName>
    <definedName name="_28__123Graph_CCHART_16" hidden="1">#REF!</definedName>
    <definedName name="_28__123Graph_DCHART_1" hidden="1">#REF!</definedName>
    <definedName name="_28__123Graph_DMOB_01" hidden="1">#REF!</definedName>
    <definedName name="_28__123Graph_FCHART_17" hidden="1">#REF!</definedName>
    <definedName name="_28__123Graph_LBL_DMOB_02" hidden="1">#REF!</definedName>
    <definedName name="_28__123Graph_LBL_FMOB_02" hidden="1">#REF!</definedName>
    <definedName name="_28__123Graph_XMOB_01" hidden="1">#REF!</definedName>
    <definedName name="_28__123Graph_X자금운용" hidden="1">#REF!</definedName>
    <definedName name="_28³_¿ª" hidden="1">{#N/A,#N/A,FALSE,"CCTV"}</definedName>
    <definedName name="_29__123Graph_ACHART_1" hidden="1">#REF!</definedName>
    <definedName name="_29__123Graph_BCHART_2" hidden="1">#REF!</definedName>
    <definedName name="_29__123Graph_FCHART_22" hidden="1">#REF!</definedName>
    <definedName name="_29__123Graph_LBL_EMOB_02" hidden="1">#REF!</definedName>
    <definedName name="_29__123Graph_XChart_1A" hidden="1">#REF!</definedName>
    <definedName name="_29__123Graph_XMOB_02" hidden="1">#REF!</definedName>
    <definedName name="_29³_¿ª" hidden="1">{#N/A,#N/A,FALSE,"CCTV"}</definedName>
    <definedName name="_2a" hidden="1">#REF!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A1_" hidden="1">{#N/A,#N/A,TRUE,"Basic";#N/A,#N/A,TRUE,"EXT-TABLE";#N/A,#N/A,TRUE,"STEEL";#N/A,#N/A,TRUE,"INT-Table";#N/A,#N/A,TRUE,"STEEL";#N/A,#N/A,TRUE,"Door"}</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ELECB">#REF!</definedName>
    <definedName name="_2f" hidden="1">#REF!</definedName>
    <definedName name="_2gc09_" hidden="1">{#N/A,#N/A,TRUE,"arnitower";#N/A,#N/A,TRUE,"arnigarage "}</definedName>
    <definedName name="_2M_2">#REF!</definedName>
    <definedName name="_2Y_0Extr">#REF!</definedName>
    <definedName name="_3">#N/A</definedName>
    <definedName name="_3_____123Graph_AChart_1A" hidden="1">#REF!</definedName>
    <definedName name="_3_____123Graph_ACHART_2" hidden="1">#REF!</definedName>
    <definedName name="_3___123Graph_BCHART_2" hidden="1">#REF!</definedName>
    <definedName name="_3__123Graph_ACHART_1" hidden="1">#REF!</definedName>
    <definedName name="_3__123Graph_ACHART_16" hidden="1">#REF!</definedName>
    <definedName name="_3__123Graph_ACHART_2" hidden="1">#REF!</definedName>
    <definedName name="_3__123Graph_AMOB_01" hidden="1">#REF!</definedName>
    <definedName name="_3__123Graph_AMOB_02" hidden="1">#REF!</definedName>
    <definedName name="_3__123Graph_BCHART_2" hidden="1">#REF!</definedName>
    <definedName name="_3__123Graph_BMOB_01" hidden="1">#REF!</definedName>
    <definedName name="_3__123Graph_CCONTRAC._OIL" hidden="1">#REF!</definedName>
    <definedName name="_3__123Graph_CTOTAL_PQ" hidden="1">#REF!</definedName>
    <definedName name="_3__123Graph_DCHART_2" hidden="1">#REF!</definedName>
    <definedName name="_3_0__123Grap" hidden="1">#REF!</definedName>
    <definedName name="_3_0_0_F" hidden="1">#REF!</definedName>
    <definedName name="_3_1">#REF!</definedName>
    <definedName name="_3_1.2">#REF!</definedName>
    <definedName name="_3_1.4">#REF!</definedName>
    <definedName name="_3_10">#REF!</definedName>
    <definedName name="_3_11">#REF!</definedName>
    <definedName name="_3_12">#REF!</definedName>
    <definedName name="_3_2">#REF!</definedName>
    <definedName name="_3_3">#REF!</definedName>
    <definedName name="_3_4">#REF!</definedName>
    <definedName name="_3_5">#REF!</definedName>
    <definedName name="_3_6">#REF!</definedName>
    <definedName name="_3_7">#REF!</definedName>
    <definedName name="_3_8">#REF!</definedName>
    <definedName name="_3_9">#REF!</definedName>
    <definedName name="_3¤§¤_¤¡" hidden="1">{#N/A,#N/A,FALSE,"Sheet1"}</definedName>
    <definedName name="_30__123Graph_CCHART_1" hidden="1">#REF!</definedName>
    <definedName name="_30__123Graph_CCHART_17" hidden="1">#REF!</definedName>
    <definedName name="_30__123Graph_FMOB_02" hidden="1">#REF!</definedName>
    <definedName name="_30__123Graph_LBL_FMOB_02" hidden="1">#REF!</definedName>
    <definedName name="_30__123Graph_XCHART_15" hidden="1">#REF!</definedName>
    <definedName name="_30__123Graph_XMOB_01" hidden="1">#REF!</definedName>
    <definedName name="_30_5B.4">#REF!</definedName>
    <definedName name="_31">#REF!</definedName>
    <definedName name="_31__123Graph_DCHART_1" hidden="1">#REF!</definedName>
    <definedName name="_31__123Graph_DMOB_02" hidden="1">#REF!</definedName>
    <definedName name="_31__123Graph_XCHART_16" hidden="1">#REF!</definedName>
    <definedName name="_31__123Graph_XMOB_01" hidden="1">#REF!</definedName>
    <definedName name="_31__123Graph_XMOB_02" hidden="1">#REF!</definedName>
    <definedName name="_31_Mar_02">#REF!</definedName>
    <definedName name="_32">#REF!</definedName>
    <definedName name="_32___0_S" hidden="1">#REF!</definedName>
    <definedName name="_32__123Graph_AChart_1A" hidden="1">#REF!</definedName>
    <definedName name="_32__123Graph_CCHART_22" hidden="1">#REF!</definedName>
    <definedName name="_32__123Graph_XCHART_17" hidden="1">#REF!</definedName>
    <definedName name="_32__123Graph_XMOB_02" hidden="1">#REF!</definedName>
    <definedName name="_32_0_0_F" hidden="1">#REF!</definedName>
    <definedName name="_321" hidden="1">#REF!</definedName>
    <definedName name="_33">#REF!</definedName>
    <definedName name="_33__123Graph_ACHART_2" hidden="1">#REF!</definedName>
    <definedName name="_33__123Graph_LBL_AMOB_01" hidden="1">#REF!</definedName>
    <definedName name="_33__123Graph_XCHART_18" hidden="1">#REF!</definedName>
    <definedName name="_33__123Graph_XChart_1A" hidden="1">#REF!</definedName>
    <definedName name="_33_0_0_F" hidden="1">#REF!</definedName>
    <definedName name="_33_6.2">#REF!</definedName>
    <definedName name="_33³_¿ª" hidden="1">{#N/A,#N/A,FALSE,"CCTV"}</definedName>
    <definedName name="_34">#REF!</definedName>
    <definedName name="_34__123Graph_CSEG_PIE" hidden="1">#REF!</definedName>
    <definedName name="_34__123Graph_EMOB_02" hidden="1">#REF!</definedName>
    <definedName name="_34__123Graph_XCHART_19" hidden="1">#REF!</definedName>
    <definedName name="_35__123Graph_XCHART_22" hidden="1">#REF!</definedName>
    <definedName name="_35_³_¿ª" hidden="1">{#N/A,#N/A,FALSE,"CCTV"}</definedName>
    <definedName name="_36">#REF!</definedName>
    <definedName name="_36__123Graph_BChart_1A" hidden="1">#REF!</definedName>
    <definedName name="_36__123Graph_DCHART_15" hidden="1">#REF!</definedName>
    <definedName name="_36__123Graph_LBL_AMOB_02" hidden="1">#REF!</definedName>
    <definedName name="_36__123Graph_XSEG_PIE" hidden="1">#REF!</definedName>
    <definedName name="_36_0_0_F" hidden="1">#REF!</definedName>
    <definedName name="_36_6.3">#REF!</definedName>
    <definedName name="_37">#REF!</definedName>
    <definedName name="_37__123Graph_BCHART_2" hidden="1">#REF!</definedName>
    <definedName name="_37__123Graph_FMOB_02" hidden="1">#REF!</definedName>
    <definedName name="_38__123Graph_CCHART_1" hidden="1">#REF!</definedName>
    <definedName name="_38__123Graph_DCHART_16" hidden="1">#REF!</definedName>
    <definedName name="_38³_¿ª" hidden="1">{#N/A,#N/A,FALSE,"CCTV"}</definedName>
    <definedName name="_39__123Graph_DCHART_1" hidden="1">#REF!</definedName>
    <definedName name="_39__123Graph_LBL_BMOB_01" hidden="1">#REF!</definedName>
    <definedName name="_39_6.4">#REF!</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A1_" hidden="1">{#N/A,#N/A,FALSE,"type1";#N/A,#N/A,FALSE,"지지력";#N/A,#N/A,FALSE,"PILE계산";#N/A,#N/A,FALSE,"PILE ";#N/A,#N/A,FALSE,"철근량";#N/A,#N/A,FALSE,"균열검토";#N/A,#N/A,FALSE,"날개벽";#N/A,#N/A,FALSE,"주철근조립도";#N/A,#N/A,FALSE,"교좌"}</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F" hidden="1">#N/A</definedName>
    <definedName name="_3Y__Crite">#REF!</definedName>
    <definedName name="_4">#N/A</definedName>
    <definedName name="_4_" hidden="1">#REF!</definedName>
    <definedName name="_4_____123Graph_AChart_1A" hidden="1">#REF!</definedName>
    <definedName name="_4_____123Graph_ACHART_2" hidden="1">#REF!</definedName>
    <definedName name="_4_____123Graph_BChart_1A" hidden="1">#REF!</definedName>
    <definedName name="_4___0__123Grap" hidden="1">#REF!</definedName>
    <definedName name="_4___123Graph_CCHART_1" hidden="1">#REF!</definedName>
    <definedName name="_4__123Graph_ACHART_15" hidden="1">#REF!</definedName>
    <definedName name="_4__123Graph_ACHART_17" hidden="1">#REF!</definedName>
    <definedName name="_4__123Graph_ACHART_2" hidden="1">#REF!</definedName>
    <definedName name="_4__123Graph_AMOB_02" hidden="1">#REF!</definedName>
    <definedName name="_4__123Graph_BCHART_1" hidden="1">#REF!</definedName>
    <definedName name="_4__123Graph_BCHART_2" hidden="1">#REF!</definedName>
    <definedName name="_4__123Graph_BMOB_01" hidden="1">#REF!</definedName>
    <definedName name="_4__123Graph_BMOB_02" hidden="1">#REF!</definedName>
    <definedName name="_4__123Graph_CCHART_1" hidden="1">#REF!</definedName>
    <definedName name="_4__123Graph_DCONTRAC._OIL" hidden="1">#REF!</definedName>
    <definedName name="_4__123Graph_DTOTAL_PQ" hidden="1">#REF!</definedName>
    <definedName name="_4__123Graph_XCHART_1A" hidden="1">#REF!</definedName>
    <definedName name="_4_0__123Grap" hidden="1">#REF!</definedName>
    <definedName name="_4_0_0_F" hidden="1">#N/A</definedName>
    <definedName name="_4_0_S" hidden="1">#REF!</definedName>
    <definedName name="_4_1">#REF!</definedName>
    <definedName name="_4_10">#REF!</definedName>
    <definedName name="_4_11">#REF!</definedName>
    <definedName name="_4_2">#REF!</definedName>
    <definedName name="_4_3">#REF!</definedName>
    <definedName name="_4_4">#REF!</definedName>
    <definedName name="_4_5">#REF!</definedName>
    <definedName name="_4_5A.1">#REF!</definedName>
    <definedName name="_4_6">#REF!</definedName>
    <definedName name="_4_7">#REF!</definedName>
    <definedName name="_4_8">#REF!</definedName>
    <definedName name="_4_9">#REF!</definedName>
    <definedName name="_40__123Graph_DCHART_17" hidden="1">#REF!</definedName>
    <definedName name="_40__123Graph_LBL_AMOB_01" hidden="1">#REF!</definedName>
    <definedName name="_41aa1_" hidden="1">{#N/A,#N/A,FALSE,"CCTV"}</definedName>
    <definedName name="_42__123Graph_DCHART_22" hidden="1">#REF!</definedName>
    <definedName name="_42__123Graph_LBL_BMOB_02" hidden="1">#REF!</definedName>
    <definedName name="_42__123Graph_XChart_1A" hidden="1">#REF!</definedName>
    <definedName name="_43__123Graph_LBL_AMOB_02" hidden="1">#REF!</definedName>
    <definedName name="_44__123Graph_ECHART_15" hidden="1">#REF!</definedName>
    <definedName name="_4449_with_attachement">#REF!</definedName>
    <definedName name="_45__123Graph_LBL_CMOB_01" hidden="1">#REF!</definedName>
    <definedName name="_46__123Graph_ECHART_16" hidden="1">#REF!</definedName>
    <definedName name="_46__123Graph_LBL_BMOB_01" hidden="1">#REF!</definedName>
    <definedName name="_48__123Graph_ECHART_17" hidden="1">#REF!</definedName>
    <definedName name="_48__123Graph_LBL_CMOB_02" hidden="1">#REF!</definedName>
    <definedName name="_49__123Graph_LBL_BMOB_02" hidden="1">#REF!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A1_" hidden="1">{#N/A,#N/A,FALSE,"type1";#N/A,#N/A,FALSE,"지지력";#N/A,#N/A,FALSE,"PILE계산";#N/A,#N/A,FALSE,"PILE ";#N/A,#N/A,FALSE,"철근량";#N/A,#N/A,FALSE,"균열검토";#N/A,#N/A,FALSE,"날개벽";#N/A,#N/A,FALSE,"주철근조립도";#N/A,#N/A,FALSE,"교좌"}</definedName>
    <definedName name="_4A1__1" hidden="1">{#N/A,#N/A,FALSE,"type1";#N/A,#N/A,FALSE,"지지력";#N/A,#N/A,FALSE,"PILE계산";#N/A,#N/A,FALSE,"PILE ";#N/A,#N/A,FALSE,"철근량";#N/A,#N/A,FALSE,"균열검토";#N/A,#N/A,FALSE,"날개벽";#N/A,#N/A,FALSE,"주철근조립도";#N/A,#N/A,FALSE,"교좌"}</definedName>
    <definedName name="_4A1__2" hidden="1">{#N/A,#N/A,FALSE,"type1";#N/A,#N/A,FALSE,"지지력";#N/A,#N/A,FALSE,"PILE계산";#N/A,#N/A,FALSE,"PILE ";#N/A,#N/A,FALSE,"철근량";#N/A,#N/A,FALSE,"균열검토";#N/A,#N/A,FALSE,"날개벽";#N/A,#N/A,FALSE,"주철근조립도";#N/A,#N/A,FALSE,"교좌"}</definedName>
    <definedName name="_4A10_" hidden="1">{#N/A,#N/A,FALSE,"CCTV"}</definedName>
    <definedName name="_4A2_" hidden="1">{#N/A,#N/A,TRUE,"Basic";#N/A,#N/A,TRUE,"EXT-TABLE";#N/A,#N/A,TRUE,"STEEL";#N/A,#N/A,TRUE,"INT-Table";#N/A,#N/A,TRUE,"STEEL";#N/A,#N/A,TRUE,"Door"}</definedName>
    <definedName name="_4aa1_" hidden="1">{#N/A,#N/A,FALSE,"CCTV"}</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C_x">#REF!</definedName>
    <definedName name="_4F" hidden="1">#REF!</definedName>
    <definedName name="_4gc09" hidden="1">{#N/A,#N/A,TRUE,"arnitower";#N/A,#N/A,TRUE,"arnigarage "}</definedName>
    <definedName name="_4gc09_" hidden="1">{#N/A,#N/A,TRUE,"arnitower";#N/A,#N/A,TRUE,"arnigarage "}</definedName>
    <definedName name="_4Y__Extr">#REF!</definedName>
    <definedName name="_5">#N/A</definedName>
    <definedName name="_5_____123Graph_ACHART_2" hidden="1">#REF!</definedName>
    <definedName name="_5_____123Graph_BCHART_2" hidden="1">#REF!</definedName>
    <definedName name="_5___123Graph_DCHART_1" hidden="1">#REF!</definedName>
    <definedName name="_5__123Graph_ACHART_1" hidden="1">#REF!</definedName>
    <definedName name="_5__123Graph_ACHART_18" hidden="1">#REF!</definedName>
    <definedName name="_5__123Graph_ACHART_2" hidden="1">#REF!</definedName>
    <definedName name="_5__123Graph_A자금운용" hidden="1">#REF!</definedName>
    <definedName name="_5__123Graph_BCHART_2" hidden="1">#REF!</definedName>
    <definedName name="_5__123Graph_BMOB_01" hidden="1">#REF!</definedName>
    <definedName name="_5__123Graph_BMOB_02" hidden="1">#REF!</definedName>
    <definedName name="_5__123Graph_CCHART_1" hidden="1">#REF!</definedName>
    <definedName name="_5__123Graph_CMOB_01" hidden="1">#REF!</definedName>
    <definedName name="_5__123Graph_DCHART_1" hidden="1">#REF!</definedName>
    <definedName name="_5__123Graph_XCONTRAC._OIL" hidden="1">#REF!</definedName>
    <definedName name="_5__123Graph_XTOTAL_PQ" hidden="1">#REF!</definedName>
    <definedName name="_5_0__123Grap" hidden="1">#REF!</definedName>
    <definedName name="_5_1">#REF!</definedName>
    <definedName name="_5_2">#REF!</definedName>
    <definedName name="_5_3">#REF!</definedName>
    <definedName name="_5_4">#REF!</definedName>
    <definedName name="_5_5A.2">#REF!</definedName>
    <definedName name="_50__123Graph_ECHART_22" hidden="1">#REF!</definedName>
    <definedName name="_51__123Graph_LBL_DMOB_01" hidden="1">#REF!</definedName>
    <definedName name="_52__123Graph_FCHART_15" hidden="1">#REF!</definedName>
    <definedName name="_52__123Graph_LBL_CMOB_01" hidden="1">#REF!</definedName>
    <definedName name="_52³_¿ª" hidden="1">{#N/A,#N/A,FALSE,"CCTV"}</definedName>
    <definedName name="_54__123Graph_FCHART_16" hidden="1">#REF!</definedName>
    <definedName name="_54__123Graph_LBL_DMOB_02" hidden="1">#REF!</definedName>
    <definedName name="_55__123Graph_LBL_CMOB_02" hidden="1">#REF!</definedName>
    <definedName name="_56__123Graph_FCHART_17" hidden="1">#REF!</definedName>
    <definedName name="_56BP01_" hidden="1">{#N/A,#N/A,FALSE,"TABLE"}</definedName>
    <definedName name="_57__123Graph_LBL_EMOB_02" hidden="1">#REF!</definedName>
    <definedName name="_58__123Graph_FCHART_22" hidden="1">#REF!</definedName>
    <definedName name="_58__123Graph_LBL_DMOB_01" hidden="1">#REF!</definedName>
    <definedName name="_59__123Graph_AMOB_01" hidden="1">#REF!</definedName>
    <definedName name="_5A.1">#REF!</definedName>
    <definedName name="_5A.2">#REF!</definedName>
    <definedName name="_5A.3">#REF!</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1">#REF!</definedName>
    <definedName name="_5B.2">#REF!</definedName>
    <definedName name="_5B.3">#REF!</definedName>
    <definedName name="_5B.4">#REF!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F" hidden="1">#REF!</definedName>
    <definedName name="_6">#N/A</definedName>
    <definedName name="_6.2">#REF!</definedName>
    <definedName name="_6.3">#REF!</definedName>
    <definedName name="_6.4">#REF!</definedName>
    <definedName name="_6_____123Graph_BChart_1A" hidden="1">#REF!</definedName>
    <definedName name="_6_____123Graph_CCHART_1" hidden="1">#REF!</definedName>
    <definedName name="_6__123Graph_ACHART_1" hidden="1">#REF!</definedName>
    <definedName name="_6__123Graph_ACHART_16" hidden="1">#REF!</definedName>
    <definedName name="_6__123Graph_ACHART_19" hidden="1">#REF!</definedName>
    <definedName name="_6__123Graph_AMOB_02" hidden="1">#REF!</definedName>
    <definedName name="_6__123Graph_BMOB_02" hidden="1">#REF!</definedName>
    <definedName name="_6__123Graph_CCHART_1" hidden="1">#REF!</definedName>
    <definedName name="_6__123Graph_CMOB_01" hidden="1">#REF!</definedName>
    <definedName name="_6__123Graph_CMOB_02" hidden="1">#REF!</definedName>
    <definedName name="_6__123Graph_DCHART_1" hidden="1">#REF!</definedName>
    <definedName name="_6_0__123Grap" hidden="1">#REF!</definedName>
    <definedName name="_6_1">#REF!</definedName>
    <definedName name="_6_1.3">#REF!</definedName>
    <definedName name="_6_123Grap" hidden="1">#REF!</definedName>
    <definedName name="_6_2">#REF!</definedName>
    <definedName name="_6_3">#REF!</definedName>
    <definedName name="_6_4">#REF!</definedName>
    <definedName name="_6_5">#REF!</definedName>
    <definedName name="_6_5A.3">#REF!</definedName>
    <definedName name="_6_6">#REF!</definedName>
    <definedName name="_60__123Graph_LBL_FMOB_02" hidden="1">#REF!</definedName>
    <definedName name="_60__123Graph_XCHART_15" hidden="1">#REF!</definedName>
    <definedName name="_60a1_" hidden="1">{"'Sheet1'!$L$16"}</definedName>
    <definedName name="_61__123Graph_LBL_DMOB_02" hidden="1">#REF!</definedName>
    <definedName name="_62__123Graph_AMOB_02" hidden="1">#REF!</definedName>
    <definedName name="_62__123Graph_XCHART_16" hidden="1">#REF!</definedName>
    <definedName name="_63__123Graph_XMOB_01" hidden="1">#REF!</definedName>
    <definedName name="_63BP01_" hidden="1">{#N/A,#N/A,FALSE,"TABLE"}</definedName>
    <definedName name="_64__123Graph_LBL_EMOB_02" hidden="1">#REF!</definedName>
    <definedName name="_64__123Graph_XCHART_17" hidden="1">#REF!</definedName>
    <definedName name="_65__123Graph_BMOB_01" hidden="1">#REF!</definedName>
    <definedName name="_66__123Graph_XCHART_18" hidden="1">#REF!</definedName>
    <definedName name="_66__123Graph_XMOB_02" hidden="1">#REF!</definedName>
    <definedName name="_67__123Graph_LBL_FMOB_02" hidden="1">#REF!</definedName>
    <definedName name="_68__123Graph_BMOB_02" hidden="1">#REF!</definedName>
    <definedName name="_68__123Graph_XCHART_19" hidden="1">#REF!</definedName>
    <definedName name="_69_0_0_F" hidden="1">#REF!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0_" hidden="1">{#N/A,#N/A,FALSE,"CCTV"}</definedName>
    <definedName name="_6A10__1" hidden="1">{#N/A,#N/A,FALSE,"CCTV"}</definedName>
    <definedName name="_6A10__2" hidden="1">{#N/A,#N/A,FALSE,"CCTV"}</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cf2_" hidden="1">{#N/A,#N/A,FALSE,"Variables";#N/A,#N/A,FALSE,"NPV Cashflows NZ$";#N/A,#N/A,FALSE,"Cashflows NZ$"}</definedName>
    <definedName name="_7">#N/A</definedName>
    <definedName name="_7_____123Graph_BCHART_2" hidden="1">#REF!</definedName>
    <definedName name="_7_____123Graph_DCHART_1" hidden="1">#REF!</definedName>
    <definedName name="_7__123Graph_AChart_1A" hidden="1">#REF!</definedName>
    <definedName name="_7__123Graph_ACHART_2" hidden="1">#REF!</definedName>
    <definedName name="_7__123Graph_ACHART_21" hidden="1">#REF!</definedName>
    <definedName name="_7__123Graph_AMOB_01" hidden="1">#REF!</definedName>
    <definedName name="_7__123Graph_BCHART_2" hidden="1">#REF!</definedName>
    <definedName name="_7__123Graph_CMOB_01" hidden="1">#REF!</definedName>
    <definedName name="_7__123Graph_CMOB_02" hidden="1">#REF!</definedName>
    <definedName name="_7__123Graph_DCHART_1" hidden="1">#REF!</definedName>
    <definedName name="_7__123Graph_DMOB_01" hidden="1">#REF!</definedName>
    <definedName name="_7_0__123Grap" hidden="1">#REF!</definedName>
    <definedName name="_7_0ELECB">#REF!</definedName>
    <definedName name="_7_1">#REF!</definedName>
    <definedName name="_7_2">#REF!</definedName>
    <definedName name="_7_3">#REF!</definedName>
    <definedName name="_7_4">#REF!</definedName>
    <definedName name="_7_5">#REF!</definedName>
    <definedName name="_7_5B.1">#REF!</definedName>
    <definedName name="_7_6">#REF!</definedName>
    <definedName name="_7_7">#REF!</definedName>
    <definedName name="_7_9">#REF!</definedName>
    <definedName name="_70__123Graph_XCHART_22" hidden="1">#REF!</definedName>
    <definedName name="_70__123Graph_XMOB_01" hidden="1">#REF!</definedName>
    <definedName name="_71__123Graph_CMOB_01" hidden="1">#REF!</definedName>
    <definedName name="_72__123Graph_XSEG_PIE" hidden="1">#REF!</definedName>
    <definedName name="_72³_¿ª" hidden="1">{#N/A,#N/A,FALSE,"CCTV"}</definedName>
    <definedName name="_73__123Graph_XMOB_02" hidden="1">#REF!</definedName>
    <definedName name="_74__123Graph_CMOB_02" hidden="1">#REF!</definedName>
    <definedName name="_77__123Graph_DMOB_01" hidden="1">#REF!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F" hidden="1">#REF!</definedName>
    <definedName name="_8">#N/A</definedName>
    <definedName name="_8_____123Graph_BChart_1A" hidden="1">#REF!</definedName>
    <definedName name="_8_____123Graph_CCHART_1" hidden="1">#REF!</definedName>
    <definedName name="_8_____123Graph_XChart_1A" hidden="1">#REF!</definedName>
    <definedName name="_8___0__123Grap" hidden="1">#REF!</definedName>
    <definedName name="_8__123Graph_ACHART_17" hidden="1">#REF!</definedName>
    <definedName name="_8__123Graph_AMOB_01" hidden="1">#REF!</definedName>
    <definedName name="_8__123Graph_ASEG_PIE" hidden="1">#REF!</definedName>
    <definedName name="_8__123Graph_BCHART_1" hidden="1">#REF!</definedName>
    <definedName name="_8__123Graph_BCHART_2" hidden="1">#REF!</definedName>
    <definedName name="_8__123Graph_CMOB_02" hidden="1">#REF!</definedName>
    <definedName name="_8__123Graph_DMOB_01" hidden="1">#REF!</definedName>
    <definedName name="_8__123Graph_DMOB_02" hidden="1">#REF!</definedName>
    <definedName name="_8_0_0_F" hidden="1">#REF!</definedName>
    <definedName name="_8_0_S" hidden="1">#REF!</definedName>
    <definedName name="_8_1">#REF!</definedName>
    <definedName name="_8_2">#REF!</definedName>
    <definedName name="_8_3">#REF!</definedName>
    <definedName name="_8_5B.2">#REF!</definedName>
    <definedName name="_80__123Graph_DMOB_02" hidden="1">#REF!</definedName>
    <definedName name="_80¤§¤_¤¡" hidden="1">{#N/A,#N/A,FALSE,"Sheet1"}</definedName>
    <definedName name="_83__123Graph_EMOB_02" hidden="1">#REF!</definedName>
    <definedName name="_86__123Graph_FMOB_02" hidden="1">#REF!</definedName>
    <definedName name="_89__123Graph_LBL_AMOB_01" hidden="1">#REF!</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0_" hidden="1">{#N/A,#N/A,FALSE,"CCTV"}</definedName>
    <definedName name="_8A10__1" hidden="1">{#N/A,#N/A,FALSE,"CCTV"}</definedName>
    <definedName name="_8A10__2" hidden="1">{#N/A,#N/A,FALSE,"CCTV"}</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F" hidden="1">#REF!</definedName>
    <definedName name="_9">#N/A</definedName>
    <definedName name="_9_____123Graph_BCHART_2" hidden="1">#REF!</definedName>
    <definedName name="_9_____123Graph_DCHART_1" hidden="1">#REF!</definedName>
    <definedName name="_9____123Graph_ACHART_1" hidden="1">#REF!</definedName>
    <definedName name="_9__123Graph_AMOB_02" hidden="1">#REF!</definedName>
    <definedName name="_9__123Graph_BCHART_15" hidden="1">#REF!</definedName>
    <definedName name="_9__123Graph_BMOB_01" hidden="1">#REF!</definedName>
    <definedName name="_9__123Graph_CCHART_1" hidden="1">#REF!</definedName>
    <definedName name="_9__123Graph_DMOB_01" hidden="1">#REF!</definedName>
    <definedName name="_9__123Graph_DMOB_02" hidden="1">#REF!</definedName>
    <definedName name="_9__123Graph_EMOB_02" hidden="1">#REF!</definedName>
    <definedName name="_9_0_0_F" hidden="1">#REF!</definedName>
    <definedName name="_9_1">#REF!</definedName>
    <definedName name="_9_1.4">#REF!</definedName>
    <definedName name="_9_2">#REF!</definedName>
    <definedName name="_9_2_0OPTI">#REF!</definedName>
    <definedName name="_9_3">#REF!</definedName>
    <definedName name="_9_4">#REF!</definedName>
    <definedName name="_9_5">#REF!</definedName>
    <definedName name="_9_5B.3">#REF!</definedName>
    <definedName name="_9_6">#REF!</definedName>
    <definedName name="_9_7">#REF!</definedName>
    <definedName name="_9_8">#REF!</definedName>
    <definedName name="_9_9">#REF!</definedName>
    <definedName name="_90³_¿ª" hidden="1">{#N/A,#N/A,FALSE,"CCTV"}</definedName>
    <definedName name="_92__123Graph_LBL_AMOB_02" hidden="1">#REF!</definedName>
    <definedName name="_95__123Graph_LBL_BMOB_01" hidden="1">#REF!</definedName>
    <definedName name="_98__123Graph_LBL_BMOB_02" hidden="1">#REF!</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wrn.Ã¶°ñÁý°èÇ_._.5Ä­." hidden="1">{#N/A,#N/A,FALSE,"Sheet1"}</definedName>
    <definedName name="_a1" hidden="1">{"'Sheet1'!$L$16"}</definedName>
    <definedName name="_A10" hidden="1">{#N/A,#N/A,FALSE,"CCTV"}</definedName>
    <definedName name="_a11" hidden="1">{"'장비'!$A$3:$M$12"}</definedName>
    <definedName name="_a122" hidden="1">{#N/A,#N/A,FALSE,"속도"}</definedName>
    <definedName name="_A68666">#REF!</definedName>
    <definedName name="_aa1" hidden="1">{#N/A,#N/A,FALSE,"SumD";#N/A,#N/A,FALSE,"ElecD";#N/A,#N/A,FALSE,"MechD";#N/A,#N/A,FALSE,"GeotD";#N/A,#N/A,FALSE,"PrcsD";#N/A,#N/A,FALSE,"TunnD";#N/A,#N/A,FALSE,"CivlD";#N/A,#N/A,FALSE,"NtwkD";#N/A,#N/A,FALSE,"EstgD";#N/A,#N/A,FALSE,"PEngD"}</definedName>
    <definedName name="_aa1_1" hidden="1">{#N/A,#N/A,FALSE,"SumD";#N/A,#N/A,FALSE,"ElecD";#N/A,#N/A,FALSE,"MechD";#N/A,#N/A,FALSE,"GeotD";#N/A,#N/A,FALSE,"PrcsD";#N/A,#N/A,FALSE,"TunnD";#N/A,#N/A,FALSE,"CivlD";#N/A,#N/A,FALSE,"NtwkD";#N/A,#N/A,FALSE,"EstgD";#N/A,#N/A,FALSE,"PEngD"}</definedName>
    <definedName name="_aa2" hidden="1">{#N/A,#N/A,TRUE,"LOADCOVE";#N/A,#N/A,TRUE,"PAGE001";#N/A,#N/A,TRUE,"PAGE002";#N/A,#N/A,TRUE,"PAGE003";#N/A,#N/A,TRUE,"PAGE004";#N/A,#N/A,TRUE,"PAGE005";#N/A,#N/A,TRUE,"PAGE006";#N/A,#N/A,TRUE,"PAGE007";#N/A,#N/A,TRUE,"PAGE008";#N/A,#N/A,TRUE,"PAGE009";#N/A,#N/A,TRUE,"PAGE010";#N/A,#N/A,TRUE,"PAGE011";#N/A,#N/A,TRUE,"PAGE012";#N/A,#N/A,TRUE,"PAGE013"}</definedName>
    <definedName name="_aa3" hidden="1">{"'장비'!$A$3:$M$12"}</definedName>
    <definedName name="_aa4" hidden="1">{#N/A,#N/A,TRUE,"LOADCOVE";#N/A,#N/A,TRUE,"PAGE001";#N/A,#N/A,TRUE,"PAGE002";#N/A,#N/A,TRUE,"PAGE003";#N/A,#N/A,TRUE,"PAGE004";#N/A,#N/A,TRUE,"PAGE005";#N/A,#N/A,TRUE,"PAGE006";#N/A,#N/A,TRUE,"PAGE007";#N/A,#N/A,TRUE,"PAGE008";#N/A,#N/A,TRUE,"PAGE009";#N/A,#N/A,TRUE,"PAGE010";#N/A,#N/A,TRUE,"PAGE011";#N/A,#N/A,TRUE,"PAGE012";#N/A,#N/A,TRUE,"PAGE013"}</definedName>
    <definedName name="_aa5" hidden="1">{#N/A,#N/A,TRUE,"LOADCOVE";#N/A,#N/A,TRUE,"PAGE001";#N/A,#N/A,TRUE,"PAGE002";#N/A,#N/A,TRUE,"PAGE003";#N/A,#N/A,TRUE,"PAGE004";#N/A,#N/A,TRUE,"PAGE005";#N/A,#N/A,TRUE,"PAGE006";#N/A,#N/A,TRUE,"PAGE007";#N/A,#N/A,TRUE,"PAGE008";#N/A,#N/A,TRUE,"PAGE009";#N/A,#N/A,TRUE,"PAGE010";#N/A,#N/A,TRUE,"PAGE011";#N/A,#N/A,TRUE,"PAGE012";#N/A,#N/A,TRUE,"PAGE013"}</definedName>
    <definedName name="_aa6" hidden="1">{#N/A,#N/A,TRUE,"LOADCOVE";#N/A,#N/A,TRUE,"PAGE001";#N/A,#N/A,TRUE,"PAGE002";#N/A,#N/A,TRUE,"PAGE003";#N/A,#N/A,TRUE,"PAGE004";#N/A,#N/A,TRUE,"PAGE005";#N/A,#N/A,TRUE,"PAGE006";#N/A,#N/A,TRUE,"PAGE007";#N/A,#N/A,TRUE,"PAGE008";#N/A,#N/A,TRUE,"PAGE009";#N/A,#N/A,TRUE,"PAGE010";#N/A,#N/A,TRUE,"PAGE011";#N/A,#N/A,TRUE,"PAGE012";#N/A,#N/A,TRUE,"PAGE013"}</definedName>
    <definedName name="_AAA222" hidden="1">{"'장비'!$A$3:$M$12"}</definedName>
    <definedName name="_ab1" hidden="1">{#N/A,#N/A,FALSE,"SumD";#N/A,#N/A,FALSE,"ElecD";#N/A,#N/A,FALSE,"MechD";#N/A,#N/A,FALSE,"GeotD";#N/A,#N/A,FALSE,"PrcsD";#N/A,#N/A,FALSE,"TunnD";#N/A,#N/A,FALSE,"CivlD";#N/A,#N/A,FALSE,"NtwkD";#N/A,#N/A,FALSE,"EstgD";#N/A,#N/A,FALSE,"PEngD"}</definedName>
    <definedName name="_ab1_1" hidden="1">{#N/A,#N/A,FALSE,"SumD";#N/A,#N/A,FALSE,"ElecD";#N/A,#N/A,FALSE,"MechD";#N/A,#N/A,FALSE,"GeotD";#N/A,#N/A,FALSE,"PrcsD";#N/A,#N/A,FALSE,"TunnD";#N/A,#N/A,FALSE,"CivlD";#N/A,#N/A,FALSE,"NtwkD";#N/A,#N/A,FALSE,"EstgD";#N/A,#N/A,FALSE,"PEngD"}</definedName>
    <definedName name="_ab1111" hidden="1">{#N/A,#N/A,FALSE,"SumD";#N/A,#N/A,FALSE,"ElecD";#N/A,#N/A,FALSE,"MechD";#N/A,#N/A,FALSE,"GeotD";#N/A,#N/A,FALSE,"PrcsD";#N/A,#N/A,FALSE,"TunnD";#N/A,#N/A,FALSE,"CivlD";#N/A,#N/A,FALSE,"NtwkD";#N/A,#N/A,FALSE,"EstgD";#N/A,#N/A,FALSE,"PEngD"}</definedName>
    <definedName name="_ABC" hidden="1">#REF!</definedName>
    <definedName name="_all1">#REF!</definedName>
    <definedName name="_as1" hidden="1">{#N/A,#N/A,FALSE,"SumD";#N/A,#N/A,FALSE,"ElecD";#N/A,#N/A,FALSE,"MechD";#N/A,#N/A,FALSE,"GeotD";#N/A,#N/A,FALSE,"PrcsD";#N/A,#N/A,FALSE,"TunnD";#N/A,#N/A,FALSE,"CivlD";#N/A,#N/A,FALSE,"NtwkD";#N/A,#N/A,FALSE,"EstgD";#N/A,#N/A,FALSE,"PEngD"}</definedName>
    <definedName name="_as1_1"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3">#REF!</definedName>
    <definedName name="_B19000">#REF!</definedName>
    <definedName name="_B19999">#REF!</definedName>
    <definedName name="_B20000">#REF!</definedName>
    <definedName name="_BB1" hidden="1">{"'장비'!$A$3:$M$12"}</definedName>
    <definedName name="_bdm.E53B5701D2A811D6B63E0002B30481AA.edm" hidden="1">#REF!</definedName>
    <definedName name="_BDR1">#REF!</definedName>
    <definedName name="_BDR2">#REF!</definedName>
    <definedName name="_BIL1">#REF!</definedName>
    <definedName name="_BIL10">#REF!</definedName>
    <definedName name="_BIL11">#REF!</definedName>
    <definedName name="_BIL12">#REF!</definedName>
    <definedName name="_BIL2">#REF!</definedName>
    <definedName name="_BIL3">#REF!</definedName>
    <definedName name="_BIL4">#REF!</definedName>
    <definedName name="_BIL5">#REF!</definedName>
    <definedName name="_BIL6">#REF!</definedName>
    <definedName name="_BIL7">#REF!</definedName>
    <definedName name="_BIL8">#REF!</definedName>
    <definedName name="_BIL9">#REF!</definedName>
    <definedName name="_bob2">#REF!</definedName>
    <definedName name="_boq1">#REF!</definedName>
    <definedName name="_BP01" hidden="1">{#N/A,#N/A,FALSE,"TABLE"}</definedName>
    <definedName name="_Builtin13" hidden="1">#N/A</definedName>
    <definedName name="_Builtin155" hidden="1">#N/A</definedName>
    <definedName name="_C1" hidden="1">"Hotel area calculator 10.9.xlsx"</definedName>
    <definedName name="_cat12" hidden="1">{#N/A,#N/A,TRUE,"Front";#N/A,#N/A,TRUE,"Simple Letter";#N/A,#N/A,TRUE,"Inside";#N/A,#N/A,TRUE,"Contents";#N/A,#N/A,TRUE,"Basis";#N/A,#N/A,TRUE,"Inclusions";#N/A,#N/A,TRUE,"Exclusions";#N/A,#N/A,TRUE,"Areas";#N/A,#N/A,TRUE,"Summary";#N/A,#N/A,TRUE,"Detail"}</definedName>
    <definedName name="_ccc1" hidden="1">{#N/A,#N/A,FALSE,"SumD";#N/A,#N/A,FALSE,"ElecD";#N/A,#N/A,FALSE,"MechD";#N/A,#N/A,FALSE,"GeotD";#N/A,#N/A,FALSE,"PrcsD";#N/A,#N/A,FALSE,"TunnD";#N/A,#N/A,FALSE,"CivlD";#N/A,#N/A,FALSE,"NtwkD";#N/A,#N/A,FALSE,"EstgD";#N/A,#N/A,FALSE,"PEngD"}</definedName>
    <definedName name="_ccc2" hidden="1">{#N/A,#N/A,FALSE,"SumD";#N/A,#N/A,FALSE,"ElecD";#N/A,#N/A,FALSE,"MechD";#N/A,#N/A,FALSE,"GeotD";#N/A,#N/A,FALSE,"PrcsD";#N/A,#N/A,FALSE,"TunnD";#N/A,#N/A,FALSE,"CivlD";#N/A,#N/A,FALSE,"NtwkD";#N/A,#N/A,FALSE,"EstgD";#N/A,#N/A,FALSE,"PEngD"}</definedName>
    <definedName name="_ccr1" localSheetId="7" hidden="1">{#N/A,#N/A,TRUE,"Cover";#N/A,#N/A,TRUE,"Conts";#N/A,#N/A,TRUE,"VOS";#N/A,#N/A,TRUE,"Warrington";#N/A,#N/A,TRUE,"Widnes"}</definedName>
    <definedName name="_ccr1" localSheetId="0" hidden="1">{#N/A,#N/A,TRUE,"Cover";#N/A,#N/A,TRUE,"Conts";#N/A,#N/A,TRUE,"VOS";#N/A,#N/A,TRUE,"Warrington";#N/A,#N/A,TRUE,"Widnes"}</definedName>
    <definedName name="_ccr1" localSheetId="9"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1_1" hidden="1">{#N/A,#N/A,TRUE,"Cover";#N/A,#N/A,TRUE,"Conts";#N/A,#N/A,TRUE,"VOS";#N/A,#N/A,TRUE,"Warrington";#N/A,#N/A,TRUE,"Widnes"}</definedName>
    <definedName name="_ccr2" localSheetId="7" hidden="1">{#N/A,#N/A,TRUE,"Cover";#N/A,#N/A,TRUE,"Conts";#N/A,#N/A,TRUE,"VOS";#N/A,#N/A,TRUE,"Warrington";#N/A,#N/A,TRUE,"Widnes"}</definedName>
    <definedName name="_ccr2" localSheetId="0" hidden="1">{#N/A,#N/A,TRUE,"Cover";#N/A,#N/A,TRUE,"Conts";#N/A,#N/A,TRUE,"VOS";#N/A,#N/A,TRUE,"Warrington";#N/A,#N/A,TRUE,"Widnes"}</definedName>
    <definedName name="_ccr2" localSheetId="9"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cey" hidden="1">#REF!</definedName>
    <definedName name="_cf2" hidden="1">{#N/A,#N/A,FALSE,"Variables";#N/A,#N/A,FALSE,"NPV Cashflows NZ$";#N/A,#N/A,FALSE,"Cashflows NZ$"}</definedName>
    <definedName name="_com2" hidden="1">{"'Break down'!$A$4"}</definedName>
    <definedName name="_CON1">#REF!</definedName>
    <definedName name="_CON2">#REF!</definedName>
    <definedName name="_cort" hidden="1">#REF!</definedName>
    <definedName name="_CSM1">#REF!</definedName>
    <definedName name="_CSM10">#REF!</definedName>
    <definedName name="_CSM11">#REF!</definedName>
    <definedName name="_CSM12">#REF!</definedName>
    <definedName name="_CSM2">#REF!</definedName>
    <definedName name="_CSM3">#REF!</definedName>
    <definedName name="_CSM4">#REF!</definedName>
    <definedName name="_CSM5">#REF!</definedName>
    <definedName name="_CSM6">#REF!</definedName>
    <definedName name="_CSM7">#REF!</definedName>
    <definedName name="_CSM8">#REF!</definedName>
    <definedName name="_CSM9">#REF!</definedName>
    <definedName name="_d2">#REF!</definedName>
    <definedName name="_DAT2">#REF!</definedName>
    <definedName name="_dbs1">#REF!</definedName>
    <definedName name="_dbs11">#REF!</definedName>
    <definedName name="_dbs76">#REF!</definedName>
    <definedName name="_dep2">#REF!</definedName>
    <definedName name="_dep2_1">#N/A</definedName>
    <definedName name="_dep3">#REF!</definedName>
    <definedName name="_dep3_1">#N/A</definedName>
    <definedName name="_Dist_Bin" hidden="1">#REF!</definedName>
    <definedName name="_Dist_Values" localSheetId="7">#REF!</definedName>
    <definedName name="_Dist_Values" localSheetId="0" hidden="1">#REF!</definedName>
    <definedName name="_Dist_Values" localSheetId="9" hidden="1">#REF!</definedName>
    <definedName name="_Dist_Values" hidden="1">#REF!</definedName>
    <definedName name="_DWR001">#REF!</definedName>
    <definedName name="_DWR002">#REF!</definedName>
    <definedName name="_DWR003">#REF!</definedName>
    <definedName name="_DWR004">#REF!</definedName>
    <definedName name="_DWR005">#REF!</definedName>
    <definedName name="_dwr4">#REF!</definedName>
    <definedName name="_e20000">#REF!</definedName>
    <definedName name="_E7" hidden="1">{#N/A,#N/A,TRUE,"LOADCOVE";#N/A,#N/A,TRUE,"PAGE001";#N/A,#N/A,TRUE,"PAGE002";#N/A,#N/A,TRUE,"PAGE003";#N/A,#N/A,TRUE,"PAGE004";#N/A,#N/A,TRUE,"PAGE005";#N/A,#N/A,TRUE,"PAGE006";#N/A,#N/A,TRUE,"PAGE007";#N/A,#N/A,TRUE,"PAGE008";#N/A,#N/A,TRUE,"PAGE009";#N/A,#N/A,TRUE,"PAGE010";#N/A,#N/A,TRUE,"PAGE011";#N/A,#N/A,TRUE,"PAGE012";#N/A,#N/A,TRUE,"PAGE013"}</definedName>
    <definedName name="_e99991">#REF!</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e222" hidden="1">{#N/A,#N/A,TRUE,"Cover";#N/A,#N/A,TRUE,"Conts";#N/A,#N/A,TRUE,"VOS";#N/A,#N/A,TRUE,"Warrington";#N/A,#N/A,TRUE,"Widnes"}</definedName>
    <definedName name="_ELL45">#REF!</definedName>
    <definedName name="_ELL90">#REF!</definedName>
    <definedName name="_ert34" hidden="1">{#N/A,#N/A,TRUE,"Front";#N/A,#N/A,TRUE,"Simple Letter";#N/A,#N/A,TRUE,"Inside";#N/A,#N/A,TRUE,"Contents";#N/A,#N/A,TRUE,"Basis";#N/A,#N/A,TRUE,"Inclusions";#N/A,#N/A,TRUE,"Exclusions";#N/A,#N/A,TRUE,"Areas";#N/A,#N/A,TRUE,"Summary";#N/A,#N/A,TRUE,"Detail"}</definedName>
    <definedName name="_ETC01">#REF!</definedName>
    <definedName name="_ext2">#REF!</definedName>
    <definedName name="_ext2_1">#N/A</definedName>
    <definedName name="_ext21">#REF!</definedName>
    <definedName name="_ext3">#REF!</definedName>
    <definedName name="_ext3_1">#N/A</definedName>
    <definedName name="_F1">#REF!</definedName>
    <definedName name="_F3">#REF!</definedName>
    <definedName name="_fd2" hidden="1">{#N/A,#N/A,TRUE,"Cover Memo";"Complete Sys. Estimate",#N/A,TRUE,"Change Summary";"Complete Sys. Estimate",#N/A,TRUE,"Estimate Summary";"Complete Sys. Estimate",#N/A,TRUE,"Dept. Summary";"Complete Sys. Estimate",#N/A,TRUE,"DOW Detail"}</definedName>
    <definedName name="_FDN1">#REF!</definedName>
    <definedName name="_FDN2">#REF!</definedName>
    <definedName name="_FF3">#REF!</definedName>
    <definedName name="_ffy40">#REF!</definedName>
    <definedName name="_Fil" hidden="1">#REF!</definedName>
    <definedName name="_Fill" localSheetId="7" hidden="1">#REF!</definedName>
    <definedName name="_Fill" localSheetId="0" hidden="1">#REF!</definedName>
    <definedName name="_Fill" localSheetId="9" hidden="1">#REF!</definedName>
    <definedName name="_Fill" hidden="1">#REF!</definedName>
    <definedName name="_FILL2" hidden="1">#REF!</definedName>
    <definedName name="_xlnm._FilterDatabase" localSheetId="3" hidden="1">P.1!$D$1:$E$662</definedName>
    <definedName name="_xlnm._FilterDatabase" localSheetId="6" hidden="1">P.2!$E$1:$E$675</definedName>
    <definedName name="_xlnm._FilterDatabase" localSheetId="9" hidden="1">P.3!$H$1:$H$2143</definedName>
    <definedName name="_xlnm._FilterDatabase" hidden="1">#REF!</definedName>
    <definedName name="_FLL2" hidden="1">#REF!</definedName>
    <definedName name="_fos1">#REF!</definedName>
    <definedName name="_gc09" hidden="1">{#N/A,#N/A,TRUE,"arnitower";#N/A,#N/A,TRUE,"arnigarage "}</definedName>
    <definedName name="_gfa1">#REF!</definedName>
    <definedName name="_gfa2">#REF!</definedName>
    <definedName name="_GHH2">#REF!</definedName>
    <definedName name="_H151164">#REF!</definedName>
    <definedName name="_H3" hidden="1">{"'장비'!$A$3:$M$12"}</definedName>
    <definedName name="_H69639">#REF!</definedName>
    <definedName name="_H72695">#REF!</definedName>
    <definedName name="_H81164">#REF!</definedName>
    <definedName name="_Hew1">#REF!</definedName>
    <definedName name="_HHH1" hidden="1">{"'장비'!$A$3:$M$12"}</definedName>
    <definedName name="_HM11">#REF!</definedName>
    <definedName name="_HM13">#REF!</definedName>
    <definedName name="_HM14">#REF!</definedName>
    <definedName name="_HM15">#REF!</definedName>
    <definedName name="_HM16">#REF!</definedName>
    <definedName name="_HM17">#REF!</definedName>
    <definedName name="_HM18">#REF!</definedName>
    <definedName name="_HM19">#REF!</definedName>
    <definedName name="_HM20">#REF!</definedName>
    <definedName name="_HM21">#REF!</definedName>
    <definedName name="_HM22">#REF!</definedName>
    <definedName name="_HM23">#REF!</definedName>
    <definedName name="_HM24">#REF!</definedName>
    <definedName name="_HM25">#REF!</definedName>
    <definedName name="_HM26">#REF!</definedName>
    <definedName name="_HM27">#REF!</definedName>
    <definedName name="_HM28">#REF!</definedName>
    <definedName name="_HM29">#REF!</definedName>
    <definedName name="_HM30">#REF!</definedName>
    <definedName name="_HM31">#REF!</definedName>
    <definedName name="_HM32">#REF!</definedName>
    <definedName name="_HM33">#REF!</definedName>
    <definedName name="_HM34">#REF!</definedName>
    <definedName name="_HM35">#REF!</definedName>
    <definedName name="_HM36">#REF!</definedName>
    <definedName name="_HM37">#REF!</definedName>
    <definedName name="_HM38">#REF!</definedName>
    <definedName name="_HM39">#REF!</definedName>
    <definedName name="_HM40">#REF!</definedName>
    <definedName name="_HM41">#REF!</definedName>
    <definedName name="_HM42">#REF!</definedName>
    <definedName name="_HM43">#REF!</definedName>
    <definedName name="_HM44">#REF!</definedName>
    <definedName name="_HM45">#REF!</definedName>
    <definedName name="_HM46">#REF!</definedName>
    <definedName name="_HM47">#REF!</definedName>
    <definedName name="_HM48">#REF!</definedName>
    <definedName name="_HM49">#REF!</definedName>
    <definedName name="_HM50">#REF!</definedName>
    <definedName name="_HM51">#REF!</definedName>
    <definedName name="_HM52">#REF!</definedName>
    <definedName name="_HM53">#REF!</definedName>
    <definedName name="_HM54">#REF!</definedName>
    <definedName name="_HM55">#REF!</definedName>
    <definedName name="_HM56">#REF!</definedName>
    <definedName name="_HM57">#REF!</definedName>
    <definedName name="_HM58">#REF!</definedName>
    <definedName name="_HM59">#REF!</definedName>
    <definedName name="_HM60">#REF!</definedName>
    <definedName name="_HM61">#REF!</definedName>
    <definedName name="_HM62">#REF!</definedName>
    <definedName name="_HM63">#REF!</definedName>
    <definedName name="_HM64">#REF!</definedName>
    <definedName name="_HM65">#REF!</definedName>
    <definedName name="_HM66">#REF!</definedName>
    <definedName name="_HM67">#REF!</definedName>
    <definedName name="_HM68">#REF!</definedName>
    <definedName name="_hor1">#REF!</definedName>
    <definedName name="_Hos1">#REF!</definedName>
    <definedName name="_hp10" hidden="1">{#N/A,#N/A,TRUE,"Front";#N/A,#N/A,TRUE,"Simple Letter";#N/A,#N/A,TRUE,"Inside";#N/A,#N/A,TRUE,"Contents";#N/A,#N/A,TRUE,"Basis";#N/A,#N/A,TRUE,"Inclusions";#N/A,#N/A,TRUE,"Exclusions";#N/A,#N/A,TRUE,"Areas";#N/A,#N/A,TRUE,"Summary";#N/A,#N/A,TRUE,"Detail"}</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jay1">#REF!</definedName>
    <definedName name="_Key1" localSheetId="7">#REF!</definedName>
    <definedName name="_Key1" localSheetId="0" hidden="1">#REF!</definedName>
    <definedName name="_Key1" localSheetId="9" hidden="1">#REF!</definedName>
    <definedName name="_Key1" hidden="1">#REF!</definedName>
    <definedName name="_Key11" hidden="1">#REF!</definedName>
    <definedName name="_Key2" hidden="1">#REF!</definedName>
    <definedName name="_KEY3" hidden="1">#REF!</definedName>
    <definedName name="_key4" hidden="1">#REF!</definedName>
    <definedName name="_Kfill" hidden="1">#REF!</definedName>
    <definedName name="_kfkf" hidden="1">#REF!</definedName>
    <definedName name="_KHM1">#REF!</definedName>
    <definedName name="_KHM10">#REF!</definedName>
    <definedName name="_KHM2">#REF!</definedName>
    <definedName name="_KHM3">#REF!</definedName>
    <definedName name="_KHM4">#REF!</definedName>
    <definedName name="_KHM5">#REF!</definedName>
    <definedName name="_KHM6">#REF!</definedName>
    <definedName name="_KHM7">#REF!</definedName>
    <definedName name="_KHM8">#REF!</definedName>
    <definedName name="_KHM9">#REF!</definedName>
    <definedName name="_ki501">#REF!</definedName>
    <definedName name="_KJL0802" hidden="1">{#N/A,#N/A,FALSE,"SumD";#N/A,#N/A,FALSE,"ElecD";#N/A,#N/A,FALSE,"MechD";#N/A,#N/A,FALSE,"GeotD";#N/A,#N/A,FALSE,"PrcsD";#N/A,#N/A,FALSE,"TunnD";#N/A,#N/A,FALSE,"CivlD";#N/A,#N/A,FALSE,"NtwkD";#N/A,#N/A,FALSE,"EstgD";#N/A,#N/A,FALSE,"PEngD"}</definedName>
    <definedName name="_le3" hidden="1">{"'Break down'!$A$4"}</definedName>
    <definedName name="_len2">#REF!</definedName>
    <definedName name="_len2_1">#N/A</definedName>
    <definedName name="_len3">#REF!</definedName>
    <definedName name="_len3_1">#N/A</definedName>
    <definedName name="_LL3">#REF!</definedName>
    <definedName name="_LR">#REF!</definedName>
    <definedName name="_Lx1">#REF!</definedName>
    <definedName name="_Ly1">#REF!</definedName>
    <definedName name="_Lz1">#REF!</definedName>
    <definedName name="_Lz2">#REF!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ay1" hidden="1">{#N/A,#N/A,FALSE,"MARCH"}</definedName>
    <definedName name="_MCC3" hidden="1">{#N/A,#N/A,FALSE,"CCTV"}</definedName>
    <definedName name="_MCC3_1" hidden="1">{#N/A,#N/A,FALSE,"CCTV"}</definedName>
    <definedName name="_MCC3_2" hidden="1">{#N/A,#N/A,FALSE,"CCTV"}</definedName>
    <definedName name="_Mew1">#REF!</definedName>
    <definedName name="_Mey1">#REF!</definedName>
    <definedName name="_Mf1">#REF!</definedName>
    <definedName name="_Mf2">#REF!</definedName>
    <definedName name="_ML2">#REF!</definedName>
    <definedName name="_ML3">#REF!</definedName>
    <definedName name="_ML4">#REF!</definedName>
    <definedName name="_ML5">#REF!</definedName>
    <definedName name="_ML6">#REF!</definedName>
    <definedName name="_ML7">#REF!</definedName>
    <definedName name="_MM1" hidden="1">{"'장비'!$A$3:$M$12"}</definedName>
    <definedName name="_MOB1" hidden="1">{#N/A,#N/A,TRUE,"Basic";#N/A,#N/A,TRUE,"EXT-TABLE";#N/A,#N/A,TRUE,"STEEL";#N/A,#N/A,TRUE,"INT-Table";#N/A,#N/A,TRUE,"STEEL";#N/A,#N/A,TRUE,"Door"}</definedName>
    <definedName name="_MOB2" hidden="1">{#N/A,#N/A,TRUE,"Basic";#N/A,#N/A,TRUE,"EXT-TABLE";#N/A,#N/A,TRUE,"STEEL";#N/A,#N/A,TRUE,"INT-Table";#N/A,#N/A,TRUE,"STEEL";#N/A,#N/A,TRUE,"Door"}</definedName>
    <definedName name="_MOB3" hidden="1">{#N/A,#N/A,TRUE,"Basic";#N/A,#N/A,TRUE,"EXT-TABLE";#N/A,#N/A,TRUE,"STEEL";#N/A,#N/A,TRUE,"INT-Table";#N/A,#N/A,TRUE,"STEEL";#N/A,#N/A,TRUE,"Door"}</definedName>
    <definedName name="_Mos1">#REF!</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B2">#REF!</definedName>
    <definedName name="_NB3">#REF!</definedName>
    <definedName name="_NB4">#REF!</definedName>
    <definedName name="_NB5">#REF!</definedName>
    <definedName name="_NB6">#REF!</definedName>
    <definedName name="_NB7">#REF!</definedName>
    <definedName name="_ncr2" hidden="1">{#N/A,#N/A,FALSE,"현장 NCR 분석";#N/A,#N/A,FALSE,"현장품질감사";#N/A,#N/A,FALSE,"현장품질감사"}</definedName>
    <definedName name="_new10">#REF!</definedName>
    <definedName name="_new11">#REF!</definedName>
    <definedName name="_new12">#REF!</definedName>
    <definedName name="_new13">#REF!</definedName>
    <definedName name="_new14">#REF!</definedName>
    <definedName name="_new15">#REF!</definedName>
    <definedName name="_new16">#REF!</definedName>
    <definedName name="_new17">#REF!</definedName>
    <definedName name="_new2">#REF!</definedName>
    <definedName name="_new3">#REF!</definedName>
    <definedName name="_new4">#REF!</definedName>
    <definedName name="_new5">#REF!</definedName>
    <definedName name="_new6">#REF!</definedName>
    <definedName name="_new7">#REF!</definedName>
    <definedName name="_new8" hidden="1">#REF!</definedName>
    <definedName name="_new9">#REF!</definedName>
    <definedName name="_No1">#REF!</definedName>
    <definedName name="_No2">#REF!</definedName>
    <definedName name="_No3">#REF!</definedName>
    <definedName name="_NP1">#REF!</definedName>
    <definedName name="_NP2">#REF!</definedName>
    <definedName name="_nr83">#REF!</definedName>
    <definedName name="_NSH1">#REF!</definedName>
    <definedName name="_NSH2">#REF!</definedName>
    <definedName name="_old2">#REF!</definedName>
    <definedName name="_old3" hidden="1">{#N/A,#N/A,FALSE,"Summary";#N/A,#N/A,FALSE,"3TJ";#N/A,#N/A,FALSE,"3TN";#N/A,#N/A,FALSE,"3TP";#N/A,#N/A,FALSE,"3SJ";#N/A,#N/A,FALSE,"3CJ";#N/A,#N/A,FALSE,"3CN";#N/A,#N/A,FALSE,"3CP";#N/A,#N/A,FALSE,"3A"}</definedName>
    <definedName name="_old3_1" hidden="1">{#N/A,#N/A,FALSE,"Summary";#N/A,#N/A,FALSE,"3TJ";#N/A,#N/A,FALSE,"3TN";#N/A,#N/A,FALSE,"3TP";#N/A,#N/A,FALSE,"3SJ";#N/A,#N/A,FALSE,"3CJ";#N/A,#N/A,FALSE,"3CN";#N/A,#N/A,FALSE,"3CP";#N/A,#N/A,FALSE,"3A"}</definedName>
    <definedName name="_old4">#REF!</definedName>
    <definedName name="_old5" hidden="1">{#N/A,#N/A,FALSE,"Summary";#N/A,#N/A,FALSE,"3TJ";#N/A,#N/A,FALSE,"3TN";#N/A,#N/A,FALSE,"3TP";#N/A,#N/A,FALSE,"3SJ";#N/A,#N/A,FALSE,"3CJ";#N/A,#N/A,FALSE,"3CN";#N/A,#N/A,FALSE,"3CP";#N/A,#N/A,FALSE,"3A"}</definedName>
    <definedName name="_old5_1" hidden="1">{#N/A,#N/A,FALSE,"Summary";#N/A,#N/A,FALSE,"3TJ";#N/A,#N/A,FALSE,"3TN";#N/A,#N/A,FALSE,"3TP";#N/A,#N/A,FALSE,"3SJ";#N/A,#N/A,FALSE,"3CJ";#N/A,#N/A,FALSE,"3CN";#N/A,#N/A,FALSE,"3CP";#N/A,#N/A,FALSE,"3A"}</definedName>
    <definedName name="_old6">#REF!</definedName>
    <definedName name="_old7" hidden="1">{#N/A,#N/A,FALSE,"Summary";#N/A,#N/A,FALSE,"3TJ";#N/A,#N/A,FALSE,"3TN";#N/A,#N/A,FALSE,"3TP";#N/A,#N/A,FALSE,"3SJ";#N/A,#N/A,FALSE,"3CJ";#N/A,#N/A,FALSE,"3CN";#N/A,#N/A,FALSE,"3CP";#N/A,#N/A,FALSE,"3A"}</definedName>
    <definedName name="_old7_1"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ld88_1" hidden="1">{#N/A,#N/A,FALSE,"Summary";#N/A,#N/A,FALSE,"3TJ";#N/A,#N/A,FALSE,"3TN";#N/A,#N/A,FALSE,"3TP";#N/A,#N/A,FALSE,"3SJ";#N/A,#N/A,FALSE,"3CJ";#N/A,#N/A,FALSE,"3CN";#N/A,#N/A,FALSE,"3CP";#N/A,#N/A,FALSE,"3A"}</definedName>
    <definedName name="_Option3">#REF!</definedName>
    <definedName name="_Order1" hidden="1">255</definedName>
    <definedName name="_Order2" hidden="1">255</definedName>
    <definedName name="_ordr2" hidden="1">0</definedName>
    <definedName name="_ordwre2" hidden="1">0</definedName>
    <definedName name="_pa1">#REF!</definedName>
    <definedName name="_PA3" hidden="1">{"'Sheet1'!$L$16"}</definedName>
    <definedName name="_Parse_In" localSheetId="0" hidden="1">#REF!</definedName>
    <definedName name="_Parse_In" localSheetId="9" hidden="1">#REF!</definedName>
    <definedName name="_Parse_In" hidden="1">#REF!</definedName>
    <definedName name="_Parse_Out" hidden="1">#REF!</definedName>
    <definedName name="_pc1">#REF!</definedName>
    <definedName name="_pc1_1">#N/A</definedName>
    <definedName name="_pc2">#REF!</definedName>
    <definedName name="_pc2_1">#N/A</definedName>
    <definedName name="_pc3">#REF!</definedName>
    <definedName name="_pc3_1">#N/A</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ER2">#REF!</definedName>
    <definedName name="_PER3">#REF!</definedName>
    <definedName name="_PER4">#REF!</definedName>
    <definedName name="_PER5">#REF!</definedName>
    <definedName name="_PER6">#REF!</definedName>
    <definedName name="_PER7">#REF!</definedName>
    <definedName name="_pg1">#REF!</definedName>
    <definedName name="_pg2">#REF!</definedName>
    <definedName name="_pg3">#REF!</definedName>
    <definedName name="_pg4">#REF!</definedName>
    <definedName name="_pg5">#REF!</definedName>
    <definedName name="_ph1">#REF!</definedName>
    <definedName name="_pill" hidden="1">#REF!</definedName>
    <definedName name="_PK2" hidden="1">{"'장비'!$A$3:$M$12"}</definedName>
    <definedName name="_PK2_1" hidden="1">{"'장비'!$A$3:$M$12"}</definedName>
    <definedName name="_PK2_2" hidden="1">{"'장비'!$A$3:$M$12"}</definedName>
    <definedName name="_PKG3" hidden="1">{"'장비'!$A$3:$M$12"}</definedName>
    <definedName name="_PKG3_1" hidden="1">{"'장비'!$A$3:$M$12"}</definedName>
    <definedName name="_PKG3_2" hidden="1">{"'장비'!$A$3:$M$12"}</definedName>
    <definedName name="_pl1">#REF!</definedName>
    <definedName name="_PL2">#REF!</definedName>
    <definedName name="_PL3">#REF!</definedName>
    <definedName name="_pn1">#REF!</definedName>
    <definedName name="_pn2">#REF!</definedName>
    <definedName name="_pn3">#REF!</definedName>
    <definedName name="_pn4">#REF!</definedName>
    <definedName name="_pn5">#REF!</definedName>
    <definedName name="_PR1">#N/A</definedName>
    <definedName name="_PVC1">#REF!</definedName>
    <definedName name="_PVC2">#REF!</definedName>
    <definedName name="_QQ1" hidden="1">{#N/A,#N/A,FALSE,"단가표지"}</definedName>
    <definedName name="_qqq222" hidden="1">{"'장비'!$A$3:$M$12"}</definedName>
    <definedName name="_qqq222_1" hidden="1">{"'장비'!$A$3:$M$12"}</definedName>
    <definedName name="_qqq222_2" hidden="1">{"'장비'!$A$3:$M$12"}</definedName>
    <definedName name="_QTY1">#N/A</definedName>
    <definedName name="_qu1">#REF!</definedName>
    <definedName name="_qu2">#REF!</definedName>
    <definedName name="_QW1" hidden="1">{#N/A,#N/A,FALSE,"단가표지"}</definedName>
    <definedName name="_QZ2">#REF!</definedName>
    <definedName name="_R">#REF!</definedName>
    <definedName name="_RAB002" hidden="1">{#N/A,#N/A,TRUE,"Front";#N/A,#N/A,TRUE,"Simple Letter";#N/A,#N/A,TRUE,"Inside";#N/A,#N/A,TRUE,"Contents";#N/A,#N/A,TRUE,"Basis";#N/A,#N/A,TRUE,"Inclusions";#N/A,#N/A,TRUE,"Exclusions";#N/A,#N/A,TRUE,"Areas";#N/A,#N/A,TRUE,"Summary";#N/A,#N/A,TRUE,"Detail"}</definedName>
    <definedName name="_RB10">#REF!</definedName>
    <definedName name="_RB12">#REF!</definedName>
    <definedName name="_RB14">#REF!</definedName>
    <definedName name="_RB16">#REF!</definedName>
    <definedName name="_RB18">#REF!</definedName>
    <definedName name="_RB20">#REF!</definedName>
    <definedName name="_RB22">#REF!</definedName>
    <definedName name="_RB25">#REF!</definedName>
    <definedName name="_RB28">#REF!</definedName>
    <definedName name="_RB30">#REF!</definedName>
    <definedName name="_RB32">#REF!</definedName>
    <definedName name="_RB8">#REF!</definedName>
    <definedName name="_RBS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f2" hidden="1">#REF!</definedName>
    <definedName name="_REF34"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r1" hidden="1">{#N/A,#N/A,FALSE,"JACKETS (1100 t) (1)"}</definedName>
    <definedName name="_RSB10">#REF!</definedName>
    <definedName name="_RSB12">#REF!</definedName>
    <definedName name="_RSB14">#REF!</definedName>
    <definedName name="_RSB16">#REF!</definedName>
    <definedName name="_RSB18">#REF!</definedName>
    <definedName name="_RSB20">#REF!</definedName>
    <definedName name="_RSB22">#REF!</definedName>
    <definedName name="_RSB25">#REF!</definedName>
    <definedName name="_RSB28">#REF!</definedName>
    <definedName name="_RSB30">#REF!</definedName>
    <definedName name="_RSB32">#REF!</definedName>
    <definedName name="_RSB8">#REF!</definedName>
    <definedName name="_RTW1">#REF!</definedName>
    <definedName name="_RTW2">#REF!</definedName>
    <definedName name="_rw78" hidden="1">{#N/A,#N/A,TRUE,"COVER";#N/A,#N/A,TRUE,"DETAILS";#N/A,#N/A,TRUE,"SUMMARY";#N/A,#N/A,TRUE,"EXP MON";#N/A,#N/A,TRUE,"APPENDIX A";#N/A,#N/A,TRUE,"APPENDIX B";#N/A,#N/A,TRUE,"APPENDIX C";#N/A,#N/A,TRUE,"APPENDIX D";#N/A,#N/A,TRUE,"APPENDIX E";#N/A,#N/A,TRUE,"APPENDIX F";#N/A,#N/A,TRUE,"APPENDIX G"}</definedName>
    <definedName name="_s1">#REF!</definedName>
    <definedName name="_SBB1">#REF!</definedName>
    <definedName name="_SBB2">#REF!</definedName>
    <definedName name="_SBB3">#REF!</definedName>
    <definedName name="_SBB4">#REF!</definedName>
    <definedName name="_SBB5">#REF!</definedName>
    <definedName name="_SC1">#N/A</definedName>
    <definedName name="_scenchg_count" hidden="1">7</definedName>
    <definedName name="_scenchg1" hidden="1">#REF!</definedName>
    <definedName name="_scenchg2" hidden="1">#REF!</definedName>
    <definedName name="_scenchg3" hidden="1">#REF!</definedName>
    <definedName name="_scenchg4" hidden="1">#REF!</definedName>
    <definedName name="_scenchg5" hidden="1">#REF!</definedName>
    <definedName name="_scenchg6" hidden="1">#REF!</definedName>
    <definedName name="_scenchg7" hidden="1">#REF!</definedName>
    <definedName name="_SCH10">#REF!</definedName>
    <definedName name="_SCH40">#REF!</definedName>
    <definedName name="_SEC1200">#REF!</definedName>
    <definedName name="_set1">#REF!,#REF!,#REF!,#REF!,#REF!,#REF!,#REF!,#REF!,#REF!,#REF!,#REF!,#REF!,#REF!,#REF!,#REF!,#REF!,#REF!,#REF!</definedName>
    <definedName name="_SF1">#REF!</definedName>
    <definedName name="_sft2">#REF!</definedName>
    <definedName name="_sh01" hidden="1">{#N/A,#N/A,FALSE,"CCTV"}</definedName>
    <definedName name="_SH2">#REF!</definedName>
    <definedName name="_SH3">#REF!</definedName>
    <definedName name="_SH4">#REF!</definedName>
    <definedName name="_SH5">#REF!</definedName>
    <definedName name="_SH6">#REF!</definedName>
    <definedName name="_SH7">#REF!</definedName>
    <definedName name="_SHH1">#REF!</definedName>
    <definedName name="_SHH2">#REF!</definedName>
    <definedName name="_SHH3">#REF!</definedName>
    <definedName name="_SM2">#REF!</definedName>
    <definedName name="_SM3">#REF!</definedName>
    <definedName name="_SM4">#REF!</definedName>
    <definedName name="_SM5">#REF!</definedName>
    <definedName name="_SM6">#REF!</definedName>
    <definedName name="_SM7">#REF!</definedName>
    <definedName name="_SOC1">#REF!</definedName>
    <definedName name="_SOC2">#REF!</definedName>
    <definedName name="_Soilwall">#REF!</definedName>
    <definedName name="_Sort" localSheetId="7">#REF!</definedName>
    <definedName name="_Sort" localSheetId="0" hidden="1">#REF!</definedName>
    <definedName name="_Sort" localSheetId="9" hidden="1">#REF!</definedName>
    <definedName name="_Sort" hidden="1">#REF!</definedName>
    <definedName name="_SS1" hidden="1">{#N/A,#N/A,FALSE,"운반시간"}</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um1111" hidden="1">{#N/A,#N/A,TRUE,"Basic";#N/A,#N/A,TRUE,"EXT-TABLE";#N/A,#N/A,TRUE,"STEEL";#N/A,#N/A,TRUE,"INT-Table";#N/A,#N/A,TRUE,"STEEL";#N/A,#N/A,TRUE,"Door"}</definedName>
    <definedName name="_SV2">#REF!</definedName>
    <definedName name="_SV3">#REF!</definedName>
    <definedName name="_SV4">#REF!</definedName>
    <definedName name="_SV5">#REF!</definedName>
    <definedName name="_SV6">#REF!</definedName>
    <definedName name="_SV7">#REF!</definedName>
    <definedName name="_sw2">#REF!</definedName>
    <definedName name="_sw3">#REF!</definedName>
    <definedName name="_sw4">#REF!</definedName>
    <definedName name="_sw5">#REF!</definedName>
    <definedName name="_sw6">#REF!</definedName>
    <definedName name="_sw7">#REF!</definedName>
    <definedName name="_sw8">#REF!</definedName>
    <definedName name="_t1" hidden="1">#REF!</definedName>
    <definedName name="_t2" hidden="1">#REF!</definedName>
    <definedName name="_tab2">#REF!</definedName>
    <definedName name="_Table1_In1" hidden="1">#REF!</definedName>
    <definedName name="_Table1_Out" hidden="1">#REF!</definedName>
    <definedName name="_Table2_In1" hidden="1">#REF!</definedName>
    <definedName name="_Table2_Out" hidden="1">#REF!</definedName>
    <definedName name="_TableA" hidden="1">#REF!</definedName>
    <definedName name="_TAG1">#REF!</definedName>
    <definedName name="_tbc2">#REF!</definedName>
    <definedName name="_tbc2_1">#N/A</definedName>
    <definedName name="_tbc3">#REF!</definedName>
    <definedName name="_tbc3_1">#N/A</definedName>
    <definedName name="_tg1">#REF!</definedName>
    <definedName name="_tg3" hidden="1">{"LKD",#N/A,FALSE,"표지"}</definedName>
    <definedName name="_tg4" hidden="1">{"LKD",#N/A,FALSE,"표지"}</definedName>
    <definedName name="_TT1">#REF!</definedName>
    <definedName name="_TT2">#REF!</definedName>
    <definedName name="_TT3">#REF!</definedName>
    <definedName name="_U14">#REF!</definedName>
    <definedName name="_U60">#REF!</definedName>
    <definedName name="_ver1">#REF!</definedName>
    <definedName name="_ver3">#REF!</definedName>
    <definedName name="_Vew1">#REF!</definedName>
    <definedName name="_VOL2">#REF!</definedName>
    <definedName name="_VOL3">#REF!</definedName>
    <definedName name="_VOL4">#REF!</definedName>
    <definedName name="_VOL5">#REF!</definedName>
    <definedName name="_VOL6">#REF!</definedName>
    <definedName name="_VOL7">#REF!</definedName>
    <definedName name="_Vos1">#REF!</definedName>
    <definedName name="_VRF1">#REF!</definedName>
    <definedName name="_VRF10">#REF!</definedName>
    <definedName name="_VRF11">#REF!</definedName>
    <definedName name="_VRF12">#REF!</definedName>
    <definedName name="_VRF13">#REF!</definedName>
    <definedName name="_VRF14">#REF!</definedName>
    <definedName name="_VRF15">#REF!</definedName>
    <definedName name="_VRF16">#REF!</definedName>
    <definedName name="_VRF17">#REF!</definedName>
    <definedName name="_VRF18">#REF!</definedName>
    <definedName name="_VRF19">#REF!</definedName>
    <definedName name="_VRF2">#REF!</definedName>
    <definedName name="_VRF20">#REF!</definedName>
    <definedName name="_VRF21">#REF!</definedName>
    <definedName name="_VRF22">#REF!</definedName>
    <definedName name="_VRF23">#REF!</definedName>
    <definedName name="_VRF3">#REF!</definedName>
    <definedName name="_VRF4">#REF!</definedName>
    <definedName name="_VRF5">#REF!</definedName>
    <definedName name="_VRF6">#REF!</definedName>
    <definedName name="_VRF7">#REF!</definedName>
    <definedName name="_VRF8">#REF!</definedName>
    <definedName name="_VRF9">#REF!</definedName>
    <definedName name="_Vu1">#REF!</definedName>
    <definedName name="_W1" hidden="1">{"'장비'!$A$3:$M$12"}</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2">#REF!</definedName>
    <definedName name="_wid2_1">#N/A</definedName>
    <definedName name="_wid3">#REF!</definedName>
    <definedName name="_wid3_1">#N/A</definedName>
    <definedName name="_WJS1" hidden="1">{"'장비'!$A$3:$M$12"}</definedName>
    <definedName name="_WO3">#REF!</definedName>
    <definedName name="_Wo4">#REF!</definedName>
    <definedName name="_wo5">#REF!</definedName>
    <definedName name="_wo6">#REF!</definedName>
    <definedName name="_wo7">#REF!</definedName>
    <definedName name="_wo8">#REF!</definedName>
    <definedName name="_woogi" hidden="1">#REF!</definedName>
    <definedName name="_woogi2" hidden="1">#REF!</definedName>
    <definedName name="_woogi24" hidden="1">#REF!</definedName>
    <definedName name="_woogi3" hidden="1">#REF!</definedName>
    <definedName name="_Wp1">#REF!</definedName>
    <definedName name="_Wp2">#REF!</definedName>
    <definedName name="_wsb5">#REF!</definedName>
    <definedName name="_wt5" hidden="1">{#N/A,#N/A,FALSE,"토공2"}</definedName>
    <definedName name="_x1">#REF!</definedName>
    <definedName name="_x2">#REF!</definedName>
    <definedName name="_xc1" hidden="1">{#N/A,#N/A,FALSE,"SumD";#N/A,#N/A,FALSE,"ElecD";#N/A,#N/A,FALSE,"MechD";#N/A,#N/A,FALSE,"GeotD";#N/A,#N/A,FALSE,"PrcsD";#N/A,#N/A,FALSE,"TunnD";#N/A,#N/A,FALSE,"CivlD";#N/A,#N/A,FALSE,"NtwkD";#N/A,#N/A,FALSE,"EstgD";#N/A,#N/A,FALSE,"PEngD"}</definedName>
    <definedName name="_xlcn.WorksheetConnection_Qiddiya_Funding_Model_v0_105.xlsmPR_ND_FCF_ATV1" hidden="1">#REF!</definedName>
    <definedName name="_xlcn.WorksheetConnection_Qiddiya_Funding_Model_v0_105.xlsmTable21" hidden="1">#REF!</definedName>
    <definedName name="_xlcn.WorksheetConnection_Qiddiya_Funding_Model_v0_107.xlsmGeneralData1" hidden="1">#REF!</definedName>
    <definedName name="_xlcn.WorksheetConnection_Qiddiya_Funding_Model_v0_107.xlsmPreVsPR1" hidden="1">PreVsPR</definedName>
    <definedName name="_xlcn.WorksheetConnection_Qiddiya_Funding_Model_v0_117.xlsmRevenues1" hidden="1">#REF!</definedName>
    <definedName name="_xlcn.WorksheetConnection_Qiddiya_Funding_Model_v0_117.xlsmTotal_CAPEX1" hidden="1">#REF!</definedName>
    <definedName name="_yy5" hidden="1">{#N/A,#N/A,TRUE,"Front";#N/A,#N/A,TRUE,"Simple Letter";#N/A,#N/A,TRUE,"Inside";#N/A,#N/A,TRUE,"Contents";#N/A,#N/A,TRUE,"Basis";#N/A,#N/A,TRUE,"Inclusions";#N/A,#N/A,TRUE,"Exclusions";#N/A,#N/A,TRUE,"Areas";#N/A,#N/A,TRUE,"Summary";#N/A,#N/A,TRUE,"Detail"}</definedName>
    <definedName name="_z1" hidden="1">{#N/A,#N/A,TRUE,"Cover Memo";"Complete Sys. Estimate",#N/A,TRUE,"Change Summary";"Complete Sys. Estimate",#N/A,TRUE,"Estimate Summary";"Complete Sys. Estimate",#N/A,TRUE,"Dept. Summary";"Complete Sys. Estimate",#N/A,TRUE,"DOW Detail"}</definedName>
    <definedName name="_zz1" hidden="1">{#N/A,#N/A,FALSE,"JACKETS (1100 t) (1)"}</definedName>
    <definedName name="_재ㅐ햐" hidden="1">#REF!</definedName>
    <definedName name="´cAE°eE¹" hidden="1">#REF!</definedName>
    <definedName name="￠￥cAE¡ÆeEⓒo" hidden="1">#REF!</definedName>
    <definedName name="a" localSheetId="7">#REF!</definedName>
    <definedName name="a" localSheetId="3">#REF!</definedName>
    <definedName name="a" localSheetId="6">#REF!</definedName>
    <definedName name="a" localSheetId="9">#REF!</definedName>
    <definedName name="a" localSheetId="2">#REF!</definedName>
    <definedName name="a" localSheetId="5">#REF!</definedName>
    <definedName name="a" localSheetId="8">#REF!</definedName>
    <definedName name="a">#REF!</definedName>
    <definedName name="A.01">#REF!</definedName>
    <definedName name="A.02">#REF!</definedName>
    <definedName name="A.03">#REF!</definedName>
    <definedName name="A.04">#REF!</definedName>
    <definedName name="A.05">#REF!</definedName>
    <definedName name="A.06">#REF!</definedName>
    <definedName name="A.07">#REF!</definedName>
    <definedName name="A.08">#REF!</definedName>
    <definedName name="A.09">#REF!</definedName>
    <definedName name="A.11a">#REF!</definedName>
    <definedName name="A.11b">#REF!</definedName>
    <definedName name="A.12">#REF!</definedName>
    <definedName name="A.13">#REF!</definedName>
    <definedName name="A.14">#REF!</definedName>
    <definedName name="A.15">#REF!</definedName>
    <definedName name="A.16">#REF!</definedName>
    <definedName name="A.17">#REF!</definedName>
    <definedName name="A.18">#REF!</definedName>
    <definedName name="A.20">#REF!</definedName>
    <definedName name="A.21">#REF!</definedName>
    <definedName name="A.22">#REF!</definedName>
    <definedName name="A.23">#REF!</definedName>
    <definedName name="A.30">#REF!</definedName>
    <definedName name="a\FGg" hidden="1">{#N/A,#N/A,TRUE,"Cover";#N/A,#N/A,TRUE,"Conts";#N/A,#N/A,TRUE,"VOS";#N/A,#N/A,TRUE,"Warrington";#N/A,#N/A,TRUE,"Widnes"}</definedName>
    <definedName name="a\FGg_1" hidden="1">{#N/A,#N/A,TRUE,"Cover";#N/A,#N/A,TRUE,"Conts";#N/A,#N/A,TRUE,"VOS";#N/A,#N/A,TRUE,"Warrington";#N/A,#N/A,TRUE,"Widnes"}</definedName>
    <definedName name="a\sdasdf" localSheetId="7" hidden="1">{#N/A,#N/A,TRUE,"Cover";#N/A,#N/A,TRUE,"Conts";#N/A,#N/A,TRUE,"VOS";#N/A,#N/A,TRUE,"Warrington";#N/A,#N/A,TRUE,"Widnes"}</definedName>
    <definedName name="a\sdasdf" localSheetId="0" hidden="1">{#N/A,#N/A,TRUE,"Cover";#N/A,#N/A,TRUE,"Conts";#N/A,#N/A,TRUE,"VOS";#N/A,#N/A,TRUE,"Warrington";#N/A,#N/A,TRUE,"Widnes"}</definedName>
    <definedName name="a\sdasdf" localSheetId="9"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_EQUIP">#REF!</definedName>
    <definedName name="A_LABOR">#REF!</definedName>
    <definedName name="A_LEO">#REF!</definedName>
    <definedName name="A_MATL">#REF!</definedName>
    <definedName name="A_MH">#REF!</definedName>
    <definedName name="A_OTHER">#REF!</definedName>
    <definedName name="A_Prelims">#REF!</definedName>
    <definedName name="A_REV_TOTAL">#REF!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C1" hidden="1">#REF!</definedName>
    <definedName name="AA">#REF!</definedName>
    <definedName name="AA.Report.Files" hidden="1">#REF!</definedName>
    <definedName name="AA.Reports.Available" hidden="1">#REF!</definedName>
    <definedName name="AAA" localSheetId="7">#REF!</definedName>
    <definedName name="AAA" localSheetId="0" hidden="1">#REF!</definedName>
    <definedName name="AAA" localSheetId="9" hidden="1">#REF!</definedName>
    <definedName name="AAA" hidden="1">#REF!</definedName>
    <definedName name="AAA_DOCTOPS" hidden="1">"AAA_SET"</definedName>
    <definedName name="AAA_duser" hidden="1">"OFF"</definedName>
    <definedName name="aaaa">#REF!</definedName>
    <definedName name="aaaa_1" hidden="1">{#N/A,#N/A,FALSE,"CCTV"}</definedName>
    <definedName name="aaaa_2" hidden="1">{#N/A,#N/A,FALSE,"CCTV"}</definedName>
    <definedName name="aaaa1" hidden="1">{#N/A,#N/A,TRUE,"Basic";#N/A,#N/A,TRUE,"EXT-TABLE";#N/A,#N/A,TRUE,"STEEL";#N/A,#N/A,TRUE,"INT-Table";#N/A,#N/A,TRUE,"STEEL";#N/A,#N/A,TRUE,"Door"}</definedName>
    <definedName name="aaaa11" hidden="1">{#N/A,#N/A,TRUE,"Basic";#N/A,#N/A,TRUE,"EXT-TABLE";#N/A,#N/A,TRUE,"STEEL";#N/A,#N/A,TRUE,"INT-Table";#N/A,#N/A,TRUE,"STEEL";#N/A,#N/A,TRUE,"Door"}</definedName>
    <definedName name="aaaaa" hidden="1">{#N/A,#N/A,FALSE,"Tabelle2";#N/A,#N/A,FALSE,"Tabelle1"}</definedName>
    <definedName name="aaaaa_1" hidden="1">{#N/A,#N/A,TRUE,"Basic";#N/A,#N/A,TRUE,"EXT-TABLE";#N/A,#N/A,TRUE,"STEEL";#N/A,#N/A,TRUE,"INT-Table";#N/A,#N/A,TRUE,"STEEL";#N/A,#N/A,TRUE,"Door"}</definedName>
    <definedName name="aaaaa_2" hidden="1">{#N/A,#N/A,TRUE,"Basic";#N/A,#N/A,TRUE,"EXT-TABLE";#N/A,#N/A,TRUE,"STEEL";#N/A,#N/A,TRUE,"INT-Table";#N/A,#N/A,TRUE,"STEEL";#N/A,#N/A,TRUE,"Door"}</definedName>
    <definedName name="AAAAA1" hidden="1">{#N/A,#N/A,TRUE,"Basic";#N/A,#N/A,TRUE,"EXT-TABLE";#N/A,#N/A,TRUE,"STEEL";#N/A,#N/A,TRUE,"INT-Table";#N/A,#N/A,TRUE,"STEEL";#N/A,#N/A,TRUE,"Door"}</definedName>
    <definedName name="aaaaaa" hidden="1">{#N/A,#N/A,FALSE,"표지목차"}</definedName>
    <definedName name="aaaaaaa">{#N/A,#N/A,FALSE,"type1";#N/A,#N/A,FALSE,"지지력";#N/A,#N/A,FALSE,"PILE계산";#N/A,#N/A,FALSE,"PILE ";#N/A,#N/A,FALSE,"철근량";#N/A,#N/A,FALSE,"균열검토";#N/A,#N/A,FALSE,"날개벽";#N/A,#N/A,FALSE,"주철근조립도";#N/A,#N/A,FALSE,"교좌"}</definedName>
    <definedName name="aaaaaaa_1" hidden="1">{#N/A,#N/A,FALSE,"type1";#N/A,#N/A,FALSE,"지지력";#N/A,#N/A,FALSE,"PILE계산";#N/A,#N/A,FALSE,"PILE ";#N/A,#N/A,FALSE,"철근량";#N/A,#N/A,FALSE,"균열검토";#N/A,#N/A,FALSE,"날개벽";#N/A,#N/A,FALSE,"주철근조립도";#N/A,#N/A,FALSE,"교좌"}</definedName>
    <definedName name="aaaaaaa_2" hidden="1">{#N/A,#N/A,FALSE,"type1";#N/A,#N/A,FALSE,"지지력";#N/A,#N/A,FALSE,"PILE계산";#N/A,#N/A,FALSE,"PILE ";#N/A,#N/A,FALSE,"철근량";#N/A,#N/A,FALSE,"균열검토";#N/A,#N/A,FALSE,"날개벽";#N/A,#N/A,FALSE,"주철근조립도";#N/A,#N/A,FALSE,"교좌"}</definedName>
    <definedName name="aaaaaaaa" localSheetId="7" hidden="1">{#N/A,#N/A,TRUE,"Cover";#N/A,#N/A,TRUE,"Conts";#N/A,#N/A,TRUE,"VOS";#N/A,#N/A,TRUE,"Warrington";#N/A,#N/A,TRUE,"Widnes"}</definedName>
    <definedName name="aaaaaaaa" localSheetId="0" hidden="1">{#N/A,#N/A,TRUE,"Cover";#N/A,#N/A,TRUE,"Conts";#N/A,#N/A,TRUE,"VOS";#N/A,#N/A,TRUE,"Warrington";#N/A,#N/A,TRUE,"Widnes"}</definedName>
    <definedName name="aaaaaaaa" localSheetId="9"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AAAAAAA_1" hidden="1">{#N/A,#N/A,FALSE,"CCTV"}</definedName>
    <definedName name="AAAAAAAA_2" hidden="1">{#N/A,#N/A,FALSE,"CCTV"}</definedName>
    <definedName name="aaaaaaaaa" hidden="1">{#N/A,#N/A,FALSE,"SumD";#N/A,#N/A,FALSE,"ElecD";#N/A,#N/A,FALSE,"MechD";#N/A,#N/A,FALSE,"GeotD";#N/A,#N/A,FALSE,"PrcsD";#N/A,#N/A,FALSE,"TunnD";#N/A,#N/A,FALSE,"CivlD";#N/A,#N/A,FALSE,"NtwkD";#N/A,#N/A,FALSE,"EstgD";#N/A,#N/A,FALSE,"PEngD"}</definedName>
    <definedName name="aaaaaaaaaa" hidden="1">{#N/A,#N/A,FALSE,"운반시간"}</definedName>
    <definedName name="aaaaaaaaaaa" hidden="1">{#N/A,#N/A,FALSE,"SITE NUMBERS 1995"}</definedName>
    <definedName name="aaaaaaaaaaaa">#REF!</definedName>
    <definedName name="aaaaaaaaaaaaa" hidden="1">{#N/A,#N/A,FALSE,"SUSTAINING"}</definedName>
    <definedName name="aaaaaaaaaaaaaa" hidden="1">{#N/A,#N/A,FALSE,"ORGANISATION"}</definedName>
    <definedName name="aaaaaaaaaaaaaaa" hidden="1">{#N/A,#N/A,TRUE,"Cover";#N/A,#N/A,TRUE,"Conts";#N/A,#N/A,TRUE,"VOS";#N/A,#N/A,TRUE,"Warrington";#N/A,#N/A,TRUE,"Widnes"}</definedName>
    <definedName name="aaaaaaaaaaaaaaaa">#REF!</definedName>
    <definedName name="AAAAAAAAAAAAAAAAA" hidden="1">{#N/A,#N/A,FALSE,"배수2"}</definedName>
    <definedName name="AAAAAAAAAAAAAAAAA_1" hidden="1">{#N/A,#N/A,FALSE,"배수2"}</definedName>
    <definedName name="AAAAAAAAAAAAAAAAA_2" hidden="1">{#N/A,#N/A,FALSE,"배수2"}</definedName>
    <definedName name="aaaaaaaaaaaaaaaaaaa">#REF!</definedName>
    <definedName name="aaaaaaaaaaaaaaaaaaaaa">#REF!</definedName>
    <definedName name="aaaaaaaaaaaaaaaaaaaaaa">#REF!</definedName>
    <definedName name="aaaaaaaaaaaaaaaaaaaaaaaa" hidden="1">{"'Sheet1'!$L$16"}</definedName>
    <definedName name="aaaaaaaaaaaaaaaaaaaaaaaaa">#REF!</definedName>
    <definedName name="aaaaaaaaaaaaaaaaaaaaaaaaaaaaa">#REF!</definedName>
    <definedName name="aaaaaaaaaaaaaaaaaaaaaaaaaaaaaa">#REF!</definedName>
    <definedName name="aaaaaaaaaaaaaaaaaaaaaaaaaaaaaaaaaaaaaa">#REF!</definedName>
    <definedName name="aaaa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fff" hidden="1">{"'장비'!$A$3:$M$12"}</definedName>
    <definedName name="aaafff_1" hidden="1">{"'장비'!$A$3:$M$12"}</definedName>
    <definedName name="aaafff_2" hidden="1">{"'장비'!$A$3:$M$12"}</definedName>
    <definedName name="AAB_Addin5" hidden="1">"AAB_Description for addin 5,Description for addin 5,Description for addin 5,Description for addin 5,Description for addin 5,Description for addin 5"</definedName>
    <definedName name="Aapp">#REF!</definedName>
    <definedName name="Aapp_1">#N/A</definedName>
    <definedName name="aasas"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as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s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ws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#REF!</definedName>
    <definedName name="ab_1" hidden="1">{#N/A,#N/A,FALSE,"SumD";#N/A,#N/A,FALSE,"ElecD";#N/A,#N/A,FALSE,"MechD";#N/A,#N/A,FALSE,"GeotD";#N/A,#N/A,FALSE,"PrcsD";#N/A,#N/A,FALSE,"TunnD";#N/A,#N/A,FALSE,"CivlD";#N/A,#N/A,FALSE,"NtwkD";#N/A,#N/A,FALSE,"EstgD";#N/A,#N/A,FALSE,"PEngD"}</definedName>
    <definedName name="ABAB" hidden="1">{#N/A,#N/A,FALSE,"CCTV"}</definedName>
    <definedName name="abc">#REF!</definedName>
    <definedName name="abc_1" hidden="1">{#N/A,#N/A,TRUE,"Basic";#N/A,#N/A,TRUE,"EXT-TABLE";#N/A,#N/A,TRUE,"STEEL";#N/A,#N/A,TRUE,"INT-Table";#N/A,#N/A,TRUE,"STEEL";#N/A,#N/A,TRUE,"Door"}</definedName>
    <definedName name="abc_2" hidden="1">{#N/A,#N/A,FALSE,"CCTV"}</definedName>
    <definedName name="abcd" hidden="1">{#N/A,#N/A,FALSE,"CCTV"}</definedName>
    <definedName name="abcd_1" hidden="1">{#N/A,#N/A,FALSE,"CCTV"}</definedName>
    <definedName name="abcd_2" hidden="1">{#N/A,#N/A,FALSE,"CCTV"}</definedName>
    <definedName name="ABCDE" hidden="1">{#N/A,#N/A,FALSE,"Sheet1"}</definedName>
    <definedName name="abcdef" hidden="1">{"'Break down'!$A$4"}</definedName>
    <definedName name="abcs" hidden="1">{"'Break down'!$A$4"}</definedName>
    <definedName name="abel" hidden="1">#REF!</definedName>
    <definedName name="abn" hidden="1">{#N/A,#N/A,FALSE,"CCTV"}</definedName>
    <definedName name="abr" hidden="1">{#N/A,#N/A,TRUE,"Basic";#N/A,#N/A,TRUE,"EXT-TABLE";#N/A,#N/A,TRUE,"STEEL";#N/A,#N/A,TRUE,"INT-Table";#N/A,#N/A,TRUE,"STEEL";#N/A,#N/A,TRUE,"Door"}</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tarea">#REF!</definedName>
    <definedName name="abtarea_1">#N/A</definedName>
    <definedName name="abtends">#REF!</definedName>
    <definedName name="abtends_1">#N/A</definedName>
    <definedName name="abtpi">#REF!</definedName>
    <definedName name="abtpi_1">#N/A</definedName>
    <definedName name="abtpiledia">#REF!</definedName>
    <definedName name="abtpiledia_1">#N/A</definedName>
    <definedName name="abutpiles">#REF!</definedName>
    <definedName name="abutpiles_1">#N/A</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hidden="1">{#N/A,#N/A,FALSE,"SumD";#N/A,#N/A,FALSE,"ElecD";#N/A,#N/A,FALSE,"MechD";#N/A,#N/A,FALSE,"GeotD";#N/A,#N/A,FALSE,"PrcsD";#N/A,#N/A,FALSE,"TunnD";#N/A,#N/A,FALSE,"CivlD";#N/A,#N/A,FALSE,"NtwkD";#N/A,#N/A,FALSE,"EstgD";#N/A,#N/A,FALSE,"PEngD"}</definedName>
    <definedName name="ac_1" hidden="1">{#N/A,#N/A,FALSE,"SumD";#N/A,#N/A,FALSE,"ElecD";#N/A,#N/A,FALSE,"MechD";#N/A,#N/A,FALSE,"GeotD";#N/A,#N/A,FALSE,"PrcsD";#N/A,#N/A,FALSE,"TunnD";#N/A,#N/A,FALSE,"CivlD";#N/A,#N/A,FALSE,"NtwkD";#N/A,#N/A,FALSE,"EstgD";#N/A,#N/A,FALSE,"PEngD"}</definedName>
    <definedName name="AC_M32">#REF!</definedName>
    <definedName name="AC_M33">#REF!</definedName>
    <definedName name="AC_M34">#REF!</definedName>
    <definedName name="AC_M35">#REF!</definedName>
    <definedName name="AC_M36">#REF!</definedName>
    <definedName name="AC_M37">#REF!</definedName>
    <definedName name="Acap">#REF!</definedName>
    <definedName name="Acap_1">#N/A</definedName>
    <definedName name="ACB" hidden="1">{#N/A,#N/A,FALSE,"Sheet1"}</definedName>
    <definedName name="ACC" localSheetId="7" hidden="1">{#N/A,#N/A,TRUE,"Cover";#N/A,#N/A,TRUE,"Conts";#N/A,#N/A,TRUE,"VOS";#N/A,#N/A,TRUE,"Warrington";#N/A,#N/A,TRUE,"Widnes"}</definedName>
    <definedName name="ACC" localSheetId="0" hidden="1">{#N/A,#N/A,TRUE,"Cover";#N/A,#N/A,TRUE,"Conts";#N/A,#N/A,TRUE,"VOS";#N/A,#N/A,TRUE,"Warrington";#N/A,#N/A,TRUE,"Widnes"}</definedName>
    <definedName name="ACC" localSheetId="9"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c" hidden="1">{"'Break down'!$A$4"}</definedName>
    <definedName name="Access_Button" hidden="1">"PJTFINAL_F02F11_List"</definedName>
    <definedName name="AccessCode" hidden="1">""""</definedName>
    <definedName name="AccessDatabase" hidden="1">"G:\EXCEL\PETTER\VAKANS\1996\VAK9609\VAK9609.mdb"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mation" hidden="1">#REF!</definedName>
    <definedName name="account">#REF!</definedName>
    <definedName name="ACD" hidden="1">{#N/A,#N/A,FALSE,"CCTV"}</definedName>
    <definedName name="ACH" hidden="1">{#N/A,#N/A,FALSE,"Sheet1"}</definedName>
    <definedName name="ACIER2">#REF!</definedName>
    <definedName name="ACIER3">#REF!</definedName>
    <definedName name="ACIER4">#REF!</definedName>
    <definedName name="ACIER5">#REF!</definedName>
    <definedName name="ACIER6">#REF!</definedName>
    <definedName name="ACIER7">#REF!</definedName>
    <definedName name="acs" hidden="1">{#N/A,#N/A,FALSE,"CCTV"}</definedName>
    <definedName name="ACT">#REF!</definedName>
    <definedName name="actcum1">OFFSET(#REF!,0,0,COUNTA(#REF!),1)</definedName>
    <definedName name="ACTIVITY_5">#REF!</definedName>
    <definedName name="ACTIVITY_6">#REF!</definedName>
    <definedName name="actmonth1">OFFSET(#REF!,0,0,COUNTA(#REF!),1)</definedName>
    <definedName name="acu" hidden="1">#REF!</definedName>
    <definedName name="ACwvu.DETT.._.COSTI." hidden="1">#REF!</definedName>
    <definedName name="ACwvu.RIEPIL.." hidden="1">#REF!</definedName>
    <definedName name="AD">#REF!</definedName>
    <definedName name="ADAD" hidden="1">{#N/A,#N/A,TRUE,"Basic";#N/A,#N/A,TRUE,"EXT-TABLE";#N/A,#N/A,TRUE,"STEEL";#N/A,#N/A,TRUE,"INT-Table";#N/A,#N/A,TRUE,"STEEL";#N/A,#N/A,TRUE,"Door"}</definedName>
    <definedName name="adadad" hidden="1">{#N/A,#N/A,TRUE,"Cover";#N/A,#N/A,TRUE,"Conts";#N/A,#N/A,TRUE,"VOS";#N/A,#N/A,TRUE,"Warrington";#N/A,#N/A,TRUE,"Widnes"}</definedName>
    <definedName name="adadad_1" hidden="1">{#N/A,#N/A,TRUE,"Cover";#N/A,#N/A,TRUE,"Conts";#N/A,#N/A,TRUE,"VOS";#N/A,#N/A,TRUE,"Warrington";#N/A,#N/A,TRUE,"Widnes"}</definedName>
    <definedName name="adag" hidden="1">#REF!</definedName>
    <definedName name="adaptation" hidden="1">{#N/A,#N/A,FALSE,"CCTV"}</definedName>
    <definedName name="ADC" hidden="1">#REF!</definedName>
    <definedName name="ADD">#REF!</definedName>
    <definedName name="add_BOQ" hidden="1">{#N/A,#N/A,TRUE,"Front";#N/A,#N/A,TRUE,"Simple Letter";#N/A,#N/A,TRUE,"Inside";#N/A,#N/A,TRUE,"Contents";#N/A,#N/A,TRUE,"Basis";#N/A,#N/A,TRUE,"Inclusions";#N/A,#N/A,TRUE,"Exclusions";#N/A,#N/A,TRUE,"Areas";#N/A,#N/A,TRUE,"Summary";#N/A,#N/A,TRUE,"Detail"}</definedName>
    <definedName name="addad" hidden="1">{#N/A,#N/A,TRUE,"Cover";#N/A,#N/A,TRUE,"Conts";#N/A,#N/A,TRUE,"VOS";#N/A,#N/A,TRUE,"Warrington";#N/A,#N/A,TRUE,"Widnes"}</definedName>
    <definedName name="addad_1" hidden="1">{#N/A,#N/A,TRUE,"Cover";#N/A,#N/A,TRUE,"Conts";#N/A,#N/A,TRUE,"VOS";#N/A,#N/A,TRUE,"Warrington";#N/A,#N/A,TRUE,"Widnes"}</definedName>
    <definedName name="addbeam">#REF!</definedName>
    <definedName name="addbeam_1">#N/A</definedName>
    <definedName name="Address">#REF!</definedName>
    <definedName name="adf" hidden="1">{"'Break down'!$A$4"}</definedName>
    <definedName name="adfasdf" hidden="1">#REF!</definedName>
    <definedName name="adfg" hidden="1">{"'Break down'!$A$4"}</definedName>
    <definedName name="adfsd" hidden="1">#REF!</definedName>
    <definedName name="ADITION" hidden="1">{"'장비'!$A$3:$M$12"}</definedName>
    <definedName name="ADITION_1" hidden="1">{"'장비'!$A$3:$M$12"}</definedName>
    <definedName name="ADITION_2" hidden="1">{"'장비'!$A$3:$M$12"}</definedName>
    <definedName name="aditya" hidden="1">{#N/A,#N/A,TRUE,"Front";#N/A,#N/A,TRUE,"Simple Letter";#N/A,#N/A,TRUE,"Inside";#N/A,#N/A,TRUE,"Contents";#N/A,#N/A,TRUE,"Basis";#N/A,#N/A,TRUE,"Inclusions";#N/A,#N/A,TRUE,"Exclusions";#N/A,#N/A,TRUE,"Areas";#N/A,#N/A,TRUE,"Summary";#N/A,#N/A,TRUE,"Detail"}</definedName>
    <definedName name="ADJ">#REF!</definedName>
    <definedName name="adjustment">#REF!</definedName>
    <definedName name="Adjustmentarchitectural">#REF!</definedName>
    <definedName name="Adjustmentexternal">#REF!</definedName>
    <definedName name="Adjustmentlift">#REF!</definedName>
    <definedName name="Adjustmentpiles">#REF!</definedName>
    <definedName name="Adjustmentstructural">#REF!</definedName>
    <definedName name="Adjustmenttravellingcrane">#REF!</definedName>
    <definedName name="Adminexp" hidden="1">{#N/A,#N/A,TRUE,"Front";#N/A,#N/A,TRUE,"Simple Letter";#N/A,#N/A,TRUE,"Inside";#N/A,#N/A,TRUE,"Contents";#N/A,#N/A,TRUE,"Basis";#N/A,#N/A,TRUE,"Inclusions";#N/A,#N/A,TRUE,"Exclusions";#N/A,#N/A,TRUE,"Areas";#N/A,#N/A,TRUE,"Summary";#N/A,#N/A,TRUE,"Detail"}</definedName>
    <definedName name="adpvol">#REF!</definedName>
    <definedName name="adpvol_1">#N/A</definedName>
    <definedName name="adsfd" hidden="1">{"'장비'!$A$3:$M$12"}</definedName>
    <definedName name="AEFWTWRWE" hidden="1">{#N/A,#N/A,FALSE,"배수1"}</definedName>
    <definedName name="AEFWTWRWE_1" hidden="1">{#N/A,#N/A,FALSE,"배수1"}</definedName>
    <definedName name="AEFWTWRWE_2" hidden="1">{#N/A,#N/A,FALSE,"배수1"}</definedName>
    <definedName name="aegrgas" localSheetId="7" hidden="1">{#N/A,#N/A,TRUE,"Cover";#N/A,#N/A,TRUE,"Conts";#N/A,#N/A,TRUE,"VOS";#N/A,#N/A,TRUE,"Warrington";#N/A,#N/A,TRUE,"Widnes"}</definedName>
    <definedName name="aegrgas" localSheetId="0" hidden="1">{#N/A,#N/A,TRUE,"Cover";#N/A,#N/A,TRUE,"Conts";#N/A,#N/A,TRUE,"VOS";#N/A,#N/A,TRUE,"Warrington";#N/A,#N/A,TRUE,"Widnes"}</definedName>
    <definedName name="aegrgas" localSheetId="9"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7" hidden="1">{#N/A,#N/A,TRUE,"Cover";#N/A,#N/A,TRUE,"Conts";#N/A,#N/A,TRUE,"VOS";#N/A,#N/A,TRUE,"Warrington";#N/A,#N/A,TRUE,"Widnes"}</definedName>
    <definedName name="AERAFG" localSheetId="0" hidden="1">{#N/A,#N/A,TRUE,"Cover";#N/A,#N/A,TRUE,"Conts";#N/A,#N/A,TRUE,"VOS";#N/A,#N/A,TRUE,"Warrington";#N/A,#N/A,TRUE,"Widnes"}</definedName>
    <definedName name="AERAFG" localSheetId="9"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e" localSheetId="7" hidden="1">{#N/A,#N/A,TRUE,"Cover";#N/A,#N/A,TRUE,"Conts";#N/A,#N/A,TRUE,"VOS";#N/A,#N/A,TRUE,"Warrington";#N/A,#N/A,TRUE,"Widnes"}</definedName>
    <definedName name="aerte" localSheetId="0" hidden="1">{#N/A,#N/A,TRUE,"Cover";#N/A,#N/A,TRUE,"Conts";#N/A,#N/A,TRUE,"VOS";#N/A,#N/A,TRUE,"Warrington";#N/A,#N/A,TRUE,"Widnes"}</definedName>
    <definedName name="aerte" localSheetId="9"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7" hidden="1">{#N/A,#N/A,TRUE,"Cover";#N/A,#N/A,TRUE,"Conts";#N/A,#N/A,TRUE,"VOS";#N/A,#N/A,TRUE,"Warrington";#N/A,#N/A,TRUE,"Widnes"}</definedName>
    <definedName name="aertes" localSheetId="0" hidden="1">{#N/A,#N/A,TRUE,"Cover";#N/A,#N/A,TRUE,"Conts";#N/A,#N/A,TRUE,"VOS";#N/A,#N/A,TRUE,"Warrington";#N/A,#N/A,TRUE,"Widnes"}</definedName>
    <definedName name="aertes" localSheetId="9"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STIMATE">#REF!</definedName>
    <definedName name="aetertryh" localSheetId="7" hidden="1">{#N/A,#N/A,TRUE,"Cover";#N/A,#N/A,TRUE,"Conts";#N/A,#N/A,TRUE,"VOS";#N/A,#N/A,TRUE,"Warrington";#N/A,#N/A,TRUE,"Widnes"}</definedName>
    <definedName name="aetertryh" localSheetId="0" hidden="1">{#N/A,#N/A,TRUE,"Cover";#N/A,#N/A,TRUE,"Conts";#N/A,#N/A,TRUE,"VOS";#N/A,#N/A,TRUE,"Warrington";#N/A,#N/A,TRUE,"Widnes"}</definedName>
    <definedName name="aetertryh" localSheetId="9"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w_1" hidden="1">{#N/A,#N/A,TRUE,"LOADCOVE";#N/A,#N/A,TRUE,"PAGE001";#N/A,#N/A,TRUE,"PAGE002";#N/A,#N/A,TRUE,"PAGE003";#N/A,#N/A,TRUE,"PAGE004";#N/A,#N/A,TRUE,"PAGE005";#N/A,#N/A,TRUE,"PAGE006";#N/A,#N/A,TRUE,"PAGE007";#N/A,#N/A,TRUE,"PAGE008";#N/A,#N/A,TRUE,"PAGE009";#N/A,#N/A,TRUE,"PAGE010";#N/A,#N/A,TRUE,"PAGE011";#N/A,#N/A,TRUE,"PAGE012";#N/A,#N/A,TRUE,"PAGE013"}</definedName>
    <definedName name="aew_2" hidden="1">{#N/A,#N/A,TRUE,"LOADCOVE";#N/A,#N/A,TRUE,"PAGE001";#N/A,#N/A,TRUE,"PAGE002";#N/A,#N/A,TRUE,"PAGE003";#N/A,#N/A,TRUE,"PAGE004";#N/A,#N/A,TRUE,"PAGE005";#N/A,#N/A,TRUE,"PAGE006";#N/A,#N/A,TRUE,"PAGE007";#N/A,#N/A,TRUE,"PAGE008";#N/A,#N/A,TRUE,"PAGE009";#N/A,#N/A,TRUE,"PAGE010";#N/A,#N/A,TRUE,"PAGE011";#N/A,#N/A,TRUE,"PAGE012";#N/A,#N/A,TRUE,"PAGE013"}</definedName>
    <definedName name="AF" hidden="1">{"'장비'!$A$3:$M$12"}</definedName>
    <definedName name="afAEGW" hidden="1">#REF!</definedName>
    <definedName name="AFAFA" hidden="1">{#N/A,#N/A,FALSE,"부대1"}</definedName>
    <definedName name="AFAFA_1" hidden="1">{#N/A,#N/A,FALSE,"부대1"}</definedName>
    <definedName name="AFAFA_2" hidden="1">{#N/A,#N/A,FALSE,"부대1"}</definedName>
    <definedName name="afasd" hidden="1">{#N/A,#N/A,FALSE,"단가표지"}</definedName>
    <definedName name="AFASFAS" hidden="1">{#N/A,#N/A,FALSE,"조골재"}</definedName>
    <definedName name="AFASFAS_1" hidden="1">{#N/A,#N/A,FALSE,"조골재"}</definedName>
    <definedName name="AFASFAS_2" hidden="1">{#N/A,#N/A,FALSE,"조골재"}</definedName>
    <definedName name="AFD" hidden="1">{#N/A,#N/A,FALSE,"CCTV"}</definedName>
    <definedName name="AFD_1" hidden="1">{#N/A,#N/A,FALSE,"CCTV"}</definedName>
    <definedName name="AFD_2" hidden="1">{#N/A,#N/A,FALSE,"CCTV"}</definedName>
    <definedName name="afdasgh" hidden="1">{#N/A,#N/A,FALSE,"CCTV"}</definedName>
    <definedName name="afdasgh_1" hidden="1">{#N/A,#N/A,FALSE,"CCTV"}</definedName>
    <definedName name="afdasgh_2" hidden="1">{#N/A,#N/A,FALSE,"CCTV"}</definedName>
    <definedName name="afdggf" hidden="1">{"'Break down'!$A$4"}</definedName>
    <definedName name="afdsfdg" hidden="1">{#N/A,#N/A,FALSE,"CCTV"}</definedName>
    <definedName name="afdsfdg_1" hidden="1">{#N/A,#N/A,FALSE,"CCTV"}</definedName>
    <definedName name="afdsfdg_2" hidden="1">{#N/A,#N/A,FALSE,"CCTV"}</definedName>
    <definedName name="AFDSFDSFDSAF" hidden="1">{#N/A,#N/A,FALSE,"혼합골재"}</definedName>
    <definedName name="AFDSFDSFDSAF_1" hidden="1">{#N/A,#N/A,FALSE,"혼합골재"}</definedName>
    <definedName name="AFDSFDSFDSAF_2" hidden="1">{#N/A,#N/A,FALSE,"혼합골재"}</definedName>
    <definedName name="AFDSFSADFSA" hidden="1">{#N/A,#N/A,FALSE,"토공2"}</definedName>
    <definedName name="AFDSFSADFSA_1" hidden="1">{#N/A,#N/A,FALSE,"토공2"}</definedName>
    <definedName name="AFDSFSADFSA_2" hidden="1">{#N/A,#N/A,FALSE,"토공2"}</definedName>
    <definedName name="aff" hidden="1">{#N/A,#N/A,TRUE,"Cover";#N/A,#N/A,TRUE,"Conts";#N/A,#N/A,TRUE,"VOS";#N/A,#N/A,TRUE,"Warrington";#N/A,#N/A,TRUE,"Widnes"}</definedName>
    <definedName name="AFFFFFFFFFFFFFFF" hidden="1">{#N/A,#N/A,FALSE,"단가표지"}</definedName>
    <definedName name="AFFFFFFFFFFFFFFF_1" hidden="1">{#N/A,#N/A,FALSE,"단가표지"}</definedName>
    <definedName name="AFFFFFFFFFFFFFFF_2" hidden="1">{#N/A,#N/A,FALSE,"단가표지"}</definedName>
    <definedName name="afffgff" hidden="1">{#N/A,#N/A,FALSE,"CCTV"}</definedName>
    <definedName name="afffgff_1" hidden="1">{#N/A,#N/A,FALSE,"CCTV"}</definedName>
    <definedName name="afffgff_2" hidden="1">{#N/A,#N/A,FALSE,"CCTV"}</definedName>
    <definedName name="affkitchens">#REF!</definedName>
    <definedName name="afford1">#REF!</definedName>
    <definedName name="affordable">#REF!</definedName>
    <definedName name="AFGIS_ELECT">#REF!</definedName>
    <definedName name="Aflar">#REF!</definedName>
    <definedName name="Aflar_1">#N/A</definedName>
    <definedName name="AFSAFS" hidden="1">{#N/A,#N/A,FALSE,"표지목차"}</definedName>
    <definedName name="AFSAFS_1" hidden="1">{#N/A,#N/A,FALSE,"표지목차"}</definedName>
    <definedName name="AFSAFS_2" hidden="1">{#N/A,#N/A,FALSE,"표지목차"}</definedName>
    <definedName name="AFSAFSA" hidden="1">{#N/A,#N/A,FALSE,"이정표"}</definedName>
    <definedName name="AFSAFSA_1" hidden="1">{#N/A,#N/A,FALSE,"이정표"}</definedName>
    <definedName name="AFSAFSA_2" hidden="1">{#N/A,#N/A,FALSE,"이정표"}</definedName>
    <definedName name="AFSAFSAF" hidden="1">{#N/A,#N/A,FALSE,"운반시간"}</definedName>
    <definedName name="AFSAFSAF_1" hidden="1">{#N/A,#N/A,FALSE,"운반시간"}</definedName>
    <definedName name="AFSAFSAF_2" hidden="1">{#N/A,#N/A,FALSE,"운반시간"}</definedName>
    <definedName name="AFSDAFSA" hidden="1">{#N/A,#N/A,FALSE,"속도"}</definedName>
    <definedName name="AFSDAFSA_1" hidden="1">{#N/A,#N/A,FALSE,"속도"}</definedName>
    <definedName name="AFSDAFSA_2" hidden="1">{#N/A,#N/A,FALSE,"속도"}</definedName>
    <definedName name="AFSSAFSAFSAFSAFSAD" hidden="1">{#N/A,#N/A,FALSE,"배수1"}</definedName>
    <definedName name="AFSSAFSAFSAFSAFSAD_1" hidden="1">{#N/A,#N/A,FALSE,"배수1"}</definedName>
    <definedName name="AFSSAFSAFSAFSAFSAD_2" hidden="1">{#N/A,#N/A,FALSE,"배수1"}</definedName>
    <definedName name="AFTER_MP">#REF!</definedName>
    <definedName name="Ag">#REF!</definedName>
    <definedName name="agdump">#REF!</definedName>
    <definedName name="agedump">#REF!</definedName>
    <definedName name="agencydump">#REF!</definedName>
    <definedName name="AGENCYLY">#REF!</definedName>
    <definedName name="AGENCYPLAN">#REF!</definedName>
    <definedName name="agfg" hidden="1">{"'장비'!$A$3:$M$12"}</definedName>
    <definedName name="agfg_1" hidden="1">{"'장비'!$A$3:$M$12"}</definedName>
    <definedName name="agfg_2" hidden="1">{"'장비'!$A$3:$M$12"}</definedName>
    <definedName name="AggregateBaseCourse">#REF!</definedName>
    <definedName name="AggregateBaseCourse_21">#REF!</definedName>
    <definedName name="AggregateBaseCourse_22">#REF!</definedName>
    <definedName name="AggregateBaseCourse_23">#REF!</definedName>
    <definedName name="AggregateBaseCourse_24">#REF!</definedName>
    <definedName name="AggregateBaseCourse_25">#REF!</definedName>
    <definedName name="AggregateBaseCourse_26">#REF!</definedName>
    <definedName name="agsd" hidden="1">#REF!</definedName>
    <definedName name="AH" hidden="1">{#N/A,#N/A,FALSE,"CCTV"}</definedName>
    <definedName name="AH_1" hidden="1">{#N/A,#N/A,FALSE,"CCTV"}</definedName>
    <definedName name="AH_2" hidden="1">{#N/A,#N/A,FALSE,"CCTV"}</definedName>
    <definedName name="ahg" hidden="1">{#N/A,#N/A,FALSE,"type1";#N/A,#N/A,FALSE,"지지력";#N/A,#N/A,FALSE,"PILE계산";#N/A,#N/A,FALSE,"PILE ";#N/A,#N/A,FALSE,"철근량";#N/A,#N/A,FALSE,"균열검토";#N/A,#N/A,FALSE,"날개벽";#N/A,#N/A,FALSE,"주철근조립도";#N/A,#N/A,FALSE,"교좌"}</definedName>
    <definedName name="AHUFan" hidden="1">#REF!</definedName>
    <definedName name="Aic_Instrumentation_List">#REF!</definedName>
    <definedName name="air_trap">#REF!</definedName>
    <definedName name="AIRCON">#REF!</definedName>
    <definedName name="AJUY" hidden="1">{#N/A,#N/A,FALSE,"CCTV"}</definedName>
    <definedName name="AK_1972" hidden="1">{#N/A,#N/A,TRUE,"Front";#N/A,#N/A,TRUE,"Simple Letter";#N/A,#N/A,TRUE,"Inside";#N/A,#N/A,TRUE,"Contents";#N/A,#N/A,TRUE,"Basis";#N/A,#N/A,TRUE,"Inclusions";#N/A,#N/A,TRUE,"Exclusions";#N/A,#N/A,TRUE,"Areas";#N/A,#N/A,TRUE,"Summary";#N/A,#N/A,TRUE,"Detail"}</definedName>
    <definedName name="aL">#REF!</definedName>
    <definedName name="alaa">#REF!</definedName>
    <definedName name="alalah">#REF!</definedName>
    <definedName name="alban">#REF!</definedName>
    <definedName name="all">#REF!</definedName>
    <definedName name="all_activities">#REF!,#REF!,#REF!,#REF!,#REF!,#REF!,#REF!,#REF!,#REF!,#REF!,#REF!,#REF!,#REF!,#REF!,#REF!,#REF!</definedName>
    <definedName name="allline">#REF!</definedName>
    <definedName name="alllines">#REF!</definedName>
    <definedName name="allowance">#REF!</definedName>
    <definedName name="ALPJYOU">#N/A</definedName>
    <definedName name="ALPTOI">#N/A</definedName>
    <definedName name="ALT" hidden="1">{#N/A,#N/A,TRUE,"LOADCOVE";#N/A,#N/A,TRUE,"PAGE001";#N/A,#N/A,TRUE,"PAGE002";#N/A,#N/A,TRUE,"PAGE003";#N/A,#N/A,TRUE,"PAGE004";#N/A,#N/A,TRUE,"PAGE005";#N/A,#N/A,TRUE,"PAGE006";#N/A,#N/A,TRUE,"PAGE007";#N/A,#N/A,TRUE,"PAGE008";#N/A,#N/A,TRUE,"PAGE009";#N/A,#N/A,TRUE,"PAGE010";#N/A,#N/A,TRUE,"PAGE011";#N/A,#N/A,TRUE,"PAGE012";#N/A,#N/A,TRUE,"PAGE013"}</definedName>
    <definedName name="ALTERNATE">#REF!</definedName>
    <definedName name="ALUMINIUM">#REF!</definedName>
    <definedName name="Aluminium_Work">#REF!</definedName>
    <definedName name="amal">#REF!</definedName>
    <definedName name="Amax">#REF!</definedName>
    <definedName name="AMIT"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mortization">#REF!</definedName>
    <definedName name="Amount_of_repayment_due_from_previous_years">#REF!</definedName>
    <definedName name="Analysis">#REF!</definedName>
    <definedName name="AnalysisType">#REF!</definedName>
    <definedName name="anchor">#REF!</definedName>
    <definedName name="angle">#REF!</definedName>
    <definedName name="anitha" hidden="1">{"'Break down'!$A$4"}</definedName>
    <definedName name="anscount" hidden="1">1</definedName>
    <definedName name="antifire.selant">#REF!</definedName>
    <definedName name="antiicpated">#REF!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X3A16.1">#REF!</definedName>
    <definedName name="Ao">#REF!</definedName>
    <definedName name="aocd">#REF!</definedName>
    <definedName name="Ap">#REF!</definedName>
    <definedName name="Aped1">#REF!</definedName>
    <definedName name="Aped2">#REF!</definedName>
    <definedName name="APL">#REF!</definedName>
    <definedName name="app_q">#REF!</definedName>
    <definedName name="applen">#REF!</definedName>
    <definedName name="applen_1">#N/A</definedName>
    <definedName name="appndx">#REF!</definedName>
    <definedName name="APPO" localSheetId="7">#REF!</definedName>
    <definedName name="APPO" localSheetId="0" hidden="1">#REF!</definedName>
    <definedName name="APPO" localSheetId="9" hidden="1">#REF!</definedName>
    <definedName name="APPO" hidden="1">#REF!</definedName>
    <definedName name="apporx_quants">#REF!</definedName>
    <definedName name="appraisal" localSheetId="7" hidden="1">{#N/A,#N/A,TRUE,"Cover";#N/A,#N/A,TRUE,"Conts";#N/A,#N/A,TRUE,"VOS";#N/A,#N/A,TRUE,"Warrington";#N/A,#N/A,TRUE,"Widnes"}</definedName>
    <definedName name="appraisal" localSheetId="0" hidden="1">{#N/A,#N/A,TRUE,"Cover";#N/A,#N/A,TRUE,"Conts";#N/A,#N/A,TRUE,"VOS";#N/A,#N/A,TRUE,"Warrington";#N/A,#N/A,TRUE,"Widnes"}</definedName>
    <definedName name="appraisal" localSheetId="9"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ppraisal_1" hidden="1">{#N/A,#N/A,TRUE,"Cover";#N/A,#N/A,TRUE,"Conts";#N/A,#N/A,TRUE,"VOS";#N/A,#N/A,TRUE,"Warrington";#N/A,#N/A,TRUE,"Widnes"}</definedName>
    <definedName name="Approval">#REF!</definedName>
    <definedName name="April_2006___to_QAR">#REF!</definedName>
    <definedName name="APX_A">#REF!</definedName>
    <definedName name="APX_B">#REF!</definedName>
    <definedName name="APX_C">#REF!</definedName>
    <definedName name="APX_D">#REF!</definedName>
    <definedName name="APX_E">#REF!</definedName>
    <definedName name="APX_G">#REF!</definedName>
    <definedName name="aqa">#REF!</definedName>
    <definedName name="AQE" hidden="1">{"'장비'!$A$3:$M$12"}</definedName>
    <definedName name="AQE_1" hidden="1">{"'장비'!$A$3:$M$12"}</definedName>
    <definedName name="AQE_2" hidden="1">{"'장비'!$A$3:$M$12"}</definedName>
    <definedName name="aquatic" hidden="1">{"'Break down'!$A$4"}</definedName>
    <definedName name="aquatic1" hidden="1">{"'Break down'!$A$4"}</definedName>
    <definedName name="aqw" hidden="1">{#N/A,#N/A,FALSE,"SUBS";#N/A,#N/A,FALSE,"SUPERS";#N/A,#N/A,FALSE,"FINISHES";#N/A,#N/A,FALSE,"FITTINGS";#N/A,#N/A,FALSE,"SERVICES";#N/A,#N/A,FALSE,"SITEWORKS"}</definedName>
    <definedName name="AQWER" hidden="1">{#N/A,#N/A,TRUE,"Cover";#N/A,#N/A,TRUE,"Conts";#N/A,#N/A,TRUE,"VOS";#N/A,#N/A,TRUE,"Warrington";#N/A,#N/A,TRUE,"Widnes"}</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e">#N/A</definedName>
    <definedName name="ar">#REF!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D">#REF!</definedName>
    <definedName name="are">#REF!</definedName>
    <definedName name="area">#REF!</definedName>
    <definedName name="Area_00">#REF!</definedName>
    <definedName name="Area_01">#REF!</definedName>
    <definedName name="Area_02">#REF!</definedName>
    <definedName name="Area_03">#REF!</definedName>
    <definedName name="AREA_100mm_thk_blinding">#REF!</definedName>
    <definedName name="AREA_1600mm_thk_base_slab">#REF!</definedName>
    <definedName name="AREA_200mm_thick_cantilever_slab">#REF!</definedName>
    <definedName name="AREA_22KV_SWITCHGEAR_GR_651">#REF!</definedName>
    <definedName name="AREA_22KV_SWITCHGEAR_under_eqpt__GR_651">#REF!</definedName>
    <definedName name="AREA_22KV_SWITCHGEAR_under_walk__GR_651">#REF!</definedName>
    <definedName name="AREA_300mm_thk_base_slab">#REF!</definedName>
    <definedName name="AREA_300mm_thk_Susp._slab">#REF!</definedName>
    <definedName name="AREA_4mm_thk_below_ground_waterproofing">#REF!</definedName>
    <definedName name="AREA_4mm_thk_roof_covering_system">#REF!</definedName>
    <definedName name="AREA_500mm_thk_base_slab">#REF!</definedName>
    <definedName name="AREA_75mm_thk_blinding">#REF!</definedName>
    <definedName name="AREA_800mm_thk_base_slab">#REF!</definedName>
    <definedName name="AREA_AC_DC_GR_658">#REF!</definedName>
    <definedName name="AREA_Access_drive_rear">#REF!</definedName>
    <definedName name="AREA_Access_drive_rear_F.1">#REF!</definedName>
    <definedName name="AREA_Access_tunnel">#REF!</definedName>
    <definedName name="AREA_AGV_depot">#REF!</definedName>
    <definedName name="AREA_Air_filter_chamber">#REF!</definedName>
    <definedName name="AREA_Air_intake_trench">#REF!</definedName>
    <definedName name="AREA_AUX_1_GR_653">#REF!</definedName>
    <definedName name="AREA_AUX_2_GR_654">#REF!</definedName>
    <definedName name="AREA_BASEMENT_BS_651">#REF!</definedName>
    <definedName name="AREA_BATTERY_GR_659">#REF!</definedName>
    <definedName name="AREA_Below_ground_horizontal">#REF!</definedName>
    <definedName name="AREA_Below_tunnel_horizontal">#REF!</definedName>
    <definedName name="AREA_Blinding">#REF!</definedName>
    <definedName name="AREA_Break">#REF!</definedName>
    <definedName name="AREA_Break.F">#REF!</definedName>
    <definedName name="AREA_Break_room">#REF!</definedName>
    <definedName name="AREA_Break_room.1">#REF!</definedName>
    <definedName name="AREA_Cable_trench_slab_200mm_thk">#REF!</definedName>
    <definedName name="AREA_Comm">#REF!</definedName>
    <definedName name="AREA_COMMU.ROOM_GR_660">#REF!</definedName>
    <definedName name="AREA_Communication_room">#REF!</definedName>
    <definedName name="AREA_Control.1">#REF!</definedName>
    <definedName name="AREA_CONTROL_ROOM_GR_657">#REF!</definedName>
    <definedName name="AREA_Corridor">#REF!</definedName>
    <definedName name="AREA_Corridor.1">#REF!</definedName>
    <definedName name="AREA_Corridor.2">#REF!</definedName>
    <definedName name="AREA_Corridor.3">#REF!</definedName>
    <definedName name="AREA_Corridor.4">#REF!</definedName>
    <definedName name="AREA_CORRIDOR_GR_665">#REF!</definedName>
    <definedName name="AREA_CT___02">#REF!</definedName>
    <definedName name="AREA_Elec">#REF!</definedName>
    <definedName name="AREA_Elec.1">#REF!</definedName>
    <definedName name="AREA_Elec.2">#REF!</definedName>
    <definedName name="AREA_Electrical">#REF!</definedName>
    <definedName name="AREA_Electrical.1">#REF!</definedName>
    <definedName name="AREA_Electrical.f">#REF!</definedName>
    <definedName name="AREA_Electrical_room">#REF!</definedName>
    <definedName name="AREA_Elev._equip">#REF!</definedName>
    <definedName name="AREA_EP___01">#REF!</definedName>
    <definedName name="AREA_EP___02">#REF!</definedName>
    <definedName name="AREA_Epoxy_paint_anti_fungus">#REF!</definedName>
    <definedName name="AREA_Excation">#REF!</definedName>
    <definedName name="AREA_Exit_passageway">#REF!</definedName>
    <definedName name="AREA_Exit_passageway.1">#REF!</definedName>
    <definedName name="AREA_Exit_passageway.2">#REF!</definedName>
    <definedName name="AREA_Exit_passageway.F">#REF!</definedName>
    <definedName name="AREA_Exit_passageway_1">#REF!</definedName>
    <definedName name="AREA_Fair_faced_concrete">#REF!</definedName>
    <definedName name="AREA_False_Ceiling">#REF!</definedName>
    <definedName name="AREA_Fan_room">#REF!</definedName>
    <definedName name="AREA_Fan_room.2">#REF!</definedName>
    <definedName name="AREA_Female_toilet_shower.F">#REF!</definedName>
    <definedName name="AREA_FF_conc._w_epoxy_paint_anti_fungus">#REF!</definedName>
    <definedName name="AREA_Filters.RF">#REF!</definedName>
    <definedName name="AREA_FIRE_FIGHTING_GR_656">#REF!</definedName>
    <definedName name="AREA_Fire_riser">#REF!</definedName>
    <definedName name="AREA_Fire_riser.F">#REF!</definedName>
    <definedName name="AREA_FL_01_General_floor">#REF!</definedName>
    <definedName name="AREA_FL_01_Ramps">#REF!</definedName>
    <definedName name="AREA_FL_02_Traffic_islands___Raised_area">#REF!</definedName>
    <definedName name="AREA_FL_06_Ped._Walkways">#REF!</definedName>
    <definedName name="AREA_Footing_F1_400mm_high">#REF!</definedName>
    <definedName name="AREA_GENERATOR_1_GR_671">#REF!</definedName>
    <definedName name="AREA_GENERATOR_2_GR_672">#REF!</definedName>
    <definedName name="AREA_GIS_ROOM_GR_652">#REF!</definedName>
    <definedName name="AREA_GIS_ROOM_under_eqpt__GR_652">#REF!</definedName>
    <definedName name="AREA_GIS_ROOM_under_walkable__GR_652">#REF!</definedName>
    <definedName name="AREA_Grade_Slab_200mm_thk">#REF!</definedName>
    <definedName name="AREA_GUARD_ROOM_GR_666">#REF!</definedName>
    <definedName name="AREA_GUARD_WC_GR_669">#REF!</definedName>
    <definedName name="AREA_Hangar_11">#REF!</definedName>
    <definedName name="AREA_Hangar_12">#REF!</definedName>
    <definedName name="AREA_Imam_office">#REF!</definedName>
    <definedName name="AREA_Janitor">#REF!</definedName>
    <definedName name="AREA_Janitor.1">#REF!</definedName>
    <definedName name="AREA_Line_hangar_1">#REF!</definedName>
    <definedName name="AREA_Mech">#REF!</definedName>
    <definedName name="AREA_Mech.">#REF!</definedName>
    <definedName name="AREA_Mech.1">#REF!</definedName>
    <definedName name="AREA_Mech.2">#REF!</definedName>
    <definedName name="AREA_Mechanical">#REF!</definedName>
    <definedName name="AREA_Mechanical.1">#REF!</definedName>
    <definedName name="AREA_Mechanical.PH">#REF!</definedName>
    <definedName name="AREA_Mechanical.RF">#REF!</definedName>
    <definedName name="AREA_Mechanical_room">#REF!</definedName>
    <definedName name="AREA_MEDIUM_VOLTAGE_RM_GR_670">#REF!</definedName>
    <definedName name="AREA_Men_toilet_shower">#REF!</definedName>
    <definedName name="AREA_Men_toilet_shower.1">#REF!</definedName>
    <definedName name="AREA_Men_toilet_shower.F">#REF!</definedName>
    <definedName name="AREA_Mens_toilet">#REF!</definedName>
    <definedName name="AREA_Mens_toilet.F">#REF!</definedName>
    <definedName name="AREA_Office">#REF!</definedName>
    <definedName name="AREA_Office.1">#REF!</definedName>
    <definedName name="AREA_Office_1">#REF!</definedName>
    <definedName name="AREA_Office_2">#REF!</definedName>
    <definedName name="AREA_Office_3">#REF!</definedName>
    <definedName name="AREA_OFFICE_GR_663">#REF!</definedName>
    <definedName name="AREA_OFFICE_GR_664">#REF!</definedName>
    <definedName name="AREA_Offices">#REF!</definedName>
    <definedName name="AREA_OIL_PIT_B_655">#REF!</definedName>
    <definedName name="AREA_OIL_PIT_B_656">#REF!</definedName>
    <definedName name="AREA_OIL_PIT_BS_654">#REF!</definedName>
    <definedName name="AREA_Open_office">#REF!</definedName>
    <definedName name="AREA_OPen_office.1">#REF!</definedName>
    <definedName name="AREA_Open_office.F">#REF!</definedName>
    <definedName name="AREA_Paint_hangar_1">#REF!</definedName>
    <definedName name="AREA_Paint_hold.1">#REF!</definedName>
    <definedName name="AREA_Paint_mix">#REF!</definedName>
    <definedName name="AREA_Paint_mix.1">#REF!</definedName>
    <definedName name="AREA_Paint_shop">#REF!</definedName>
    <definedName name="AREA_Paint_shop.1">#REF!</definedName>
    <definedName name="AREA_Paint_store">#REF!</definedName>
    <definedName name="AREA_Painted_plaster">#REF!</definedName>
    <definedName name="AREA_PANTRY_GR_662">#REF!</definedName>
    <definedName name="AREA_Parts">#REF!</definedName>
    <definedName name="AREA_Parts.1">#REF!</definedName>
    <definedName name="AREA_Parts_">#REF!</definedName>
    <definedName name="AREA_Plaster_Anti_alkaline_paint">#REF!</definedName>
    <definedName name="AREA_Plot_Area">#REF!</definedName>
    <definedName name="AREA_Prayer_room">#REF!</definedName>
    <definedName name="AREA_PT___10">#REF!</definedName>
    <definedName name="AREA_RC_base">#REF!</definedName>
    <definedName name="AREA_Receiver_tanks">#REF!</definedName>
    <definedName name="AREA_Removal_of_top_soil">#REF!</definedName>
    <definedName name="AREA_Riser">#REF!</definedName>
    <definedName name="AREA_ROOF_RF_651">#REF!</definedName>
    <definedName name="AREA_ROOF_RF_652">#REF!</definedName>
    <definedName name="AREA_ROOF_RF_653">#REF!</definedName>
    <definedName name="AREA_ROOF_RF_654">#REF!</definedName>
    <definedName name="AREA_Roof_Slab_200mm_thick">#REF!</definedName>
    <definedName name="AREA_Roof_slab_250mm_thk">#REF!</definedName>
    <definedName name="AREA_Seat_storage.F1">#REF!</definedName>
    <definedName name="AREA_Seat_storage.F2">#REF!</definedName>
    <definedName name="AREA_SF_01_General_soffit">#REF!</definedName>
    <definedName name="AREA_Slab_S2_180mm_thick">#REF!</definedName>
    <definedName name="AREA_Slab_S3_200mm_thick">#REF!</definedName>
    <definedName name="AREA_Slab_S4_220mm_thick">#REF!</definedName>
    <definedName name="AREA_Slab_S5_250mm_thk">#REF!</definedName>
    <definedName name="AREA_Sloped_Roof_160mm_thick">#REF!</definedName>
    <definedName name="AREA_Smoking.1">#REF!</definedName>
    <definedName name="AREA_Smoking.2">#REF!</definedName>
    <definedName name="AREA_Smoking.F">#REF!</definedName>
    <definedName name="AREA_Stair">#REF!</definedName>
    <definedName name="AREA_Stair.1">#REF!</definedName>
    <definedName name="AREA_Stair_10">#REF!</definedName>
    <definedName name="AREA_Stair_11">#REF!</definedName>
    <definedName name="AREA_Stair_11A">#REF!</definedName>
    <definedName name="AREA_Stair_12">#REF!</definedName>
    <definedName name="AREA_Stair_12A">#REF!</definedName>
    <definedName name="AREA_Stair_12B">#REF!</definedName>
    <definedName name="AREA_Stair_13">#REF!</definedName>
    <definedName name="AREA_Stair_14">#REF!</definedName>
    <definedName name="AREA_STAIRCASE_ROOM_BS_668">#REF!</definedName>
    <definedName name="AREA_Storage.1">#REF!</definedName>
    <definedName name="AREA_Storage.F">#REF!</definedName>
    <definedName name="AREA_Storage.F1">#REF!</definedName>
    <definedName name="AREA_Storage.F2">#REF!</definedName>
    <definedName name="AREA_Storage.F3">#REF!</definedName>
    <definedName name="AREA_Storage_F">#REF!</definedName>
    <definedName name="AREA_STORE_GR_655">#REF!</definedName>
    <definedName name="AREA_Strip_footings_400mm_thk">#REF!</definedName>
    <definedName name="AREA_Strip_footings_500mm_thk">#REF!</definedName>
    <definedName name="AREA_Surface_Bed_S_120mm_thick">#REF!</definedName>
    <definedName name="AREA_Surface_Bed_S1_150mm_thick">#REF!</definedName>
    <definedName name="AREA_Surface_Bed_S5_250mm_thk">#REF!</definedName>
    <definedName name="AREA_Tech.">#REF!</definedName>
    <definedName name="AREA_Tech._library">#REF!</definedName>
    <definedName name="AREA_Tech.1">#REF!</definedName>
    <definedName name="AREA_Tech_library.1">#REF!</definedName>
    <definedName name="AREA_TL___01">#REF!</definedName>
    <definedName name="AREA_TL___04">#REF!</definedName>
    <definedName name="AREA_TL___09">#REF!</definedName>
    <definedName name="AREA_TL___10">#REF!</definedName>
    <definedName name="AREA_TL___11">#REF!</definedName>
    <definedName name="AREA_TOILETS_GR_661">#REF!</definedName>
    <definedName name="AREA_Tool_crib">#REF!</definedName>
    <definedName name="AREA_Tool_crib.1">#REF!</definedName>
    <definedName name="AREA_Tools">#REF!</definedName>
    <definedName name="AREA_Tools_CE_P">#REF!</definedName>
    <definedName name="AREA_Tools_CE_P.1">#REF!</definedName>
    <definedName name="AREA_Training.F">#REF!</definedName>
    <definedName name="AREA_Training_room">#REF!</definedName>
    <definedName name="AREA_Training_room.1">#REF!</definedName>
    <definedName name="AREA_TRENCH_BS_653">#REF!</definedName>
    <definedName name="AREA_TUNNEL_BS_652">#REF!</definedName>
    <definedName name="AREA_Type_E_Scratched_Finish">#REF!</definedName>
    <definedName name="AREA_Type_F_Smooth_finish">#REF!</definedName>
    <definedName name="AREA_Warming_kitchen">#REF!</definedName>
    <definedName name="AREA_Wash_hangar_2">#REF!</definedName>
    <definedName name="AREA_Womens_toilet">#REF!</definedName>
    <definedName name="AREA_Womens_toilet.F">#REF!</definedName>
    <definedName name="AREA_WORKSHOP_GR_667">#REF!</definedName>
    <definedName name="area1">#REF!</definedName>
    <definedName name="areabroad">#REF!</definedName>
    <definedName name="areaC">#REF!</definedName>
    <definedName name="areacentral">#REF!</definedName>
    <definedName name="AREAEC">#REF!</definedName>
    <definedName name="areaencentre">#REF!</definedName>
    <definedName name="areafins">#REF!</definedName>
    <definedName name="AREAM">#REF!</definedName>
    <definedName name="AREAS">#REF!</definedName>
    <definedName name="areas2">#REF!</definedName>
    <definedName name="areatop2">#REF!</definedName>
    <definedName name="areatop2_1">#N/A</definedName>
    <definedName name="areawc2">#REF!</definedName>
    <definedName name="areawc3">#REF!</definedName>
    <definedName name="arhsggjngn">#REF!</definedName>
    <definedName name="aris">#REF!</definedName>
    <definedName name="ariseew" hidden="1">#REF!</definedName>
    <definedName name="armor" hidden="1">{#N/A,#N/A,FALSE,"전체집계표";#N/A,#N/A,FALSE,"안벽30000";#N/A,#N/A,FALSE,"안벽20000";#N/A,#N/A,FALSE,"내호안";#N/A,#N/A,FALSE,"외호안";#N/A,#N/A,FALSE,"준설토A";#N/A,#N/A,FALSE,"준설토B";#N/A,#N/A,FALSE,"적출장"}</definedName>
    <definedName name="armor_1" hidden="1">{#N/A,#N/A,FALSE,"전체집계표";#N/A,#N/A,FALSE,"안벽30000";#N/A,#N/A,FALSE,"안벽20000";#N/A,#N/A,FALSE,"내호안";#N/A,#N/A,FALSE,"외호안";#N/A,#N/A,FALSE,"준설토A";#N/A,#N/A,FALSE,"준설토B";#N/A,#N/A,FALSE,"적출장"}</definedName>
    <definedName name="armor_2" hidden="1">{#N/A,#N/A,FALSE,"전체집계표";#N/A,#N/A,FALSE,"안벽30000";#N/A,#N/A,FALSE,"안벽20000";#N/A,#N/A,FALSE,"내호안";#N/A,#N/A,FALSE,"외호안";#N/A,#N/A,FALSE,"준설토A";#N/A,#N/A,FALSE,"준설토B";#N/A,#N/A,FALSE,"적출장"}</definedName>
    <definedName name="AROWS">#REF!</definedName>
    <definedName name="ARPASEVAN" hidden="1">{#N/A,#N/A,FALSE,"CCTV"}</definedName>
    <definedName name="array">#REF!</definedName>
    <definedName name="ARUN" hidden="1">#REF!</definedName>
    <definedName name="as">#REF!</definedName>
    <definedName name="as_1" hidden="1">{#N/A,#N/A,FALSE,"SumD";#N/A,#N/A,FALSE,"ElecD";#N/A,#N/A,FALSE,"MechD";#N/A,#N/A,FALSE,"GeotD";#N/A,#N/A,FALSE,"PrcsD";#N/A,#N/A,FALSE,"TunnD";#N/A,#N/A,FALSE,"CivlD";#N/A,#N/A,FALSE,"NtwkD";#N/A,#N/A,FALSE,"EstgD";#N/A,#N/A,FALSE,"PEngD"}</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#REF!</definedName>
    <definedName name="asaas" hidden="1">{"Cost Summary",#N/A,FALSE,"B";"Cost Detail 1",#N/A,FALSE,"C";"Cost Detail 2",#N/A,FALSE,"C"}</definedName>
    <definedName name="asadad" hidden="1">{#N/A,#N/A,TRUE,"Cover";#N/A,#N/A,TRUE,"Conts";#N/A,#N/A,TRUE,"VOS";#N/A,#N/A,TRUE,"Warrington";#N/A,#N/A,TRUE,"Widnes"}</definedName>
    <definedName name="asadad_1" hidden="1">{#N/A,#N/A,TRUE,"Cover";#N/A,#N/A,TRUE,"Conts";#N/A,#N/A,TRUE,"VOS";#N/A,#N/A,TRUE,"Warrington";#N/A,#N/A,TRUE,"Widnes"}</definedName>
    <definedName name="asadrete5">#REF!</definedName>
    <definedName name="asadwe34">#REF!</definedName>
    <definedName name="asaqs">#REF!</definedName>
    <definedName name="asas" hidden="1">{#N/A,#N/A,TRUE,"Basic";#N/A,#N/A,TRUE,"EXT-TABLE";#N/A,#N/A,TRUE,"STEEL";#N/A,#N/A,TRUE,"INT-Table";#N/A,#N/A,TRUE,"STEEL";#N/A,#N/A,TRUE,"Door"}</definedName>
    <definedName name="asd">#REF!</definedName>
    <definedName name="asda">#REF!</definedName>
    <definedName name="ASDASDF">#REF!</definedName>
    <definedName name="asdccccc" hidden="1">#REF!</definedName>
    <definedName name="ASDDC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asde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r" hidden="1">#REF!</definedName>
    <definedName name="asdf" hidden="1">{"'장비'!$A$3:$M$12"}</definedName>
    <definedName name="asdfa">#REF!</definedName>
    <definedName name="asdfasdfd" hidden="1">#REF!</definedName>
    <definedName name="ASDFD" hidden="1">{#N/A,#N/A,FALSE,"CCTV"}</definedName>
    <definedName name="ASDFD_1" hidden="1">{#N/A,#N/A,FALSE,"CCTV"}</definedName>
    <definedName name="ASDFD_2" hidden="1">{#N/A,#N/A,FALSE,"CCTV"}</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hidden="1">{#N/A,#N/A,FALSE,"CCTV"}</definedName>
    <definedName name="asdfghjk" hidden="1">#REF!</definedName>
    <definedName name="asdfs" hidden="1">#REF!</definedName>
    <definedName name="asdfsa" hidden="1">#REF!</definedName>
    <definedName name="asdfsadf" hidden="1">#REF!</definedName>
    <definedName name="asdrgg">"Page "&amp;IF(ISNA(MATCH(ROW(),RowAfterpgbrk,1)),1,MATCH(ROW(),RowAfterpgbrk,1)+1)&amp;" of " &amp; TotPageCount + 0*NOW()</definedName>
    <definedName name="asdsa">#REF!</definedName>
    <definedName name="asdxxxx" hidden="1">#REF!</definedName>
    <definedName name="ase">#REF!</definedName>
    <definedName name="asf" hidden="1">{#N/A,#N/A,FALSE,"CCTV"}</definedName>
    <definedName name="asfas" hidden="1">{#N/A,#N/A,FALSE,"표지목차"}</definedName>
    <definedName name="asfasf" hidden="1">{#N/A,#N/A,FALSE,"CCTV"}</definedName>
    <definedName name="asfef">IF(ISNA(MATCH(ROW(),RowAfterpgbrk,1)),1,MATCH(ROW(),RowAfterpgbrk,1)+1)&lt;&gt;IF(ISNA(MATCH(ROW()-1,RowAfterpgbrk,1)),1,MATCH(ROW()-1,RowAfterpgbrk,1)+1)</definedName>
    <definedName name="ASFG" hidden="1">#REF!</definedName>
    <definedName name="ASFSA" hidden="1">{#N/A,#N/A,FALSE,"포장1";#N/A,#N/A,FALSE,"포장1"}</definedName>
    <definedName name="ASFSA_1" hidden="1">{#N/A,#N/A,FALSE,"포장1";#N/A,#N/A,FALSE,"포장1"}</definedName>
    <definedName name="ASFSA_2" hidden="1">{#N/A,#N/A,FALSE,"포장1";#N/A,#N/A,FALSE,"포장1"}</definedName>
    <definedName name="ASFSADFSAFSA" hidden="1">{#N/A,#N/A,FALSE,"부대2"}</definedName>
    <definedName name="ASFSADFSAFSA_1" hidden="1">{#N/A,#N/A,FALSE,"부대2"}</definedName>
    <definedName name="ASFSADFSAFSA_2" hidden="1">{#N/A,#N/A,FALSE,"부대2"}</definedName>
    <definedName name="ASFSADFSDGAFDSAF" hidden="1">{#N/A,#N/A,FALSE,"2~8번"}</definedName>
    <definedName name="ASFSADFSDGAFDSAF_1" hidden="1">{#N/A,#N/A,FALSE,"2~8번"}</definedName>
    <definedName name="ASFSADFSDGAFDSAF_2" hidden="1">{#N/A,#N/A,FALSE,"2~8번"}</definedName>
    <definedName name="ASFSAFAS" hidden="1">{#N/A,#N/A,FALSE,"2~8번"}</definedName>
    <definedName name="ASFSAFAS_1" hidden="1">{#N/A,#N/A,FALSE,"2~8번"}</definedName>
    <definedName name="ASFSAFAS_2" hidden="1">{#N/A,#N/A,FALSE,"2~8번"}</definedName>
    <definedName name="ASFSAFASFSA" hidden="1">{#N/A,#N/A,FALSE,"혼합골재"}</definedName>
    <definedName name="ASFSAFASFSA_1" hidden="1">{#N/A,#N/A,FALSE,"혼합골재"}</definedName>
    <definedName name="ASFSAFASFSA_2" hidden="1">{#N/A,#N/A,FALSE,"혼합골재"}</definedName>
    <definedName name="ASFSAFSA" hidden="1">{#N/A,#N/A,FALSE,"혼합골재"}</definedName>
    <definedName name="ASFSAFSA_1" hidden="1">{#N/A,#N/A,FALSE,"혼합골재"}</definedName>
    <definedName name="ASFSAFSA_2" hidden="1">{#N/A,#N/A,FALSE,"혼합골재"}</definedName>
    <definedName name="ASFSDAFSAF" hidden="1">{#N/A,#N/A,FALSE,"표지목차"}</definedName>
    <definedName name="ASFSDAFSAF_1" hidden="1">{#N/A,#N/A,FALSE,"표지목차"}</definedName>
    <definedName name="ASFSDAFSAF_2" hidden="1">{#N/A,#N/A,FALSE,"표지목차"}</definedName>
    <definedName name="asfsdfasfasdf" hidden="1">{"'Sheet1'!$L$16"}</definedName>
    <definedName name="asfsdfasfasdf_1" hidden="1">{"'Sheet1'!$L$16"}</definedName>
    <definedName name="asfsdfasfasdf_2" hidden="1">{"'Sheet1'!$L$16"}</definedName>
    <definedName name="ASFSDFSDFSAD" hidden="1">{#N/A,#N/A,FALSE,"2~8번"}</definedName>
    <definedName name="ASFSDFSDFSAD_1" hidden="1">{#N/A,#N/A,FALSE,"2~8번"}</definedName>
    <definedName name="ASFSDFSDFSAD_2" hidden="1">{#N/A,#N/A,FALSE,"2~8번"}</definedName>
    <definedName name="ASG" hidden="1">#REF!</definedName>
    <definedName name="asgseg" localSheetId="7" hidden="1">{#N/A,#N/A,TRUE,"Cover";#N/A,#N/A,TRUE,"Conts";#N/A,#N/A,TRUE,"VOS";#N/A,#N/A,TRUE,"Warrington";#N/A,#N/A,TRUE,"Widnes"}</definedName>
    <definedName name="asgseg" localSheetId="0" hidden="1">{#N/A,#N/A,TRUE,"Cover";#N/A,#N/A,TRUE,"Conts";#N/A,#N/A,TRUE,"VOS";#N/A,#N/A,TRUE,"Warrington";#N/A,#N/A,TRUE,"Widnes"}</definedName>
    <definedName name="asgseg" localSheetId="9"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PHALT">#REF!</definedName>
    <definedName name="AsphalticBaseCourse">#REF!</definedName>
    <definedName name="AsphalticBaseCourse_21">#REF!</definedName>
    <definedName name="AsphalticBaseCourse_22">#REF!</definedName>
    <definedName name="AsphalticBaseCourse_23">#REF!</definedName>
    <definedName name="AsphalticBaseCourse_24">#REF!</definedName>
    <definedName name="AsphalticBaseCourse_25">#REF!</definedName>
    <definedName name="AsphalticBaseCourse_26">#REF!</definedName>
    <definedName name="asrasnrjutu" localSheetId="7" hidden="1">{#N/A,#N/A,TRUE,"Cover";#N/A,#N/A,TRUE,"Conts";#N/A,#N/A,TRUE,"VOS";#N/A,#N/A,TRUE,"Warrington";#N/A,#N/A,TRUE,"Widnes"}</definedName>
    <definedName name="asrasnrjutu" localSheetId="0" hidden="1">{#N/A,#N/A,TRUE,"Cover";#N/A,#N/A,TRUE,"Conts";#N/A,#N/A,TRUE,"VOS";#N/A,#N/A,TRUE,"Warrington";#N/A,#N/A,TRUE,"Widnes"}</definedName>
    <definedName name="asrasnrjutu" localSheetId="9"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A" hidden="1">{#N/A,#N/A,TRUE,"Cover";#N/A,#N/A,TRUE,"Conts";#N/A,#N/A,TRUE,"VOS";#N/A,#N/A,TRUE,"Warrington";#N/A,#N/A,TRUE,"Widnes"}</definedName>
    <definedName name="ASSA_1" hidden="1">{#N/A,#N/A,TRUE,"Cover";#N/A,#N/A,TRUE,"Conts";#N/A,#N/A,TRUE,"VOS";#N/A,#N/A,TRUE,"Warrington";#N/A,#N/A,TRUE,"Widnes"}</definedName>
    <definedName name="assadg" hidden="1">#REF!</definedName>
    <definedName name="assdf" hidden="1">#REF!</definedName>
    <definedName name="assds">#REF!</definedName>
    <definedName name="ASSETS">#REF!</definedName>
    <definedName name="asss">#REF!</definedName>
    <definedName name="asss_1" hidden="1">{#N/A,#N/A,TRUE,"Cover";#N/A,#N/A,TRUE,"Conts";#N/A,#N/A,TRUE,"VOS";#N/A,#N/A,TRUE,"Warrington";#N/A,#N/A,TRUE,"Widnes"}</definedName>
    <definedName name="asss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M" hidden="1">#REF!</definedName>
    <definedName name="aswe">#REF!</definedName>
    <definedName name="ASWWER" hidden="1">{#N/A,#N/A,TRUE,"Cover";#N/A,#N/A,TRUE,"Conts";#N/A,#N/A,TRUE,"VOS";#N/A,#N/A,TRUE,"Warrington";#N/A,#N/A,TRUE,"Widnes"}</definedName>
    <definedName name="asxd" hidden="1">#REF!</definedName>
    <definedName name="as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_risk" localSheetId="9">#REF!</definedName>
    <definedName name="At_risk">#REF!</definedName>
    <definedName name="atosf">43560</definedName>
    <definedName name="ATRADE">#REF!</definedName>
    <definedName name="atrisk_total_net_rent_for_cashflow" localSheetId="9">#REF!</definedName>
    <definedName name="atrisk_total_net_rent_for_cashflow">#REF!</definedName>
    <definedName name="ATS">#REF!</definedName>
    <definedName name="Atx">#REF!</definedName>
    <definedName name="Atz">#REF!</definedName>
    <definedName name="AUDCAD">#REF!</definedName>
    <definedName name="autonum">#REF!</definedName>
    <definedName name="aux">#REF!</definedName>
    <definedName name="AUX_CONT_PNLS">#REF!</definedName>
    <definedName name="AUXILIARY1">#REF!</definedName>
    <definedName name="AUXILIARY2">#REF!</definedName>
    <definedName name="AUXILIARY3">#REF!</definedName>
    <definedName name="Available_for_Distribution_before_Clawback">#REF!</definedName>
    <definedName name="avethk">#REF!</definedName>
    <definedName name="avethk_1">#N/A</definedName>
    <definedName name="avewid">#REF!</definedName>
    <definedName name="avewid_1">#N/A</definedName>
    <definedName name="AVNo">#REF!</definedName>
    <definedName name="AVRDATE">#REF!</definedName>
    <definedName name="AVRNo">#REF!</definedName>
    <definedName name="aw">#REF!</definedName>
    <definedName name="awt" localSheetId="7" hidden="1">{#N/A,#N/A,TRUE,"Cover";#N/A,#N/A,TRUE,"Conts";#N/A,#N/A,TRUE,"VOS";#N/A,#N/A,TRUE,"Warrington";#N/A,#N/A,TRUE,"Widnes"}</definedName>
    <definedName name="awt" localSheetId="0" hidden="1">{#N/A,#N/A,TRUE,"Cover";#N/A,#N/A,TRUE,"Conts";#N/A,#N/A,TRUE,"VOS";#N/A,#N/A,TRUE,"Warrington";#N/A,#N/A,TRUE,"Widnes"}</definedName>
    <definedName name="awt" localSheetId="9"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w">#REF!</definedName>
    <definedName name="awyawghh" localSheetId="7" hidden="1">{#N/A,#N/A,TRUE,"Cover";#N/A,#N/A,TRUE,"Conts";#N/A,#N/A,TRUE,"VOS";#N/A,#N/A,TRUE,"Warrington";#N/A,#N/A,TRUE,"Widnes"}</definedName>
    <definedName name="awyawghh" localSheetId="0" hidden="1">{#N/A,#N/A,TRUE,"Cover";#N/A,#N/A,TRUE,"Conts";#N/A,#N/A,TRUE,"VOS";#N/A,#N/A,TRUE,"Warrington";#N/A,#N/A,TRUE,"Widnes"}</definedName>
    <definedName name="awyawghh" localSheetId="9"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Ax">#REF!</definedName>
    <definedName name="axdrth" hidden="1">{#N/A,#N/A,TRUE,"COVER";#N/A,#N/A,TRUE,"DETAILS";#N/A,#N/A,TRUE,"SUMMARY";#N/A,#N/A,TRUE,"EXP MON";#N/A,#N/A,TRUE,"APPENDIX A";#N/A,#N/A,TRUE,"APPENDIX B";#N/A,#N/A,TRUE,"APPENDIX C";#N/A,#N/A,TRUE,"APPENDIX D";#N/A,#N/A,TRUE,"APPENDIX E";#N/A,#N/A,TRUE,"APPENDIX F";#N/A,#N/A,TRUE,"APPENDIX G"}</definedName>
    <definedName name="AXE" hidden="1">{#N/A,#N/A,FALSE,"Sheet1"}</definedName>
    <definedName name="axxxxc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z">#REF!</definedName>
    <definedName name="azda" hidden="1">#REF!</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aziz">#REF!</definedName>
    <definedName name="AZS" hidden="1">{#N/A,#N/A,FALSE,"CCTV"}</definedName>
    <definedName name="azxxs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#REF!</definedName>
    <definedName name="B.01">#REF!</definedName>
    <definedName name="B.02">#REF!</definedName>
    <definedName name="B.02a">#REF!</definedName>
    <definedName name="B.02b">#REF!</definedName>
    <definedName name="B.02c">#REF!</definedName>
    <definedName name="B.02d">#REF!</definedName>
    <definedName name="B.02e">#REF!</definedName>
    <definedName name="B.03">#REF!</definedName>
    <definedName name="B.04">#REF!</definedName>
    <definedName name="B_____CONCRETE_PRICING_TABLE">#REF!</definedName>
    <definedName name="b_1" hidden="1">{#N/A,#N/A,TRUE,"Cover";#N/A,#N/A,TRUE,"Conts";#N/A,#N/A,TRUE,"VOS";#N/A,#N/A,TRUE,"Warrington";#N/A,#N/A,TRUE,"Widnes"}</definedName>
    <definedName name="B_Alterations">#REF!</definedName>
    <definedName name="B_FLG">#REF!</definedName>
    <definedName name="b00000">#REF!</definedName>
    <definedName name="B1." localSheetId="7">#REF!</definedName>
    <definedName name="B1." localSheetId="3">#REF!</definedName>
    <definedName name="B1." localSheetId="6">#REF!</definedName>
    <definedName name="B1." localSheetId="9">#REF!</definedName>
    <definedName name="B1." localSheetId="2">#REF!</definedName>
    <definedName name="B1." localSheetId="5">#REF!</definedName>
    <definedName name="B1." localSheetId="8">#REF!</definedName>
    <definedName name="B1.">#REF!</definedName>
    <definedName name="B1A">#REF!</definedName>
    <definedName name="B1B">#REF!</definedName>
    <definedName name="B1T">#REF!</definedName>
    <definedName name="B1WL">#REF!</definedName>
    <definedName name="B1WR">#REF!</definedName>
    <definedName name="B2A">#REF!</definedName>
    <definedName name="B2B">#REF!</definedName>
    <definedName name="B2WL">#REF!</definedName>
    <definedName name="B2WR">#REF!</definedName>
    <definedName name="B3A">#REF!</definedName>
    <definedName name="B3B">#REF!</definedName>
    <definedName name="B3송" hidden="1">#REF!</definedName>
    <definedName name="B4A">#REF!</definedName>
    <definedName name="B4B">#REF!</definedName>
    <definedName name="B5A">#REF!</definedName>
    <definedName name="B5B">#REF!</definedName>
    <definedName name="B6A">#REF!</definedName>
    <definedName name="B6B">#REF!</definedName>
    <definedName name="B6T">#REF!</definedName>
    <definedName name="B7A">#REF!</definedName>
    <definedName name="B7B">#REF!</definedName>
    <definedName name="B8A">#REF!</definedName>
    <definedName name="BA">#REF!</definedName>
    <definedName name="back" hidden="1">{#N/A,#N/A,TRUE,"Cover";#N/A,#N/A,TRUE,"Conts";#N/A,#N/A,TRUE,"VOS";#N/A,#N/A,TRUE,"Warrington";#N/A,#N/A,TRUE,"Widnes"}</definedName>
    <definedName name="Back_cover" hidden="1">{#N/A,#N/A,TRUE,"Cover";#N/A,#N/A,TRUE,"Conts";#N/A,#N/A,TRUE,"VOS";#N/A,#N/A,TRUE,"Warrington";#N/A,#N/A,TRUE,"Widnes"}</definedName>
    <definedName name="back_cover1" hidden="1">{#N/A,#N/A,TRUE,"Cover";#N/A,#N/A,TRUE,"Conts";#N/A,#N/A,TRUE,"VOS";#N/A,#N/A,TRUE,"Warrington";#N/A,#N/A,TRUE,"Widnes"}</definedName>
    <definedName name="back_pressure">#REF!</definedName>
    <definedName name="back1" hidden="1">{#N/A,#N/A,TRUE,"Cover";#N/A,#N/A,TRUE,"Conts";#N/A,#N/A,TRUE,"VOS";#N/A,#N/A,TRUE,"Warrington";#N/A,#N/A,TRUE,"Widnes"}</definedName>
    <definedName name="backfill">#N/A</definedName>
    <definedName name="BackToSummary">#REF!</definedName>
    <definedName name="bagheri">#REF!</definedName>
    <definedName name="ball">#REF!</definedName>
    <definedName name="ban">#REF!</definedName>
    <definedName name="BARBICAN">#REF!</definedName>
    <definedName name="bargroup1" hidden="1">OR(#REF!=0,#REF!=1,#REF!=99)</definedName>
    <definedName name="bargroup2" hidden="1">OR(#REF!=11,#REF!=75,#REF!=47,#REF!=51,#REF!=63)</definedName>
    <definedName name="bargroup3" hidden="1">OR(#REF!=13,#REF!=14,#REF!=15,#REF!=21,#REF!=23,#REF!=33)</definedName>
    <definedName name="bargroup4" hidden="1">OR(#REF!=22,#REF!=24,#REF!=26,#REF!=27,#REF!=28,#REF!=29,#REF!=31,#REF!=32,#REF!=98)</definedName>
    <definedName name="bargroup5" hidden="1">OR(#REF!=25,#REF!=34,#REF!=35,#REF!=36,#REF!=41,#REF!=44,#REF!=46,#REF!=56,#REF!=64)</definedName>
    <definedName name="bargroup6" hidden="1">#REF!=67</definedName>
    <definedName name="bargroup7" hidden="1">#REF!=12</definedName>
    <definedName name="bargroup8" hidden="1">#REF!=77</definedName>
    <definedName name="BARIER">#REF!</definedName>
    <definedName name="BARNES" hidden="1">#REF!</definedName>
    <definedName name="BARRIER_GATE">#REF!</definedName>
    <definedName name="BAS" hidden="1">#REF!</definedName>
    <definedName name="Base">#REF!</definedName>
    <definedName name="BASE_1" hidden="1">{#N/A,#N/A,TRUE,"Basic";#N/A,#N/A,TRUE,"EXT-TABLE";#N/A,#N/A,TRUE,"STEEL";#N/A,#N/A,TRUE,"INT-Table";#N/A,#N/A,TRUE,"STEEL";#N/A,#N/A,TRUE,"Door"}</definedName>
    <definedName name="BASE_2" hidden="1">{#N/A,#N/A,TRUE,"Basic";#N/A,#N/A,TRUE,"EXT-TABLE";#N/A,#N/A,TRUE,"STEEL";#N/A,#N/A,TRUE,"INT-Table";#N/A,#N/A,TRUE,"STEEL";#N/A,#N/A,TRUE,"Door"}</definedName>
    <definedName name="BASE_COURSE">#REF!</definedName>
    <definedName name="Base_Qty_DB">IF(VLOOKUP(#REF!,DB_PRICING,9,FALSE)=0,0,VLOOKUP(#REF!,DB_PRICING,9,FALSE))</definedName>
    <definedName name="BASE_Summary">#REF!</definedName>
    <definedName name="BASE_Summary1">#REF!</definedName>
    <definedName name="BASE_Summary2">#REF!</definedName>
    <definedName name="BaseD">#REF!</definedName>
    <definedName name="BaseData">#REF!,#REF!</definedName>
    <definedName name="BaseDate">#REF!</definedName>
    <definedName name="BaseDay">#REF!</definedName>
    <definedName name="baseend">#REF!</definedName>
    <definedName name="baseend1">#REF!</definedName>
    <definedName name="BaseM">#REF!</definedName>
    <definedName name="BASEMENT">#REF!</definedName>
    <definedName name="BaseMonth">#REF!</definedName>
    <definedName name="BaseYear">#REF!</definedName>
    <definedName name="basin" hidden="1">{"'장비'!$A$3:$M$12"}</definedName>
    <definedName name="BASIS">#REF!</definedName>
    <definedName name="BASIS1">#REF!</definedName>
    <definedName name="BAYS">#REF!</definedName>
    <definedName name="bb" localSheetId="7" hidden="1">{#N/A,#N/A,TRUE,"Cover";#N/A,#N/A,TRUE,"Conts";#N/A,#N/A,TRUE,"VOS";#N/A,#N/A,TRUE,"Warrington";#N/A,#N/A,TRUE,"Widnes"}</definedName>
    <definedName name="bb" localSheetId="0" hidden="1">{#N/A,#N/A,TRUE,"Cover";#N/A,#N/A,TRUE,"Conts";#N/A,#N/A,TRUE,"VOS";#N/A,#N/A,TRUE,"Warrington";#N/A,#N/A,TRUE,"Widnes"}</definedName>
    <definedName name="bb" localSheetId="9"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se">#REF!</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#REF!</definedName>
    <definedName name="bbbbb" hidden="1">{#N/A,#N/A,FALSE,"SumD";#N/A,#N/A,FALSE,"ElecD";#N/A,#N/A,FALSE,"MechD";#N/A,#N/A,FALSE,"GeotD";#N/A,#N/A,FALSE,"PrcsD";#N/A,#N/A,FALSE,"TunnD";#N/A,#N/A,FALSE,"CivlD";#N/A,#N/A,FALSE,"NtwkD";#N/A,#N/A,FALSE,"EstgD";#N/A,#N/A,FALSE,"PEngD"}</definedName>
    <definedName name="bbbbbb">{#N/A,#N/A,FALSE,"type1";#N/A,#N/A,FALSE,"지지력";#N/A,#N/A,FALSE,"PILE계산";#N/A,#N/A,FALSE,"PILE ";#N/A,#N/A,FALSE,"철근량";#N/A,#N/A,FALSE,"균열검토";#N/A,#N/A,FALSE,"날개벽";#N/A,#N/A,FALSE,"주철근조립도";#N/A,#N/A,FALSE,"교좌"}</definedName>
    <definedName name="bbbbbbb" hidden="1">{#N/A,#N/A,FALSE,"SumG";#N/A,#N/A,FALSE,"ElecG";#N/A,#N/A,FALSE,"MechG";#N/A,#N/A,FALSE,"GeotG";#N/A,#N/A,FALSE,"PrcsG";#N/A,#N/A,FALSE,"TunnG";#N/A,#N/A,FALSE,"CivlG";#N/A,#N/A,FALSE,"NtwkG";#N/A,#N/A,FALSE,"EstgG";#N/A,#N/A,FALSE,"PEngG"}</definedName>
    <definedName name="bbbbbbbbb" hidden="1">{#N/A,#N/A,FALSE,"SumD";#N/A,#N/A,FALSE,"ElecD";#N/A,#N/A,FALSE,"MechD";#N/A,#N/A,FALSE,"GeotD";#N/A,#N/A,FALSE,"PrcsD";#N/A,#N/A,FALSE,"TunnD";#N/A,#N/A,FALSE,"CivlD";#N/A,#N/A,FALSE,"NtwkD";#N/A,#N/A,FALSE,"EstgD";#N/A,#N/A,FALSE,"PEngD"}</definedName>
    <definedName name="bbbbbbbbbb" hidden="1">#REF!</definedName>
    <definedName name="bbbbbbbbbbb" hidden="1">{#N/A,#N/A,FALSE,"SumG";#N/A,#N/A,FALSE,"ElecG";#N/A,#N/A,FALSE,"MechG";#N/A,#N/A,FALSE,"GeotG";#N/A,#N/A,FALSE,"PrcsG";#N/A,#N/A,FALSE,"TunnG";#N/A,#N/A,FALSE,"CivlG";#N/A,#N/A,FALSE,"NtwkG";#N/A,#N/A,FALSE,"EstgG";#N/A,#N/A,FALSE,"PEngG"}</definedName>
    <definedName name="bbbbbbbbbbbbb" hidden="1">#REF!</definedName>
    <definedName name="bbbbbbbbbbbbbb"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bbbbbbbbbbbbbbbbbbb">#REF!</definedName>
    <definedName name="bbs" hidden="1">#REF!</definedName>
    <definedName name="BC">#REF!</definedName>
    <definedName name="BCD">#REF!</definedName>
    <definedName name="BCGHCF" hidden="1">{#N/A,#N/A,TRUE,"Cover";#N/A,#N/A,TRUE,"Conts";#N/A,#N/A,TRUE,"VOS";#N/A,#N/A,TRUE,"Warrington";#N/A,#N/A,TRUE,"Widnes"}</definedName>
    <definedName name="BCIS" localSheetId="7" hidden="1">{#N/A,#N/A,TRUE,"Cover";#N/A,#N/A,TRUE,"Conts";#N/A,#N/A,TRUE,"VOS";#N/A,#N/A,TRUE,"Warrington";#N/A,#N/A,TRUE,"Widnes"}</definedName>
    <definedName name="BCIS" localSheetId="0" hidden="1">{#N/A,#N/A,TRUE,"Cover";#N/A,#N/A,TRUE,"Conts";#N/A,#N/A,TRUE,"VOS";#N/A,#N/A,TRUE,"Warrington";#N/A,#N/A,TRUE,"Widnes"}</definedName>
    <definedName name="BCIS" localSheetId="9"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#REF!</definedName>
    <definedName name="BCTemp">#REF!</definedName>
    <definedName name="bd">#REF!</definedName>
    <definedName name="BD5산근" hidden="1">#REF!</definedName>
    <definedName name="BD5수량집계" hidden="1">#REF!</definedName>
    <definedName name="bdb" hidden="1">{#N/A,#N/A,TRUE,"LOADCOVE";#N/A,#N/A,TRUE,"PAGE001";#N/A,#N/A,TRUE,"PAGE002";#N/A,#N/A,TRUE,"PAGE003";#N/A,#N/A,TRUE,"PAGE004";#N/A,#N/A,TRUE,"PAGE005";#N/A,#N/A,TRUE,"PAGE006";#N/A,#N/A,TRUE,"PAGE007";#N/A,#N/A,TRUE,"PAGE008";#N/A,#N/A,TRUE,"PAGE009";#N/A,#N/A,TRUE,"PAGE010";#N/A,#N/A,TRUE,"PAGE011";#N/A,#N/A,TRUE,"PAGE012";#N/A,#N/A,TRUE,"PAGE013"}</definedName>
    <definedName name="BDF"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BDR">#REF!</definedName>
    <definedName name="BDRBLD">#REF!</definedName>
    <definedName name="be" hidden="1">{"'Break down'!$A$4"}</definedName>
    <definedName name="Beams">#REF!</definedName>
    <definedName name="BEFORE_MP">#REF!</definedName>
    <definedName name="BELL" hidden="1">{#N/A,#N/A,TRUE,"Basic";#N/A,#N/A,TRUE,"EXT-TABLE";#N/A,#N/A,TRUE,"STEEL";#N/A,#N/A,TRUE,"INT-Table";#N/A,#N/A,TRUE,"STEEL";#N/A,#N/A,TRUE,"Door"}</definedName>
    <definedName name="BELL_1" hidden="1">{#N/A,#N/A,TRUE,"Basic";#N/A,#N/A,TRUE,"EXT-TABLE";#N/A,#N/A,TRUE,"STEEL";#N/A,#N/A,TRUE,"INT-Table";#N/A,#N/A,TRUE,"STEEL";#N/A,#N/A,TRUE,"Door"}</definedName>
    <definedName name="BELL_2" hidden="1">{#N/A,#N/A,TRUE,"Basic";#N/A,#N/A,TRUE,"EXT-TABLE";#N/A,#N/A,TRUE,"STEEL";#N/A,#N/A,TRUE,"INT-Table";#N/A,#N/A,TRUE,"STEEL";#N/A,#N/A,TRUE,"Door"}</definedName>
    <definedName name="BERT" hidden="1">#REF!</definedName>
    <definedName name="beta">#REF!</definedName>
    <definedName name="Bf">#REF!</definedName>
    <definedName name="Bf_1">#N/A</definedName>
    <definedName name="bfbfdhfdhdfgh" hidden="1">{#N/A,#N/A,FALSE,"CCTV"}</definedName>
    <definedName name="bfbfdhfdhdfgh_1" hidden="1">{#N/A,#N/A,FALSE,"CCTV"}</definedName>
    <definedName name="bfbfdhfdhdfgh_2" hidden="1">{#N/A,#N/A,FALSE,"CCTV"}</definedName>
    <definedName name="bfbsd" hidden="1">{#N/A,#N/A,TRUE,"LOADCOVE";#N/A,#N/A,TRUE,"PAGE001";#N/A,#N/A,TRUE,"PAGE002";#N/A,#N/A,TRUE,"PAGE003";#N/A,#N/A,TRUE,"PAGE004";#N/A,#N/A,TRUE,"PAGE005";#N/A,#N/A,TRUE,"PAGE006";#N/A,#N/A,TRUE,"PAGE007";#N/A,#N/A,TRUE,"PAGE008";#N/A,#N/A,TRUE,"PAGE009";#N/A,#N/A,TRUE,"PAGE010";#N/A,#N/A,TRUE,"PAGE011";#N/A,#N/A,TRUE,"PAGE012";#N/A,#N/A,TRUE,"PAGE013"}</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charge">#REF!</definedName>
    <definedName name="BG_Del" hidden="1">15</definedName>
    <definedName name="BG_Ins" hidden="1">4</definedName>
    <definedName name="BG_Mod" hidden="1">6</definedName>
    <definedName name="bgfd">IF(ISNA(MATCH(ROW(),RowAfterpgbrk,1)),1,MATCH(ROW(),RowAfterpgbrk,1)+1)&lt;&gt;IF(ISNA(MATCH(ROW()+1,RowAfterpgbrk,1)),1,MATCH(ROW()+1,RowAfterpgbrk,1)+1)</definedName>
    <definedName name="bghjh" hidden="1">{#N/A,#N/A,TRUE,"Cover";#N/A,#N/A,TRUE,"Conts";#N/A,#N/A,TRUE,"VOS";#N/A,#N/A,TRUE,"Warrington";#N/A,#N/A,TRUE,"Widnes"}</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hbb" hidden="1">{#N/A,#N/A,TRUE,"Front";#N/A,#N/A,TRUE,"Simple Letter";#N/A,#N/A,TRUE,"Inside";#N/A,#N/A,TRUE,"Contents";#N/A,#N/A,TRUE,"Basis";#N/A,#N/A,TRUE,"Inclusions";#N/A,#N/A,TRUE,"Exclusions";#N/A,#N/A,TRUE,"Areas";#N/A,#N/A,TRUE,"Summary";#N/A,#N/A,TRUE,"Detail"}</definedName>
    <definedName name="BHU">#REF!</definedName>
    <definedName name="Bid_Currency_Rate">#REF!</definedName>
    <definedName name="biiiiiiiiii" hidden="1">{#N/A,#N/A,TRUE,"Front";#N/A,#N/A,TRUE,"Simple Letter";#N/A,#N/A,TRUE,"Inside";#N/A,#N/A,TRUE,"Contents";#N/A,#N/A,TRUE,"Basis";#N/A,#N/A,TRUE,"Inclusions";#N/A,#N/A,TRUE,"Exclusions";#N/A,#N/A,TRUE,"Areas";#N/A,#N/A,TRUE,"Summary";#N/A,#N/A,TRUE,"Detail"}</definedName>
    <definedName name="Biju" hidden="1">{#N/A,#N/A,FALSE,"SumG";#N/A,#N/A,FALSE,"ElecG";#N/A,#N/A,FALSE,"MechG";#N/A,#N/A,FALSE,"GeotG";#N/A,#N/A,FALSE,"PrcsG";#N/A,#N/A,FALSE,"TunnG";#N/A,#N/A,FALSE,"CivlG";#N/A,#N/A,FALSE,"NtwkG";#N/A,#N/A,FALSE,"EstgG";#N/A,#N/A,FALSE,"PEngG"}</definedName>
    <definedName name="Biju_1" hidden="1">{#N/A,#N/A,FALSE,"SumG";#N/A,#N/A,FALSE,"ElecG";#N/A,#N/A,FALSE,"MechG";#N/A,#N/A,FALSE,"GeotG";#N/A,#N/A,FALSE,"PrcsG";#N/A,#N/A,FALSE,"TunnG";#N/A,#N/A,FALSE,"CivlG";#N/A,#N/A,FALSE,"NtwkG";#N/A,#N/A,FALSE,"EstgG";#N/A,#N/A,FALSE,"PEngG"}</definedName>
    <definedName name="BIL1A">#REF!</definedName>
    <definedName name="BIL1B">#REF!</definedName>
    <definedName name="BIL1C">#REF!</definedName>
    <definedName name="BIL2A">#REF!</definedName>
    <definedName name="BIL2B">#REF!</definedName>
    <definedName name="BIL2C">#REF!</definedName>
    <definedName name="BIL3A">#REF!</definedName>
    <definedName name="BIL3B">#REF!</definedName>
    <definedName name="BIL3C">#REF!</definedName>
    <definedName name="BIL4A">#REF!</definedName>
    <definedName name="BIL4B">#REF!</definedName>
    <definedName name="BIL4C">#REF!</definedName>
    <definedName name="BIL5A">#REF!</definedName>
    <definedName name="BIL5B">#REF!</definedName>
    <definedName name="BIL5C">#REF!</definedName>
    <definedName name="BIL6A">#REF!</definedName>
    <definedName name="BIL6B">#REF!</definedName>
    <definedName name="BIL6C">#REF!</definedName>
    <definedName name="BIL7A">#REF!</definedName>
    <definedName name="BIL7B">#REF!</definedName>
    <definedName name="BIL7C">#REF!</definedName>
    <definedName name="BILA1">#REF!</definedName>
    <definedName name="BILA2">#REF!</definedName>
    <definedName name="BILA3">#REF!</definedName>
    <definedName name="BILA4">#REF!</definedName>
    <definedName name="BILA5">#REF!</definedName>
    <definedName name="bila6">#REF!</definedName>
    <definedName name="BILA7">#REF!</definedName>
    <definedName name="bill2">#REF!</definedName>
    <definedName name="bill3">#REF!</definedName>
    <definedName name="BILL8DIV02TOTALAMT">#REF!</definedName>
    <definedName name="BILL8DIV03TOTALAMT">#REF!</definedName>
    <definedName name="BILL8DIV04TOTALAMT">#REF!</definedName>
    <definedName name="BILL8DIV05TOTALAMT">#REF!</definedName>
    <definedName name="BILL8DIV06TOTALAMT">#REF!</definedName>
    <definedName name="BILL8DIV07TOTALAMT">#REF!</definedName>
    <definedName name="BILL8DIV09TOTALAMT">#REF!</definedName>
    <definedName name="BILL8DIV10TOTALAMT">#REF!</definedName>
    <definedName name="Billings">#REF!</definedName>
    <definedName name="billname1">#REF!</definedName>
    <definedName name="billname2">#REF!</definedName>
    <definedName name="billname3">#REF!</definedName>
    <definedName name="BILST">#REF!</definedName>
    <definedName name="BIN">#REF!</definedName>
    <definedName name="binjai.xls" hidden="1">#REF!</definedName>
    <definedName name="Bitumen">#REF!</definedName>
    <definedName name="Bitumen_21">#REF!</definedName>
    <definedName name="Bitumen_22">#REF!</definedName>
    <definedName name="Bitumen_23">#REF!</definedName>
    <definedName name="Bitumen_24">#REF!</definedName>
    <definedName name="Bitumen_25">#REF!</definedName>
    <definedName name="Bitumen_26">#REF!</definedName>
    <definedName name="BITUMINOUS">#REF!</definedName>
    <definedName name="bjhj" hidden="1">{#N/A,#N/A,TRUE,"Front";#N/A,#N/A,TRUE,"Simple Letter";#N/A,#N/A,TRUE,"Inside";#N/A,#N/A,TRUE,"Contents";#N/A,#N/A,TRUE,"Basis";#N/A,#N/A,TRUE,"Inclusions";#N/A,#N/A,TRUE,"Exclusions";#N/A,#N/A,TRUE,"Areas";#N/A,#N/A,TRUE,"Summary";#N/A,#N/A,TRUE,"Detail"}</definedName>
    <definedName name="bk">#REF!</definedName>
    <definedName name="bkd" hidden="1">{"'Sheet1'!$L$16"}</definedName>
    <definedName name="bkd_1" hidden="1">{"'Sheet1'!$L$16"}</definedName>
    <definedName name="bkd_2" hidden="1">{"'Sheet1'!$L$16"}</definedName>
    <definedName name="BLANDAT">#REF!</definedName>
    <definedName name="blankline">#REF!</definedName>
    <definedName name="BLC_Spec1a">#REF!</definedName>
    <definedName name="BLC_SpecIndex">#REF!</definedName>
    <definedName name="BldArea">#REF!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1" hidden="1">{#N/A,#N/A,FALSE,"CCTV"}</definedName>
    <definedName name="BLDG_2" hidden="1">{#N/A,#N/A,FALSE,"CCTV"}</definedName>
    <definedName name="BLDG_LIST" hidden="1">#REF!</definedName>
    <definedName name="BLDGNO">#REF!</definedName>
    <definedName name="BldRatio">#REF!</definedName>
    <definedName name="BLLLL" hidden="1">{#N/A,#N/A,TRUE,"Basic";#N/A,#N/A,TRUE,"EXT-TABLE";#N/A,#N/A,TRUE,"STEEL";#N/A,#N/A,TRUE,"INT-Table";#N/A,#N/A,TRUE,"STEEL";#N/A,#N/A,TRUE,"Door"}</definedName>
    <definedName name="block1">#REF!</definedName>
    <definedName name="blockc" hidden="1">{#N/A,#N/A,FALSE,"전체집계표";#N/A,#N/A,FALSE,"안벽30000";#N/A,#N/A,FALSE,"안벽20000";#N/A,#N/A,FALSE,"내호안";#N/A,#N/A,FALSE,"외호안";#N/A,#N/A,FALSE,"준설토A";#N/A,#N/A,FALSE,"준설토B";#N/A,#N/A,FALSE,"적출장"}</definedName>
    <definedName name="blockc_1" hidden="1">{#N/A,#N/A,FALSE,"전체집계표";#N/A,#N/A,FALSE,"안벽30000";#N/A,#N/A,FALSE,"안벽20000";#N/A,#N/A,FALSE,"내호안";#N/A,#N/A,FALSE,"외호안";#N/A,#N/A,FALSE,"준설토A";#N/A,#N/A,FALSE,"준설토B";#N/A,#N/A,FALSE,"적출장"}</definedName>
    <definedName name="blockc_2" hidden="1">{#N/A,#N/A,FALSE,"전체집계표";#N/A,#N/A,FALSE,"안벽30000";#N/A,#N/A,FALSE,"안벽20000";#N/A,#N/A,FALSE,"내호안";#N/A,#N/A,FALSE,"외호안";#N/A,#N/A,FALSE,"준설토A";#N/A,#N/A,FALSE,"준설토B";#N/A,#N/A,FALSE,"적출장"}</definedName>
    <definedName name="Blocks_Work">#REF!</definedName>
    <definedName name="Blue">#REF!</definedName>
    <definedName name="BM" hidden="1">{#N/A,#N/A,FALSE,"CCTV"}</definedName>
    <definedName name="BM_1" hidden="1">{#N/A,#N/A,FALSE,"CCTV"}</definedName>
    <definedName name="BM_2" hidden="1">{#N/A,#N/A,FALSE,"CCTV"}</definedName>
    <definedName name="BMO">#REF!</definedName>
    <definedName name="bn" hidden="1">{"'Sheet1'!$L$16"}</definedName>
    <definedName name="bn_1" hidden="1">{"'Sheet1'!$L$16"}</definedName>
    <definedName name="bn_2" hidden="1">{"'Sheet1'!$L$16"}</definedName>
    <definedName name="bnd">#REF!</definedName>
    <definedName name="BNHJB" hidden="1">{#N/A,#N/A,TRUE,"Front";#N/A,#N/A,TRUE,"Simple Letter";#N/A,#N/A,TRUE,"Inside";#N/A,#N/A,TRUE,"Contents";#N/A,#N/A,TRUE,"Basis";#N/A,#N/A,TRUE,"Inclusions";#N/A,#N/A,TRUE,"Exclusions";#N/A,#N/A,TRUE,"Areas";#N/A,#N/A,TRUE,"Summary";#N/A,#N/A,TRUE,"Detail"}</definedName>
    <definedName name="bnm">IF(ISNA(MATCH(ROW(),RowAfterpgbrk,1)),1,MATCH(ROW(),RowAfterpgbrk,1)+1)</definedName>
    <definedName name="BNMH" hidden="1">{#N/A,#N/A,FALSE,"CCTV"}</definedName>
    <definedName name="Bo">#REF!</definedName>
    <definedName name="bo_num">#REF!</definedName>
    <definedName name="bob" hidden="1">{#N/A,#N/A,FALSE,"CCTV"}</definedName>
    <definedName name="BOE">#REF!</definedName>
    <definedName name="BOGROLLS">#REF!</definedName>
    <definedName name="BOLT">#REF!</definedName>
    <definedName name="BOLTUP">#REF!</definedName>
    <definedName name="bone" hidden="1">{#N/A,#N/A,FALSE,"intag";#N/A,#N/A,FALSE,"budg";#N/A,#N/A,FALSE,"samtl"}</definedName>
    <definedName name="Bookcase_00">#REF!</definedName>
    <definedName name="Bookcase_01">#REF!</definedName>
    <definedName name="Bookcase_02">#REF!</definedName>
    <definedName name="Bookcase_03">#REF!</definedName>
    <definedName name="boop" hidden="1">{"'Break down'!$A$4"}</definedName>
    <definedName name="BOP">#REF!</definedName>
    <definedName name="BOP_INS">IF(#REF!="INS",VLOOKUP(#REF!,InsB,HLOOKUP(#REF!,BOP,2)+1,FALSE),0)</definedName>
    <definedName name="BOP_LAB">VLOOKUP(#REF!,BOPLAB,HLOOKUP(#REF!,BOP,2),FALSE)+(VLOOKUP(#REF!,BOPLAB,HLOOKUP(#REF!,BOP,2)+1,FALSE)-VLOOKUP(#REF!,BOPLAB,HLOOKUP(#REF!,BOP,2),FALSE))*(#REF!-HLOOKUP(#REF!,BOP,1))/(HLOOKUP(#REF!+2,BOP,1)-HLOOKUP(#REF!,BOP,1))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PLAB">#REF!</definedName>
    <definedName name="BOPMAT">#REF!</definedName>
    <definedName name="BOQ">#REF!</definedName>
    <definedName name="BOQ_SUMMARY" hidden="1">{#N/A,#N/A,TRUE,"Basic";#N/A,#N/A,TRUE,"EXT-TABLE";#N/A,#N/A,TRUE,"STEEL";#N/A,#N/A,TRUE,"INT-Table";#N/A,#N/A,TRUE,"STEEL";#N/A,#N/A,TRUE,"Door"}</definedName>
    <definedName name="boqformat">#REF!</definedName>
    <definedName name="BOQOYIP">#REF!</definedName>
    <definedName name="borabt">#REF!</definedName>
    <definedName name="borabt_1">#N/A</definedName>
    <definedName name="borlen1">#REF!</definedName>
    <definedName name="borlen1_1">#N/A</definedName>
    <definedName name="borlen2">#REF!</definedName>
    <definedName name="borlen2_1">#N/A</definedName>
    <definedName name="borlen3">#REF!</definedName>
    <definedName name="borlen3_1">#N/A</definedName>
    <definedName name="BORROW">#REF!</definedName>
    <definedName name="BOSS">#REF!</definedName>
    <definedName name="botas">#REF!</definedName>
    <definedName name="botdia">#REF!</definedName>
    <definedName name="botinterval">#REF!</definedName>
    <definedName name="botmax">#REF!</definedName>
    <definedName name="Bouton12_QuandClic">#N/A</definedName>
    <definedName name="Bouton13_QuandClic">#N/A</definedName>
    <definedName name="Boxvol">#REF!</definedName>
    <definedName name="Boxvol_1">#N/A</definedName>
    <definedName name="BP">#REF!</definedName>
    <definedName name="BQ">#REF!</definedName>
    <definedName name="br">#REF!</definedName>
    <definedName name="brd">#REF!</definedName>
    <definedName name="break" hidden="1">{#N/A,#N/A,TRUE,"Cover Memo";"Ride Estimate",#N/A,TRUE,"Change Summary";"Ride Estimate",#N/A,TRUE,"Estimate Summary";"Ride Estimate",#N/A,TRUE,"Dept. Summary";"Ride Estimate",#N/A,TRUE,"DOW Detail"}</definedName>
    <definedName name="Breaker_Frame_Ratings">#REF!</definedName>
    <definedName name="Breaker_Size">#REF!</definedName>
    <definedName name="BreakerRatings">#REF!</definedName>
    <definedName name="Brgname">#REF!</definedName>
    <definedName name="Brgname_1">#N/A</definedName>
    <definedName name="bRKRKRKRKRTDK">#REF!</definedName>
    <definedName name="Brname">#REF!</definedName>
    <definedName name="Brname_1">#N/A</definedName>
    <definedName name="Brown">#REF!</definedName>
    <definedName name="BS" hidden="1">#REF!</definedName>
    <definedName name="bs_chekjum">#REF!</definedName>
    <definedName name="bs_chekplus">#REF!</definedName>
    <definedName name="bs_chekwave">#REF!</definedName>
    <definedName name="BSD">#REF!</definedName>
    <definedName name="BSH">#REF!</definedName>
    <definedName name="bsss" hidden="1">{"'M'!$C$12:$D$12"}</definedName>
    <definedName name="btg">"Page "&amp;IF(ISNA(MATCH(ROW(),RowAfterpgbrk,1)),1,MATCH(ROW(),RowAfterpgbrk,1)+1)&amp;" of " &amp; TotPageCount + 0*NOW()</definedName>
    <definedName name="bthk">#REF!</definedName>
    <definedName name="BTIP수정예산" hidden="1">{"'장비'!$A$3:$M$12"}</definedName>
    <definedName name="BTS_Core">#REF!</definedName>
    <definedName name="BTS_Sizes">#REF!</definedName>
    <definedName name="Budgets">#REF!</definedName>
    <definedName name="BUDGQTY">#REF!</definedName>
    <definedName name="BudRates">#REF!</definedName>
    <definedName name="build_up">#REF!</definedName>
    <definedName name="BUILDER_S__PROFIT__AND__ATTENDANCE">#REF!</definedName>
    <definedName name="BUILDER_S__WORK__IN_CONNECTION">#REF!</definedName>
    <definedName name="BUILDING" hidden="1">{#N/A,#N/A,TRUE,"Basic";#N/A,#N/A,TRUE,"EXT-TABLE";#N/A,#N/A,TRUE,"STEEL";#N/A,#N/A,TRUE,"INT-Table";#N/A,#N/A,TRUE,"STEEL";#N/A,#N/A,TRUE,"Door"}</definedName>
    <definedName name="BUILDING_LIST" hidden="1">#REF!</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dingCost">#REF!</definedName>
    <definedName name="Buildings">#REF!</definedName>
    <definedName name="Built_Area">#REF!</definedName>
    <definedName name="BuiltIn_Print_Area">#REF!</definedName>
    <definedName name="BULKMATERIAL_UNIT_COST">#REF!,#REF!,#REF!,#REF!,#REF!,#REF!,#REF!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#REF!</definedName>
    <definedName name="Business_Travel_Rates">#REF!</definedName>
    <definedName name="butterfly">#REF!</definedName>
    <definedName name="BUYT" hidden="1">{#N/A,#N/A,TRUE,"Front";#N/A,#N/A,TRUE,"Simple Letter";#N/A,#N/A,TRUE,"Inside";#N/A,#N/A,TRUE,"Contents";#N/A,#N/A,TRUE,"Basis";#N/A,#N/A,TRUE,"Inclusions";#N/A,#N/A,TRUE,"Exclusions";#N/A,#N/A,TRUE,"Areas";#N/A,#N/A,TRUE,"Summary";#N/A,#N/A,TRUE,"Detail"}</definedName>
    <definedName name="BV" hidden="1">#REF!</definedName>
    <definedName name="bvc">IF(ISNA(MATCH(ROW(),RowAfterpgbrk,1)),1,MATCH(ROW(),RowAfterpgbrk,1)+1)</definedName>
    <definedName name="bvxc" hidden="1">{#N/A,#N/A,TRUE,"Cover";#N/A,#N/A,TRUE,"Conts";#N/A,#N/A,TRUE,"VOS";#N/A,#N/A,TRUE,"Warrington";#N/A,#N/A,TRUE,"Widnes"}</definedName>
    <definedName name="Bx">#REF!</definedName>
    <definedName name="BYT" hidden="1">{#N/A,#N/A,TRUE,"Front";#N/A,#N/A,TRUE,"Simple Letter";#N/A,#N/A,TRUE,"Inside";#N/A,#N/A,TRUE,"Contents";#N/A,#N/A,TRUE,"Basis";#N/A,#N/A,TRUE,"Inclusions";#N/A,#N/A,TRUE,"Exclusions";#N/A,#N/A,TRUE,"Areas";#N/A,#N/A,TRUE,"Summary";#N/A,#N/A,TRUE,"Detail"}</definedName>
    <definedName name="Bz">#REF!</definedName>
    <definedName name="C.01">#REF!</definedName>
    <definedName name="C.02">#REF!</definedName>
    <definedName name="C.02a">#REF!</definedName>
    <definedName name="C.02b">#REF!</definedName>
    <definedName name="C.02c">#REF!</definedName>
    <definedName name="C.02d">#REF!</definedName>
    <definedName name="C.02e">#REF!</definedName>
    <definedName name="C.03">#REF!</definedName>
    <definedName name="C.04">#REF!</definedName>
    <definedName name="C.05">#REF!</definedName>
    <definedName name="C.06">#REF!</definedName>
    <definedName name="C.07">#REF!</definedName>
    <definedName name="C.10">#REF!</definedName>
    <definedName name="C.11">#REF!</definedName>
    <definedName name="c.cost">#REF!</definedName>
    <definedName name="C_">#REF!</definedName>
    <definedName name="C_____STEEL_REBAR">#REF!</definedName>
    <definedName name="C_1">#REF!</definedName>
    <definedName name="C_A">#REF!</definedName>
    <definedName name="C_Earthworks">#REF!</definedName>
    <definedName name="C_F">#REF!</definedName>
    <definedName name="C_FA">#REF!</definedName>
    <definedName name="C_FS">#REF!</definedName>
    <definedName name="C_Install_1C_A_G">#REF!</definedName>
    <definedName name="C_Install_1C_UA_A35_G">#REF!</definedName>
    <definedName name="C_Install_1C_UA_B35_G">#REF!</definedName>
    <definedName name="C_Install_4C_G">#REF!</definedName>
    <definedName name="C_Install_BTS_G">#REF!</definedName>
    <definedName name="C_LEO">#REF!</definedName>
    <definedName name="C_MH">#REF!</definedName>
    <definedName name="C_P">#REF!</definedName>
    <definedName name="C_PA">#REF!</definedName>
    <definedName name="C_PS">#REF!</definedName>
    <definedName name="C_X">#REF!</definedName>
    <definedName name="C_XA">#REF!</definedName>
    <definedName name="C_XS">#REF!</definedName>
    <definedName name="CA">#REF!</definedName>
    <definedName name="CABLE">#REF!</definedName>
    <definedName name="CABLE_5KV">#REF!</definedName>
    <definedName name="CABLE_600V">#REF!</definedName>
    <definedName name="cable_bm" hidden="1">{"'rev8'!$B$3:$S$203"}</definedName>
    <definedName name="Cable_Core">#REF!</definedName>
    <definedName name="CABLE_PRICING">#REF!</definedName>
    <definedName name="Cable_Run">#REF!</definedName>
    <definedName name="Cable_Run_BTS">#REF!</definedName>
    <definedName name="CABLE_TYPE_15KV">#REF!</definedName>
    <definedName name="CABLE_TYPE_5KV">#REF!</definedName>
    <definedName name="CABLEEST">#REF!</definedName>
    <definedName name="cablerows">#REF!</definedName>
    <definedName name="CableSizes">#REF!</definedName>
    <definedName name="CableSizes_1C_A">#REF!</definedName>
    <definedName name="CableSizes_4C">#REF!</definedName>
    <definedName name="cac">#REF!</definedName>
    <definedName name="CAD">#REF!</definedName>
    <definedName name="Cadmesure">#REF!</definedName>
    <definedName name="cal">#REF!</definedName>
    <definedName name="cal_row">range(#REF!,ROW())</definedName>
    <definedName name="Calc_Error">#REF!</definedName>
    <definedName name="Calc_OK">#REF!</definedName>
    <definedName name="CalcAgencyPrice">#REF!</definedName>
    <definedName name="CalcTerm">#REF!</definedName>
    <definedName name="CalStage">#REF!</definedName>
    <definedName name="CAP">#REF!</definedName>
    <definedName name="CAP_ALLOY20">#REF!</definedName>
    <definedName name="CAP_CHROME">#REF!</definedName>
    <definedName name="CAP_CS">#REF!</definedName>
    <definedName name="CAP_CSCL">#REF!</definedName>
    <definedName name="CAP_SS">#REF!</definedName>
    <definedName name="CAP_THRD">#REF!</definedName>
    <definedName name="car_park_cash_flow" localSheetId="9">#REF!</definedName>
    <definedName name="car_park_cash_flow">#REF!</definedName>
    <definedName name="CARE" hidden="1">#REF!</definedName>
    <definedName name="CARGO" localSheetId="7" hidden="1">{#N/A,#N/A,FALSE,"C3";#N/A,#N/A,FALSE,"D2-17";#N/A,#N/A,FALSE,"C2-17";#N/A,#N/A,FALSE,"C2-CIVIL";#N/A,#N/A,FALSE,"D1-C1 contract";#N/A,#N/A,FALSE,"D1-CIVIL";#N/A,#N/A,FALSE,"C1 hourly";#N/A,#N/A,FALSE,"C1 contract";#N/A,#N/A,FALSE,"D1-C1 hourly"}</definedName>
    <definedName name="CARGO" localSheetId="0" hidden="1">{#N/A,#N/A,FALSE,"C3";#N/A,#N/A,FALSE,"D2-17";#N/A,#N/A,FALSE,"C2-17";#N/A,#N/A,FALSE,"C2-CIVIL";#N/A,#N/A,FALSE,"D1-C1 contract";#N/A,#N/A,FALSE,"D1-CIVIL";#N/A,#N/A,FALSE,"C1 hourly";#N/A,#N/A,FALSE,"C1 contract";#N/A,#N/A,FALSE,"D1-C1 hourly"}</definedName>
    <definedName name="CARGO" localSheetId="9"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RL" hidden="1">{#N/A,#N/A,FALSE,"CCTV"}</definedName>
    <definedName name="CARL_1" hidden="1">{#N/A,#N/A,FALSE,"CCTV"}</definedName>
    <definedName name="CARL_2" hidden="1">{#N/A,#N/A,FALSE,"CCTV"}</definedName>
    <definedName name="CARL1" hidden="1">{#N/A,#N/A,FALSE,"CCTV"}</definedName>
    <definedName name="CARL1_1" hidden="1">{#N/A,#N/A,FALSE,"CCTV"}</definedName>
    <definedName name="CARL1_2" hidden="1">{#N/A,#N/A,FALSE,"CCTV"}</definedName>
    <definedName name="CARL2" hidden="1">{#N/A,#N/A,FALSE,"CCTV"}</definedName>
    <definedName name="CARL2_1" hidden="1">{#N/A,#N/A,FALSE,"CCTV"}</definedName>
    <definedName name="CARL2_2" hidden="1">{#N/A,#N/A,FALSE,"CCTV"}</definedName>
    <definedName name="carp" hidden="1">{#N/A,#N/A,TRUE,"Front";#N/A,#N/A,TRUE,"Simple Letter";#N/A,#N/A,TRUE,"Inside";#N/A,#N/A,TRUE,"Contents";#N/A,#N/A,TRUE,"Basis";#N/A,#N/A,TRUE,"Inclusions";#N/A,#N/A,TRUE,"Exclusions";#N/A,#N/A,TRUE,"Areas";#N/A,#N/A,TRUE,"Summary";#N/A,#N/A,TRUE,"Detail"}</definedName>
    <definedName name="carpark" hidden="1">{"0,0525";"0";"0";"20";"0";"0,025";"7"}</definedName>
    <definedName name="Carparks">#REF!</definedName>
    <definedName name="CARPET">#REF!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d">IF(ISNA(MATCH(ROW(),RowAfterpgbrk,1)),1,MATCH(ROW(),RowAfterpgbrk,1)+1)</definedName>
    <definedName name="CASE" hidden="1">#REF!</definedName>
    <definedName name="cash">#REF!</definedName>
    <definedName name="cashfl" localSheetId="7" hidden="1">{#N/A,#N/A,TRUE,"Cover";#N/A,#N/A,TRUE,"Conts";#N/A,#N/A,TRUE,"VOS";#N/A,#N/A,TRUE,"Warrington";#N/A,#N/A,TRUE,"Widnes"}</definedName>
    <definedName name="cashfl" localSheetId="0" hidden="1">{#N/A,#N/A,TRUE,"Cover";#N/A,#N/A,TRUE,"Conts";#N/A,#N/A,TRUE,"VOS";#N/A,#N/A,TRUE,"Warrington";#N/A,#N/A,TRUE,"Widnes"}</definedName>
    <definedName name="cashfl" localSheetId="9"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ashfl_1" hidden="1">{#N/A,#N/A,TRUE,"Cover";#N/A,#N/A,TRUE,"Conts";#N/A,#N/A,TRUE,"VOS";#N/A,#N/A,TRUE,"Warrington";#N/A,#N/A,TRUE,"Widnes"}</definedName>
    <definedName name="cashfll" hidden="1">{#N/A,#N/A,TRUE,"Cover";#N/A,#N/A,TRUE,"Conts";#N/A,#N/A,TRUE,"VOS";#N/A,#N/A,TRUE,"Warrington";#N/A,#N/A,TRUE,"Widnes"}</definedName>
    <definedName name="casson3" hidden="1">{#N/A,#N/A,FALSE,"전체집계표";#N/A,#N/A,FALSE,"안벽30000";#N/A,#N/A,FALSE,"안벽20000";#N/A,#N/A,FALSE,"내호안";#N/A,#N/A,FALSE,"외호안";#N/A,#N/A,FALSE,"준설토A";#N/A,#N/A,FALSE,"준설토B";#N/A,#N/A,FALSE,"적출장"}</definedName>
    <definedName name="casson3_1" hidden="1">{#N/A,#N/A,FALSE,"전체집계표";#N/A,#N/A,FALSE,"안벽30000";#N/A,#N/A,FALSE,"안벽20000";#N/A,#N/A,FALSE,"내호안";#N/A,#N/A,FALSE,"외호안";#N/A,#N/A,FALSE,"준설토A";#N/A,#N/A,FALSE,"준설토B";#N/A,#N/A,FALSE,"적출장"}</definedName>
    <definedName name="casson3_2" hidden="1">{#N/A,#N/A,FALSE,"전체집계표";#N/A,#N/A,FALSE,"안벽30000";#N/A,#N/A,FALSE,"안벽20000";#N/A,#N/A,FALSE,"내호안";#N/A,#N/A,FALSE,"외호안";#N/A,#N/A,FALSE,"준설토A";#N/A,#N/A,FALSE,"준설토B";#N/A,#N/A,FALSE,"적출장"}</definedName>
    <definedName name="cat">#REF!</definedName>
    <definedName name="CATALYST">#REF!</definedName>
    <definedName name="CATEGORY">#N/A</definedName>
    <definedName name="Category_All">#REF!</definedName>
    <definedName name="CatEyes">#REF!</definedName>
    <definedName name="CatEyes_21">#REF!</definedName>
    <definedName name="CatEyes_22">#REF!</definedName>
    <definedName name="CatEyes_23">#REF!</definedName>
    <definedName name="CatEyes_24">#REF!</definedName>
    <definedName name="CatEyes_25">#REF!</definedName>
    <definedName name="CatEyes_26">#REF!</definedName>
    <definedName name="CATIN">#N/A</definedName>
    <definedName name="CATJYOU">#N/A</definedName>
    <definedName name="CATREC">#N/A</definedName>
    <definedName name="CATSYU">#N/A</definedName>
    <definedName name="CB">#REF!</definedName>
    <definedName name="cba" hidden="1">{"'con_010'!$A$1:$AN$63"}</definedName>
    <definedName name="CBIL1">#REF!</definedName>
    <definedName name="CBIL10">#REF!</definedName>
    <definedName name="CBIL11">#REF!</definedName>
    <definedName name="CBIL12">#REF!</definedName>
    <definedName name="CBIL2">#REF!</definedName>
    <definedName name="CBIL3">#REF!</definedName>
    <definedName name="CBIL4">#REF!</definedName>
    <definedName name="CBIL5">#REF!</definedName>
    <definedName name="CBIL6">#REF!</definedName>
    <definedName name="CBIL7">#REF!</definedName>
    <definedName name="CBIL8">#REF!</definedName>
    <definedName name="CBIL9">#REF!</definedName>
    <definedName name="cbn" hidden="1">{#N/A,#N/A,FALSE,"II-2 POP.HH";#N/A,#N/A,FALSE,"II-3 AGE.DIST";#N/A,#N/A,FALSE,"II-4 HH.DIST";#N/A,#N/A,FALSE,"II-5 EMP.INDUS"}</definedName>
    <definedName name="cBuildTypeCosts">#REF!</definedName>
    <definedName name="cBuildTypeVals">#REF!</definedName>
    <definedName name="CC">#REF!</definedName>
    <definedName name="CCC">#REF!</definedName>
    <definedName name="ccc_1" hidden="1">{#N/A,#N/A,FALSE,"SumD";#N/A,#N/A,FALSE,"ElecD";#N/A,#N/A,FALSE,"MechD";#N/A,#N/A,FALSE,"GeotD";#N/A,#N/A,FALSE,"PrcsD";#N/A,#N/A,FALSE,"TunnD";#N/A,#N/A,FALSE,"CivlD";#N/A,#N/A,FALSE,"NtwkD";#N/A,#N/A,FALSE,"EstgD";#N/A,#N/A,FALSE,"PEngD"}</definedName>
    <definedName name="CCC_1C_A_PVC_AIR">#REF!</definedName>
    <definedName name="CCC_1C_A_PVC_AIR_LR">#REF!</definedName>
    <definedName name="CCC_1C_A_PVC_AIR_LV">#REF!</definedName>
    <definedName name="CCC_1C_A_PVC_Ground">#REF!</definedName>
    <definedName name="CCC_1C_A_PVC_GROUND_LR">#REF!</definedName>
    <definedName name="CCC_1C_A_PVC_GROUND_LV">#REF!</definedName>
    <definedName name="CCC_1C_A_XLPE_AIR">#REF!</definedName>
    <definedName name="CCC_1C_A_XLPE_AIR_LR">#REF!</definedName>
    <definedName name="CCC_1C_A_XLPE_AIR_LV">#REF!</definedName>
    <definedName name="CCC_1C_A_XLPE_Ground">#REF!</definedName>
    <definedName name="CCC_1C_A_XLPE_GROUND_LR">#REF!</definedName>
    <definedName name="CCC_1C_A_XLPE_GROUND_LV">#REF!</definedName>
    <definedName name="CCC_1C_UA_PVC_AIR">#REF!</definedName>
    <definedName name="CCC_1C_UA_PVC_AIR_LR">#REF!</definedName>
    <definedName name="CCC_1C_UA_PVC_AIR_LV">#REF!</definedName>
    <definedName name="CCC_1C_UA_XLPE_AIR">#REF!</definedName>
    <definedName name="CCC_1C_UA_XLPE_AIR_LR">#REF!</definedName>
    <definedName name="CCC_1C_UA_XLPE_AIR_LV">#REF!</definedName>
    <definedName name="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4C_PVC_AIR">#REF!</definedName>
    <definedName name="CCC_4C_PVC_AIR_LR">#REF!</definedName>
    <definedName name="CCC_4C_PVC_AIR_LV">#REF!</definedName>
    <definedName name="CCC_4C_PVC_Duct">#REF!</definedName>
    <definedName name="CCC_4C_PVC_DUCT_LR">#REF!</definedName>
    <definedName name="CCC_4C_PVC_DUCT_LV">#REF!</definedName>
    <definedName name="CCC_4C_PVC_Ground">#REF!</definedName>
    <definedName name="CCC_4C_PVC_GROUND_LR">#REF!</definedName>
    <definedName name="CCC_4C_PVC_GROUND_LV">#REF!</definedName>
    <definedName name="CCC_4C_XLPE_AIR">#REF!</definedName>
    <definedName name="CCC_4C_XLPE_AIR_LR">#REF!</definedName>
    <definedName name="CCC_4C_XLPE_AIR_LV">#REF!</definedName>
    <definedName name="CCC_4C_XLPE_Duct">#REF!</definedName>
    <definedName name="CCC_4C_XLPE_DUCT_LR">#REF!</definedName>
    <definedName name="CCC_4C_XLPE_DUCT_LV">#REF!</definedName>
    <definedName name="CCC_4C_XLPE_Ground">#REF!</definedName>
    <definedName name="CCC_4C_XLPE_GROUND_LR">#REF!</definedName>
    <definedName name="CCC_4C_XLPE_GROUND_LV">#REF!</definedName>
    <definedName name="CCC_BTS">#REF!</definedName>
    <definedName name="ccccc" hidden="1">{#N/A,#N/A,FALSE,"SumD";#N/A,#N/A,FALSE,"ElecD";#N/A,#N/A,FALSE,"MechD";#N/A,#N/A,FALSE,"GeotD";#N/A,#N/A,FALSE,"PrcsD";#N/A,#N/A,FALSE,"TunnD";#N/A,#N/A,FALSE,"CivlD";#N/A,#N/A,FALSE,"NtwkD";#N/A,#N/A,FALSE,"EstgD";#N/A,#N/A,FALSE,"PEngD"}</definedName>
    <definedName name="cccccc" localSheetId="7" hidden="1">{#N/A,#N/A,TRUE,"Cover";#N/A,#N/A,TRUE,"Conts";#N/A,#N/A,TRUE,"VOS";#N/A,#N/A,TRUE,"Warrington";#N/A,#N/A,TRUE,"Widnes"}</definedName>
    <definedName name="cccccc" localSheetId="0" hidden="1">{#N/A,#N/A,TRUE,"Cover";#N/A,#N/A,TRUE,"Conts";#N/A,#N/A,TRUE,"VOS";#N/A,#N/A,TRUE,"Warrington";#N/A,#N/A,TRUE,"Widnes"}</definedName>
    <definedName name="cccccc" localSheetId="9"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cccccccccc" hidden="1">{#N/A,#N/A,FALSE,"SumG";#N/A,#N/A,FALSE,"ElecG";#N/A,#N/A,FALSE,"MechG";#N/A,#N/A,FALSE,"GeotG";#N/A,#N/A,FALSE,"PrcsG";#N/A,#N/A,FALSE,"TunnG";#N/A,#N/A,FALSE,"CivlG";#N/A,#N/A,FALSE,"NtwkG";#N/A,#N/A,FALSE,"EstgG";#N/A,#N/A,FALSE,"PEngG"}</definedName>
    <definedName name="ccccccccccccccc" hidden="1">{#N/A,#N/A,FALSE,"Pricing";#N/A,#N/A,FALSE,"Summary";#N/A,#N/A,FALSE,"CompProd";#N/A,#N/A,FALSE,"CompJobhrs";#N/A,#N/A,FALSE,"Escalation";#N/A,#N/A,FALSE,"Contingency";#N/A,#N/A,FALSE,"GM";#N/A,#N/A,FALSE,"CompWage";#N/A,#N/A,FALSE,"costSum"}</definedName>
    <definedName name="CCCCCCCCCCCCCCCCC" hidden="1">#REF!</definedName>
    <definedName name="CCC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v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L"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OMP_5000HP">#REF!</definedName>
    <definedName name="CCOMP_600HP">#REF!</definedName>
    <definedName name="CCOMP_A5000HP">#REF!</definedName>
    <definedName name="CCR" localSheetId="7" hidden="1">{#N/A,#N/A,TRUE,"Cover";#N/A,#N/A,TRUE,"Conts";#N/A,#N/A,TRUE,"VOS";#N/A,#N/A,TRUE,"Warrington";#N/A,#N/A,TRUE,"Widnes"}</definedName>
    <definedName name="CCR" localSheetId="0" hidden="1">{#N/A,#N/A,TRUE,"Cover";#N/A,#N/A,TRUE,"Conts";#N/A,#N/A,TRUE,"VOS";#N/A,#N/A,TRUE,"Warrington";#N/A,#N/A,TRUE,"Widnes"}</definedName>
    <definedName name="CCR" localSheetId="9"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CR_1" hidden="1">{#N/A,#N/A,TRUE,"Cover";#N/A,#N/A,TRUE,"Conts";#N/A,#N/A,TRUE,"VOS";#N/A,#N/A,TRUE,"Warrington";#N/A,#N/A,TRUE,"Widnes"}</definedName>
    <definedName name="CCS">#REF!</definedName>
    <definedName name="ccv" hidden="1">{#N/A,#N/A,TRUE,"Front";#N/A,#N/A,TRUE,"Simple Letter";#N/A,#N/A,TRUE,"Inside";#N/A,#N/A,TRUE,"Contents";#N/A,#N/A,TRUE,"Basis";#N/A,#N/A,TRUE,"Inclusions";#N/A,#N/A,TRUE,"Exclusions";#N/A,#N/A,TRUE,"Areas";#N/A,#N/A,TRUE,"Summary";#N/A,#N/A,TRUE,"Detail"}</definedName>
    <definedName name="CD">#REF!</definedName>
    <definedName name="cde" hidden="1">{#N/A,#N/A,TRUE,"Basic";#N/A,#N/A,TRUE,"EXT-TABLE";#N/A,#N/A,TRUE,"STEEL";#N/A,#N/A,TRUE,"INT-Table";#N/A,#N/A,TRUE,"STEEL";#N/A,#N/A,TRUE,"Door"}</definedName>
    <definedName name="CDEDRTG" hidden="1">{#N/A,#N/A,TRUE,"Cover";#N/A,#N/A,TRUE,"Conts";#N/A,#N/A,TRUE,"VOS";#N/A,#N/A,TRUE,"Warrington";#N/A,#N/A,TRUE,"Widnes"}</definedName>
    <definedName name="cdfg" hidden="1">{#N/A,#N/A,TRUE,"Cover";#N/A,#N/A,TRUE,"Conts";#N/A,#N/A,TRUE,"VOS";#N/A,#N/A,TRUE,"Warrington";#N/A,#N/A,TRUE,"Widnes"}</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num">#REF!</definedName>
    <definedName name="cdssssss" hidden="1">#REF!</definedName>
    <definedName name="ceiling">#REF!</definedName>
    <definedName name="CEILING__FINISHES">#REF!</definedName>
    <definedName name="CEILING_FINISHES">#REF!</definedName>
    <definedName name="cellper">#REF!</definedName>
    <definedName name="cellper_1">#N/A</definedName>
    <definedName name="CEMS_SYS">#REF!</definedName>
    <definedName name="CENTER" hidden="1">#REF!</definedName>
    <definedName name="CENTPUMP">#REF!</definedName>
    <definedName name="CESMM3rdDiv" localSheetId="9">#REF!</definedName>
    <definedName name="CESMM3rdDiv">#REF!</definedName>
    <definedName name="CESTIMATE">#REF!</definedName>
    <definedName name="cf" hidden="1">{#N/A,#N/A,TRUE,"Front";#N/A,#N/A,TRUE,"Simple Letter";#N/A,#N/A,TRUE,"Inside";#N/A,#N/A,TRUE,"Contents";#N/A,#N/A,TRUE,"Basis";#N/A,#N/A,TRUE,"Inclusions";#N/A,#N/A,TRUE,"Exclusions";#N/A,#N/A,TRUE,"Areas";#N/A,#N/A,TRUE,"Summary";#N/A,#N/A,TRUE,"Detail"}</definedName>
    <definedName name="CF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LOW">#REF!</definedName>
    <definedName name="CFS" hidden="1">{#N/A,#N/A,TRUE,"Cover";#N/A,#N/A,TRUE,"Conts";#N/A,#N/A,TRUE,"VOS";#N/A,#N/A,TRUE,"Warrington";#N/A,#N/A,TRUE,"Widnes"}</definedName>
    <definedName name="CF요인" hidden="1">#REF!</definedName>
    <definedName name="cg">#REF!</definedName>
    <definedName name="ch">#REF!</definedName>
    <definedName name="chair_00">#REF!</definedName>
    <definedName name="Chair_01">#REF!</definedName>
    <definedName name="Chair_02">#REF!</definedName>
    <definedName name="Chair_03">#REF!</definedName>
    <definedName name="Chair_04">#REF!</definedName>
    <definedName name="Chandi">#REF!</definedName>
    <definedName name="change">#REF!</definedName>
    <definedName name="change_year">#REF!</definedName>
    <definedName name="Channel_Template" localSheetId="9">#REF!</definedName>
    <definedName name="Channel_Template">#REF!</definedName>
    <definedName name="ChannelSched" localSheetId="9">#REF!</definedName>
    <definedName name="ChannelSched">#REF!</definedName>
    <definedName name="ChannelSchedR1" localSheetId="7">#REF!</definedName>
    <definedName name="ChannelSchedR1" localSheetId="9">#REF!</definedName>
    <definedName name="ChannelSchedR1">#REF!</definedName>
    <definedName name="chart">#REF!</definedName>
    <definedName name="chart1">#REF!</definedName>
    <definedName name="chart2">#REF!</definedName>
    <definedName name="chart3">#REF!</definedName>
    <definedName name="chdrhkf1" hidden="1">{"'장비'!$A$3:$M$12"}</definedName>
    <definedName name="Cheadle" hidden="1">{"'Sheet1'!$A$1:$X$25"}</definedName>
    <definedName name="CHECK">#REF!</definedName>
    <definedName name="CHECKEDBY_ELBK">#REF!</definedName>
    <definedName name="CHECKEDBY_ELEQ">#REF!</definedName>
    <definedName name="CHECKEDBY_INSTR">#REF!</definedName>
    <definedName name="chemical" hidden="1">{#N/A,#N/A,FALSE,"CCTV"}</definedName>
    <definedName name="chemical_1" hidden="1">{#N/A,#N/A,FALSE,"CCTV"}</definedName>
    <definedName name="chemical_2" hidden="1">{#N/A,#N/A,FALSE,"CCTV"}</definedName>
    <definedName name="chen" hidden="1">#REF!</definedName>
    <definedName name="chenxin">IF(VLOOKUP(#REF!,PRICE_CIVIL,7,FALSE)=0,0,VLOOKUP(#REF!,PRICE_CIVIL,7,FALSE))</definedName>
    <definedName name="Chillertype">#REF!</definedName>
    <definedName name="chl" hidden="1">{#N/A,#N/A,TRUE,"Basic";#N/A,#N/A,TRUE,"EXT-TABLE";#N/A,#N/A,TRUE,"STEEL";#N/A,#N/A,TRUE,"INT-Table";#N/A,#N/A,TRUE,"STEEL";#N/A,#N/A,TRUE,"Door"}</definedName>
    <definedName name="chl_1" hidden="1">{#N/A,#N/A,TRUE,"Basic";#N/A,#N/A,TRUE,"EXT-TABLE";#N/A,#N/A,TRUE,"STEEL";#N/A,#N/A,TRUE,"INT-Table";#N/A,#N/A,TRUE,"STEEL";#N/A,#N/A,TRUE,"Door"}</definedName>
    <definedName name="chl_2" hidden="1">{#N/A,#N/A,TRUE,"Basic";#N/A,#N/A,TRUE,"EXT-TABLE";#N/A,#N/A,TRUE,"STEEL";#N/A,#N/A,TRUE,"INT-Table";#N/A,#N/A,TRUE,"STEEL";#N/A,#N/A,TRUE,"Door"}</definedName>
    <definedName name="cho" hidden="1">{"LKD",#N/A,FALSE,"표지"}</definedName>
    <definedName name="CHOICE">#REF!</definedName>
    <definedName name="Choix">#N/A</definedName>
    <definedName name="chris" localSheetId="7" hidden="1">{#N/A,#N/A,TRUE,"Cover";#N/A,#N/A,TRUE,"Conts";#N/A,#N/A,TRUE,"VOS";#N/A,#N/A,TRUE,"Warrington";#N/A,#N/A,TRUE,"Widnes"}</definedName>
    <definedName name="chris" localSheetId="0" hidden="1">{#N/A,#N/A,TRUE,"Cover";#N/A,#N/A,TRUE,"Conts";#N/A,#N/A,TRUE,"VOS";#N/A,#N/A,TRUE,"Warrington";#N/A,#N/A,TRUE,"Widnes"}</definedName>
    <definedName name="chris" localSheetId="9"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HRIS_1" hidden="1">{#N/A,#N/A,FALSE,"CCTV"}</definedName>
    <definedName name="CHRIS_2" hidden="1">{#N/A,#N/A,FALSE,"CCTV"}</definedName>
    <definedName name="CI" hidden="1">{"MAN H.O.",#N/A,FALSE,"tabella"}</definedName>
    <definedName name="cInfraPhasing">#REF!</definedName>
    <definedName name="cInfraPhasingTotals">#REF!</definedName>
    <definedName name="CIP">#REF!</definedName>
    <definedName name="CIQWBGuid" hidden="1">"0dadc13f-fe0d-4eef-b902-d4943e0bef42"</definedName>
    <definedName name="CIQWBInfo" hidden="1">"{ ""CIQVersion"":""9.45.614.5792"" }"</definedName>
    <definedName name="circu1">#REF!</definedName>
    <definedName name="circu1_1">#N/A</definedName>
    <definedName name="circu2">#REF!</definedName>
    <definedName name="circu2_1">#N/A</definedName>
    <definedName name="CIRCUITS">#REF!</definedName>
    <definedName name="City">#REF!</definedName>
    <definedName name="city1area">#REF!</definedName>
    <definedName name="Civ_Det_Des">IF(VLOOKUP(#REF!,PRICE_CIVIL,1,FALSE)=0,0,VLOOKUP(#REF!,PRICE_CIVIL,2,FALSE))</definedName>
    <definedName name="Civ_Det_Des1">IF(VLOOKUP(#REF!,PRICE_CIVIL,1,FALSE)=0,0,VLOOKUP(#REF!,PRICE_CIVIL,2,FALSE))</definedName>
    <definedName name="civil" hidden="1">{#N/A,#N/A,TRUE,"Front";#N/A,#N/A,TRUE,"Simple Letter";#N/A,#N/A,TRUE,"Inside";#N/A,#N/A,TRUE,"Contents";#N/A,#N/A,TRUE,"Basis";#N/A,#N/A,TRUE,"Inclusions";#N/A,#N/A,TRUE,"Exclusions";#N/A,#N/A,TRUE,"Areas";#N/A,#N/A,TRUE,"Summary";#N/A,#N/A,TRUE,"Detail"}</definedName>
    <definedName name="Civil_E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ivil2" hidden="1">{"'장비'!$A$3:$M$12"}</definedName>
    <definedName name="civil2_1" hidden="1">{"'장비'!$A$3:$M$12"}</definedName>
    <definedName name="civil2_2" hidden="1">{"'장비'!$A$3:$M$12"}</definedName>
    <definedName name="CK">#REF!</definedName>
    <definedName name="cka" hidden="1">{#N/A,#N/A,FALSE,"운반시간"}</definedName>
    <definedName name="CKT_QTY">#REF!</definedName>
    <definedName name="CKTS">#REF!</definedName>
    <definedName name="CKTS_SWYD">#REF!</definedName>
    <definedName name="cladding" hidden="1">#REF!</definedName>
    <definedName name="claim">#REF!</definedName>
    <definedName name="Claims">#REF!</definedName>
    <definedName name="CLASS">#N/A</definedName>
    <definedName name="Classification">#REF!</definedName>
    <definedName name="Clawback_Payable">#REF!</definedName>
    <definedName name="Clean" hidden="1">{#N/A,#N/A,TRUE,"Cover Memo";"Complete Sys. Estimate",#N/A,TRUE,"Change Summary";"Complete Sys. Estimate",#N/A,TRUE,"Estimate Summary";"Complete Sys. Estimate",#N/A,TRUE,"Dept. Summary";"Complete Sys. Estimate",#N/A,TRUE,"DOW Detail"}</definedName>
    <definedName name="ClearingAndGrubbing">#REF!</definedName>
    <definedName name="ClearingAndGrubbing_21">#REF!</definedName>
    <definedName name="ClearingAndGrubbing_22">#REF!</definedName>
    <definedName name="ClearingAndGrubbing_23">#REF!</definedName>
    <definedName name="ClearingAndGrubbing_24">#REF!</definedName>
    <definedName name="ClearingAndGrubbing_25">#REF!</definedName>
    <definedName name="ClearingAndGrubbing_26">#REF!</definedName>
    <definedName name="clength">#REF!</definedName>
    <definedName name="clength_1">#N/A</definedName>
    <definedName name="client">#REF!</definedName>
    <definedName name="clientd">#REF!</definedName>
    <definedName name="clinic">"Text 55"</definedName>
    <definedName name="Clt_score">#REF!</definedName>
    <definedName name="CM">#REF!</definedName>
    <definedName name="Cmin" hidden="1">#REF!</definedName>
    <definedName name="CmpD">#REF!</definedName>
    <definedName name="cn" hidden="1">{"'Sheet1'!$L$16"}</definedName>
    <definedName name="cn_1" hidden="1">{"'Sheet1'!$L$16"}</definedName>
    <definedName name="cn_2" hidden="1">{"'Sheet1'!$L$16"}</definedName>
    <definedName name="CNCN" hidden="1">{#N/A,#N/A,TRUE,"Cover";#N/A,#N/A,TRUE,"Conts";#N/A,#N/A,TRUE,"VOS";#N/A,#N/A,TRUE,"Warrington";#N/A,#N/A,TRUE,"Widnes"}</definedName>
    <definedName name="cnhfgt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hidden="1">{"'신흥취수펌프 검토'!$M$2","'신흥취수펌프 검토'!$A$1:$AE$87"}</definedName>
    <definedName name="CNT">#REF!</definedName>
    <definedName name="CNTL_VALVE">#REF!</definedName>
    <definedName name="CNTL_VALVE_PRICE">#REF!</definedName>
    <definedName name="COAT">#REF!</definedName>
    <definedName name="cocnlen1">#REF!</definedName>
    <definedName name="cocnlen1_1">#N/A</definedName>
    <definedName name="Code" hidden="1">#REF!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S">#REF!</definedName>
    <definedName name="coef" hidden="1">{#N/A,#N/A,FALSE,"SumD";#N/A,#N/A,FALSE,"ElecD";#N/A,#N/A,FALSE,"MechD";#N/A,#N/A,FALSE,"GeotD";#N/A,#N/A,FALSE,"PrcsD";#N/A,#N/A,FALSE,"TunnD";#N/A,#N/A,FALSE,"CivlD";#N/A,#N/A,FALSE,"NtwkD";#N/A,#N/A,FALSE,"EstgD";#N/A,#N/A,FALSE,"PEngD"}</definedName>
    <definedName name="Col_Sched">#REF!</definedName>
    <definedName name="colarea">#REF!</definedName>
    <definedName name="Collect">#REF!</definedName>
    <definedName name="collection">#REF!</definedName>
    <definedName name="COLOR">#REF!</definedName>
    <definedName name="colouredcolunmn">#REF!</definedName>
    <definedName name="Columns">#REF!</definedName>
    <definedName name="COM">#REF!</definedName>
    <definedName name="cominput">#REF!</definedName>
    <definedName name="COMM_UOM">#REF!,#REF!,#REF!,#REF!,#REF!,#REF!,#REF!</definedName>
    <definedName name="comm1">#REF!</definedName>
    <definedName name="COMMCODE">#REF!,#REF!,#REF!,#REF!,#REF!,#REF!,#REF!</definedName>
    <definedName name="Commencement">#REF!</definedName>
    <definedName name="commercial">#REF!</definedName>
    <definedName name="Commission">#REF!</definedName>
    <definedName name="Common">#REF!</definedName>
    <definedName name="COMMUNICATION__INSTALLATIONS">#REF!</definedName>
    <definedName name="Comp_ME">#REF!</definedName>
    <definedName name="Compacted_Backfilling">#REF!</definedName>
    <definedName name="Company">#REF!</definedName>
    <definedName name="compiercircu">#REF!</definedName>
    <definedName name="compiercircu_1">#N/A</definedName>
    <definedName name="compierstri">#REF!</definedName>
    <definedName name="compierstri_1">#N/A</definedName>
    <definedName name="compiersufare">#REF!</definedName>
    <definedName name="compiersufare_1">#N/A</definedName>
    <definedName name="compiertopare">#REF!</definedName>
    <definedName name="compiertopare_1">#N/A</definedName>
    <definedName name="compiervol">#REF!</definedName>
    <definedName name="compiervol_1">#N/A</definedName>
    <definedName name="Completion" hidden="1">{#N/A,#N/A,TRUE,"Front";#N/A,#N/A,TRUE,"Simple Letter";#N/A,#N/A,TRUE,"Inside";#N/A,#N/A,TRUE,"Contents";#N/A,#N/A,TRUE,"Basis";#N/A,#N/A,TRUE,"Inclusions";#N/A,#N/A,TRUE,"Exclusions";#N/A,#N/A,TRUE,"Areas";#N/A,#N/A,TRUE,"Summary";#N/A,#N/A,TRUE,"Detail"}</definedName>
    <definedName name="completion_date" localSheetId="9">#REF!</definedName>
    <definedName name="completion_date">#REF!</definedName>
    <definedName name="Computer_00">#REF!</definedName>
    <definedName name="Computer_01">#REF!</definedName>
    <definedName name="Computer_02">#REF!</definedName>
    <definedName name="Computer_03">#REF!</definedName>
    <definedName name="COMSPECIALS">#REF!</definedName>
    <definedName name="CON" localSheetId="7" hidden="1">{#N/A,#N/A,TRUE,"Cover";#N/A,#N/A,TRUE,"Conts";#N/A,#N/A,TRUE,"VOS";#N/A,#N/A,TRUE,"Warrington";#N/A,#N/A,TRUE,"Widnes"}</definedName>
    <definedName name="CON" localSheetId="0" hidden="1">{#N/A,#N/A,TRUE,"Cover";#N/A,#N/A,TRUE,"Conts";#N/A,#N/A,TRUE,"VOS";#N/A,#N/A,TRUE,"Warrington";#N/A,#N/A,TRUE,"Widnes"}</definedName>
    <definedName name="CON" localSheetId="9"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A">#REF!</definedName>
    <definedName name="CONB">#REF!</definedName>
    <definedName name="CONC">#REF!</definedName>
    <definedName name="Conc_01" localSheetId="9">#REF!</definedName>
    <definedName name="Conc_01">#REF!</definedName>
    <definedName name="CONC_06" localSheetId="9">#REF!</definedName>
    <definedName name="CONC_06">#REF!</definedName>
    <definedName name="CONC_09" localSheetId="9">#REF!</definedName>
    <definedName name="CONC_09">#REF!</definedName>
    <definedName name="Conc_1">#REF!</definedName>
    <definedName name="Conc_10">#REF!</definedName>
    <definedName name="Conc_100">#REF!</definedName>
    <definedName name="CONC_11" localSheetId="9">#REF!</definedName>
    <definedName name="CONC_11">#REF!</definedName>
    <definedName name="CONC_16" localSheetId="9">#REF!</definedName>
    <definedName name="CONC_16">#REF!</definedName>
    <definedName name="Conc_20">#REF!</definedName>
    <definedName name="CONC_23" localSheetId="9">#REF!</definedName>
    <definedName name="CONC_23">#REF!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2_1">#N/A</definedName>
    <definedName name="CONCA">#REF!</definedName>
    <definedName name="concabt">#REF!</definedName>
    <definedName name="concabt_1">#N/A</definedName>
    <definedName name="CONCB">#REF!</definedName>
    <definedName name="CONCC">#REF!</definedName>
    <definedName name="conclen3">#REF!</definedName>
    <definedName name="conclen3_1">#N/A</definedName>
    <definedName name="CONCOURSE" localSheetId="7" hidden="1">{#N/A,#N/A,TRUE,"Cover";#N/A,#N/A,TRUE,"Conts";#N/A,#N/A,TRUE,"VOS";#N/A,#N/A,TRUE,"Warrington";#N/A,#N/A,TRUE,"Widnes"}</definedName>
    <definedName name="CONCOURSE" localSheetId="0" hidden="1">{#N/A,#N/A,TRUE,"Cover";#N/A,#N/A,TRUE,"Conts";#N/A,#N/A,TRUE,"VOS";#N/A,#N/A,TRUE,"Warrington";#N/A,#N/A,TRUE,"Widnes"}</definedName>
    <definedName name="CONCOURSE" localSheetId="9"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CRETE">#REF!</definedName>
    <definedName name="CONCRETE_STRUCTURES">#REF!</definedName>
    <definedName name="concrete_work">#REF!</definedName>
    <definedName name="ConcreteClassA">#REF!</definedName>
    <definedName name="ConcreteClassA_21">#REF!</definedName>
    <definedName name="ConcreteClassA_22">#REF!</definedName>
    <definedName name="ConcreteClassA_23">#REF!</definedName>
    <definedName name="ConcreteClassA_24">#REF!</definedName>
    <definedName name="ConcreteClassA_25">#REF!</definedName>
    <definedName name="ConcreteClassA_26">#REF!</definedName>
    <definedName name="ConcreteClassB">#REF!</definedName>
    <definedName name="ConcreteMix" localSheetId="7">#REF!</definedName>
    <definedName name="ConcreteMix" localSheetId="9">#REF!</definedName>
    <definedName name="ConcreteMix">#REF!</definedName>
    <definedName name="ConcTransTemplateR3" localSheetId="7">#REF!</definedName>
    <definedName name="ConcTransTemplateR3" localSheetId="9">#REF!</definedName>
    <definedName name="ConcTransTemplateR3">#REF!</definedName>
    <definedName name="COND_PRICING">#REF!</definedName>
    <definedName name="condition" hidden="1">{"'장비'!$A$3:$M$12"}</definedName>
    <definedName name="condition_1" hidden="1">{"'장비'!$A$3:$M$12"}</definedName>
    <definedName name="condition_2" hidden="1">{"'장비'!$A$3:$M$12"}</definedName>
    <definedName name="CONDUIT">#REF!</definedName>
    <definedName name="Conduit_Size">#REF!</definedName>
    <definedName name="CONS">#REF!</definedName>
    <definedName name="Cons_equip" hidden="1">{"'장비'!$A$3:$M$12"}</definedName>
    <definedName name="Cons_Hrs">#REF!</definedName>
    <definedName name="Cons_Rev">#REF!</definedName>
    <definedName name="CONST_BASIS">#REF!</definedName>
    <definedName name="construction">#REF!</definedName>
    <definedName name="Cont">#REF!</definedName>
    <definedName name="Cont1">#REF!</definedName>
    <definedName name="Contacts">#REF!</definedName>
    <definedName name="container" hidden="1">{"'장비'!$A$3:$M$12"}</definedName>
    <definedName name="Contingency">#REF!</definedName>
    <definedName name="ContinuationReqd">#REF!</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 hidden="1">{#N/A,#N/A,TRUE,"Front";#N/A,#N/A,TRUE,"Simple Letter";#N/A,#N/A,TRUE,"Inside";#N/A,#N/A,TRUE,"Contents";#N/A,#N/A,TRUE,"Basis";#N/A,#N/A,TRUE,"Inclusions";#N/A,#N/A,TRUE,"Exclusions";#N/A,#N/A,TRUE,"Areas";#N/A,#N/A,TRUE,"Summary";#N/A,#N/A,TRUE,"Detail"}</definedName>
    <definedName name="Contract_sum">#REF!</definedName>
    <definedName name="Contract_sum1">#REF!</definedName>
    <definedName name="Contractdetors" hidden="1">{#N/A,#N/A,TRUE,"Front";#N/A,#N/A,TRUE,"Simple Letter";#N/A,#N/A,TRUE,"Inside";#N/A,#N/A,TRUE,"Contents";#N/A,#N/A,TRUE,"Basis";#N/A,#N/A,TRUE,"Inclusions";#N/A,#N/A,TRUE,"Exclusions";#N/A,#N/A,TRUE,"Areas";#N/A,#N/A,TRUE,"Summary";#N/A,#N/A,TRUE,"Detail"}</definedName>
    <definedName name="Contractor">#REF!</definedName>
    <definedName name="contrat">#REF!</definedName>
    <definedName name="Contribution_OP">#REF!</definedName>
    <definedName name="CONV">#REF!</definedName>
    <definedName name="CONVA">#REF!</definedName>
    <definedName name="CONVB">#REF!</definedName>
    <definedName name="CONVC">#REF!</definedName>
    <definedName name="COPP">#REF!</definedName>
    <definedName name="copper">#REF!</definedName>
    <definedName name="COPPER_PRICE">#REF!</definedName>
    <definedName name="copy" hidden="1">{#N/A,#N/A,FALSE,"II-2 POP.HH";#N/A,#N/A,FALSE,"II-3 AGE.DIST";#N/A,#N/A,FALSE,"II-4 HH.DIST";#N/A,#N/A,FALSE,"II-5 EMP.INDUS"}</definedName>
    <definedName name="copy_this">#REF!</definedName>
    <definedName name="COPYOFMPSCHEDULE">#REF!</definedName>
    <definedName name="Cost">#REF!</definedName>
    <definedName name="cost_1" hidden="1">{#N/A,#N/A,TRUE,"Basic";#N/A,#N/A,TRUE,"EXT-TABLE";#N/A,#N/A,TRUE,"STEEL";#N/A,#N/A,TRUE,"INT-Table";#N/A,#N/A,TRUE,"STEEL";#N/A,#N/A,TRUE,"Door"}</definedName>
    <definedName name="cost_2" hidden="1">{#N/A,#N/A,TRUE,"Basic";#N/A,#N/A,TRUE,"EXT-TABLE";#N/A,#N/A,TRUE,"STEEL";#N/A,#N/A,TRUE,"INT-Table";#N/A,#N/A,TRUE,"STEEL";#N/A,#N/A,TRUE,"Door"}</definedName>
    <definedName name="COST_C">#REF!</definedName>
    <definedName name="Cost_Differential">#REF!</definedName>
    <definedName name="COST_RANGE">#REF!</definedName>
    <definedName name="COST_RATE">#REF!</definedName>
    <definedName name="cost1">#REF!</definedName>
    <definedName name="COST10">#REF!</definedName>
    <definedName name="COST11">#REF!</definedName>
    <definedName name="COST12">#REF!</definedName>
    <definedName name="COST13">#REF!</definedName>
    <definedName name="COST14">#REF!</definedName>
    <definedName name="COST15">#REF!</definedName>
    <definedName name="COST16">#REF!</definedName>
    <definedName name="COST17">#REF!</definedName>
    <definedName name="COST18">#REF!</definedName>
    <definedName name="COST19">#REF!</definedName>
    <definedName name="COST2">#REF!</definedName>
    <definedName name="COST2_1" hidden="1">{#N/A,#N/A,TRUE,"Basic";#N/A,#N/A,TRUE,"EXT-TABLE";#N/A,#N/A,TRUE,"STEEL";#N/A,#N/A,TRUE,"INT-Table";#N/A,#N/A,TRUE,"STEEL";#N/A,#N/A,TRUE,"Door"}</definedName>
    <definedName name="COST2_2" hidden="1">{#N/A,#N/A,TRUE,"Basic";#N/A,#N/A,TRUE,"EXT-TABLE";#N/A,#N/A,TRUE,"STEEL";#N/A,#N/A,TRUE,"INT-Table";#N/A,#N/A,TRUE,"STEEL";#N/A,#N/A,TRUE,"Door"}</definedName>
    <definedName name="COST20">#REF!</definedName>
    <definedName name="COST21">#REF!</definedName>
    <definedName name="COST22">#REF!</definedName>
    <definedName name="COST23">#REF!</definedName>
    <definedName name="COST24">#REF!</definedName>
    <definedName name="COST25">#REF!</definedName>
    <definedName name="COST3">#REF!</definedName>
    <definedName name="COST4">#REF!</definedName>
    <definedName name="COST5">#REF!</definedName>
    <definedName name="COST6">#REF!</definedName>
    <definedName name="COST7">#REF!</definedName>
    <definedName name="COST8">#REF!</definedName>
    <definedName name="COST9">#REF!</definedName>
    <definedName name="COSTCOMP10">#REF!</definedName>
    <definedName name="COSTCOMP11">#REF!</definedName>
    <definedName name="costcomparision" hidden="1">{#N/A,#N/A,TRUE,"Front";#N/A,#N/A,TRUE,"Simple Letter";#N/A,#N/A,TRUE,"Inside";#N/A,#N/A,TRUE,"Contents";#N/A,#N/A,TRUE,"Basis";#N/A,#N/A,TRUE,"Inclusions";#N/A,#N/A,TRUE,"Exclusions";#N/A,#N/A,TRUE,"Areas";#N/A,#N/A,TRUE,"Summary";#N/A,#N/A,TRUE,"Detail"}</definedName>
    <definedName name="CostRate">#REF!</definedName>
    <definedName name="costs">#REF!</definedName>
    <definedName name="COSTS_A">#REF!</definedName>
    <definedName name="Councils_overage">#REF!</definedName>
    <definedName name="COUNT">#REF!</definedName>
    <definedName name="COUNT_1000mm_dia._GRP">#REF!</definedName>
    <definedName name="COUNT_100mm_thk_blinding">#REF!</definedName>
    <definedName name="COUNT_1300mm_high_upstand">#REF!</definedName>
    <definedName name="COUNT_1600mm_thk_base_slab">#REF!</definedName>
    <definedName name="COUNT_200mm_thick_cantilever_slab">#REF!</definedName>
    <definedName name="COUNT_20mm_Isolation_Joint">#REF!</definedName>
    <definedName name="COUNT_22KV_SWITCHGEAR_GR_651">#REF!</definedName>
    <definedName name="COUNT_22KV_SWITCHGEAR_under_eqpt__GR_651">#REF!</definedName>
    <definedName name="COUNT_22KV_SWITCHGEAR_under_walk__GR_651">#REF!</definedName>
    <definedName name="COUNT_300mm_thk_base_slab">#REF!</definedName>
    <definedName name="COUNT_300mm_thk_Susp._slab">#REF!</definedName>
    <definedName name="COUNT_4mm_thk_below_ground_waterproofing">#REF!</definedName>
    <definedName name="COUNT_4mm_thk_roof_covering_system">#REF!</definedName>
    <definedName name="COUNT_500mm_thk_base_slab">#REF!</definedName>
    <definedName name="COUNT_75mm_thk_blinding">#REF!</definedName>
    <definedName name="COUNT_800mm_thk_base_slab">#REF!</definedName>
    <definedName name="COUNT_AC_DC_GR_658">#REF!</definedName>
    <definedName name="COUNT_Access_drive_rear">#REF!</definedName>
    <definedName name="COUNT_Access_drive_rear_F.1">#REF!</definedName>
    <definedName name="COUNT_Access_tunnel">#REF!</definedName>
    <definedName name="COUNT_AGV_depot">#REF!</definedName>
    <definedName name="COUNT_Air_filter_chamber">#REF!</definedName>
    <definedName name="COUNT_Air_intake_trench">#REF!</definedName>
    <definedName name="COUNT_AUX_1_GR_653">#REF!</definedName>
    <definedName name="COUNT_AUX_2_GR_654">#REF!</definedName>
    <definedName name="COUNT_b10s1">#REF!</definedName>
    <definedName name="COUNT_b20s2">#REF!</definedName>
    <definedName name="COUNT_b30s2">#REF!</definedName>
    <definedName name="COUNT_b50s3">#REF!</definedName>
    <definedName name="COUNT_BASEMENT_BS_651">#REF!</definedName>
    <definedName name="COUNT_BATTERY_GR_659">#REF!</definedName>
    <definedName name="COUNT_Beam_B1_400X700_">#REF!</definedName>
    <definedName name="COUNT_Beam_B2_300X700_">#REF!</definedName>
    <definedName name="COUNT_Below_ground_horizontal">#REF!</definedName>
    <definedName name="COUNT_Below_tunnel_horizontal">#REF!</definedName>
    <definedName name="COUNT_Blinding">#REF!</definedName>
    <definedName name="COUNT_Break">#REF!</definedName>
    <definedName name="COUNT_Break.F">#REF!</definedName>
    <definedName name="COUNT_Break_room">#REF!</definedName>
    <definedName name="COUNT_Break_room.1">#REF!</definedName>
    <definedName name="COUNT_Cable_trench_slab_200mm_thk">#REF!</definedName>
    <definedName name="COUNT_Cable_trench_wall_800mm_high">#REF!</definedName>
    <definedName name="COUNT_Comm">#REF!</definedName>
    <definedName name="COUNT_COMMU.ROOM_GR_660">#REF!</definedName>
    <definedName name="COUNT_Communication_room">#REF!</definedName>
    <definedName name="COUNT_Control.1">#REF!</definedName>
    <definedName name="COUNT_CONTROL_ROOM_GR_657">#REF!</definedName>
    <definedName name="COUNT_Corridor">#REF!</definedName>
    <definedName name="COUNT_Corridor.1">#REF!</definedName>
    <definedName name="COUNT_Corridor.2">#REF!</definedName>
    <definedName name="COUNT_Corridor.3">#REF!</definedName>
    <definedName name="COUNT_Corridor.4">#REF!</definedName>
    <definedName name="COUNT_CORRIDOR_GR_665">#REF!</definedName>
    <definedName name="COUNT_CT___02">#REF!</definedName>
    <definedName name="COUNT_Duct_from_SS_to_Trench">#REF!</definedName>
    <definedName name="COUNT_Elec">#REF!</definedName>
    <definedName name="COUNT_Elec.1">#REF!</definedName>
    <definedName name="COUNT_Elec.2">#REF!</definedName>
    <definedName name="COUNT_Electrical">#REF!</definedName>
    <definedName name="COUNT_Electrical.1">#REF!</definedName>
    <definedName name="COUNT_Electrical.f">#REF!</definedName>
    <definedName name="COUNT_Electrical_room">#REF!</definedName>
    <definedName name="COUNT_Elev._equip">#REF!</definedName>
    <definedName name="COUNT_EP___01">#REF!</definedName>
    <definedName name="COUNT_EP___02">#REF!</definedName>
    <definedName name="COUNT_EP_01_S">#REF!</definedName>
    <definedName name="COUNT_EP_02_S">#REF!</definedName>
    <definedName name="COUNT_Epoxy_paint_anti_fungus">#REF!</definedName>
    <definedName name="COUNT_Excation">#REF!</definedName>
    <definedName name="COUNT_Exit_passageway">#REF!</definedName>
    <definedName name="COUNT_Exit_passageway.1">#REF!</definedName>
    <definedName name="COUNT_Exit_passageway.2">#REF!</definedName>
    <definedName name="COUNT_Exit_passageway.F">#REF!</definedName>
    <definedName name="COUNT_Exit_passageway_1">#REF!</definedName>
    <definedName name="COUNT_Fair_faced_concrete">#REF!</definedName>
    <definedName name="COUNT_False_Ceiling">#REF!</definedName>
    <definedName name="COUNT_Fan_room">#REF!</definedName>
    <definedName name="COUNT_Fan_room.2">#REF!</definedName>
    <definedName name="COUNT_Female_toilet_shower.F">#REF!</definedName>
    <definedName name="COUNT_Fencing">#REF!</definedName>
    <definedName name="COUNT_FF_conc._w_epoxy_paint_anti_fungus">#REF!</definedName>
    <definedName name="COUNT_Filters.RF">#REF!</definedName>
    <definedName name="COUNT_FIRE_FIGHTING_GR_656">#REF!</definedName>
    <definedName name="COUNT_Fire_riser">#REF!</definedName>
    <definedName name="COUNT_Fire_riser.F">#REF!</definedName>
    <definedName name="COUNT_FL_01_General_floor">#REF!</definedName>
    <definedName name="COUNT_FL_01_Ramps">#REF!</definedName>
    <definedName name="COUNT_FL_02_Traffic_islands___Raised_area">#REF!</definedName>
    <definedName name="COUNT_FL_03__Kerbs_3">#REF!</definedName>
    <definedName name="COUNT_FL_03_Raised_Kerbs">#REF!</definedName>
    <definedName name="COUNT_FL_04_Wheel_stops">#REF!</definedName>
    <definedName name="COUNT_FL_05_Bay_Numbers">#REF!</definedName>
    <definedName name="COUNT_FL_05_Disable_signage">#REF!</definedName>
    <definedName name="COUNT_FL_05_Left_turn_Arrow_616">#REF!</definedName>
    <definedName name="COUNT_FL_05_Parking_line_100mm_thk">#REF!</definedName>
    <definedName name="COUNT_FL_05_Parking_line_280mm_thk">#REF!</definedName>
    <definedName name="COUNT_FL_05_Parking_line_390mm_thk">#REF!</definedName>
    <definedName name="COUNT_FL_05_Parking_line_530mm_thk">#REF!</definedName>
    <definedName name="COUNT_FL_05_Right_turn_Arrow_615">#REF!</definedName>
    <definedName name="COUNT_FL_05_Straight_Arrow_614">#REF!</definedName>
    <definedName name="COUNT_FL_05_Straight_Right_Arrow_617">#REF!</definedName>
    <definedName name="COUNT_FL_06_Ped._Walkways">#REF!</definedName>
    <definedName name="COUNT_Footing_F1_400mm_high">#REF!</definedName>
    <definedName name="COUNT_GB1_300X750mm">#REF!</definedName>
    <definedName name="COUNT_GB2_400X750mm">#REF!</definedName>
    <definedName name="COUNT_GENERATOR_1_GR_671">#REF!</definedName>
    <definedName name="COUNT_GENERATOR_2_GR_672">#REF!</definedName>
    <definedName name="COUNT_GIS_ROOM_GR_652">#REF!</definedName>
    <definedName name="COUNT_GIS_ROOM_under_eqpt__GR_652">#REF!</definedName>
    <definedName name="COUNT_GIS_ROOM_under_walkable__GR_652">#REF!</definedName>
    <definedName name="COUNT_Grade_Slab_200mm_thk">#REF!</definedName>
    <definedName name="COUNT_Ground_Beam_GB1_350X500_">#REF!</definedName>
    <definedName name="COUNT_Ground_Beam_GB2_300X500_">#REF!</definedName>
    <definedName name="COUNT_GUARD_ROOM_GR_666">#REF!</definedName>
    <definedName name="COUNT_GUARD_WC_GR_669">#REF!</definedName>
    <definedName name="COUNT_Hangar_11">#REF!</definedName>
    <definedName name="COUNT_Hangar_12">#REF!</definedName>
    <definedName name="COUNT_Imam_office">#REF!</definedName>
    <definedName name="COUNT_Janitor">#REF!</definedName>
    <definedName name="COUNT_Janitor.1">#REF!</definedName>
    <definedName name="COUNT_L1_300X400">#REF!</definedName>
    <definedName name="COUNT_L1_300X500">#REF!</definedName>
    <definedName name="COUNT_L1_300X600">#REF!</definedName>
    <definedName name="COUNT_L4_300X400">#REF!</definedName>
    <definedName name="COUNT_L4_300X500">#REF!</definedName>
    <definedName name="COUNT_L4_300X600">#REF!</definedName>
    <definedName name="COUNT_L4_350X500">#REF!</definedName>
    <definedName name="COUNT_L4_500X500">#REF!</definedName>
    <definedName name="COUNT_L6_300X300">#REF!</definedName>
    <definedName name="COUNT_L6_300X500">#REF!</definedName>
    <definedName name="COUNT_Line_hangar_1">#REF!</definedName>
    <definedName name="COUNT_Mech">#REF!</definedName>
    <definedName name="COUNT_Mech.">#REF!</definedName>
    <definedName name="COUNT_Mech.1">#REF!</definedName>
    <definedName name="COUNT_Mech.2">#REF!</definedName>
    <definedName name="COUNT_Mechanical">#REF!</definedName>
    <definedName name="COUNT_Mechanical.1">#REF!</definedName>
    <definedName name="COUNT_Mechanical.PH">#REF!</definedName>
    <definedName name="COUNT_Mechanical.RF">#REF!</definedName>
    <definedName name="COUNT_Mechanical_room">#REF!</definedName>
    <definedName name="COUNT_MEDIUM_VOLTAGE_RM_GR_670">#REF!</definedName>
    <definedName name="COUNT_Men_toilet_shower">#REF!</definedName>
    <definedName name="COUNT_Men_toilet_shower.1">#REF!</definedName>
    <definedName name="COUNT_Men_toilet_shower.F">#REF!</definedName>
    <definedName name="COUNT_Mens_toilet">#REF!</definedName>
    <definedName name="COUNT_Mens_toilet.F">#REF!</definedName>
    <definedName name="COUNT_Office">#REF!</definedName>
    <definedName name="COUNT_Office.1">#REF!</definedName>
    <definedName name="COUNT_Office_1">#REF!</definedName>
    <definedName name="COUNT_Office_2">#REF!</definedName>
    <definedName name="COUNT_Office_3">#REF!</definedName>
    <definedName name="COUNT_OFFICE_GR_663">#REF!</definedName>
    <definedName name="COUNT_OFFICE_GR_664">#REF!</definedName>
    <definedName name="COUNT_Offices">#REF!</definedName>
    <definedName name="COUNT_OIL_PIT_B_655">#REF!</definedName>
    <definedName name="COUNT_OIL_PIT_B_656">#REF!</definedName>
    <definedName name="COUNT_OIL_PIT_BS_654">#REF!</definedName>
    <definedName name="COUNT_Open_office">#REF!</definedName>
    <definedName name="COUNT_OPen_office.1">#REF!</definedName>
    <definedName name="COUNT_Open_office.F">#REF!</definedName>
    <definedName name="COUNT_Paint_hangar_1">#REF!</definedName>
    <definedName name="COUNT_Paint_hold.1">#REF!</definedName>
    <definedName name="COUNT_Paint_mix">#REF!</definedName>
    <definedName name="COUNT_Paint_mix.1">#REF!</definedName>
    <definedName name="COUNT_Paint_shop">#REF!</definedName>
    <definedName name="COUNT_Paint_shop.1">#REF!</definedName>
    <definedName name="COUNT_Paint_store">#REF!</definedName>
    <definedName name="COUNT_Painted_plaster">#REF!</definedName>
    <definedName name="COUNT_PANTRY_GR_662">#REF!</definedName>
    <definedName name="COUNT_Parapet_at_transformer_room">#REF!</definedName>
    <definedName name="COUNT_Parts">#REF!</definedName>
    <definedName name="COUNT_Parts.1">#REF!</definedName>
    <definedName name="COUNT_Parts_">#REF!</definedName>
    <definedName name="COUNT_Plaster_Anti_alkaline_paint">#REF!</definedName>
    <definedName name="COUNT_Plot_Area">#REF!</definedName>
    <definedName name="COUNT_Prayer_room">#REF!</definedName>
    <definedName name="COUNT_PT___10">#REF!</definedName>
    <definedName name="COUNT_PT_01_S">#REF!</definedName>
    <definedName name="COUNT_RANGE">#N/A</definedName>
    <definedName name="COUNT_RC_base">#REF!</definedName>
    <definedName name="COUNT_RC_Wall">#REF!</definedName>
    <definedName name="COUNT_RC_Wall_300W_3500H">#REF!</definedName>
    <definedName name="COUNT_RC_Wall_300W_867H">#REF!</definedName>
    <definedName name="COUNT_RC_Wall_400W_3500H">#REF!</definedName>
    <definedName name="COUNT_RC_Wall_400W_3700H">#REF!</definedName>
    <definedName name="COUNT_RC_Wall_500W_11670H">#REF!</definedName>
    <definedName name="COUNT_RC_Wall_500W_12770H">#REF!</definedName>
    <definedName name="COUNT_RC_Wall_600W_4000H">#REF!</definedName>
    <definedName name="COUNT_RC_Wall_600W_5000H">#REF!</definedName>
    <definedName name="COUNT_RC_Wall_800W_4800H">#REF!</definedName>
    <definedName name="COUNT_RC_Wall_800W_6500H">#REF!</definedName>
    <definedName name="COUNT_Receiver_tanks">#REF!</definedName>
    <definedName name="COUNT_Removal_of_top_soil">#REF!</definedName>
    <definedName name="COUNT_Riser">#REF!</definedName>
    <definedName name="COUNT_Roof_Beam_RB1_300X600_">#REF!</definedName>
    <definedName name="COUNT_Roof_beam_RB1_400X600_">#REF!</definedName>
    <definedName name="COUNT_Roof_Beam_RB2_300X600_">#REF!</definedName>
    <definedName name="COUNT_Roof_beam_RB2_400X600_">#REF!</definedName>
    <definedName name="COUNT_Roof_beam_RB3_300X600_">#REF!</definedName>
    <definedName name="COUNT_Roof_beam_RB4_200X400_">#REF!</definedName>
    <definedName name="COUNT_Roof_parapet_300mm_high">#REF!</definedName>
    <definedName name="COUNT_Roof_Parapet_500mm_high">#REF!</definedName>
    <definedName name="COUNT_ROOF_RF_651">#REF!</definedName>
    <definedName name="COUNT_ROOF_RF_652">#REF!</definedName>
    <definedName name="COUNT_ROOF_RF_653">#REF!</definedName>
    <definedName name="COUNT_ROOF_RF_654">#REF!</definedName>
    <definedName name="COUNT_Roof_Slab_200mm_thick">#REF!</definedName>
    <definedName name="COUNT_Roof_slab_250mm_thk">#REF!</definedName>
    <definedName name="COUNT_SC_Columns_C1">#REF!</definedName>
    <definedName name="COUNT_SC_Columns_C2">#REF!</definedName>
    <definedName name="COUNT_Seat_storage.F1">#REF!</definedName>
    <definedName name="COUNT_Seat_storage.F2">#REF!</definedName>
    <definedName name="COUNT_SF_01_General_soffit">#REF!</definedName>
    <definedName name="COUNT_Slab_S2_180mm_thick">#REF!</definedName>
    <definedName name="COUNT_Slab_S3_200mm_thick">#REF!</definedName>
    <definedName name="COUNT_Slab_S4_220mm_thick">#REF!</definedName>
    <definedName name="COUNT_Slab_S5_250mm_thk">#REF!</definedName>
    <definedName name="COUNT_Sloped_Roof_160mm_thick">#REF!</definedName>
    <definedName name="COUNT_Smoking.1">#REF!</definedName>
    <definedName name="COUNT_Smoking.2">#REF!</definedName>
    <definedName name="COUNT_Smoking.F">#REF!</definedName>
    <definedName name="COUNT_SS_B1_300X600_450mm_deep">#REF!</definedName>
    <definedName name="COUNT_SS_B1_300X700_450mm_deep">#REF!</definedName>
    <definedName name="COUNT_SS_B1_300X700_500mm_deep">#REF!</definedName>
    <definedName name="COUNT_SS_B1_300X700X520mm_deep">#REF!</definedName>
    <definedName name="COUNT_SS_B10_300X600_350mm_deep">#REF!</definedName>
    <definedName name="COUNT_SS_B10_300X700_450mm_deep">#REF!</definedName>
    <definedName name="COUNT_SS_B10_300X700_480mm_deep">#REF!</definedName>
    <definedName name="COUNT_SS_B10_350X700_450mm_deep">#REF!</definedName>
    <definedName name="COUNT_SS_B10_350X700_500mm_deep">#REF!</definedName>
    <definedName name="COUNT_SS_B11_300X700_450mm_deep">#REF!</definedName>
    <definedName name="COUNT_SS_B11_400X800_550mm_deep">#REF!</definedName>
    <definedName name="COUNT_SS_B12_200X600_380mm_deep">#REF!</definedName>
    <definedName name="COUNT_SS_B12_300X700">#REF!</definedName>
    <definedName name="COUNT_SS_B12_300X700_500mm_deep">#REF!</definedName>
    <definedName name="COUNT_SS_B12_300X700_520mm_deep">#REF!</definedName>
    <definedName name="COUNT_SS_B12_300X700_580mm_deep">#REF!</definedName>
    <definedName name="COUNT_SS_B13_300X700_480mm_deep">#REF!</definedName>
    <definedName name="COUNT_SS_B13_350X700_450mm_deep">#REF!</definedName>
    <definedName name="COUNT_SS_B14_300X700_450mm_deep">#REF!</definedName>
    <definedName name="COUNT_SS_B14_300X700_500mm_deep">#REF!</definedName>
    <definedName name="COUNT_SS_B15_300X700_450mm_deep">#REF!</definedName>
    <definedName name="COUNT_SS_B15_350X700_450mm_deep">#REF!</definedName>
    <definedName name="COUNT_SS_B15_350X700_500mm_deep">#REF!</definedName>
    <definedName name="COUNT_SS_B16_300X700">#REF!</definedName>
    <definedName name="COUNT_SS_B16_300X700_520mm_deep">#REF!</definedName>
    <definedName name="COUNT_SS_B16_350X700_500mm_deep">#REF!</definedName>
    <definedName name="COUNT_SS_B17_300X700">#REF!</definedName>
    <definedName name="COUNT_SS_B18_300X700_480mm_deep">#REF!</definedName>
    <definedName name="COUNT_SS_B18_300X700_500mm_deep">#REF!</definedName>
    <definedName name="COUNT_SS_B18300X700">#REF!</definedName>
    <definedName name="COUNT_SS_B19_300X700_450mm_deep">#REF!</definedName>
    <definedName name="COUNT_SS_B19_300X700_500mm_deep">#REF!</definedName>
    <definedName name="COUNT_SS_B2_400X800_550mm_deep">#REF!</definedName>
    <definedName name="COUNT_SS_B20_300X700_450mm_deep">#REF!</definedName>
    <definedName name="COUNT_SS_B20_300X700_520mm_deep">#REF!</definedName>
    <definedName name="COUNT_SS_B21_300X700_450mm_deep">#REF!</definedName>
    <definedName name="COUNT_SS_B22_300X700_450mm_deep">#REF!</definedName>
    <definedName name="COUNT_SS_B23_300X700_500mm_deep">#REF!</definedName>
    <definedName name="COUNT_SS_B24_300X700_500mm_deep">#REF!</definedName>
    <definedName name="COUNT_SS_B25_300X700_480mm_deep">#REF!</definedName>
    <definedName name="COUNT_SS_B26_300X500_340mm_deep">#REF!</definedName>
    <definedName name="COUNT_SS_B27_300X500_340___deep">#REF!</definedName>
    <definedName name="COUNT_SS_B28_500X1000_750mm_deep">#REF!</definedName>
    <definedName name="COUNT_SS_B29_500X1000_750mm_deep">#REF!</definedName>
    <definedName name="COUNT_SS_B3_400X700_480mm_deep">#REF!</definedName>
    <definedName name="COUNT_SS_B3_400X800_550mm_deep">#REF!</definedName>
    <definedName name="COUNT_SS_B30_500X1000_750mm_deep">#REF!</definedName>
    <definedName name="COUNT_SS_B31_500X1000_750mm_deep">#REF!</definedName>
    <definedName name="COUNT_SS_B4_300X700_520mm_deep">#REF!</definedName>
    <definedName name="COUNT_SS_B4_400X800_550mm_deep">#REF!</definedName>
    <definedName name="COUNT_SS_B5_400X800_550mm_deep">#REF!</definedName>
    <definedName name="COUNT_SS_B6_300X600_350mm_deep">#REF!</definedName>
    <definedName name="COUNT_SS_B6_300X700">#REF!</definedName>
    <definedName name="COUNT_SS_B6_300X700_520mm_deep">#REF!</definedName>
    <definedName name="COUNT_SS_B7_200X700_450mm_deep">#REF!</definedName>
    <definedName name="COUNT_SS_B8_400X800_550mm_deep">#REF!</definedName>
    <definedName name="COUNT_SS_B9_300X600_350mm_deep">#REF!</definedName>
    <definedName name="COUNT_SS_B9_300X700_450mm_deep">#REF!</definedName>
    <definedName name="COUNT_SS_B9_350X700_450mm_deep">#REF!</definedName>
    <definedName name="COUNT_SS_B9_350X700_500mm_deep">#REF!</definedName>
    <definedName name="COUNT_SS_CA1_300X700">#REF!</definedName>
    <definedName name="COUNT_Stair">#REF!</definedName>
    <definedName name="COUNT_Stair.1">#REF!</definedName>
    <definedName name="COUNT_Stair_10">#REF!</definedName>
    <definedName name="COUNT_Stair_11">#REF!</definedName>
    <definedName name="COUNT_Stair_11A">#REF!</definedName>
    <definedName name="COUNT_Stair_12">#REF!</definedName>
    <definedName name="COUNT_Stair_12A">#REF!</definedName>
    <definedName name="COUNT_Stair_12B">#REF!</definedName>
    <definedName name="COUNT_Stair_13">#REF!</definedName>
    <definedName name="COUNT_Stair_14">#REF!</definedName>
    <definedName name="COUNT_STAIRCASE_ROOM_BS_668">#REF!</definedName>
    <definedName name="COUNT_Storage.1">#REF!</definedName>
    <definedName name="COUNT_Storage.F">#REF!</definedName>
    <definedName name="COUNT_Storage.F1">#REF!</definedName>
    <definedName name="COUNT_Storage.F2">#REF!</definedName>
    <definedName name="COUNT_Storage.F3">#REF!</definedName>
    <definedName name="COUNT_Storage_F">#REF!</definedName>
    <definedName name="COUNT_STORE_GR_655">#REF!</definedName>
    <definedName name="COUNT_Strip_footings_400mm_thk">#REF!</definedName>
    <definedName name="COUNT_Strip_footings_500mm_thk">#REF!</definedName>
    <definedName name="COUNT_Sub_Str._RC_Wall_250mm_thk">#REF!</definedName>
    <definedName name="COUNT_Sub_str._RC_Wall_400mm_thk">#REF!</definedName>
    <definedName name="COUNT_Sub_Str._Trench_wall_250mm_thick">#REF!</definedName>
    <definedName name="COUNT_Sub_Str.RC_Wall_300mm_thk">#REF!</definedName>
    <definedName name="COUNT_Superstr._Basement_Wall_250mm_thick">#REF!</definedName>
    <definedName name="COUNT_Surface_Bed_S_120mm_thick">#REF!</definedName>
    <definedName name="COUNT_Surface_Bed_S1_150mm_thick">#REF!</definedName>
    <definedName name="COUNT_Surface_Bed_S5_250mm_thk">#REF!</definedName>
    <definedName name="COUNT_Tech.">#REF!</definedName>
    <definedName name="COUNT_Tech._library">#REF!</definedName>
    <definedName name="COUNT_Tech.1">#REF!</definedName>
    <definedName name="COUNT_Tech_library.1">#REF!</definedName>
    <definedName name="COUNT_TL___01">#REF!</definedName>
    <definedName name="COUNT_TL___04">#REF!</definedName>
    <definedName name="COUNT_TL___09">#REF!</definedName>
    <definedName name="COUNT_TL___10">#REF!</definedName>
    <definedName name="COUNT_TL___11">#REF!</definedName>
    <definedName name="COUNT_TL___12_S">#REF!</definedName>
    <definedName name="COUNT_TL_04_S">#REF!</definedName>
    <definedName name="COUNT_TL_09_S">#REF!</definedName>
    <definedName name="COUNT_TOILETS_GR_661">#REF!</definedName>
    <definedName name="COUNT_Tool_crib">#REF!</definedName>
    <definedName name="COUNT_Tool_crib.1">#REF!</definedName>
    <definedName name="COUNT_Tools">#REF!</definedName>
    <definedName name="COUNT_Tools_CE_P">#REF!</definedName>
    <definedName name="COUNT_Tools_CE_P.1">#REF!</definedName>
    <definedName name="COUNT_Training.F">#REF!</definedName>
    <definedName name="COUNT_Training_room">#REF!</definedName>
    <definedName name="COUNT_Training_room.1">#REF!</definedName>
    <definedName name="COUNT_TRENCH_BS_653">#REF!</definedName>
    <definedName name="COUNT_TUNNEL_BS_652">#REF!</definedName>
    <definedName name="COUNT_Type_E_Scratched_Finish">#REF!</definedName>
    <definedName name="COUNT_Type_F_Smooth_finish">#REF!</definedName>
    <definedName name="COUNT_Warming_kitchen">#REF!</definedName>
    <definedName name="COUNT_Wash_hangar_2">#REF!</definedName>
    <definedName name="COUNT_WL_01_General_walls">#REF!</definedName>
    <definedName name="COUNT_WL_01_Upstand">#REF!</definedName>
    <definedName name="COUNT_WL_02_Columns_and_Corners">#REF!</definedName>
    <definedName name="COUNT_WL_03_Bollards___100dia">#REF!</definedName>
    <definedName name="COUNT_WL_03_Bollards___150dia">#REF!</definedName>
    <definedName name="COUNT_Womens_toilet">#REF!</definedName>
    <definedName name="COUNT_Womens_toilet.F">#REF!</definedName>
    <definedName name="COUNT_WORKSHOP_GR_667">#REF!</definedName>
    <definedName name="COUNTER">#REF!</definedName>
    <definedName name="COUNTERS">#REF!</definedName>
    <definedName name="Country">#REF!</definedName>
    <definedName name="cover" hidden="1">#REF!</definedName>
    <definedName name="Cover_2" hidden="1">{#N/A,#N/A,FALSE,"Aging Summary";#N/A,#N/A,FALSE,"Ratio Analysis";#N/A,#N/A,FALSE,"Test 120 Day Accts";#N/A,#N/A,FALSE,"Tickmarks"}</definedName>
    <definedName name="COVER1111" hidden="1">#REF!</definedName>
    <definedName name="COVER1H">#N/A</definedName>
    <definedName name="Cover2" hidden="1">{#N/A,#N/A,FALSE,"Aging Summary";#N/A,#N/A,FALSE,"Ratio Analysis";#N/A,#N/A,FALSE,"Test 120 Day Accts";#N/A,#N/A,FALSE,"Tickmarks"}</definedName>
    <definedName name="COVER2H">#N/A</definedName>
    <definedName name="COWC">#REF!</definedName>
    <definedName name="cp">#REF!</definedName>
    <definedName name="cpdpvol">#REF!</definedName>
    <definedName name="cpdpvol_1">#N/A</definedName>
    <definedName name="cpf" hidden="1">{#N/A,#N/A,TRUE,"Basic";#N/A,#N/A,TRUE,"EXT-TABLE";#N/A,#N/A,TRUE,"STEEL";#N/A,#N/A,TRUE,"INT-Table";#N/A,#N/A,TRUE,"STEEL";#N/A,#N/A,TRUE,"Door"}</definedName>
    <definedName name="cpf_1" hidden="1">{#N/A,#N/A,TRUE,"Basic";#N/A,#N/A,TRUE,"EXT-TABLE";#N/A,#N/A,TRUE,"STEEL";#N/A,#N/A,TRUE,"INT-Table";#N/A,#N/A,TRUE,"STEEL";#N/A,#N/A,TRUE,"Door"}</definedName>
    <definedName name="cpf_2" hidden="1">{#N/A,#N/A,TRUE,"Basic";#N/A,#N/A,TRUE,"EXT-TABLE";#N/A,#N/A,TRUE,"STEEL";#N/A,#N/A,TRUE,"INT-Table";#N/A,#N/A,TRUE,"STEEL";#N/A,#N/A,TRUE,"Door"}</definedName>
    <definedName name="cPhaseAreas">#REF!</definedName>
    <definedName name="cPhaseDuration">#REF!</definedName>
    <definedName name="cpierends">#REF!</definedName>
    <definedName name="cpierends_1">#N/A</definedName>
    <definedName name="CPLG">#REF!</definedName>
    <definedName name="CPLG_THRD">#REF!</definedName>
    <definedName name="cprop">#REF!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I">#REF!</definedName>
    <definedName name="CQS">#REF!</definedName>
    <definedName name="CQSA1">#REF!</definedName>
    <definedName name="CQSA2">#REF!</definedName>
    <definedName name="CQSA3">#REF!</definedName>
    <definedName name="CQSA4">#REF!</definedName>
    <definedName name="CQSA5">#REF!</definedName>
    <definedName name="CQSA6">#REF!</definedName>
    <definedName name="CQSA7">#REF!</definedName>
    <definedName name="CQSB1">#REF!</definedName>
    <definedName name="CQSB2">#REF!</definedName>
    <definedName name="CQSB3">#REF!</definedName>
    <definedName name="CQSB4">#REF!</definedName>
    <definedName name="CQSB5">#REF!</definedName>
    <definedName name="CQSB6">#REF!</definedName>
    <definedName name="CQSB7">#REF!</definedName>
    <definedName name="CQSC1">#REF!</definedName>
    <definedName name="CQSC2">#REF!</definedName>
    <definedName name="CQSC3">#REF!</definedName>
    <definedName name="CQSC4">#REF!</definedName>
    <definedName name="CQSC5">#REF!</definedName>
    <definedName name="CQSC6">#REF!</definedName>
    <definedName name="CQSC7">#REF!</definedName>
    <definedName name="CQSREP">#REF!</definedName>
    <definedName name="CR">#REF!</definedName>
    <definedName name="crd">#REF!</definedName>
    <definedName name="cResiCount">1058</definedName>
    <definedName name="Cribbs" hidden="1">{"'Sheet1'!$A$1:$X$25"}</definedName>
    <definedName name="CRIT_VALVE">#REF!</definedName>
    <definedName name="_xlnm.Criteria">#REF!</definedName>
    <definedName name="Criteria_MI">#REF!</definedName>
    <definedName name="CRITERIA1">#REF!</definedName>
    <definedName name="CRITERIAE">#REF!</definedName>
    <definedName name="Criterion">#REF!</definedName>
    <definedName name="CROWS">#REF!</definedName>
    <definedName name="CrR">#REF!</definedName>
    <definedName name="CrT">#REF!</definedName>
    <definedName name="cS106Phasing">#REF!</definedName>
    <definedName name="CSA">#REF!</definedName>
    <definedName name="CSA_BTS">#REF!</definedName>
    <definedName name="CSA_Conductor">#REF!</definedName>
    <definedName name="CSB" hidden="1">{#N/A,#N/A,TRUE,"Cover";#N/A,#N/A,TRUE,"Conts";#N/A,#N/A,TRUE,"VOS";#N/A,#N/A,TRUE,"Warrington";#N/A,#N/A,TRUE,"Widnes"}</definedName>
    <definedName name="CSD">#REF!</definedName>
    <definedName name="csi">#REF!</definedName>
    <definedName name="Cst_score">#REF!</definedName>
    <definedName name="CSTOTAL">#REF!</definedName>
    <definedName name="cSustainabilityPhasing">#REF!</definedName>
    <definedName name="CT">#REF!</definedName>
    <definedName name="CTCT1" hidden="1">{"'Sheet1'!$L$16"}</definedName>
    <definedName name="cTentPhasing">#REF!</definedName>
    <definedName name="CtN">#REF!</definedName>
    <definedName name="ctr">#REF!</definedName>
    <definedName name="CTRADE">#REF!</definedName>
    <definedName name="CTROWS">#REF!</definedName>
    <definedName name="CTS_1C_PVC_Armoured">#REF!</definedName>
    <definedName name="CTS_1C_PVC_Unarmoured">#REF!</definedName>
    <definedName name="CTS_1C_XLPE_Armoured">#REF!</definedName>
    <definedName name="CTS_1C_XLPE_Unarmoured">#REF!</definedName>
    <definedName name="CTS_3C_PVC_Armoured">#REF!</definedName>
    <definedName name="CTS_3C_PVC_Unarmoured">#REF!</definedName>
    <definedName name="CTS_3C_XLPE_Armoured">#REF!</definedName>
    <definedName name="CTS_3C_XLPE_Unarmoured">#REF!</definedName>
    <definedName name="CTS_4C_PVC_Armoured">#REF!</definedName>
    <definedName name="CTS_4C_PVC_Unarmoured">#REF!</definedName>
    <definedName name="CTS_4C_XLPE_Armoured">#REF!</definedName>
    <definedName name="CTS_ECC_Size">#REF!</definedName>
    <definedName name="CTS_Installation_Method">#REF!</definedName>
    <definedName name="CTV">#REF!</definedName>
    <definedName name="CU_ADJ">#REF!</definedName>
    <definedName name="CU_ADJ_MV">#REF!</definedName>
    <definedName name="CulType" localSheetId="9">#REF!</definedName>
    <definedName name="CulType">#REF!</definedName>
    <definedName name="CulvertSched" localSheetId="9">#REF!</definedName>
    <definedName name="CulvertSched">#REF!</definedName>
    <definedName name="CulvertSchedule" localSheetId="7">#REF!</definedName>
    <definedName name="CulvertSchedule" localSheetId="9">#REF!</definedName>
    <definedName name="CulvertSchedule">#REF!</definedName>
    <definedName name="CulvertScheduleR1" localSheetId="7">#REF!</definedName>
    <definedName name="CulvertScheduleR1" localSheetId="9">#REF!</definedName>
    <definedName name="CulvertScheduleR1">#REF!</definedName>
    <definedName name="CUlvertType" localSheetId="9">#REF!</definedName>
    <definedName name="CUlvertType">#REF!</definedName>
    <definedName name="CulvSched" localSheetId="9">#REF!</definedName>
    <definedName name="CulvSched">#REF!</definedName>
    <definedName name="cum_interest">OFFSET(#REF!,2,0,#REF!,1)</definedName>
    <definedName name="cum_principal">OFFSET(#REF!,2,0,#REF!,1)</definedName>
    <definedName name="CumulativeFinancialProgress">#REF!</definedName>
    <definedName name="CumulativeFinancialProgress_21">#REF!</definedName>
    <definedName name="CumulativeFinancialProgress_22">#REF!</definedName>
    <definedName name="CumulativeFinancialProgress_23">#REF!</definedName>
    <definedName name="CumulativeFinancialProgress_24">#REF!</definedName>
    <definedName name="CumulativeFinancialProgress_25">#REF!</definedName>
    <definedName name="CumulativeFinancialProgress_26">#REF!</definedName>
    <definedName name="CumulativePercentCompletion">#REF!</definedName>
    <definedName name="CumulativePercentCompletion_21">#REF!</definedName>
    <definedName name="CumulativePercentCompletion_22">#REF!</definedName>
    <definedName name="CumulativePercentCompletion_23">#REF!</definedName>
    <definedName name="CumulativePercentCompletion_24">#REF!</definedName>
    <definedName name="CumulativePercentCompletion_25">#REF!</definedName>
    <definedName name="CumulativePercentCompletion_26">#REF!</definedName>
    <definedName name="Curbstone">#REF!</definedName>
    <definedName name="curex">#REF!</definedName>
    <definedName name="CURR45">#REF!</definedName>
    <definedName name="Currency">#REF!</definedName>
    <definedName name="Current_Currency_Rate">#REF!</definedName>
    <definedName name="CUT_CLPIPE">#REF!</definedName>
    <definedName name="CUT_CSPIPE">#REF!</definedName>
    <definedName name="CUT_THREAD">#REF!</definedName>
    <definedName name="CUT_WELD">#REF!</definedName>
    <definedName name="cUtilityPhasing">#REF!</definedName>
    <definedName name="cv">#REF!</definedName>
    <definedName name="cvb" hidden="1">{#N/A,#N/A,TRUE,"Cover";#N/A,#N/A,TRUE,"Conts";#N/A,#N/A,TRUE,"VOS";#N/A,#N/A,TRUE,"Warrington";#N/A,#N/A,TRUE,"Widnes"}</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h">"Page "&amp;IF(ISNA(MATCH(ROW(),RowAfterpgbrk,1)),1,MATCH(ROW(),RowAfterpgbrk,1)+1)&amp;" of " &amp; TotPageCount + 0*NOW()</definedName>
    <definedName name="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GYU" hidden="1">{#N/A,#N/A,TRUE,"Cover";#N/A,#N/A,TRUE,"Conts";#N/A,#N/A,TRUE,"VOS";#N/A,#N/A,TRUE,"Warrington";#N/A,#N/A,TRUE,"Widnes"}</definedName>
    <definedName name="CVL_FAC">#REF!</definedName>
    <definedName name="cwe">"Page "&amp;IF(ISNA(MATCH(ROW(),RowAfterpgbrk,1)),1,MATCH(ROW(),RowAfterpgbrk,1)+1)&amp;" of " &amp; TotPageCount + 0*NOW()</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Y">#REF!</definedName>
    <definedName name="CY_1999">#REF!</definedName>
    <definedName name="CY_2000">#REF!</definedName>
    <definedName name="CY_2001">#REF!</definedName>
    <definedName name="CY_2002">#REF!</definedName>
    <definedName name="d" localSheetId="7">#REF!</definedName>
    <definedName name="d" localSheetId="3">#REF!</definedName>
    <definedName name="d" localSheetId="6">#REF!</definedName>
    <definedName name="d" localSheetId="9">#REF!</definedName>
    <definedName name="d" localSheetId="2">#REF!</definedName>
    <definedName name="d" localSheetId="5">#REF!</definedName>
    <definedName name="d" localSheetId="8">#REF!</definedName>
    <definedName name="d">#REF!</definedName>
    <definedName name="D.01">#REF!</definedName>
    <definedName name="D.02">#REF!</definedName>
    <definedName name="D.03">#REF!</definedName>
    <definedName name="D.04">#REF!</definedName>
    <definedName name="D.05">#REF!</definedName>
    <definedName name="D.06">#REF!</definedName>
    <definedName name="D.07">#REF!</definedName>
    <definedName name="D.10">#REF!</definedName>
    <definedName name="D.10a">#REF!</definedName>
    <definedName name="D.10b">#REF!</definedName>
    <definedName name="D.10c">#REF!</definedName>
    <definedName name="D.10d">#REF!</definedName>
    <definedName name="D.20">#REF!</definedName>
    <definedName name="D.25">#REF!</definedName>
    <definedName name="D.26">#REF!</definedName>
    <definedName name="D.30">#REF!</definedName>
    <definedName name="D.31">#REF!</definedName>
    <definedName name="D.32">#REF!</definedName>
    <definedName name="D.40">#REF!</definedName>
    <definedName name="D.50">#REF!</definedName>
    <definedName name="D.51">#REF!</definedName>
    <definedName name="D.52">#REF!</definedName>
    <definedName name="D.60">#REF!</definedName>
    <definedName name="D.70">#REF!</definedName>
    <definedName name="D.81">#REF!</definedName>
    <definedName name="D.82">#REF!</definedName>
    <definedName name="D.83">#REF!</definedName>
    <definedName name="D.84">#REF!</definedName>
    <definedName name="D_____MASONRY___PLASTER_WORKS">#REF!</definedName>
    <definedName name="d_1" hidden="1">{#N/A,#N/A,FALSE,"SumD";#N/A,#N/A,FALSE,"ElecD";#N/A,#N/A,FALSE,"MechD";#N/A,#N/A,FALSE,"GeotD";#N/A,#N/A,FALSE,"PrcsD";#N/A,#N/A,FALSE,"TunnD";#N/A,#N/A,FALSE,"CivlD";#N/A,#N/A,FALSE,"NtwkD";#N/A,#N/A,FALSE,"EstgD";#N/A,#N/A,FALSE,"PEngD"}</definedName>
    <definedName name="D_Concrete">#REF!</definedName>
    <definedName name="D_Masonry">#REF!</definedName>
    <definedName name="D_TABLE">#REF!</definedName>
    <definedName name="D01_">#REF!</definedName>
    <definedName name="D02_">#REF!</definedName>
    <definedName name="D03_">#REF!</definedName>
    <definedName name="D04_">#REF!</definedName>
    <definedName name="D10b">#REF!</definedName>
    <definedName name="da" hidden="1">#REF!</definedName>
    <definedName name="dad">#REF!</definedName>
    <definedName name="dada" hidden="1">{#N/A,#N/A,TRUE,"Cover";#N/A,#N/A,TRUE,"Conts";#N/A,#N/A,TRUE,"VOS";#N/A,#N/A,TRUE,"Warrington";#N/A,#N/A,TRUE,"Widnes"}</definedName>
    <definedName name="dada_1" hidden="1">{#N/A,#N/A,TRUE,"Cover";#N/A,#N/A,TRUE,"Conts";#N/A,#N/A,TRUE,"VOS";#N/A,#N/A,TRUE,"Warrington";#N/A,#N/A,TRUE,"Widnes"}</definedName>
    <definedName name="Daily_hour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qwedasd">#REF!</definedName>
    <definedName name="dasf" hidden="1">{#N/A,#N/A,FALSE,"구조2"}</definedName>
    <definedName name="DAT">#REF!</definedName>
    <definedName name="Data">#REF!</definedName>
    <definedName name="Data.Dump" hidden="1">OFFSET(#REF!,1,0)</definedName>
    <definedName name="DATA_01"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FAC">#REF!</definedName>
    <definedName name="data1" hidden="1">#REF!</definedName>
    <definedName name="data2" hidden="1">#REF!</definedName>
    <definedName name="data3" hidden="1">#REF!</definedName>
    <definedName name="DataArea">#REF!</definedName>
    <definedName name="_xlnm.Database">#REF!</definedName>
    <definedName name="Database.File" hidden="1">#REF!</definedName>
    <definedName name="Database_MI">#REF!</definedName>
    <definedName name="DATACHECKED_ELBK">#REF!</definedName>
    <definedName name="DATACHECKED_ELEQ">#REF!</definedName>
    <definedName name="DATACHECKED_INSTR">#REF!</definedName>
    <definedName name="DATAFILL">#REF!</definedName>
    <definedName name="DataFilter">#REF!</definedName>
    <definedName name="DataSort">#REF!</definedName>
    <definedName name="dataww" hidden="1">#REF!</definedName>
    <definedName name="date">#REF!</definedName>
    <definedName name="DATECHECKED_ELBK">#REF!</definedName>
    <definedName name="DATECHECKED_ELEQ">#REF!</definedName>
    <definedName name="DATECHECKED_INSTR">#REF!</definedName>
    <definedName name="DATES">#REF!</definedName>
    <definedName name="DaWk7">#REF!</definedName>
    <definedName name="DAY">#REF!</definedName>
    <definedName name="DaysMonth">#REF!</definedName>
    <definedName name="DaysMonth1">#REF!</definedName>
    <definedName name="DaysWeek">#REF!</definedName>
    <definedName name="DaysWeek1">#REF!</definedName>
    <definedName name="DaysYear">#REF!</definedName>
    <definedName name="DaysYear1">#REF!</definedName>
    <definedName name="DAYWORK">#REF!</definedName>
    <definedName name="Daywork1" hidden="1">{#N/A,#N/A,FALSE,"MARCH"}</definedName>
    <definedName name="db">#REF!</definedName>
    <definedName name="DB_PRICING">#REF!</definedName>
    <definedName name="DBB" hidden="1">{#N/A,#N/A,TRUE,"Basic";#N/A,#N/A,TRUE,"EXT-TABLE";#N/A,#N/A,TRUE,"STEEL";#N/A,#N/A,TRUE,"INT-Table";#N/A,#N/A,TRUE,"STEEL";#N/A,#N/A,TRUE,"Door"}</definedName>
    <definedName name="DBC">#REF!</definedName>
    <definedName name="DBD">#REF!</definedName>
    <definedName name="DBE">#REF!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#REF!</definedName>
    <definedName name="DBST1">#REF!</definedName>
    <definedName name="DBST2">#REF!</definedName>
    <definedName name="dBuildComplete">#REF!</definedName>
    <definedName name="dBuildDuration">#REF!</definedName>
    <definedName name="dBuildings">#REF!</definedName>
    <definedName name="dBuildPhase">#REF!</definedName>
    <definedName name="dBuildStart">#REF!</definedName>
    <definedName name="dBuildTypes">#REF!</definedName>
    <definedName name="DC">#REF!</definedName>
    <definedName name="DC7per" hidden="1">#REF!</definedName>
    <definedName name="dcebmtfggjm" hidden="1">{#N/A,#N/A,TRUE,"Front";#N/A,#N/A,TRUE,"Simple Letter";#N/A,#N/A,TRUE,"Inside";#N/A,#N/A,TRUE,"Contents";#N/A,#N/A,TRUE,"Basis";#N/A,#N/A,TRUE,"Inclusions";#N/A,#N/A,TRUE,"Exclusions";#N/A,#N/A,TRUE,"Areas";#N/A,#N/A,TRUE,"Summary";#N/A,#N/A,TRUE,"Detail"}</definedName>
    <definedName name="DCest">#REF!</definedName>
    <definedName name="DCF">#REF!</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rd">#REF!</definedName>
    <definedName name="DCRDLR">#REF!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SYS">#REF!</definedName>
    <definedName name="DCVVVVV" hidden="1">#REF!</definedName>
    <definedName name="dd" localSheetId="7" hidden="1">{#N/A,#N/A,TRUE,"Cover";#N/A,#N/A,TRUE,"Conts";#N/A,#N/A,TRUE,"VOS";#N/A,#N/A,TRUE,"Warrington";#N/A,#N/A,TRUE,"Widnes"}</definedName>
    <definedName name="dd" localSheetId="0" hidden="1">{#N/A,#N/A,TRUE,"Cover";#N/A,#N/A,TRUE,"Conts";#N/A,#N/A,TRUE,"VOS";#N/A,#N/A,TRUE,"Warrington";#N/A,#N/A,TRUE,"Widnes"}</definedName>
    <definedName name="dd" localSheetId="9"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#REF!</definedName>
    <definedName name="DDDD">#REF!</definedName>
    <definedName name="ddddaadsdsa">IF(VLOOKUP(#REF!,PRICE_CIVIL,7,FALSE)=0,0,VLOOKUP(#REF!,PRICE_CIVIL,7,FALSE))</definedName>
    <definedName name="ddddd" localSheetId="7" hidden="1">{#N/A,#N/A,TRUE,"Cover";#N/A,#N/A,TRUE,"Conts";#N/A,#N/A,TRUE,"VOS";#N/A,#N/A,TRUE,"Warrington";#N/A,#N/A,TRUE,"Widnes"}</definedName>
    <definedName name="ddddd" localSheetId="0" hidden="1">{#N/A,#N/A,TRUE,"Cover";#N/A,#N/A,TRUE,"Conts";#N/A,#N/A,TRUE,"VOS";#N/A,#N/A,TRUE,"Warrington";#N/A,#N/A,TRUE,"Widnes"}</definedName>
    <definedName name="ddddd" localSheetId="9"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dddd_1" hidden="1">{#N/A,#N/A,FALSE,"SumD";#N/A,#N/A,FALSE,"ElecD";#N/A,#N/A,FALSE,"MechD";#N/A,#N/A,FALSE,"GeotD";#N/A,#N/A,FALSE,"PrcsD";#N/A,#N/A,FALSE,"TunnD";#N/A,#N/A,FALSE,"CivlD";#N/A,#N/A,FALSE,"NtwkD";#N/A,#N/A,FALSE,"EstgD";#N/A,#N/A,FALSE,"PEngD"}</definedName>
    <definedName name="dddd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1" hidden="1">{#N/A,#N/A,FALSE,"SumD";#N/A,#N/A,FALSE,"ElecD";#N/A,#N/A,FALSE,"MechD";#N/A,#N/A,FALSE,"GeotD";#N/A,#N/A,FALSE,"PrcsD";#N/A,#N/A,FALSE,"TunnD";#N/A,#N/A,FALSE,"CivlD";#N/A,#N/A,FALSE,"NtwkD";#N/A,#N/A,FALSE,"EstgD";#N/A,#N/A,FALSE,"PEngD"}</definedName>
    <definedName name="dddddd" hidden="1">{#N/A,#N/A,FALSE,"SumG";#N/A,#N/A,FALSE,"ElecG";#N/A,#N/A,FALSE,"MechG";#N/A,#N/A,FALSE,"GeotG";#N/A,#N/A,FALSE,"PrcsG";#N/A,#N/A,FALSE,"TunnG";#N/A,#N/A,FALSE,"CivlG";#N/A,#N/A,FALSE,"NtwkG";#N/A,#N/A,FALSE,"EstgG";#N/A,#N/A,FALSE,"PEngG"}</definedName>
    <definedName name="ddddddd" hidden="1">{#N/A,#N/A,FALSE,"TABLE"}</definedName>
    <definedName name="dddddddddd">#REF!</definedName>
    <definedName name="ddddddddddd">#REF!</definedName>
    <definedName name="DDDDDDDDDDDDD"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_2" hidden="1">{#N/A,#N/A,TRUE,"Basic";#N/A,#N/A,TRUE,"EXT-TABLE";#N/A,#N/A,TRUE,"STEEL";#N/A,#N/A,TRUE,"INT-Table";#N/A,#N/A,TRUE,"STEEL";#N/A,#N/A,TRUE,"Door"}</definedName>
    <definedName name="dddddddddddddddddddd" hidden="1">#REF!</definedName>
    <definedName name="dddddz" hidden="1">{#N/A,#N/A,FALSE,"SumD";#N/A,#N/A,FALSE,"ElecD";#N/A,#N/A,FALSE,"MechD";#N/A,#N/A,FALSE,"GeotD";#N/A,#N/A,FALSE,"PrcsD";#N/A,#N/A,FALSE,"TunnD";#N/A,#N/A,FALSE,"CivlD";#N/A,#N/A,FALSE,"NtwkD";#N/A,#N/A,FALSE,"EstgD";#N/A,#N/A,FALSE,"PEngD"}</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f">#REF!</definedName>
    <definedName name="dddf_1" hidden="1">{"'장비'!$A$3:$M$12"}</definedName>
    <definedName name="dddf_2" hidden="1">{"'장비'!$A$3:$M$12"}</definedName>
    <definedName name="dddt" hidden="1">{"'Break down'!$A$4"}</definedName>
    <definedName name="ddf" hidden="1">{#N/A,#N/A,TRUE,"Cover";#N/A,#N/A,TRUE,"Conts";#N/A,#N/A,TRUE,"VOS";#N/A,#N/A,TRUE,"Warrington";#N/A,#N/A,TRUE,"Widnes"}</definedName>
    <definedName name="DDFD" hidden="1">{#N/A,#N/A,FALSE,"CCTV"}</definedName>
    <definedName name="DDFD_1" hidden="1">{#N/A,#N/A,FALSE,"CCTV"}</definedName>
    <definedName name="DDFD_2" hidden="1">{#N/A,#N/A,FALSE,"CCTV"}</definedName>
    <definedName name="DDFDF" hidden="1">#REF!</definedName>
    <definedName name="ddh" hidden="1">#REF!</definedName>
    <definedName name="DDS">#REF!</definedName>
    <definedName name="ddsa" hidden="1">{#N/A,#N/A,TRUE,"Cover";#N/A,#N/A,TRUE,"Conts";#N/A,#N/A,TRUE,"VOS";#N/A,#N/A,TRUE,"Warrington";#N/A,#N/A,TRUE,"Widnes"}</definedName>
    <definedName name="DDSD" hidden="1">{#N/A,#N/A,TRUE,"Cover";#N/A,#N/A,TRUE,"Conts";#N/A,#N/A,TRUE,"VOS";#N/A,#N/A,TRUE,"Warrington";#N/A,#N/A,TRUE,"Widnes"}</definedName>
    <definedName name="dead">#REF!</definedName>
    <definedName name="deal1">#REF!</definedName>
    <definedName name="DealData">#REF!</definedName>
    <definedName name="DEC_19" hidden="1">{#N/A,#N/A,TRUE,"arnitower";#N/A,#N/A,TRUE,"arnigarage "}</definedName>
    <definedName name="dec_25" hidden="1">{#N/A,#N/A,TRUE,"arnitower";#N/A,#N/A,TRUE,"arnigarage "}</definedName>
    <definedName name="deddd">#REF!</definedName>
    <definedName name="def" hidden="1">#REF!</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lay">#REF!</definedName>
    <definedName name="DelDC">#REF!</definedName>
    <definedName name="DelDm">#REF!</definedName>
    <definedName name="DELETE">#REF!</definedName>
    <definedName name="DELETE_D">#REF!</definedName>
    <definedName name="DELETE_U">#REF!</definedName>
    <definedName name="deleted" hidden="1">#REF!</definedName>
    <definedName name="DELfeb09" hidden="1">#REF!</definedName>
    <definedName name="Delivery">#REF!</definedName>
    <definedName name="Delshan" hidden="1">{#N/A,#N/A,FALSE,"VCR"}</definedName>
    <definedName name="DelType">#REF!</definedName>
    <definedName name="DEMOEST">#REF!</definedName>
    <definedName name="DEMOROWS">#REF!</definedName>
    <definedName name="Depth">#REF!</definedName>
    <definedName name="Depth_1">#N/A</definedName>
    <definedName name="deptLookup">#REF!</definedName>
    <definedName name="derf">IF(ISNA(MATCH(ROW(),RowAfterpgbrk,1)),1,MATCH(ROW(),RowAfterpgbrk,1)+1)&lt;&gt;IF(ISNA(MATCH(ROW()+1,RowAfterpgbrk,1)),1,MATCH(ROW()+1,RowAfterpgbrk,1)+1)</definedName>
    <definedName name="DES">#REF!</definedName>
    <definedName name="Des_Pkg">#REF!</definedName>
    <definedName name="desa">"Page "&amp;IF(ISNA(MATCH(ROW(),RowAfterpgbrk,1)),1,MATCH(ROW(),RowAfterpgbrk,1)+1)&amp;" of " &amp; TotPageCount + 0*NOW()</definedName>
    <definedName name="Desc_Cntl_Valves">IF(VLOOKUP(#REF!,CNTL_VALVE_PRICE,2,FALSE)=0,0,VLOOKUP(#REF!,CNTL_VALVE_PRICE,2,FALSE))</definedName>
    <definedName name="Desc_Conduit">IF(VLOOKUP(#REF!,COND_PRICING,2,FALSE)=0,0,VLOOKUP(#REF!,COND_PRICING,2,FALSE))</definedName>
    <definedName name="Desc_DB">IF(VLOOKUP(#REF!,DB_PRICING,2,FALSE)=0,0,VLOOKUP(#REF!,DB_PRICING,2,FALSE))</definedName>
    <definedName name="Desc_DB1">IF(VLOOKUP(#REF!,DB_PRICING,3,FALSE)=0,0,VLOOKUP(#REF!,DB_PRICING,3,FALSE))</definedName>
    <definedName name="Desc_DC">#N/A</definedName>
    <definedName name="DESC_EQ_SPRT">#REF!</definedName>
    <definedName name="DESC_FAB">#REF!</definedName>
    <definedName name="Desc_MV_Cable">IF(VLOOKUP(#REF!,CABLE_PRICING,3,FALSE)=0,0,VLOOKUP(#REF!,CABLE_PRICING,3,FALSE))</definedName>
    <definedName name="Desc_Other">IF(VLOOKUP(#REF!,OTHER_PRICING,2,FALSE)=0,0,VLOOKUP(#REF!,OTHER_PRICING,2,FALSE))</definedName>
    <definedName name="Desc_Par1_Conduit">IF(VLOOKUP(#REF!,COND_PRICING,3,FALSE)=0,0,VLOOKUP(#REF!,COND_PRICING,3,FALSE))</definedName>
    <definedName name="Desc_Par1_DB">IF(VLOOKUP(#REF!,DB_PRICING,5,FALSE)=0,0,VLOOKUP(#REF!,DB_PRICING,5,FALSE))</definedName>
    <definedName name="Desc_Par2_Conduit">IF(VLOOKUP(#REF!,COND_PRICING,4,FALSE)=0,0,VLOOKUP(#REF!,COND_PRICING,4,FALSE))</definedName>
    <definedName name="Desc_Par3_DB">IF(VLOOKUP(#REF!,DB_PRICING,6,FALSE)=0,0,VLOOKUP(#REF!,DB_PRICING,6,FALSE))</definedName>
    <definedName name="Desc_Par6_DB">IF(VLOOKUP(#REF!,DB_PRICING,7,FALSE)=0,0,VLOOKUP(#REF!,DB_PRICING,7,FALSE))</definedName>
    <definedName name="DESC_PIPERACK">#REF!</definedName>
    <definedName name="DESC_PLT_ACCS">#REF!</definedName>
    <definedName name="DESC_STANCHION">#REF!</definedName>
    <definedName name="DESC_STCK_SPRT">#REF!</definedName>
    <definedName name="Desc_Tray">IF(VLOOKUP(#REF!,TRAY_PRICING,3,FALSE)=0,0,VLOOKUP(#REF!,TRAY_PRICING,3,FALSE))</definedName>
    <definedName name="Desc1_Conduit">IF(VLOOKUP(#REF!,COND_PRICING,2,FALSE)=0,0,VLOOKUP(#REF!,COND_PRICING,2,FALSE))</definedName>
    <definedName name="Desc1_MV_Cable">IF(VLOOKUP(#REF!,CABLE_PRICING,2,FALSE)=0,0,VLOOKUP(#REF!,CABLE_PRICING,2,FALSE))</definedName>
    <definedName name="Desc1_Other">IF(VLOOKUP(#REF!,OTHER_PRICING,2,FALSE)=0,0,VLOOKUP(#REF!,OTHER_PRICING,2,FALSE))</definedName>
    <definedName name="Desc1_Par1_Conduit">IF(VLOOKUP(#REF!,COND_PRICING,3,FALSE)=0,0,VLOOKUP(#REF!,COND_PRICING,3,FALSE))</definedName>
    <definedName name="Desc1_Tray">IF(VLOOKUP(#REF!,TRAY_PRICING,3,FALSE)=0,0,VLOOKUP(#REF!,TRAY_PRICING,3,FALSE))</definedName>
    <definedName name="Desc2_MV_Cable">IF(VLOOKUP(#REF!,CABLE_PRICING,3,FALSE)=0,0,VLOOKUP(#REF!,CABLE_PRICING,3,FALSE))</definedName>
    <definedName name="Desc2_Par2_Conduit">IF(VLOOKUP(#REF!,COND_PRICING,4,FALSE)=0,0,VLOOKUP(#REF!,COND_PRICING,4,FALSE))</definedName>
    <definedName name="Description">#REF!</definedName>
    <definedName name="DESCRIPTION2">#REF!,#REF!,#REF!,#REF!,#REF!,#REF!,#REF!</definedName>
    <definedName name="design">#REF!</definedName>
    <definedName name="Design_fees">#REF!</definedName>
    <definedName name="DESINFECTION">#REF!</definedName>
    <definedName name="Desk_00">#REF!</definedName>
    <definedName name="Desk_01">#REF!</definedName>
    <definedName name="Desk_02">#REF!</definedName>
    <definedName name="Desk_03">#REF!</definedName>
    <definedName name="DesRatio">#REF!</definedName>
    <definedName name="DESUP_HTRS">#REF!</definedName>
    <definedName name="DETAIL">#REF!</definedName>
    <definedName name="DETAIL_TOT">#REF!</definedName>
    <definedName name="DETAILS" localSheetId="7" hidden="1">{#N/A,#N/A,FALSE,"C3";#N/A,#N/A,FALSE,"D2-17";#N/A,#N/A,FALSE,"C2-17";#N/A,#N/A,FALSE,"C2-CIVIL";#N/A,#N/A,FALSE,"D1-C1 contract";#N/A,#N/A,FALSE,"D1-CIVIL";#N/A,#N/A,FALSE,"C1 hourly";#N/A,#N/A,FALSE,"C1 contract";#N/A,#N/A,FALSE,"D1-C1 hourly"}</definedName>
    <definedName name="DETAILS" localSheetId="0" hidden="1">{#N/A,#N/A,FALSE,"C3";#N/A,#N/A,FALSE,"D2-17";#N/A,#N/A,FALSE,"C2-17";#N/A,#N/A,FALSE,"C2-CIVIL";#N/A,#N/A,FALSE,"D1-C1 contract";#N/A,#N/A,FALSE,"D1-CIVIL";#N/A,#N/A,FALSE,"C1 hourly";#N/A,#N/A,FALSE,"C1 contract";#N/A,#N/A,FALSE,"D1-C1 hourly"}</definedName>
    <definedName name="DETAILS" localSheetId="9"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etector_Type">#REF!</definedName>
    <definedName name="DETHEADER">#REF!</definedName>
    <definedName name="devman">#REF!</definedName>
    <definedName name="Dewatering_shoring">#REF!</definedName>
    <definedName name="Df">#REF!</definedName>
    <definedName name="Df_1">#N/A</definedName>
    <definedName name="dfa" hidden="1">{#N/A,#N/A,FALSE,"CCTV"}</definedName>
    <definedName name="dFactor">1</definedName>
    <definedName name="dfaf" hidden="1">{"'장비'!$A$3:$M$12"}</definedName>
    <definedName name="dfaf_1" hidden="1">{"'장비'!$A$3:$M$12"}</definedName>
    <definedName name="dfaf_2" hidden="1">{"'장비'!$A$3:$M$12"}</definedName>
    <definedName name="dfagfee" hidden="1">{#N/A,#N/A,FALSE,"CCTV"}</definedName>
    <definedName name="dfcvddddds" hidden="1">#REF!</definedName>
    <definedName name="DF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d" hidden="1">{#N/A,#N/A,TRUE,"Front";#N/A,#N/A,TRUE,"Simple Letter";#N/A,#N/A,TRUE,"Inside";#N/A,#N/A,TRUE,"Contents";#N/A,#N/A,TRUE,"Basis";#N/A,#N/A,TRUE,"Inclusions";#N/A,#N/A,TRUE,"Exclusions";#N/A,#N/A,TRUE,"Areas";#N/A,#N/A,TRUE,"Summary";#N/A,#N/A,TRUE,"Detail"}</definedName>
    <definedName name="DFD_1" hidden="1">{#N/A,#N/A,FALSE,"명세표"}</definedName>
    <definedName name="DFD_2" hidden="1">{#N/A,#N/A,FALSE,"명세표"}</definedName>
    <definedName name="dfdf" hidden="1">{"'장비'!$A$3:$M$12"}</definedName>
    <definedName name="dfdf_1" hidden="1">{"'장비'!$A$3:$M$12"}</definedName>
    <definedName name="dfdf_2" hidden="1">{"'장비'!$A$3:$M$12"}</definedName>
    <definedName name="dfdfd" hidden="1">{#N/A,#N/A,TRUE,"Cover";#N/A,#N/A,TRUE,"Conts";#N/A,#N/A,TRUE,"VOS";#N/A,#N/A,TRUE,"Warrington";#N/A,#N/A,TRUE,"Widnes"}</definedName>
    <definedName name="dfdff">#REF!</definedName>
    <definedName name="dfdsf">#REF!</definedName>
    <definedName name="Dff">#REF!</definedName>
    <definedName name="Dff_1">#N/A</definedName>
    <definedName name="dffddf" hidden="1">{"'Break down'!$A$4"}</definedName>
    <definedName name="dffds" hidden="1">{#N/A,#N/A,TRUE,"Front";#N/A,#N/A,TRUE,"Simple Letter";#N/A,#N/A,TRUE,"Inside";#N/A,#N/A,TRUE,"Contents";#N/A,#N/A,TRUE,"Basis";#N/A,#N/A,TRUE,"Inclusions";#N/A,#N/A,TRUE,"Exclusions";#N/A,#N/A,TRUE,"Areas";#N/A,#N/A,TRUE,"Summary";#N/A,#N/A,TRUE,"Detail"}</definedName>
    <definedName name="DFFF">#REF!</definedName>
    <definedName name="dfffff" hidden="1">{#N/A,#N/A,FALSE,"SumG";#N/A,#N/A,FALSE,"ElecG";#N/A,#N/A,FALSE,"MechG";#N/A,#N/A,FALSE,"GeotG";#N/A,#N/A,FALSE,"PrcsG";#N/A,#N/A,FALSE,"TunnG";#N/A,#N/A,FALSE,"CivlG";#N/A,#N/A,FALSE,"NtwkG";#N/A,#N/A,FALSE,"EstgG";#N/A,#N/A,FALSE,"PEngG"}</definedName>
    <definedName name="dfffff_1"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dfgd" localSheetId="7" hidden="1">{#N/A,#N/A,TRUE,"Cover";#N/A,#N/A,TRUE,"Conts";#N/A,#N/A,TRUE,"VOS";#N/A,#N/A,TRUE,"Warrington";#N/A,#N/A,TRUE,"Widnes"}</definedName>
    <definedName name="dfgd" localSheetId="0" hidden="1">{#N/A,#N/A,TRUE,"Cover";#N/A,#N/A,TRUE,"Conts";#N/A,#N/A,TRUE,"VOS";#N/A,#N/A,TRUE,"Warrington";#N/A,#N/A,TRUE,"Widnes"}</definedName>
    <definedName name="dfgd" localSheetId="9"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fgfd" hidden="1">{#N/A,#N/A,TRUE,"Front";#N/A,#N/A,TRUE,"Simple Letter";#N/A,#N/A,TRUE,"Inside";#N/A,#N/A,TRUE,"Contents";#N/A,#N/A,TRUE,"Basis";#N/A,#N/A,TRUE,"Inclusions";#N/A,#N/A,TRUE,"Exclusions";#N/A,#N/A,TRUE,"Areas";#N/A,#N/A,TRUE,"Summary";#N/A,#N/A,TRUE,"Detail"}</definedName>
    <definedName name="dfgh" hidden="1">{#N/A,#N/A,TRUE,"COVER";#N/A,#N/A,TRUE,"DETAILS";#N/A,#N/A,TRUE,"SUMMARY";#N/A,#N/A,TRUE,"EXP MON";#N/A,#N/A,TRUE,"APPENDIX A";#N/A,#N/A,TRUE,"APPENDIX B";#N/A,#N/A,TRUE,"APPENDIX C";#N/A,#N/A,TRUE,"APPENDIX D";#N/A,#N/A,TRUE,"APPENDIX E";#N/A,#N/A,TRUE,"APPENDIX F";#N/A,#N/A,TRUE,"APPENDIX G"}</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a" hidden="1">{#N/A,#N/A,TRUE,"LOADCOVE";#N/A,#N/A,TRUE,"PAGE001";#N/A,#N/A,TRUE,"PAGE002";#N/A,#N/A,TRUE,"PAGE003";#N/A,#N/A,TRUE,"PAGE004";#N/A,#N/A,TRUE,"PAGE005";#N/A,#N/A,TRUE,"PAGE006";#N/A,#N/A,TRUE,"PAGE007";#N/A,#N/A,TRUE,"PAGE008";#N/A,#N/A,TRUE,"PAGE009";#N/A,#N/A,TRUE,"PAGE010";#N/A,#N/A,TRUE,"PAGE011";#N/A,#N/A,TRUE,"PAGE012";#N/A,#N/A,TRUE,"PAGE013"}</definedName>
    <definedName name="dfgsdfg" hidden="1">{#N/A,#N/A,FALSE,"SumD";#N/A,#N/A,FALSE,"ElecD";#N/A,#N/A,FALSE,"MechD";#N/A,#N/A,FALSE,"GeotD";#N/A,#N/A,FALSE,"PrcsD";#N/A,#N/A,FALSE,"TunnD";#N/A,#N/A,FALSE,"CivlD";#N/A,#N/A,FALSE,"NtwkD";#N/A,#N/A,FALSE,"EstgD";#N/A,#N/A,FALSE,"PEngD"}</definedName>
    <definedName name="DFGSDFGSDGSD" hidden="1">{"'장비'!$A$3:$M$12"}</definedName>
    <definedName name="DFGTAETETYER" hidden="1">{"'Break down'!$A$4"}</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DFHRE" hidden="1">{#N/A,#N/A,FALSE,"속도"}</definedName>
    <definedName name="DFHDFHRE_1" hidden="1">{#N/A,#N/A,FALSE,"속도"}</definedName>
    <definedName name="DFHDFHRE_2" hidden="1">{#N/A,#N/A,FALSE,"속도"}</definedName>
    <definedName name="dfhfh" hidden="1">{#N/A,#N/A,TRUE,"Front";#N/A,#N/A,TRUE,"Simple Letter";#N/A,#N/A,TRUE,"Inside";#N/A,#N/A,TRUE,"Contents";#N/A,#N/A,TRUE,"Basis";#N/A,#N/A,TRUE,"Inclusions";#N/A,#N/A,TRUE,"Exclusions";#N/A,#N/A,TRUE,"Areas";#N/A,#N/A,TRUE,"Summary";#N/A,#N/A,TRUE,"Detail"}</definedName>
    <definedName name="DFJLKDSKF" hidden="1">{#N/A,#N/A,FALSE,"골재소요량";#N/A,#N/A,FALSE,"골재소요량"}</definedName>
    <definedName name="dfmlksfasn" hidden="1">{#N/A,#N/A,TRUE,"Front";#N/A,#N/A,TRUE,"Simple Letter";#N/A,#N/A,TRUE,"Inside";#N/A,#N/A,TRUE,"Contents";#N/A,#N/A,TRUE,"Basis";#N/A,#N/A,TRUE,"Inclusions";#N/A,#N/A,TRUE,"Exclusions";#N/A,#N/A,TRUE,"Areas";#N/A,#N/A,TRUE,"Summary";#N/A,#N/A,TRUE,"Detail"}</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#REF!</definedName>
    <definedName name="DFSAFSAFD" hidden="1">#REF!</definedName>
    <definedName name="dfsdf" hidden="1">#REF!</definedName>
    <definedName name="dfsefs" hidden="1">{#N/A,#N/A,TRUE,"Basic";#N/A,#N/A,TRUE,"EXT-TABLE";#N/A,#N/A,TRUE,"STEEL";#N/A,#N/A,TRUE,"INT-Table";#N/A,#N/A,TRUE,"STEEL";#N/A,#N/A,TRUE,"Door"}</definedName>
    <definedName name="DFSF" hidden="1">#REF!</definedName>
    <definedName name="dftktdukt">IF(ISNA(MATCH(ROW(),RowAfterpgbrk,1)),1,MATCH(ROW(),RowAfterpgbrk,1)+1)&lt;&gt;IF(ISNA(MATCH(ROW()+1,RowAfterpgbrk,1)),1,MATCH(ROW()+1,RowAfterpgbrk,1)+1)</definedName>
    <definedName name="dfv">"Page "&amp;IF(ISNA(MATCH(ROW(),RowAfterpgbrk,1)),1,MATCH(ROW(),RowAfterpgbrk,1)+1)&amp;" of " &amp; TotPageCount + 0*NOW()</definedName>
    <definedName name="dg">IF(ISNA(MATCH(ROW(),RowAfterpgbrk,1)),1,MATCH(ROW(),RowAfterpgbrk,1)+1)&lt;&gt;IF(ISNA(MATCH(ROW()+1,RowAfterpgbrk,1)),1,MATCH(ROW()+1,RowAfterpgbrk,1)+1)</definedName>
    <definedName name="dgagd" hidden="1">{#N/A,#N/A,TRUE,"Basic";#N/A,#N/A,TRUE,"EXT-TABLE";#N/A,#N/A,TRUE,"STEEL";#N/A,#N/A,TRUE,"INT-Table";#N/A,#N/A,TRUE,"STEEL";#N/A,#N/A,TRUE,"Door"}</definedName>
    <definedName name="dgagd_1" hidden="1">{#N/A,#N/A,TRUE,"Basic";#N/A,#N/A,TRUE,"EXT-TABLE";#N/A,#N/A,TRUE,"STEEL";#N/A,#N/A,TRUE,"INT-Table";#N/A,#N/A,TRUE,"STEEL";#N/A,#N/A,TRUE,"Door"}</definedName>
    <definedName name="dgagd_2" hidden="1">{#N/A,#N/A,TRUE,"Basic";#N/A,#N/A,TRUE,"EXT-TABLE";#N/A,#N/A,TRUE,"STEEL";#N/A,#N/A,TRUE,"INT-Table";#N/A,#N/A,TRUE,"STEEL";#N/A,#N/A,TRUE,"Door"}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 hidden="1">{#N/A,#N/A,FALSE,"SumG";#N/A,#N/A,FALSE,"ElecG";#N/A,#N/A,FALSE,"MechG";#N/A,#N/A,FALSE,"GeotG";#N/A,#N/A,FALSE,"PrcsG";#N/A,#N/A,FALSE,"TunnG";#N/A,#N/A,FALSE,"CivlG";#N/A,#N/A,FALSE,"NtwkG";#N/A,#N/A,FALSE,"EstgG";#N/A,#N/A,FALSE,"PEngG"}</definedName>
    <definedName name="dgfd_1" hidden="1">{#N/A,#N/A,FALSE,"SumG";#N/A,#N/A,FALSE,"ElecG";#N/A,#N/A,FALSE,"MechG";#N/A,#N/A,FALSE,"GeotG";#N/A,#N/A,FALSE,"PrcsG";#N/A,#N/A,FALSE,"TunnG";#N/A,#N/A,FALSE,"CivlG";#N/A,#N/A,FALSE,"NtwkG";#N/A,#N/A,FALSE,"EstgG";#N/A,#N/A,FALSE,"PEngG"}</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z" hidden="1">{#N/A,#N/A,FALSE,"SumG";#N/A,#N/A,FALSE,"ElecG";#N/A,#N/A,FALSE,"MechG";#N/A,#N/A,FALSE,"GeotG";#N/A,#N/A,FALSE,"PrcsG";#N/A,#N/A,FALSE,"TunnG";#N/A,#N/A,FALSE,"CivlG";#N/A,#N/A,FALSE,"NtwkG";#N/A,#N/A,FALSE,"EstgG";#N/A,#N/A,FALSE,"PEngG"}</definedName>
    <definedName name="dgfgd" hidden="1">#REF!</definedName>
    <definedName name="dgfgjgj" hidden="1">{#N/A,#N/A,FALSE,"CCTV"}</definedName>
    <definedName name="dgfgjgj_1" hidden="1">{#N/A,#N/A,FALSE,"CCTV"}</definedName>
    <definedName name="dgfgjgj_2" hidden="1">{#N/A,#N/A,FALSE,"CCTV"}</definedName>
    <definedName name="dgfshfj" hidden="1">{"'Break down'!$A$4"}</definedName>
    <definedName name="dggqwq" hidden="1">{#N/A,#N/A,TRUE,"Front";#N/A,#N/A,TRUE,"Simple Letter";#N/A,#N/A,TRUE,"Inside";#N/A,#N/A,TRUE,"Contents";#N/A,#N/A,TRUE,"Basis";#N/A,#N/A,TRUE,"Inclusions";#N/A,#N/A,TRUE,"Exclusions";#N/A,#N/A,TRUE,"Areas";#N/A,#N/A,TRUE,"Summary";#N/A,#N/A,TRUE,"Detail"}</definedName>
    <definedName name="dGIAs">#REF!</definedName>
    <definedName name="DGL">#REF!</definedName>
    <definedName name="Dgo">#REF!</definedName>
    <definedName name="dGrossNet">#REF!</definedName>
    <definedName name="DGSSAG" hidden="1">{"'장비'!$A$3:$M$12"}</definedName>
    <definedName name="Dgx">#REF!</definedName>
    <definedName name="Dgz">#REF!</definedName>
    <definedName name="dhgdf" hidden="1">{#N/A,#N/A,TRUE,"Front";#N/A,#N/A,TRUE,"Simple Letter";#N/A,#N/A,TRUE,"Inside";#N/A,#N/A,TRUE,"Contents";#N/A,#N/A,TRUE,"Basis";#N/A,#N/A,TRUE,"Inclusions";#N/A,#N/A,TRUE,"Exclusions";#N/A,#N/A,TRUE,"Areas";#N/A,#N/A,TRUE,"Summary";#N/A,#N/A,TRUE,"Detail"}</definedName>
    <definedName name="DHS">#REF!</definedName>
    <definedName name="DHTML" hidden="1">{"'Sheet1'!$A$4386:$N$4591"}</definedName>
    <definedName name="Di">#REF!</definedName>
    <definedName name="dia">#REF!</definedName>
    <definedName name="dialog_open">"Dialog Frame 1"</definedName>
    <definedName name="diameter">#REF!</definedName>
    <definedName name="DIAMOND" hidden="1">{"'장비'!$A$3:$M$12"}</definedName>
    <definedName name="DIAMOND_1" hidden="1">{"'장비'!$A$3:$M$12"}</definedName>
    <definedName name="DIAMOND_2" hidden="1">{"'장비'!$A$3:$M$12"}</definedName>
    <definedName name="diaphragm">#REF!</definedName>
    <definedName name="DIGN" hidden="1">{#N/A,#N/A,TRUE,"Basic";#N/A,#N/A,TRUE,"EXT-TABLE";#N/A,#N/A,TRUE,"STEEL";#N/A,#N/A,TRUE,"INT-Table";#N/A,#N/A,TRUE,"STEEL";#N/A,#N/A,TRUE,"Door"}</definedName>
    <definedName name="DIGN_1" hidden="1">{#N/A,#N/A,TRUE,"Basic";#N/A,#N/A,TRUE,"EXT-TABLE";#N/A,#N/A,TRUE,"STEEL";#N/A,#N/A,TRUE,"INT-Table";#N/A,#N/A,TRUE,"STEEL";#N/A,#N/A,TRUE,"Door"}</definedName>
    <definedName name="DIGN_2" hidden="1">{#N/A,#N/A,TRUE,"Basic";#N/A,#N/A,TRUE,"EXT-TABLE";#N/A,#N/A,TRUE,"STEEL";#N/A,#N/A,TRUE,"INT-Table";#N/A,#N/A,TRUE,"STEEL";#N/A,#N/A,TRUE,"Door"}</definedName>
    <definedName name="DIMAM">#REF!</definedName>
    <definedName name="DIMAU">#REF!</definedName>
    <definedName name="DIN" hidden="1">{#N/A,#N/A,TRUE,"SUMMARY";#N/A,#N/A,TRUE,"ISBL";#N/A,#N/A,TRUE,"OSBL";#N/A,#N/A,TRUE,"OFFSITE";#N/A,#N/A,TRUE,"STEAM"}</definedName>
    <definedName name="Dio">#REF!</definedName>
    <definedName name="Direct">#REF!</definedName>
    <definedName name="DIRECT_BURIAL">#REF!</definedName>
    <definedName name="DIRECTHIRE_LABOR_UNIT_HOURS">#REF!,#REF!,#REF!,#REF!,#REF!,#REF!,#REF!</definedName>
    <definedName name="DIRECTHIRE_WAGE_RATE">#REF!,#REF!,#REF!,#REF!,#REF!,#REF!,#REF!</definedName>
    <definedName name="DirectLabor" hidden="1">{#N/A,#N/A,FALSE,"CCTV"}</definedName>
    <definedName name="DirectLobor" hidden="1">{#N/A,#N/A,FALSE,"CCTV"}</definedName>
    <definedName name="DirHrs">#N/A</definedName>
    <definedName name="DirHrs1">#N/A</definedName>
    <definedName name="dis">#REF!</definedName>
    <definedName name="DIS_UNIT">#REF!</definedName>
    <definedName name="Disc">#REF!</definedName>
    <definedName name="Discount" hidden="1">#REF!</definedName>
    <definedName name="discount_factor">#REF!</definedName>
    <definedName name="Discount_Rate">#REF!</definedName>
    <definedName name="DiscRep">#REF!</definedName>
    <definedName name="display_area_2" hidden="1">#REF!</definedName>
    <definedName name="DISPOSAL__INSTALLATIONS">#REF!</definedName>
    <definedName name="Distribution_Efficiency">#REF!</definedName>
    <definedName name="Districts_to_date">#REF!</definedName>
    <definedName name="DIV">#REF!</definedName>
    <definedName name="Div14MEP">#REF!</definedName>
    <definedName name="DIVcompare">#REF!</definedName>
    <definedName name="DIVISION28">#REF!</definedName>
    <definedName name="Divisions">#REF!</definedName>
    <definedName name="Dix">#REF!</definedName>
    <definedName name="Diz">#REF!</definedName>
    <definedName name="dj" hidden="1">{#N/A,#N/A,TRUE,"LOADCOVE";#N/A,#N/A,TRUE,"PAGE001";#N/A,#N/A,TRUE,"PAGE002";#N/A,#N/A,TRUE,"PAGE003";#N/A,#N/A,TRUE,"PAGE004";#N/A,#N/A,TRUE,"PAGE005";#N/A,#N/A,TRUE,"PAGE006";#N/A,#N/A,TRUE,"PAGE007";#N/A,#N/A,TRUE,"PAGE008";#N/A,#N/A,TRUE,"PAGE009";#N/A,#N/A,TRUE,"PAGE010";#N/A,#N/A,TRUE,"PAGE011";#N/A,#N/A,TRUE,"PAGE012";#N/A,#N/A,TRUE,"PAGE013"}</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jii" localSheetId="7" hidden="1">{#N/A,#N/A,TRUE,"Cover";#N/A,#N/A,TRUE,"Conts";#N/A,#N/A,TRUE,"VOS";#N/A,#N/A,TRUE,"Warrington";#N/A,#N/A,TRUE,"Widnes"}</definedName>
    <definedName name="djjii" localSheetId="0" hidden="1">{#N/A,#N/A,TRUE,"Cover";#N/A,#N/A,TRUE,"Conts";#N/A,#N/A,TRUE,"VOS";#N/A,#N/A,TRUE,"Warrington";#N/A,#N/A,TRUE,"Widnes"}</definedName>
    <definedName name="djjii" localSheetId="9"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jlaimfkf" hidden="1">#REF!</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kdkdkd_1" hidden="1">{#N/A,#N/A,FALSE,"명세표"}</definedName>
    <definedName name="dkdkdkdkd_2" hidden="1">{#N/A,#N/A,FALSE,"명세표"}</definedName>
    <definedName name="DKDKKD" hidden="1">{#N/A,#N/A,TRUE,"Basic";#N/A,#N/A,TRUE,"EXT-TABLE";#N/A,#N/A,TRUE,"STEEL";#N/A,#N/A,TRUE,"INT-Table";#N/A,#N/A,TRUE,"STEEL";#N/A,#N/A,TRUE,"Door"}</definedName>
    <definedName name="DKDLFJKDS" hidden="1">{#N/A,#N/A,TRUE,"Basic";#N/A,#N/A,TRUE,"EXT-TABLE";#N/A,#N/A,TRUE,"STEEL";#N/A,#N/A,TRUE,"INT-Table";#N/A,#N/A,TRUE,"STEEL";#N/A,#N/A,TRUE,"Door"}</definedName>
    <definedName name="DKDLFJKDS_1" hidden="1">{#N/A,#N/A,TRUE,"Basic";#N/A,#N/A,TRUE,"EXT-TABLE";#N/A,#N/A,TRUE,"STEEL";#N/A,#N/A,TRUE,"INT-Table";#N/A,#N/A,TRUE,"STEEL";#N/A,#N/A,TRUE,"Door"}</definedName>
    <definedName name="DKDLFJKDS_2" hidden="1">{#N/A,#N/A,TRUE,"Basic";#N/A,#N/A,TRUE,"EXT-TABLE";#N/A,#N/A,TRUE,"STEEL";#N/A,#N/A,TRUE,"INT-Table";#N/A,#N/A,TRUE,"STEEL";#N/A,#N/A,TRUE,"Door"}</definedName>
    <definedName name="DKJAKB">#REF!</definedName>
    <definedName name="dl">#REF!</definedName>
    <definedName name="dLandCost">#REF!</definedName>
    <definedName name="dLandPhasing">#REF!</definedName>
    <definedName name="dlgowjd" hidden="1">{#N/A,#N/A,TRUE,"Basic";#N/A,#N/A,TRUE,"EXT-TABLE";#N/A,#N/A,TRUE,"STEEL";#N/A,#N/A,TRUE,"INT-Table";#N/A,#N/A,TRUE,"STEEL";#N/A,#N/A,TRUE,"Door"}</definedName>
    <definedName name="dlkfjhs" hidden="1">{#N/A,#N/A,FALSE,"pop.hh";#N/A,#N/A,FALSE,"age.dist";#N/A,#N/A,FALSE,"hh.income";#N/A,#N/A,FALSE,"hh.chars"}</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mcc">#REF!</definedName>
    <definedName name="DMKJUXF" hidden="1">{#N/A,#N/A,FALSE,"포장2"}</definedName>
    <definedName name="DMKJUXF_1" hidden="1">{#N/A,#N/A,FALSE,"포장2"}</definedName>
    <definedName name="DMKJUXF_2" hidden="1">{#N/A,#N/A,FALSE,"포장2"}</definedName>
    <definedName name="DNCJFGHH" hidden="1">#REF!</definedName>
    <definedName name="dncov">#REF!</definedName>
    <definedName name="DNJSRKSODURTJ" hidden="1">{#N/A,#N/A,FALSE,"CCTV"}</definedName>
    <definedName name="DNP">#REF!</definedName>
    <definedName name="Do">#REF!</definedName>
    <definedName name="DOC">#REF!</definedName>
    <definedName name="doc_cost">#REF!</definedName>
    <definedName name="Doc_Hrs">#REF!</definedName>
    <definedName name="dodol" hidden="1">{#N/A,#N/A,FALSE,"WNTS"}</definedName>
    <definedName name="dodol1" hidden="1">{"SUMMARY FORECAST",#N/A,FALSE,"Summary";"SUMMARY FORECAST",#N/A,FALSE,"Manpower";"OVERHEAD FORECAST REPORT",#N/A,FALSE,"Manpower"}</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itg" hidden="1">{#N/A,#N/A,TRUE,"Front";#N/A,#N/A,TRUE,"Simple Letter";#N/A,#N/A,TRUE,"Inside";#N/A,#N/A,TRUE,"Contents";#N/A,#N/A,TRUE,"Basis";#N/A,#N/A,TRUE,"Inclusions";#N/A,#N/A,TRUE,"Exclusions";#N/A,#N/A,TRUE,"Areas";#N/A,#N/A,TRUE,"Summary";#N/A,#N/A,TRUE,"Detail"}</definedName>
    <definedName name="dokaris" hidden="1">#REF!</definedName>
    <definedName name="DOOA">#REF!</definedName>
    <definedName name="DOOB">#REF!</definedName>
    <definedName name="DOOC">#REF!</definedName>
    <definedName name="door" hidden="1">{"'Break down'!$A$4"}</definedName>
    <definedName name="dp">#REF!</definedName>
    <definedName name="dP_INST">#REF!</definedName>
    <definedName name="dPhaseEnd">#REF!</definedName>
    <definedName name="dPhaseInclude">#REF!</definedName>
    <definedName name="dPhaseNum">#REF!</definedName>
    <definedName name="dPhaseStart">#REF!</definedName>
    <definedName name="DPI">#REF!</definedName>
    <definedName name="Dpp">#REF!</definedName>
    <definedName name="DQWE" hidden="1">{#N/A,#N/A,TRUE,"Basic";#N/A,#N/A,TRUE,"EXT-TABLE";#N/A,#N/A,TRUE,"STEEL";#N/A,#N/A,TRUE,"INT-Table";#N/A,#N/A,TRUE,"STEEL";#N/A,#N/A,TRUE,"Door"}</definedName>
    <definedName name="DR" hidden="1">#REF!</definedName>
    <definedName name="DRAFT" hidden="1">{"'장비'!$A$3:$M$12"}</definedName>
    <definedName name="drain_trap">#REF!</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wingnr">#REF!</definedName>
    <definedName name="drd">#REF!</definedName>
    <definedName name="DR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glist">#REF!</definedName>
    <definedName name="DRM" hidden="1">{"'장비'!$A$3:$M$12"}</definedName>
    <definedName name="drytytuyu" localSheetId="7" hidden="1">{#N/A,#N/A,TRUE,"Cover";#N/A,#N/A,TRUE,"Conts";#N/A,#N/A,TRUE,"VOS";#N/A,#N/A,TRUE,"Warrington";#N/A,#N/A,TRUE,"Widnes"}</definedName>
    <definedName name="drytytuyu" localSheetId="0" hidden="1">{#N/A,#N/A,TRUE,"Cover";#N/A,#N/A,TRUE,"Conts";#N/A,#N/A,TRUE,"VOS";#N/A,#N/A,TRUE,"Warrington";#N/A,#N/A,TRUE,"Widnes"}</definedName>
    <definedName name="drytytuyu" localSheetId="9"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#REF!</definedName>
    <definedName name="dsa" hidden="1">#REF!</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sd" hidden="1">{#N/A,#N/A,FALSE,"SumD";#N/A,#N/A,FALSE,"ElecD";#N/A,#N/A,FALSE,"MechD";#N/A,#N/A,FALSE,"GeotD";#N/A,#N/A,FALSE,"PrcsD";#N/A,#N/A,FALSE,"TunnD";#N/A,#N/A,FALSE,"CivlD";#N/A,#N/A,FALSE,"NtwkD";#N/A,#N/A,FALSE,"EstgD";#N/A,#N/A,FALSE,"PEngD"}</definedName>
    <definedName name="dsadaSFDWE">#REF!</definedName>
    <definedName name="dsaf" hidden="1">{#N/A,#N/A,FALSE,"조골재"}</definedName>
    <definedName name="dsagf">#REF!</definedName>
    <definedName name="DSC">#REF!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hedBuild">#REF!</definedName>
    <definedName name="dSchedBuildType">#REF!</definedName>
    <definedName name="dSchedCapVals">#REF!</definedName>
    <definedName name="dSchedPhase">#REF!</definedName>
    <definedName name="dSchedRent">#REF!</definedName>
    <definedName name="dSchedType">#REF!</definedName>
    <definedName name="dSchedVoid">#REF!</definedName>
    <definedName name="dSchedYields">#REF!</definedName>
    <definedName name="DSD" hidden="1">{#N/A,#N/A,FALSE,"CCTV"}</definedName>
    <definedName name="dsdf" hidden="1">{#N/A,#N/A,TRUE,"Cover";#N/A,#N/A,TRUE,"Conts";#N/A,#N/A,TRUE,"VOS";#N/A,#N/A,TRUE,"Warrington";#N/A,#N/A,TRUE,"Widnes"}</definedName>
    <definedName name="dsdfqwr">#REF!</definedName>
    <definedName name="DSDS">#REF!</definedName>
    <definedName name="dsdsaqd">#REF!</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d" hidden="1">#REF!</definedName>
    <definedName name="dsffasdfdsf" hidden="1">{0}</definedName>
    <definedName name="dsfgdsfg" hidden="1">{#N/A,#N/A,FALSE,"SumD";#N/A,#N/A,FALSE,"ElecD";#N/A,#N/A,FALSE,"MechD";#N/A,#N/A,FALSE,"GeotD";#N/A,#N/A,FALSE,"PrcsD";#N/A,#N/A,FALSE,"TunnD";#N/A,#N/A,FALSE,"CivlD";#N/A,#N/A,FALSE,"NtwkD";#N/A,#N/A,FALSE,"EstgD";#N/A,#N/A,FALSE,"PEngD"}</definedName>
    <definedName name="dsfgsdfg" hidden="1">{#N/A,#N/A,FALSE,"SumG";#N/A,#N/A,FALSE,"ElecG";#N/A,#N/A,FALSE,"MechG";#N/A,#N/A,FALSE,"GeotG";#N/A,#N/A,FALSE,"PrcsG";#N/A,#N/A,FALSE,"TunnG";#N/A,#N/A,FALSE,"CivlG";#N/A,#N/A,FALSE,"NtwkG";#N/A,#N/A,FALSE,"EstgG";#N/A,#N/A,FALSE,"PEngG"}</definedName>
    <definedName name="dsfj" hidden="1">#REF!</definedName>
    <definedName name="DSGDG" hidden="1">#REF!</definedName>
    <definedName name="DSGSFWERD" hidden="1">{#N/A,#N/A,FALSE,"골재소요량";#N/A,#N/A,FALSE,"골재소요량"}</definedName>
    <definedName name="DSGSFWERD_1" hidden="1">{#N/A,#N/A,FALSE,"골재소요량";#N/A,#N/A,FALSE,"골재소요량"}</definedName>
    <definedName name="DSGSFWERD_2" hidden="1">{#N/A,#N/A,FALSE,"골재소요량";#N/A,#N/A,FALSE,"골재소요량"}</definedName>
    <definedName name="dsmnfsfn" hidden="1">{#N/A,#N/A,TRUE,"Front";#N/A,#N/A,TRUE,"Simple Letter";#N/A,#N/A,TRUE,"Inside";#N/A,#N/A,TRUE,"Contents";#N/A,#N/A,TRUE,"Basis";#N/A,#N/A,TRUE,"Inclusions";#N/A,#N/A,TRUE,"Exclusions";#N/A,#N/A,TRUE,"Areas";#N/A,#N/A,TRUE,"Summary";#N/A,#N/A,TRUE,"Detail"}</definedName>
    <definedName name="DST">#REF!</definedName>
    <definedName name="DST_21">#REF!</definedName>
    <definedName name="DST_22">#REF!</definedName>
    <definedName name="DST_23">#REF!</definedName>
    <definedName name="DST_24">#REF!</definedName>
    <definedName name="DST_25">#REF!</definedName>
    <definedName name="DST_26">#REF!</definedName>
    <definedName name="dtdry" localSheetId="7" hidden="1">{#N/A,#N/A,TRUE,"Cover";#N/A,#N/A,TRUE,"Conts";#N/A,#N/A,TRUE,"VOS";#N/A,#N/A,TRUE,"Warrington";#N/A,#N/A,TRUE,"Widnes"}</definedName>
    <definedName name="dtdry" localSheetId="0" hidden="1">{#N/A,#N/A,TRUE,"Cover";#N/A,#N/A,TRUE,"Conts";#N/A,#N/A,TRUE,"VOS";#N/A,#N/A,TRUE,"Warrington";#N/A,#N/A,TRUE,"Widnes"}</definedName>
    <definedName name="dtdry" localSheetId="9"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hyn" hidden="1">{#N/A,#N/A,TRUE,"Front";#N/A,#N/A,TRUE,"Simple Letter";#N/A,#N/A,TRUE,"Inside";#N/A,#N/A,TRUE,"Contents";#N/A,#N/A,TRUE,"Basis";#N/A,#N/A,TRUE,"Inclusions";#N/A,#N/A,TRUE,"Exclusions";#N/A,#N/A,TRUE,"Areas";#N/A,#N/A,TRUE,"Summary";#N/A,#N/A,TRUE,"Detail"}</definedName>
    <definedName name="dtngn" hidden="1">{"'Break down'!$A$4"}</definedName>
    <definedName name="dturuthju" localSheetId="7" hidden="1">{#N/A,#N/A,TRUE,"Cover";#N/A,#N/A,TRUE,"Conts";#N/A,#N/A,TRUE,"VOS";#N/A,#N/A,TRUE,"Warrington";#N/A,#N/A,TRUE,"Widnes"}</definedName>
    <definedName name="dturuthju" localSheetId="0" hidden="1">{#N/A,#N/A,TRUE,"Cover";#N/A,#N/A,TRUE,"Conts";#N/A,#N/A,TRUE,"VOS";#N/A,#N/A,TRUE,"Warrington";#N/A,#N/A,TRUE,"Widnes"}</definedName>
    <definedName name="dturuthju" localSheetId="9"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tyusdu" hidden="1">{#N/A,#N/A,TRUE,"Front";#N/A,#N/A,TRUE,"Simple Letter";#N/A,#N/A,TRUE,"Inside";#N/A,#N/A,TRUE,"Contents";#N/A,#N/A,TRUE,"Basis";#N/A,#N/A,TRUE,"Inclusions";#N/A,#N/A,TRUE,"Exclusions";#N/A,#N/A,TRUE,"Areas";#N/A,#N/A,TRUE,"Summary";#N/A,#N/A,TRUE,"Detail"}</definedName>
    <definedName name="du">#REF!</definedName>
    <definedName name="dual_plate_check">#REF!</definedName>
    <definedName name="DUCT">#REF!</definedName>
    <definedName name="DuctworkCarpark">#REF!</definedName>
    <definedName name="DuctworkCarpark1">#REF!</definedName>
    <definedName name="dueuuiyj" localSheetId="7" hidden="1">{#N/A,#N/A,TRUE,"Cover";#N/A,#N/A,TRUE,"Conts";#N/A,#N/A,TRUE,"VOS";#N/A,#N/A,TRUE,"Warrington";#N/A,#N/A,TRUE,"Widnes"}</definedName>
    <definedName name="dueuuiyj" localSheetId="0" hidden="1">{#N/A,#N/A,TRUE,"Cover";#N/A,#N/A,TRUE,"Conts";#N/A,#N/A,TRUE,"VOS";#N/A,#N/A,TRUE,"Warrington";#N/A,#N/A,TRUE,"Widnes"}</definedName>
    <definedName name="dueuuiyj" localSheetId="9"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ummy">#N/A</definedName>
    <definedName name="dumppr">#REF!</definedName>
    <definedName name="duplex_strainer">#REF!</definedName>
    <definedName name="Duration">#REF!</definedName>
    <definedName name="Duration1">#REF!</definedName>
    <definedName name="dvbgf" hidden="1">{#N/A,#N/A,FALSE,"SumD";#N/A,#N/A,FALSE,"ElecD";#N/A,#N/A,FALSE,"MechD";#N/A,#N/A,FALSE,"GeotD";#N/A,#N/A,FALSE,"PrcsD";#N/A,#N/A,FALSE,"TunnD";#N/A,#N/A,FALSE,"CivlD";#N/A,#N/A,FALSE,"NtwkD";#N/A,#N/A,FALSE,"EstgD";#N/A,#N/A,FALSE,"PEngD"}</definedName>
    <definedName name="dvbgf_1"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dvdvddf" hidden="1">{#N/A,#N/A,FALSE,"CCTV"}</definedName>
    <definedName name="dvgdg" hidden="1">#REF!</definedName>
    <definedName name="DW" hidden="1">{"'장비'!$A$3:$M$12"}</definedName>
    <definedName name="dw_1" hidden="1">{"'Sheet1'!$L$16"}</definedName>
    <definedName name="dw_2" hidden="1">{"'Sheet1'!$L$16"}</definedName>
    <definedName name="DW_Sched">#REF!</definedName>
    <definedName name="DWG">#REF!</definedName>
    <definedName name="dwgyg" hidden="1">{#N/A,#N/A,TRUE,"Front";#N/A,#N/A,TRUE,"Simple Letter";#N/A,#N/A,TRUE,"Inside";#N/A,#N/A,TRUE,"Contents";#N/A,#N/A,TRUE,"Basis";#N/A,#N/A,TRUE,"Inclusions";#N/A,#N/A,TRUE,"Exclusions";#N/A,#N/A,TRUE,"Areas";#N/A,#N/A,TRUE,"Summary";#N/A,#N/A,TRUE,"Detail"}</definedName>
    <definedName name="DWH" hidden="1">{#N/A,#N/A,TRUE,"Front";#N/A,#N/A,TRUE,"Simple Letter";#N/A,#N/A,TRUE,"Inside";#N/A,#N/A,TRUE,"Contents";#N/A,#N/A,TRUE,"Basis";#N/A,#N/A,TRUE,"Inclusions";#N/A,#N/A,TRUE,"Exclusions";#N/A,#N/A,TRUE,"Areas";#N/A,#N/A,TRUE,"Summary";#N/A,#N/A,TRUE,"Detail"}</definedName>
    <definedName name="DWPRICE" hidden="1">#REF!</definedName>
    <definedName name="dwr0">#REF!</definedName>
    <definedName name="dwv" hidden="1">{#N/A,#N/A,TRUE,"Basic";#N/A,#N/A,TRUE,"EXT-TABLE";#N/A,#N/A,TRUE,"STEEL";#N/A,#N/A,TRUE,"INT-Table";#N/A,#N/A,TRUE,"STEEL";#N/A,#N/A,TRUE,"Door"}</definedName>
    <definedName name="dwv_1" hidden="1">{#N/A,#N/A,TRUE,"Basic";#N/A,#N/A,TRUE,"EXT-TABLE";#N/A,#N/A,TRUE,"STEEL";#N/A,#N/A,TRUE,"INT-Table";#N/A,#N/A,TRUE,"STEEL";#N/A,#N/A,TRUE,"Door"}</definedName>
    <definedName name="dwv_2" hidden="1">{#N/A,#N/A,TRUE,"Basic";#N/A,#N/A,TRUE,"EXT-TABLE";#N/A,#N/A,TRUE,"STEEL";#N/A,#N/A,TRUE,"INT-Table";#N/A,#N/A,TRUE,"STEEL";#N/A,#N/A,TRUE,"Door"}</definedName>
    <definedName name="Dx">#REF!</definedName>
    <definedName name="dydfugfuj" localSheetId="7" hidden="1">{#N/A,#N/A,TRUE,"Cover";#N/A,#N/A,TRUE,"Conts";#N/A,#N/A,TRUE,"VOS";#N/A,#N/A,TRUE,"Warrington";#N/A,#N/A,TRUE,"Widnes"}</definedName>
    <definedName name="dydfugfuj" localSheetId="0" hidden="1">{#N/A,#N/A,TRUE,"Cover";#N/A,#N/A,TRUE,"Conts";#N/A,#N/A,TRUE,"VOS";#N/A,#N/A,TRUE,"Warrington";#N/A,#N/A,TRUE,"Widnes"}</definedName>
    <definedName name="dydfugfuj" localSheetId="9"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7" hidden="1">{#N/A,#N/A,TRUE,"Cover";#N/A,#N/A,TRUE,"Conts";#N/A,#N/A,TRUE,"VOS";#N/A,#N/A,TRUE,"Warrington";#N/A,#N/A,TRUE,"Widnes"}</definedName>
    <definedName name="dyuiuouo" localSheetId="0" hidden="1">{#N/A,#N/A,TRUE,"Cover";#N/A,#N/A,TRUE,"Conts";#N/A,#N/A,TRUE,"VOS";#N/A,#N/A,TRUE,"Warrington";#N/A,#N/A,TRUE,"Widnes"}</definedName>
    <definedName name="dyuiuouo" localSheetId="9"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Dz">#REF!</definedName>
    <definedName name="e" localSheetId="7">#REF!</definedName>
    <definedName name="e" localSheetId="3">#REF!</definedName>
    <definedName name="e" localSheetId="6">#REF!</definedName>
    <definedName name="e" localSheetId="9">#REF!</definedName>
    <definedName name="e" localSheetId="2">#REF!</definedName>
    <definedName name="e" localSheetId="5">#REF!</definedName>
    <definedName name="e" localSheetId="8">#REF!</definedName>
    <definedName name="e">#REF!</definedName>
    <definedName name="E.01">#REF!</definedName>
    <definedName name="E.01a">#REF!</definedName>
    <definedName name="E.01b">#REF!</definedName>
    <definedName name="E.01c">#REF!</definedName>
    <definedName name="E.01d">#REF!</definedName>
    <definedName name="E.02">#REF!</definedName>
    <definedName name="E.02a">#REF!</definedName>
    <definedName name="E.02b">#REF!</definedName>
    <definedName name="E.02c">#REF!</definedName>
    <definedName name="E.02d">#REF!</definedName>
    <definedName name="E.03">#REF!</definedName>
    <definedName name="E.03a">#REF!</definedName>
    <definedName name="E.04">#REF!</definedName>
    <definedName name="E.04a">#REF!</definedName>
    <definedName name="E.04b">#REF!</definedName>
    <definedName name="E.04c">#REF!</definedName>
    <definedName name="E.05">#REF!</definedName>
    <definedName name="E.05a">#REF!</definedName>
    <definedName name="E.05b">#REF!</definedName>
    <definedName name="E.06">#REF!</definedName>
    <definedName name="E.06a">#REF!</definedName>
    <definedName name="E.07">#REF!</definedName>
    <definedName name="E.U">#REF!</definedName>
    <definedName name="E____FLOORING___WALL_TILES">#REF!</definedName>
    <definedName name="E_C">#REF!</definedName>
    <definedName name="E_D">#REF!</definedName>
    <definedName name="E_M">#REF!</definedName>
    <definedName name="E_M_Selling">#REF!</definedName>
    <definedName name="E_score">#REF!</definedName>
    <definedName name="E_Waterproofing">#REF!</definedName>
    <definedName name="E0">#REF!</definedName>
    <definedName name="eagrga" localSheetId="7" hidden="1">{#N/A,#N/A,TRUE,"Cover";#N/A,#N/A,TRUE,"Conts";#N/A,#N/A,TRUE,"VOS";#N/A,#N/A,TRUE,"Warrington";#N/A,#N/A,TRUE,"Widnes"}</definedName>
    <definedName name="eagrga" localSheetId="0" hidden="1">{#N/A,#N/A,TRUE,"Cover";#N/A,#N/A,TRUE,"Conts";#N/A,#N/A,TRUE,"VOS";#N/A,#N/A,TRUE,"Warrington";#N/A,#N/A,TRUE,"Widnes"}</definedName>
    <definedName name="eagrga" localSheetId="9"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arth_Leakage">#REF!</definedName>
    <definedName name="Earth_Work">#REF!</definedName>
    <definedName name="EARTHWORK">#REF!</definedName>
    <definedName name="EARTHWORKS">#REF!</definedName>
    <definedName name="earthz">#REF!</definedName>
    <definedName name="Ebc">#REF!</definedName>
    <definedName name="Ebc_1">#N/A</definedName>
    <definedName name="EBRS1" hidden="1">#REF!</definedName>
    <definedName name="EC" hidden="1">{#N/A,#N/A,FALSE,"CCTV"}</definedName>
    <definedName name="ECA_List">#REF!</definedName>
    <definedName name="ECC_Size">#REF!</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_1" hidden="1">{#N/A,#N/A,FALSE,"CCTV"}</definedName>
    <definedName name="ED_2" hidden="1">{#N/A,#N/A,FALSE,"CCTV"}</definedName>
    <definedName name="edds">#REF!</definedName>
    <definedName name="edgar">#REF!</definedName>
    <definedName name="edge">#REF!</definedName>
    <definedName name="ee" localSheetId="7" hidden="1">{#N/A,#N/A,TRUE,"Cover";#N/A,#N/A,TRUE,"Conts";#N/A,#N/A,TRUE,"VOS";#N/A,#N/A,TRUE,"Warrington";#N/A,#N/A,TRUE,"Widnes"}</definedName>
    <definedName name="ee" localSheetId="0" hidden="1">{#N/A,#N/A,TRUE,"Cover";#N/A,#N/A,TRUE,"Conts";#N/A,#N/A,TRUE,"VOS";#N/A,#N/A,TRUE,"Warrington";#N/A,#N/A,TRUE,"Widnes"}</definedName>
    <definedName name="ee" localSheetId="9"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_1" hidden="1">{#N/A,#N/A,FALSE,"SumG";#N/A,#N/A,FALSE,"ElecG";#N/A,#N/A,FALSE,"MechG";#N/A,#N/A,FALSE,"GeotG";#N/A,#N/A,FALSE,"PrcsG";#N/A,#N/A,FALSE,"TunnG";#N/A,#N/A,FALSE,"CivlG";#N/A,#N/A,FALSE,"NtwkG";#N/A,#N/A,FALSE,"EstgG";#N/A,#N/A,FALSE,"PEngG"}</definedName>
    <definedName name="EE_2" hidden="1">{"'장비'!$A$3:$M$12"}</definedName>
    <definedName name="EEC">#REF!</definedName>
    <definedName name="eedrfe" hidden="1">{#N/A,#N/A,TRUE,"Front";#N/A,#N/A,TRUE,"Simple Letter";#N/A,#N/A,TRUE,"Inside";#N/A,#N/A,TRUE,"Contents";#N/A,#N/A,TRUE,"Basis";#N/A,#N/A,TRUE,"Inclusions";#N/A,#N/A,TRUE,"Exclusions";#N/A,#N/A,TRUE,"Areas";#N/A,#N/A,TRUE,"Summary";#N/A,#N/A,TRUE,"Detail"}</definedName>
    <definedName name="eee">#REF!</definedName>
    <definedName name="EEEE">#REF!</definedName>
    <definedName name="eeeee" localSheetId="7" hidden="1">{#N/A,#N/A,TRUE,"Cover";#N/A,#N/A,TRUE,"Conts";#N/A,#N/A,TRUE,"VOS";#N/A,#N/A,TRUE,"Warrington";#N/A,#N/A,TRUE,"Widnes"}</definedName>
    <definedName name="eeeee" localSheetId="0" hidden="1">{#N/A,#N/A,TRUE,"Cover";#N/A,#N/A,TRUE,"Conts";#N/A,#N/A,TRUE,"VOS";#N/A,#N/A,TRUE,"Warrington";#N/A,#N/A,TRUE,"Widnes"}</definedName>
    <definedName name="eeeee" localSheetId="9"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eeeeeeeeeee" hidden="1">{#N/A,#N/A,FALSE,"배수2"}</definedName>
    <definedName name="eeett" hidden="1">{#N/A,#N/A,TRUE,"Cover";#N/A,#N/A,TRUE,"Conts";#N/A,#N/A,TRUE,"VOS";#N/A,#N/A,TRUE,"Warrington";#N/A,#N/A,TRUE,"Widnes"}</definedName>
    <definedName name="eez" hidden="1">{#N/A,#N/A,FALSE,"SumG";#N/A,#N/A,FALSE,"ElecG";#N/A,#N/A,FALSE,"MechG";#N/A,#N/A,FALSE,"GeotG";#N/A,#N/A,FALSE,"PrcsG";#N/A,#N/A,FALSE,"TunnG";#N/A,#N/A,FALSE,"CivlG";#N/A,#N/A,FALSE,"NtwkG";#N/A,#N/A,FALSE,"EstgG";#N/A,#N/A,FALSE,"PEngG"}</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ort_1A">#REF!</definedName>
    <definedName name="Effort_1B">#REF!</definedName>
    <definedName name="Effort_2">#REF!</definedName>
    <definedName name="Effort_2A">#REF!</definedName>
    <definedName name="Effort_2B">#REF!</definedName>
    <definedName name="Effort_3">#REF!</definedName>
    <definedName name="Effort_4">#REF!</definedName>
    <definedName name="Effort_5">#REF!</definedName>
    <definedName name="Effort_6">#REF!</definedName>
    <definedName name="Effort_P">#REF!</definedName>
    <definedName name="efrdefd" hidden="1">{#N/A,#N/A,FALSE,"BS-lead";#N/A,#N/A,FALSE,"BS- cladding";#N/A,#N/A,FALSE,"BS-GRC";#N/A,#N/A,FALSE,"P&amp;L-Lead";#N/A,#N/A,FALSE,"P&amp;L-Cladding";#N/A,#N/A,FALSE,"P&amp;L-GRC"}</definedName>
    <definedName name="eftr">#REF!</definedName>
    <definedName name="EFTR2">#REF!</definedName>
    <definedName name="egag" localSheetId="7" hidden="1">{#N/A,#N/A,TRUE,"Cover";#N/A,#N/A,TRUE,"Conts";#N/A,#N/A,TRUE,"VOS";#N/A,#N/A,TRUE,"Warrington";#N/A,#N/A,TRUE,"Widnes"}</definedName>
    <definedName name="egag" localSheetId="0" hidden="1">{#N/A,#N/A,TRUE,"Cover";#N/A,#N/A,TRUE,"Conts";#N/A,#N/A,TRUE,"VOS";#N/A,#N/A,TRUE,"Warrington";#N/A,#N/A,TRUE,"Widnes"}</definedName>
    <definedName name="egag" localSheetId="9"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egeg" hidden="1">{#N/A,#N/A,FALSE,"운반시간"}</definedName>
    <definedName name="eggggggggg" hidden="1">{#N/A,#N/A,FALSE,"포장2"}</definedName>
    <definedName name="EGP">#REF!</definedName>
    <definedName name="Ei_Summary">#REF!</definedName>
    <definedName name="EINo">#REF!</definedName>
    <definedName name="ejpodj">#REF!</definedName>
    <definedName name="ektl">#REF!</definedName>
    <definedName name="ELBLK_REMARKS">#REF!</definedName>
    <definedName name="ELBOW_CHROME">#REF!</definedName>
    <definedName name="ELBOW_CS">#REF!</definedName>
    <definedName name="ELBOW_CSCL">#REF!</definedName>
    <definedName name="ELBOW_PVC">#REF!</definedName>
    <definedName name="ELBOW_RTR">#REF!</definedName>
    <definedName name="ELBOW_SS">#REF!</definedName>
    <definedName name="ELBOW_THRD">#REF!</definedName>
    <definedName name="Ele" hidden="1">{"'Break down'!$A$4"}</definedName>
    <definedName name="ELEA">#REF!</definedName>
    <definedName name="ELEB">#REF!</definedName>
    <definedName name="ELEC">#REF!</definedName>
    <definedName name="elec_cost">#REF!</definedName>
    <definedName name="elec_factor">#REF!</definedName>
    <definedName name="ELEC_INSTR">#REF!</definedName>
    <definedName name="ELECBILL">#REF!</definedName>
    <definedName name="Elect_Telecom">#REF!</definedName>
    <definedName name="ELECTRICAL">#REF!</definedName>
    <definedName name="ELECTRICAL__INSTALLATIONS">#REF!</definedName>
    <definedName name="Electrical_Work">#REF!</definedName>
    <definedName name="Electricalnetworks">#REF!</definedName>
    <definedName name="ELEE" hidden="1">{"'Break down'!$A$4"}</definedName>
    <definedName name="element1a">#REF!</definedName>
    <definedName name="element2a">#REF!</definedName>
    <definedName name="element2b">#REF!</definedName>
    <definedName name="element2c">#REF!</definedName>
    <definedName name="element2d">#REF!</definedName>
    <definedName name="element2e">#REF!</definedName>
    <definedName name="element2f">#REF!</definedName>
    <definedName name="element2g">#REF!</definedName>
    <definedName name="element2h">#REF!</definedName>
    <definedName name="element3a">#REF!</definedName>
    <definedName name="element3b">#REF!</definedName>
    <definedName name="element3c">#REF!</definedName>
    <definedName name="element4a">#REF!</definedName>
    <definedName name="element4b">#REF!</definedName>
    <definedName name="element4c">#REF!</definedName>
    <definedName name="element5a">#REF!</definedName>
    <definedName name="element5b">#REF!</definedName>
    <definedName name="element5c">#REF!</definedName>
    <definedName name="element5d">#REF!</definedName>
    <definedName name="element5e">#REF!</definedName>
    <definedName name="element5f">#REF!</definedName>
    <definedName name="element5g">#REF!</definedName>
    <definedName name="element5h">#REF!</definedName>
    <definedName name="element5i">#REF!</definedName>
    <definedName name="element5j">#REF!</definedName>
    <definedName name="element5k">#REF!</definedName>
    <definedName name="element5l">#REF!</definedName>
    <definedName name="element5m">#REF!</definedName>
    <definedName name="element5n">#REF!</definedName>
    <definedName name="element6a">#REF!</definedName>
    <definedName name="element6b">#REF!</definedName>
    <definedName name="element6c">#REF!</definedName>
    <definedName name="element6d">#REF!</definedName>
    <definedName name="elementenlijst">#REF!</definedName>
    <definedName name="ELEQ_REMARKS">#REF!</definedName>
    <definedName name="ELEVATORS">#REF!</definedName>
    <definedName name="elie" hidden="1">#REF!</definedName>
    <definedName name="elise" hidden="1">{#N/A,#N/A,TRUE,"Front";#N/A,#N/A,TRUE,"Simple Letter";#N/A,#N/A,TRUE,"Inside";#N/A,#N/A,TRUE,"Contents";#N/A,#N/A,TRUE,"Basis";#N/A,#N/A,TRUE,"Inclusions";#N/A,#N/A,TRUE,"Exclusions";#N/A,#N/A,TRUE,"Areas";#N/A,#N/A,TRUE,"Summary";#N/A,#N/A,TRUE,"Detail"}</definedName>
    <definedName name="elise1" hidden="1">{#N/A,#N/A,TRUE,"Front";#N/A,#N/A,TRUE,"Simple Letter";#N/A,#N/A,TRUE,"Inside";#N/A,#N/A,TRUE,"Contents";#N/A,#N/A,TRUE,"Basis";#N/A,#N/A,TRUE,"Inclusions";#N/A,#N/A,TRUE,"Exclusions";#N/A,#N/A,TRUE,"Areas";#N/A,#N/A,TRUE,"Summary";#N/A,#N/A,TRUE,"Detail"}</definedName>
    <definedName name="elise2" hidden="1">{#N/A,#N/A,TRUE,"Front";#N/A,#N/A,TRUE,"Simple Letter";#N/A,#N/A,TRUE,"Inside";#N/A,#N/A,TRUE,"Contents";#N/A,#N/A,TRUE,"Basis";#N/A,#N/A,TRUE,"Inclusions";#N/A,#N/A,TRUE,"Exclusions";#N/A,#N/A,TRUE,"Areas";#N/A,#N/A,TRUE,"Summary";#N/A,#N/A,TRUE,"Detail"}</definedName>
    <definedName name="elise3" hidden="1">{#N/A,#N/A,TRUE,"Front";#N/A,#N/A,TRUE,"Simple Letter";#N/A,#N/A,TRUE,"Inside";#N/A,#N/A,TRUE,"Contents";#N/A,#N/A,TRUE,"Basis";#N/A,#N/A,TRUE,"Inclusions";#N/A,#N/A,TRUE,"Exclusions";#N/A,#N/A,TRUE,"Areas";#N/A,#N/A,TRUE,"Summary";#N/A,#N/A,TRUE,"Detail"}</definedName>
    <definedName name="ELLEN1" hidden="1">{#N/A,#N/A,FALSE,"CCTV"}</definedName>
    <definedName name="ELLEN1_1" hidden="1">{#N/A,#N/A,FALSE,"CCTV"}</definedName>
    <definedName name="ELLEN1_2" hidden="1">{#N/A,#N/A,FALSE,"CCTV"}</definedName>
    <definedName name="ELLEN10" hidden="1">{#N/A,#N/A,FALSE,"CCTV"}</definedName>
    <definedName name="ELLEN10_1" hidden="1">{#N/A,#N/A,FALSE,"CCTV"}</definedName>
    <definedName name="ELLEN10_2" hidden="1">{#N/A,#N/A,FALSE,"CCTV"}</definedName>
    <definedName name="ELLEN11" hidden="1">{#N/A,#N/A,FALSE,"CCTV"}</definedName>
    <definedName name="ELLEN11_1" hidden="1">{#N/A,#N/A,FALSE,"CCTV"}</definedName>
    <definedName name="ELLEN11_2" hidden="1">{#N/A,#N/A,FALSE,"CCTV"}</definedName>
    <definedName name="ELLEN12" hidden="1">{#N/A,#N/A,FALSE,"CCTV"}</definedName>
    <definedName name="ELLEN12_1" hidden="1">{#N/A,#N/A,FALSE,"CCTV"}</definedName>
    <definedName name="ELLEN12_2" hidden="1">{#N/A,#N/A,FALSE,"CCTV"}</definedName>
    <definedName name="ELLEN13" hidden="1">{#N/A,#N/A,FALSE,"CCTV"}</definedName>
    <definedName name="ELLEN13_1" hidden="1">{#N/A,#N/A,FALSE,"CCTV"}</definedName>
    <definedName name="ELLEN13_2" hidden="1">{#N/A,#N/A,FALSE,"CCTV"}</definedName>
    <definedName name="ELLEN14" hidden="1">{#N/A,#N/A,FALSE,"CCTV"}</definedName>
    <definedName name="ELLEN14_1" hidden="1">{#N/A,#N/A,FALSE,"CCTV"}</definedName>
    <definedName name="ELLEN14_2" hidden="1">{#N/A,#N/A,FALSE,"CCTV"}</definedName>
    <definedName name="ELLEN15" hidden="1">{#N/A,#N/A,FALSE,"CCTV"}</definedName>
    <definedName name="ELLEN15_1" hidden="1">{#N/A,#N/A,FALSE,"CCTV"}</definedName>
    <definedName name="ELLEN15_2" hidden="1">{#N/A,#N/A,FALSE,"CCTV"}</definedName>
    <definedName name="ELLEN16" hidden="1">{#N/A,#N/A,FALSE,"CCTV"}</definedName>
    <definedName name="ELLEN16_1" hidden="1">{#N/A,#N/A,FALSE,"CCTV"}</definedName>
    <definedName name="ELLEN16_2" hidden="1">{#N/A,#N/A,FALSE,"CCTV"}</definedName>
    <definedName name="ELLEN17" hidden="1">{#N/A,#N/A,FALSE,"CCTV"}</definedName>
    <definedName name="ELLEN17_1" hidden="1">{#N/A,#N/A,FALSE,"CCTV"}</definedName>
    <definedName name="ELLEN17_2" hidden="1">{#N/A,#N/A,FALSE,"CCTV"}</definedName>
    <definedName name="ELLEN18" hidden="1">{#N/A,#N/A,FALSE,"CCTV"}</definedName>
    <definedName name="ELLEN18_1" hidden="1">{#N/A,#N/A,FALSE,"CCTV"}</definedName>
    <definedName name="ELLEN18_2" hidden="1">{#N/A,#N/A,FALSE,"CCTV"}</definedName>
    <definedName name="ELLEN19" hidden="1">{#N/A,#N/A,FALSE,"CCTV"}</definedName>
    <definedName name="ELLEN19_1" hidden="1">{#N/A,#N/A,FALSE,"CCTV"}</definedName>
    <definedName name="ELLEN19_2" hidden="1">{#N/A,#N/A,FALSE,"CCTV"}</definedName>
    <definedName name="ELLEN2" hidden="1">{#N/A,#N/A,FALSE,"CCTV"}</definedName>
    <definedName name="ELLEN2_1" hidden="1">{#N/A,#N/A,FALSE,"CCTV"}</definedName>
    <definedName name="ELLEN2_2" hidden="1">{#N/A,#N/A,FALSE,"CCTV"}</definedName>
    <definedName name="ELLEN3" hidden="1">{#N/A,#N/A,FALSE,"CCTV"}</definedName>
    <definedName name="ELLEN3_1" hidden="1">{#N/A,#N/A,FALSE,"CCTV"}</definedName>
    <definedName name="ELLEN3_2" hidden="1">{#N/A,#N/A,FALSE,"CCTV"}</definedName>
    <definedName name="ELLEN4" hidden="1">{#N/A,#N/A,FALSE,"CCTV"}</definedName>
    <definedName name="ELLEN4_1" hidden="1">{#N/A,#N/A,FALSE,"CCTV"}</definedName>
    <definedName name="ELLEN4_2" hidden="1">{#N/A,#N/A,FALSE,"CCTV"}</definedName>
    <definedName name="ELLEN5" hidden="1">{#N/A,#N/A,FALSE,"CCTV"}</definedName>
    <definedName name="ELLEN5_1" hidden="1">{#N/A,#N/A,FALSE,"CCTV"}</definedName>
    <definedName name="ELLEN5_2" hidden="1">{#N/A,#N/A,FALSE,"CCTV"}</definedName>
    <definedName name="ELLEN6" hidden="1">{#N/A,#N/A,FALSE,"CCTV"}</definedName>
    <definedName name="ELLEN6_1" hidden="1">{#N/A,#N/A,FALSE,"CCTV"}</definedName>
    <definedName name="ELLEN6_2" hidden="1">{#N/A,#N/A,FALSE,"CCTV"}</definedName>
    <definedName name="ELLEN7" hidden="1">{#N/A,#N/A,FALSE,"CCTV"}</definedName>
    <definedName name="ELLEN7_1" hidden="1">{#N/A,#N/A,FALSE,"CCTV"}</definedName>
    <definedName name="ELLEN7_2" hidden="1">{#N/A,#N/A,FALSE,"CCTV"}</definedName>
    <definedName name="ELLEN8" hidden="1">{#N/A,#N/A,FALSE,"CCTV"}</definedName>
    <definedName name="ELLEN8_1" hidden="1">{#N/A,#N/A,FALSE,"CCTV"}</definedName>
    <definedName name="ELLEN8_2" hidden="1">{#N/A,#N/A,FALSE,"CCTV"}</definedName>
    <definedName name="ELLEN9" hidden="1">{#N/A,#N/A,FALSE,"CCTV"}</definedName>
    <definedName name="ELLEN9_1" hidden="1">{#N/A,#N/A,FALSE,"CCTV"}</definedName>
    <definedName name="ELLEN9_2" hidden="1">{#N/A,#N/A,FALSE,"CCTV"}</definedName>
    <definedName name="Email">#REF!</definedName>
    <definedName name="EMB_METAL_COND">#REF!</definedName>
    <definedName name="Emb108a">#REF!</definedName>
    <definedName name="Emb108a_21">#REF!</definedName>
    <definedName name="Emb108a_22">#REF!</definedName>
    <definedName name="Emb108a_23">#REF!</definedName>
    <definedName name="Emb108a_24">#REF!</definedName>
    <definedName name="Emb108a_25">#REF!</definedName>
    <definedName name="Emb108a_26">#REF!</definedName>
    <definedName name="Emb108c">#REF!</definedName>
    <definedName name="Emb108c_21">#REF!</definedName>
    <definedName name="Emb108c_22">#REF!</definedName>
    <definedName name="Emb108c_23">#REF!</definedName>
    <definedName name="Emb108c_24">#REF!</definedName>
    <definedName name="Emb108c_25">#REF!</definedName>
    <definedName name="Emb108c_26">#REF!</definedName>
    <definedName name="EmbedQty">#N/A</definedName>
    <definedName name="EmbedQty1">#N/A</definedName>
    <definedName name="EMDEPTH">#REF!</definedName>
    <definedName name="Emin" hidden="1">#REF!</definedName>
    <definedName name="emjh" hidden="1">{#N/A,#N/A,TRUE,"Cover";#N/A,#N/A,TRUE,"Conts";#N/A,#N/A,TRUE,"VOS";#N/A,#N/A,TRUE,"Warrington";#N/A,#N/A,TRUE,"Widnes"}</definedName>
    <definedName name="EMP">#REF!</definedName>
    <definedName name="empty">#REF!</definedName>
    <definedName name="end_corner">#REF!</definedName>
    <definedName name="end_corner2">#REF!</definedName>
    <definedName name="EndDate">#REF!</definedName>
    <definedName name="EndDtae2">#REF!</definedName>
    <definedName name="ENDEDRUCK">#REF!</definedName>
    <definedName name="endhome">#REF!</definedName>
    <definedName name="ENG">#REF!</definedName>
    <definedName name="Eng_Hrs">#REF!</definedName>
    <definedName name="Eng_Rev">#REF!</definedName>
    <definedName name="engjineering" hidden="1">{"'con_010'!$A$1:$AN$63"}</definedName>
    <definedName name="EngRep">#REF!</definedName>
    <definedName name="ENTETE">#REF!</definedName>
    <definedName name="Entry">#REF!</definedName>
    <definedName name="Entry_Method">#REF!</definedName>
    <definedName name="Envelope" hidden="1">{#N/A,#N/A,FALSE,"SumD";#N/A,#N/A,FALSE,"ElecD";#N/A,#N/A,FALSE,"MechD";#N/A,#N/A,FALSE,"GeotD";#N/A,#N/A,FALSE,"PrcsD";#N/A,#N/A,FALSE,"TunnD";#N/A,#N/A,FALSE,"CivlD";#N/A,#N/A,FALSE,"NtwkD";#N/A,#N/A,FALSE,"EstgD";#N/A,#N/A,FALSE,"PEngD"}</definedName>
    <definedName name="Eo">#REF!</definedName>
    <definedName name="EOL">#REF!</definedName>
    <definedName name="EOT">#REF!</definedName>
    <definedName name="EOTCE">#REF!</definedName>
    <definedName name="EOTr">#REF!</definedName>
    <definedName name="Ep">#REF!</definedName>
    <definedName name="EPS" hidden="1">#REF!</definedName>
    <definedName name="EQAD">#REF!</definedName>
    <definedName name="eqe" hidden="1">{#N/A,#N/A,FALSE,"속도"}</definedName>
    <definedName name="eqoe">#REF!</definedName>
    <definedName name="eqoo">#REF!</definedName>
    <definedName name="eqpt">#REF!</definedName>
    <definedName name="eqpt2">#REF!</definedName>
    <definedName name="eqpt3">#REF!</definedName>
    <definedName name="EQPTINSU">#REF!</definedName>
    <definedName name="eqrg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se">#REF!</definedName>
    <definedName name="eqso">#REF!</definedName>
    <definedName name="EQUA">#REF!</definedName>
    <definedName name="EQUB">#REF!</definedName>
    <definedName name="EQUC">#REF!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HP">#REF!</definedName>
    <definedName name="EquityYield">#REF!</definedName>
    <definedName name="ER" hidden="1">{#N/A,#N/A,FALSE,"CCTV"}</definedName>
    <definedName name="er_1" hidden="1">{#N/A,#N/A,FALSE,"SumG";#N/A,#N/A,FALSE,"ElecG";#N/A,#N/A,FALSE,"MechG";#N/A,#N/A,FALSE,"GeotG";#N/A,#N/A,FALSE,"PrcsG";#N/A,#N/A,FALSE,"TunnG";#N/A,#N/A,FALSE,"CivlG";#N/A,#N/A,FALSE,"NtwkG";#N/A,#N/A,FALSE,"EstgG";#N/A,#N/A,FALSE,"PEngG"}</definedName>
    <definedName name="ER_2" hidden="1">{#N/A,#N/A,FALSE,"CCTV"}</definedName>
    <definedName name="ERD" hidden="1">{#N/A,#N/A,TRUE,"Basic";#N/A,#N/A,TRUE,"EXT-TABLE";#N/A,#N/A,TRUE,"STEEL";#N/A,#N/A,TRUE,"INT-Table";#N/A,#N/A,TRUE,"STEEL";#N/A,#N/A,TRUE,"Door"}</definedName>
    <definedName name="ere" hidden="1">{#N/A,#N/A,TRUE,"Cover";#N/A,#N/A,TRUE,"Conts";#N/A,#N/A,TRUE,"VOS";#N/A,#N/A,TRUE,"Warrington";#N/A,#N/A,TRUE,"Widnes"}</definedName>
    <definedName name="Erection_and_Civil">#REF!</definedName>
    <definedName name="erer">#REF!</definedName>
    <definedName name="erg">IF(ISNA(MATCH(ROW(),RowAfterpgbrk,1)),1,MATCH(ROW(),RowAfterpgbrk,1)+1)&lt;&gt;IF(ISNA(MATCH(ROW()+1,RowAfterpgbrk,1)),1,MATCH(ROW()+1,RowAfterpgbrk,1)+1)</definedName>
    <definedName name="ergaghag" localSheetId="7" hidden="1">{#N/A,#N/A,TRUE,"Cover";#N/A,#N/A,TRUE,"Conts";#N/A,#N/A,TRUE,"VOS";#N/A,#N/A,TRUE,"Warrington";#N/A,#N/A,TRUE,"Widnes"}</definedName>
    <definedName name="ergaghag" localSheetId="0" hidden="1">{#N/A,#N/A,TRUE,"Cover";#N/A,#N/A,TRUE,"Conts";#N/A,#N/A,TRUE,"VOS";#N/A,#N/A,TRUE,"Warrington";#N/A,#N/A,TRUE,"Widnes"}</definedName>
    <definedName name="ergaghag" localSheetId="9"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7" hidden="1">{#N/A,#N/A,TRUE,"Cover";#N/A,#N/A,TRUE,"Conts";#N/A,#N/A,TRUE,"VOS";#N/A,#N/A,TRUE,"Warrington";#N/A,#N/A,TRUE,"Widnes"}</definedName>
    <definedName name="ergega" localSheetId="0" hidden="1">{#N/A,#N/A,TRUE,"Cover";#N/A,#N/A,TRUE,"Conts";#N/A,#N/A,TRUE,"VOS";#N/A,#N/A,TRUE,"Warrington";#N/A,#N/A,TRUE,"Widnes"}</definedName>
    <definedName name="ergega" localSheetId="9"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ergth">"Page "&amp;IF(ISNA(MATCH(ROW(),RowAfterpgbrk,1)),1,MATCH(ROW(),RowAfterpgbrk,1)+1)&amp;" of " &amp; TotPageCount + 0*NOW()</definedName>
    <definedName name="ergqer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r">"Page "&amp;IF(ISNA(MATCH(ROW(),RowAfterpgbrk,1)),1,MATCH(ROW(),RowAfterpgbrk,1)+1)&amp;" of " &amp; TotPageCount + 0*NOW()</definedName>
    <definedName name="ergre">"Page "&amp;IF(ISNA(MATCH(ROW(),RowAfterpgbrk,1)),1,MATCH(ROW(),RowAfterpgbrk,1)+1)&amp;" of " &amp; TotPageCount + 0*NOW()</definedName>
    <definedName name="ergrg">IF(ISNA(MATCH(ROW(),RowAfterpgbrk,1)),1,MATCH(ROW(),RowAfterpgbrk,1)+1)&lt;&gt;IF(ISNA(MATCH(ROW()-1,RowAfterpgbrk,1)),1,MATCH(ROW()-1,RowAfterpgbrk,1)+1)</definedName>
    <definedName name="ergtaeg" localSheetId="7" hidden="1">{#N/A,#N/A,TRUE,"Cover";#N/A,#N/A,TRUE,"Conts";#N/A,#N/A,TRUE,"VOS";#N/A,#N/A,TRUE,"Warrington";#N/A,#N/A,TRUE,"Widnes"}</definedName>
    <definedName name="ergtaeg" localSheetId="0" hidden="1">{#N/A,#N/A,TRUE,"Cover";#N/A,#N/A,TRUE,"Conts";#N/A,#N/A,TRUE,"VOS";#N/A,#N/A,TRUE,"Warrington";#N/A,#N/A,TRUE,"Widnes"}</definedName>
    <definedName name="ergtaeg" localSheetId="9"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KGNRR" hidden="1">{#N/A,#N/A,TRUE,"Front";#N/A,#N/A,TRUE,"Simple Letter";#N/A,#N/A,TRUE,"Inside";#N/A,#N/A,TRUE,"Contents";#N/A,#N/A,TRUE,"Basis";#N/A,#N/A,TRUE,"Inclusions";#N/A,#N/A,TRUE,"Exclusions";#N/A,#N/A,TRUE,"Areas";#N/A,#N/A,TRUE,"Summary";#N/A,#N/A,TRUE,"Detail"}</definedName>
    <definedName name="erq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rName162821590" hidden="1">#REF!</definedName>
    <definedName name="ErrName300970494" hidden="1">{#VALUE!,#N/A,TRUE,0;#N/A,#N/A,TRUE,0;#N/A,#N/A,TRUE,0;#N/A,#N/A,TRUE,0;#N/A,#N/A,TRUE,0;#N/A,#N/A,TRUE,0}</definedName>
    <definedName name="ErrName413233100" hidden="1">#REF!</definedName>
    <definedName name="Erstellen_Leerform_AKABAM">#REF!</definedName>
    <definedName name="ersyy" localSheetId="7" hidden="1">{#N/A,#N/A,TRUE,"Cover";#N/A,#N/A,TRUE,"Conts";#N/A,#N/A,TRUE,"VOS";#N/A,#N/A,TRUE,"Warrington";#N/A,#N/A,TRUE,"Widnes"}</definedName>
    <definedName name="ersyy" localSheetId="0" hidden="1">{#N/A,#N/A,TRUE,"Cover";#N/A,#N/A,TRUE,"Conts";#N/A,#N/A,TRUE,"VOS";#N/A,#N/A,TRUE,"Warrington";#N/A,#N/A,TRUE,"Widnes"}</definedName>
    <definedName name="ersyy" localSheetId="9"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 hidden="1">{#N/A,#N/A,TRUE,"Cover";#N/A,#N/A,TRUE,"Conts";#N/A,#N/A,TRUE,"VOS";#N/A,#N/A,TRUE,"Warrington";#N/A,#N/A,TRUE,"Widnes"}</definedName>
    <definedName name="ert_1" hidden="1">{"'장비'!$A$3:$M$12"}</definedName>
    <definedName name="ert_2" hidden="1">{"'장비'!$A$3:$M$12"}</definedName>
    <definedName name="erter" hidden="1">{#N/A,#N/A,TRUE,"Front";#N/A,#N/A,TRUE,"Simple Letter";#N/A,#N/A,TRUE,"Inside";#N/A,#N/A,TRUE,"Contents";#N/A,#N/A,TRUE,"Basis";#N/A,#N/A,TRUE,"Inclusions";#N/A,#N/A,TRUE,"Exclusions";#N/A,#N/A,TRUE,"Areas";#N/A,#N/A,TRUE,"Summary";#N/A,#N/A,TRUE,"Detail"}</definedName>
    <definedName name="ertert" hidden="1">{#N/A,#N/A,FALSE,"Chi tiÆt"}</definedName>
    <definedName name="ertertyry" localSheetId="7" hidden="1">{#N/A,#N/A,TRUE,"Cover";#N/A,#N/A,TRUE,"Conts";#N/A,#N/A,TRUE,"VOS";#N/A,#N/A,TRUE,"Warrington";#N/A,#N/A,TRUE,"Widnes"}</definedName>
    <definedName name="ertertyry" localSheetId="0" hidden="1">{#N/A,#N/A,TRUE,"Cover";#N/A,#N/A,TRUE,"Conts";#N/A,#N/A,TRUE,"VOS";#N/A,#N/A,TRUE,"Warrington";#N/A,#N/A,TRUE,"Widnes"}</definedName>
    <definedName name="ertertyry" localSheetId="9"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7" hidden="1">{#N/A,#N/A,TRUE,"Cover";#N/A,#N/A,TRUE,"Conts";#N/A,#N/A,TRUE,"VOS";#N/A,#N/A,TRUE,"Warrington";#N/A,#N/A,TRUE,"Widnes"}</definedName>
    <definedName name="erterydrutru" localSheetId="0" hidden="1">{#N/A,#N/A,TRUE,"Cover";#N/A,#N/A,TRUE,"Conts";#N/A,#N/A,TRUE,"VOS";#N/A,#N/A,TRUE,"Warrington";#N/A,#N/A,TRUE,"Widnes"}</definedName>
    <definedName name="erterydrutru" localSheetId="9"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7" hidden="1">{#N/A,#N/A,TRUE,"Cover";#N/A,#N/A,TRUE,"Conts";#N/A,#N/A,TRUE,"VOS";#N/A,#N/A,TRUE,"Warrington";#N/A,#N/A,TRUE,"Widnes"}</definedName>
    <definedName name="erteysry" localSheetId="0" hidden="1">{#N/A,#N/A,TRUE,"Cover";#N/A,#N/A,TRUE,"Conts";#N/A,#N/A,TRUE,"VOS";#N/A,#N/A,TRUE,"Warrington";#N/A,#N/A,TRUE,"Widnes"}</definedName>
    <definedName name="erteysry" localSheetId="9"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tgwre">"Page "&amp;IF(ISNA(MATCH(ROW(),RowAfterpgbrk,1)),1,MATCH(ROW(),RowAfterpgbrk,1)+1)&amp;" of " &amp; TotPageCount + 0*NOW()</definedName>
    <definedName name="ertxg" hidden="1">{"'장비'!$A$3:$M$12"}</definedName>
    <definedName name="erty" hidden="1">{"'장비'!$A$3:$M$12"}</definedName>
    <definedName name="erty_1" hidden="1">{"'장비'!$A$3:$M$12"}</definedName>
    <definedName name="erty_2" hidden="1">{"'장비'!$A$3:$M$12"}</definedName>
    <definedName name="ertyu" hidden="1">{#N/A,#N/A,TRUE,"Cover";#N/A,#N/A,TRUE,"Conts";#N/A,#N/A,TRUE,"VOS";#N/A,#N/A,TRUE,"Warrington";#N/A,#N/A,TRUE,"Widnes"}</definedName>
    <definedName name="ertyui" hidden="1">{#N/A,#N/A,TRUE,"Cover";#N/A,#N/A,TRUE,"Conts";#N/A,#N/A,TRUE,"VOS";#N/A,#N/A,TRUE,"Warrington";#N/A,#N/A,TRUE,"Widnes"}</definedName>
    <definedName name="eru" hidden="1">{#N/A,#N/A,FALSE,"조골재"}</definedName>
    <definedName name="erw">"Page "&amp;IF(ISNA(MATCH(ROW(),RowAfterpgbrk,1)),1,MATCH(ROW(),RowAfterpgbrk,1)+1)&amp;" of " &amp; TotPageCount + 0*NOW()</definedName>
    <definedName name="erwewr" hidden="1">{#N/A,#N/A,TRUE,"Front";#N/A,#N/A,TRUE,"Simple Letter";#N/A,#N/A,TRUE,"Inside";#N/A,#N/A,TRUE,"Contents";#N/A,#N/A,TRUE,"Basis";#N/A,#N/A,TRUE,"Inclusions";#N/A,#N/A,TRUE,"Exclusions";#N/A,#N/A,TRUE,"Areas";#N/A,#N/A,TRUE,"Summary";#N/A,#N/A,TRUE,"Detail"}</definedName>
    <definedName name="erwrg">IF(ISNA(MATCH(ROW(),RowAfterpgbrk,1)),1,MATCH(ROW(),RowAfterpgbrk,1)+1)&lt;&gt;IF(ISNA(MATCH(ROW()+1,RowAfterpgbrk,1)),1,MATCH(ROW()+1,RowAfterpgbrk,1)+1)</definedName>
    <definedName name="eryr" localSheetId="7" hidden="1">{#N/A,#N/A,TRUE,"Cover";#N/A,#N/A,TRUE,"Conts";#N/A,#N/A,TRUE,"VOS";#N/A,#N/A,TRUE,"Warrington";#N/A,#N/A,TRUE,"Widnes"}</definedName>
    <definedName name="eryr" localSheetId="0" hidden="1">{#N/A,#N/A,TRUE,"Cover";#N/A,#N/A,TRUE,"Conts";#N/A,#N/A,TRUE,"VOS";#N/A,#N/A,TRUE,"Warrington";#N/A,#N/A,TRUE,"Widnes"}</definedName>
    <definedName name="eryr" localSheetId="9"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7" hidden="1">{#N/A,#N/A,TRUE,"Cover";#N/A,#N/A,TRUE,"Conts";#N/A,#N/A,TRUE,"VOS";#N/A,#N/A,TRUE,"Warrington";#N/A,#N/A,TRUE,"Widnes"}</definedName>
    <definedName name="eryrutru" localSheetId="0" hidden="1">{#N/A,#N/A,TRUE,"Cover";#N/A,#N/A,TRUE,"Conts";#N/A,#N/A,TRUE,"VOS";#N/A,#N/A,TRUE,"Warrington";#N/A,#N/A,TRUE,"Widnes"}</definedName>
    <definedName name="eryrutru" localSheetId="9"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7" hidden="1">{#N/A,#N/A,TRUE,"Cover";#N/A,#N/A,TRUE,"Conts";#N/A,#N/A,TRUE,"VOS";#N/A,#N/A,TRUE,"Warrington";#N/A,#N/A,TRUE,"Widnes"}</definedName>
    <definedName name="erytrh" localSheetId="0" hidden="1">{#N/A,#N/A,TRUE,"Cover";#N/A,#N/A,TRUE,"Conts";#N/A,#N/A,TRUE,"VOS";#N/A,#N/A,TRUE,"Warrington";#N/A,#N/A,TRUE,"Widnes"}</definedName>
    <definedName name="erytrh" localSheetId="9"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7" hidden="1">{#N/A,#N/A,TRUE,"Cover";#N/A,#N/A,TRUE,"Conts";#N/A,#N/A,TRUE,"VOS";#N/A,#N/A,TRUE,"Warrington";#N/A,#N/A,TRUE,"Widnes"}</definedName>
    <definedName name="erytuui" localSheetId="0" hidden="1">{#N/A,#N/A,TRUE,"Cover";#N/A,#N/A,TRUE,"Conts";#N/A,#N/A,TRUE,"VOS";#N/A,#N/A,TRUE,"Warrington";#N/A,#N/A,TRUE,"Widnes"}</definedName>
    <definedName name="erytuui" localSheetId="9"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wwwgyy" hidden="1">{#N/A,#N/A,TRUE,"Front";#N/A,#N/A,TRUE,"Simple Letter";#N/A,#N/A,TRUE,"Inside";#N/A,#N/A,TRUE,"Contents";#N/A,#N/A,TRUE,"Basis";#N/A,#N/A,TRUE,"Inclusions";#N/A,#N/A,TRUE,"Exclusions";#N/A,#N/A,TRUE,"Areas";#N/A,#N/A,TRUE,"Summary";#N/A,#N/A,TRUE,"Detail"}</definedName>
    <definedName name="eryytrysy" localSheetId="7" hidden="1">{#N/A,#N/A,TRUE,"Cover";#N/A,#N/A,TRUE,"Conts";#N/A,#N/A,TRUE,"VOS";#N/A,#N/A,TRUE,"Warrington";#N/A,#N/A,TRUE,"Widnes"}</definedName>
    <definedName name="eryytrysy" localSheetId="0" hidden="1">{#N/A,#N/A,TRUE,"Cover";#N/A,#N/A,TRUE,"Conts";#N/A,#N/A,TRUE,"VOS";#N/A,#N/A,TRUE,"Warrington";#N/A,#N/A,TRUE,"Widnes"}</definedName>
    <definedName name="eryytrysy" localSheetId="9"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rz" hidden="1">{#N/A,#N/A,FALSE,"SumG";#N/A,#N/A,FALSE,"ElecG";#N/A,#N/A,FALSE,"MechG";#N/A,#N/A,FALSE,"GeotG";#N/A,#N/A,FALSE,"PrcsG";#N/A,#N/A,FALSE,"TunnG";#N/A,#N/A,FALSE,"CivlG";#N/A,#N/A,FALSE,"NtwkG";#N/A,#N/A,FALSE,"EstgG";#N/A,#N/A,FALSE,"PEngG"}</definedName>
    <definedName name="ES">#REF!</definedName>
    <definedName name="es_1" hidden="1">{"'Sheet1'!$L$16"}</definedName>
    <definedName name="es_2" hidden="1">{"'Sheet1'!$L$16"}</definedName>
    <definedName name="ESC">#REF!/100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calation_21">#REF!</definedName>
    <definedName name="Escalation_22">#REF!</definedName>
    <definedName name="Escalation_23">#REF!</definedName>
    <definedName name="Escalation_24">#REF!</definedName>
    <definedName name="Escalation_25">#REF!</definedName>
    <definedName name="Escalation_26">#REF!</definedName>
    <definedName name="est">#REF!</definedName>
    <definedName name="esteban" hidden="1">{#N/A,#N/A,FALSE,"골재소요량";#N/A,#N/A,FALSE,"골재소요량"}</definedName>
    <definedName name="estetystry" localSheetId="7" hidden="1">{#N/A,#N/A,TRUE,"Cover";#N/A,#N/A,TRUE,"Conts";#N/A,#N/A,TRUE,"VOS";#N/A,#N/A,TRUE,"Warrington";#N/A,#N/A,TRUE,"Widnes"}</definedName>
    <definedName name="estetystry" localSheetId="0" hidden="1">{#N/A,#N/A,TRUE,"Cover";#N/A,#N/A,TRUE,"Conts";#N/A,#N/A,TRUE,"VOS";#N/A,#N/A,TRUE,"Warrington";#N/A,#N/A,TRUE,"Widnes"}</definedName>
    <definedName name="estetystry" localSheetId="9"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amtion" hidden="1">{#N/A,#N/A,FALSE,"CCTV"}</definedName>
    <definedName name="ESTIMATE">#REF!</definedName>
    <definedName name="Estimate_Expected">#REF!</definedName>
    <definedName name="Estimate_High">#REF!</definedName>
    <definedName name="Estimate_Low">#REF!</definedName>
    <definedName name="estimateb" localSheetId="7" hidden="1">{#N/A,#N/A,TRUE,"Cover";#N/A,#N/A,TRUE,"Conts";#N/A,#N/A,TRUE,"VOS";#N/A,#N/A,TRUE,"Warrington";#N/A,#N/A,TRUE,"Widnes"}</definedName>
    <definedName name="estimateb" localSheetId="0" hidden="1">{#N/A,#N/A,TRUE,"Cover";#N/A,#N/A,TRUE,"Conts";#N/A,#N/A,TRUE,"VOS";#N/A,#N/A,TRUE,"Warrington";#N/A,#N/A,TRUE,"Widnes"}</definedName>
    <definedName name="estimateb" localSheetId="9"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stimateb_1" hidden="1">{#N/A,#N/A,TRUE,"Cover";#N/A,#N/A,TRUE,"Conts";#N/A,#N/A,TRUE,"VOS";#N/A,#N/A,TRUE,"Warrington";#N/A,#N/A,TRUE,"Widnes"}</definedName>
    <definedName name="Estimated_rate">#REF!</definedName>
    <definedName name="EstimateType">#REF!</definedName>
    <definedName name="Estimating_Click">#N/A</definedName>
    <definedName name="Estimating_Click_PDBT">#N/A</definedName>
    <definedName name="estimation" hidden="1">{#N/A,#N/A,FALSE,"CCTV"}</definedName>
    <definedName name="Estimation_basis" hidden="1">{#N/A,#N/A,FALSE,"type1";#N/A,#N/A,FALSE,"지지력";#N/A,#N/A,FALSE,"PILE계산";#N/A,#N/A,FALSE,"PILE ";#N/A,#N/A,FALSE,"철근량";#N/A,#N/A,FALSE,"균열검토";#N/A,#N/A,FALSE,"날개벽";#N/A,#N/A,FALSE,"주철근조립도";#N/A,#N/A,FALSE,"교좌"}</definedName>
    <definedName name="Estimation_basis_1" hidden="1">{#N/A,#N/A,FALSE,"type1";#N/A,#N/A,FALSE,"지지력";#N/A,#N/A,FALSE,"PILE계산";#N/A,#N/A,FALSE,"PILE ";#N/A,#N/A,FALSE,"철근량";#N/A,#N/A,FALSE,"균열검토";#N/A,#N/A,FALSE,"날개벽";#N/A,#N/A,FALSE,"주철근조립도";#N/A,#N/A,FALSE,"교좌"}</definedName>
    <definedName name="Estimation_basis_2" hidden="1">{#N/A,#N/A,FALSE,"type1";#N/A,#N/A,FALSE,"지지력";#N/A,#N/A,FALSE,"PILE계산";#N/A,#N/A,FALSE,"PILE ";#N/A,#N/A,FALSE,"철근량";#N/A,#N/A,FALSE,"균열검토";#N/A,#N/A,FALSE,"날개벽";#N/A,#N/A,FALSE,"주철근조립도";#N/A,#N/A,FALSE,"교좌"}</definedName>
    <definedName name="ESTMATE">#REF!</definedName>
    <definedName name="EstSumM">#REF!</definedName>
    <definedName name="ET">#REF!</definedName>
    <definedName name="ET_1" hidden="1">{#N/A,#N/A,FALSE,"CCTV"}</definedName>
    <definedName name="ET_2" hidden="1">{#N/A,#N/A,FALSE,"CCTV"}</definedName>
    <definedName name="et6u">IF(ISNA(MATCH(ROW(),RowAfterpgbrk,1)),1,MATCH(ROW(),RowAfterpgbrk,1)+1)&lt;&gt;IF(ISNA(MATCH(ROW()+1,RowAfterpgbrk,1)),1,MATCH(ROW()+1,RowAfterpgbrk,1)+1)</definedName>
    <definedName name="ETCMH">#REF!</definedName>
    <definedName name="etertyr" localSheetId="7" hidden="1">{#N/A,#N/A,TRUE,"Cover";#N/A,#N/A,TRUE,"Conts";#N/A,#N/A,TRUE,"VOS";#N/A,#N/A,TRUE,"Warrington";#N/A,#N/A,TRUE,"Widnes"}</definedName>
    <definedName name="etertyr" localSheetId="0" hidden="1">{#N/A,#N/A,TRUE,"Cover";#N/A,#N/A,TRUE,"Conts";#N/A,#N/A,TRUE,"VOS";#N/A,#N/A,TRUE,"Warrington";#N/A,#N/A,TRUE,"Widnes"}</definedName>
    <definedName name="etertyr" localSheetId="9"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 hidden="1">{#N/A,#N/A,TRUE,"Cover";#N/A,#N/A,TRUE,"Conts";#N/A,#N/A,TRUE,"VOS";#N/A,#N/A,TRUE,"Warrington";#N/A,#N/A,TRUE,"Widnes"}</definedName>
    <definedName name="etetert" localSheetId="7" hidden="1">{#N/A,#N/A,TRUE,"Cover";#N/A,#N/A,TRUE,"Conts";#N/A,#N/A,TRUE,"VOS";#N/A,#N/A,TRUE,"Warrington";#N/A,#N/A,TRUE,"Widnes"}</definedName>
    <definedName name="etetert" localSheetId="0" hidden="1">{#N/A,#N/A,TRUE,"Cover";#N/A,#N/A,TRUE,"Conts";#N/A,#N/A,TRUE,"VOS";#N/A,#N/A,TRUE,"Warrington";#N/A,#N/A,TRUE,"Widnes"}</definedName>
    <definedName name="etetert" localSheetId="9"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h" hidden="1">#REF!</definedName>
    <definedName name="etr6str7tuiuo" localSheetId="7" hidden="1">{#N/A,#N/A,TRUE,"Cover";#N/A,#N/A,TRUE,"Conts";#N/A,#N/A,TRUE,"VOS";#N/A,#N/A,TRUE,"Warrington";#N/A,#N/A,TRUE,"Widnes"}</definedName>
    <definedName name="etr6str7tuiuo" localSheetId="0" hidden="1">{#N/A,#N/A,TRUE,"Cover";#N/A,#N/A,TRUE,"Conts";#N/A,#N/A,TRUE,"VOS";#N/A,#N/A,TRUE,"Warrington";#N/A,#N/A,TRUE,"Widnes"}</definedName>
    <definedName name="etr6str7tuiuo" localSheetId="9"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7" hidden="1">{#N/A,#N/A,TRUE,"Cover";#N/A,#N/A,TRUE,"Conts";#N/A,#N/A,TRUE,"VOS";#N/A,#N/A,TRUE,"Warrington";#N/A,#N/A,TRUE,"Widnes"}</definedName>
    <definedName name="etretyer" localSheetId="0" hidden="1">{#N/A,#N/A,TRUE,"Cover";#N/A,#N/A,TRUE,"Conts";#N/A,#N/A,TRUE,"VOS";#N/A,#N/A,TRUE,"Warrington";#N/A,#N/A,TRUE,"Widnes"}</definedName>
    <definedName name="etretyer" localSheetId="9"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t" hidden="1">{#N/A,#N/A,TRUE,"Cover";#N/A,#N/A,TRUE,"Conts";#N/A,#N/A,TRUE,"VOS";#N/A,#N/A,TRUE,"Warrington";#N/A,#N/A,TRUE,"Widnes"}</definedName>
    <definedName name="etyegf" localSheetId="7" hidden="1">{#N/A,#N/A,TRUE,"Cover";#N/A,#N/A,TRUE,"Conts";#N/A,#N/A,TRUE,"VOS";#N/A,#N/A,TRUE,"Warrington";#N/A,#N/A,TRUE,"Widnes"}</definedName>
    <definedName name="etyegf" localSheetId="0" hidden="1">{#N/A,#N/A,TRUE,"Cover";#N/A,#N/A,TRUE,"Conts";#N/A,#N/A,TRUE,"VOS";#N/A,#N/A,TRUE,"Warrington";#N/A,#N/A,TRUE,"Widnes"}</definedName>
    <definedName name="etyegf" localSheetId="9"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7" hidden="1">{#N/A,#N/A,TRUE,"Cover";#N/A,#N/A,TRUE,"Conts";#N/A,#N/A,TRUE,"VOS";#N/A,#N/A,TRUE,"Warrington";#N/A,#N/A,TRUE,"Widnes"}</definedName>
    <definedName name="etyytr" localSheetId="0" hidden="1">{#N/A,#N/A,TRUE,"Cover";#N/A,#N/A,TRUE,"Conts";#N/A,#N/A,TRUE,"VOS";#N/A,#N/A,TRUE,"Warrington";#N/A,#N/A,TRUE,"Widnes"}</definedName>
    <definedName name="etyytr" localSheetId="9"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O">#REF!</definedName>
    <definedName name="ewateryryxyz" localSheetId="7" hidden="1">{#N/A,#N/A,TRUE,"Cover";#N/A,#N/A,TRUE,"Conts";#N/A,#N/A,TRUE,"VOS";#N/A,#N/A,TRUE,"Warrington";#N/A,#N/A,TRUE,"Widnes"}</definedName>
    <definedName name="ewateryryxyz" localSheetId="0" hidden="1">{#N/A,#N/A,TRUE,"Cover";#N/A,#N/A,TRUE,"Conts";#N/A,#N/A,TRUE,"VOS";#N/A,#N/A,TRUE,"Warrington";#N/A,#N/A,TRUE,"Widnes"}</definedName>
    <definedName name="ewateryryxyz" localSheetId="9"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dsd" hidden="1">{"'Break down'!$A$4"}</definedName>
    <definedName name="ewefw" hidden="1">{#N/A,#N/A,FALSE,"CCTV"}</definedName>
    <definedName name="ewefw_1" hidden="1">{#N/A,#N/A,FALSE,"CCTV"}</definedName>
    <definedName name="ewefw_2" hidden="1">{#N/A,#N/A,FALSE,"CCTV"}</definedName>
    <definedName name="ewqasd" hidden="1">{#N/A,#N/A,TRUE,"Cover";#N/A,#N/A,TRUE,"Conts";#N/A,#N/A,TRUE,"VOS";#N/A,#N/A,TRUE,"Warrington";#N/A,#N/A,TRUE,"Widnes"}</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f">IF(ISNA(MATCH(ROW(),RowAfterpgbrk,1)),1,MATCH(ROW(),RowAfterpgbrk,1)+1)&lt;&gt;IF(ISNA(MATCH(ROW()+1,RowAfterpgbrk,1)),1,MATCH(ROW()+1,RowAfterpgbrk,1)+1)</definedName>
    <definedName name="ewr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_1" hidden="1">{"'장비'!$A$3:$M$12"}</definedName>
    <definedName name="EWRWE_2" hidden="1">{"'장비'!$A$3:$M$12"}</definedName>
    <definedName name="ewrweq" hidden="1">{"'장비'!$A$3:$M$12"}</definedName>
    <definedName name="ewrweq_1" hidden="1">{"'장비'!$A$3:$M$12"}</definedName>
    <definedName name="ewrweq_2" hidden="1">{"'장비'!$A$3:$M$12"}</definedName>
    <definedName name="ewt" localSheetId="7" hidden="1">{#N/A,#N/A,TRUE,"Cover";#N/A,#N/A,TRUE,"Conts";#N/A,#N/A,TRUE,"VOS";#N/A,#N/A,TRUE,"Warrington";#N/A,#N/A,TRUE,"Widnes"}</definedName>
    <definedName name="ewt" localSheetId="0" hidden="1">{#N/A,#N/A,TRUE,"Cover";#N/A,#N/A,TRUE,"Conts";#N/A,#N/A,TRUE,"VOS";#N/A,#N/A,TRUE,"Warrington";#N/A,#N/A,TRUE,"Widnes"}</definedName>
    <definedName name="ewt" localSheetId="9"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7" hidden="1">{#N/A,#N/A,TRUE,"Cover";#N/A,#N/A,TRUE,"Conts";#N/A,#N/A,TRUE,"VOS";#N/A,#N/A,TRUE,"Warrington";#N/A,#N/A,TRUE,"Widnes"}</definedName>
    <definedName name="ewtateryry" localSheetId="0" hidden="1">{#N/A,#N/A,TRUE,"Cover";#N/A,#N/A,TRUE,"Conts";#N/A,#N/A,TRUE,"VOS";#N/A,#N/A,TRUE,"Warrington";#N/A,#N/A,TRUE,"Widnes"}</definedName>
    <definedName name="ewtateryry" localSheetId="9"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#REF!</definedName>
    <definedName name="EX_1" hidden="1">{#N/A,#N/A,FALSE,"CCTV"}</definedName>
    <definedName name="EX_2" hidden="1">{#N/A,#N/A,FALSE,"CCTV"}</definedName>
    <definedName name="ex_joint">#REF!</definedName>
    <definedName name="excavation">#N/A</definedName>
    <definedName name="EXCAVATION_BFILLING">#REF!</definedName>
    <definedName name="excavb">#N/A</definedName>
    <definedName name="excavh">#N/A</definedName>
    <definedName name="Excel_BuiltIn__FilterDatabase_1">#REF!</definedName>
    <definedName name="Excel_BuiltIn__FilterDatabase_15">"$'ESTIMATE SUMMARY'.$#REF!$#REF!:$#REF!$#REF!"</definedName>
    <definedName name="Excel_BuiltIn__FilterDatabase_18">#REF!</definedName>
    <definedName name="Excel_BuiltIn__FilterDatabase_2">#REF!</definedName>
    <definedName name="Excel_BuiltIn__FilterDatabase_5">#REF!</definedName>
    <definedName name="Excel_BuiltIn__FilterDatabase_6">#REF!</definedName>
    <definedName name="Excel_BuiltIn_Print_Area_22">#REF!</definedName>
    <definedName name="Exchange_rate">#REF!</definedName>
    <definedName name="Excluded">#REF!</definedName>
    <definedName name="Exclusions" localSheetId="9">#REF!</definedName>
    <definedName name="Exclusions">#REF!</definedName>
    <definedName name="eXCLUSIONS_1" hidden="1">{#N/A,#N/A,TRUE,"Cover";#N/A,#N/A,TRUE,"Conts";#N/A,#N/A,TRUE,"VOS";#N/A,#N/A,TRUE,"Warrington";#N/A,#N/A,TRUE,"Widnes"}</definedName>
    <definedName name="exec">#REF!</definedName>
    <definedName name="ExecSumfinal">#REF!</definedName>
    <definedName name="Exit.Year" hidden="1">#REF!</definedName>
    <definedName name="EXP_COND_G2">#REF!</definedName>
    <definedName name="EXP_COND_L2">#REF!</definedName>
    <definedName name="EXPANSION_JOINTS">#REF!</definedName>
    <definedName name="Expat_Perm">#REF!</definedName>
    <definedName name="Expat_Temp">#REF!</definedName>
    <definedName name="expo">#REF!</definedName>
    <definedName name="ExRate">#REF!</definedName>
    <definedName name="ExRatio">#REF!</definedName>
    <definedName name="EXTERNAL">#REF!</definedName>
    <definedName name="EXTERNAL__SERVICES">#REF!</definedName>
    <definedName name="EXTERNAL__WALLS">#REF!</definedName>
    <definedName name="Externalopenings">#REF!</definedName>
    <definedName name="_xlnm.Extract">#REF!</definedName>
    <definedName name="Extras" hidden="1">{"'S Summ'!$B$2:$L$73","'S Summ'!$G$76"}</definedName>
    <definedName name="eyt" hidden="1">{"'Break down'!$A$4"}</definedName>
    <definedName name="eyteyt" hidden="1">{#N/A,#N/A,FALSE,"CCTV"}</definedName>
    <definedName name="eyteyt_1" hidden="1">{#N/A,#N/A,FALSE,"CCTV"}</definedName>
    <definedName name="eyteyt_2" hidden="1">{#N/A,#N/A,FALSE,"CCTV"}</definedName>
    <definedName name="eytr" hidden="1">{#N/A,#N/A,TRUE,"LOADCOVE";#N/A,#N/A,TRUE,"PAGE001";#N/A,#N/A,TRUE,"PAGE002";#N/A,#N/A,TRUE,"PAGE003";#N/A,#N/A,TRUE,"PAGE004";#N/A,#N/A,TRUE,"PAGE005";#N/A,#N/A,TRUE,"PAGE006";#N/A,#N/A,TRUE,"PAGE007";#N/A,#N/A,TRUE,"PAGE008";#N/A,#N/A,TRUE,"PAGE009";#N/A,#N/A,TRUE,"PAGE010";#N/A,#N/A,TRUE,"PAGE011";#N/A,#N/A,TRUE,"PAGE012";#N/A,#N/A,TRUE,"PAGE013"}</definedName>
    <definedName name="eyu" hidden="1">{#N/A,#N/A,FALSE,"운반시간"}</definedName>
    <definedName name="eyy" localSheetId="7" hidden="1">{#N/A,#N/A,TRUE,"Cover";#N/A,#N/A,TRUE,"Conts";#N/A,#N/A,TRUE,"VOS";#N/A,#N/A,TRUE,"Warrington";#N/A,#N/A,TRUE,"Widnes"}</definedName>
    <definedName name="eyy" localSheetId="0" hidden="1">{#N/A,#N/A,TRUE,"Cover";#N/A,#N/A,TRUE,"Conts";#N/A,#N/A,TRUE,"VOS";#N/A,#N/A,TRUE,"Warrington";#N/A,#N/A,TRUE,"Widnes"}</definedName>
    <definedName name="eyy" localSheetId="9"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Ez">#REF!</definedName>
    <definedName name="F">#REF!</definedName>
    <definedName name="F.01">#REF!</definedName>
    <definedName name="F.02">#REF!</definedName>
    <definedName name="F.03">#REF!</definedName>
    <definedName name="F.04">#REF!</definedName>
    <definedName name="F.05">#REF!</definedName>
    <definedName name="F.08">#REF!</definedName>
    <definedName name="F.10">#REF!</definedName>
    <definedName name="F.20">#REF!</definedName>
    <definedName name="F.30">#REF!</definedName>
    <definedName name="F.30a">#REF!</definedName>
    <definedName name="F.30b">#REF!</definedName>
    <definedName name="F.41">#REF!</definedName>
    <definedName name="F.42">#REF!</definedName>
    <definedName name="F.50">#REF!</definedName>
    <definedName name="F.51">#REF!</definedName>
    <definedName name="F.60">#REF!</definedName>
    <definedName name="F.61">#REF!</definedName>
    <definedName name="F_____PAINTING">#REF!</definedName>
    <definedName name="f_1" hidden="1">{#N/A,#N/A,TRUE,"Cover";#N/A,#N/A,TRUE,"Conts";#N/A,#N/A,TRUE,"VOS";#N/A,#N/A,TRUE,"Warrington";#N/A,#N/A,TRUE,"Widnes"}</definedName>
    <definedName name="F1F">#REF!</definedName>
    <definedName name="F2F">#REF!</definedName>
    <definedName name="F3F">#REF!</definedName>
    <definedName name="F6T">#REF!</definedName>
    <definedName name="FA">#REF!</definedName>
    <definedName name="fabrication" hidden="1">{#N/A,#N/A,TRUE,"Basic";#N/A,#N/A,TRUE,"EXT-TABLE";#N/A,#N/A,TRUE,"STEEL";#N/A,#N/A,TRUE,"INT-Table";#N/A,#N/A,TRUE,"STEEL";#N/A,#N/A,TRUE,"Door"}</definedName>
    <definedName name="FAC">#REF!</definedName>
    <definedName name="Fac_new">#REF!</definedName>
    <definedName name="Fac_old">#REF!</definedName>
    <definedName name="Facade">#N/A</definedName>
    <definedName name="FACILITY">#REF!</definedName>
    <definedName name="factor">#REF!</definedName>
    <definedName name="Factor_Calc">#REF!</definedName>
    <definedName name="factot">#REF!</definedName>
    <definedName name="fafa" hidden="1">{#N/A,#N/A,FALSE,"CCTV"}</definedName>
    <definedName name="fafjkla" hidden="1">{#N/A,#N/A,TRUE,"FIELDOFF";#N/A,#N/A,TRUE,"SCAFF";#N/A,#N/A,TRUE,"CONSTEQP";#N/A,#N/A,TRUE,"FUELUBE";#N/A,#N/A,TRUE,"CONSUME";#N/A,#N/A,TRUE,"FIELDEXP";#N/A,#N/A,TRUE,"MANPLAN";#N/A,#N/A,TRUE,"EQPLAN"}</definedName>
    <definedName name="fajfkj" hidden="1">{"'Break down'!$A$4"}</definedName>
    <definedName name="fall" hidden="1">#REF!</definedName>
    <definedName name="FAN">#REF!</definedName>
    <definedName name="fasdf" hidden="1">{#N/A,#N/A,TRUE,"Basic";#N/A,#N/A,TRUE,"EXT-TABLE";#N/A,#N/A,TRUE,"STEEL";#N/A,#N/A,TRUE,"INT-Table";#N/A,#N/A,TRUE,"STEEL";#N/A,#N/A,TRUE,"Door"}</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dfsdfasdfsdfsd_2" hidden="1">{#N/A,#N/A,TRUE,"Basic";#N/A,#N/A,TRUE,"EXT-TABLE";#N/A,#N/A,TRUE,"STEEL";#N/A,#N/A,TRUE,"INT-Table";#N/A,#N/A,TRUE,"STEEL";#N/A,#N/A,TRUE,"Door"}</definedName>
    <definedName name="Fax">#REF!</definedName>
    <definedName name="Fb">#REF!</definedName>
    <definedName name="fbb" hidden="1">{#N/A,#N/A,TRUE,"LOADCOVE";#N/A,#N/A,TRUE,"PAGE001";#N/A,#N/A,TRUE,"PAGE002";#N/A,#N/A,TRUE,"PAGE003";#N/A,#N/A,TRUE,"PAGE004";#N/A,#N/A,TRUE,"PAGE005";#N/A,#N/A,TRUE,"PAGE006";#N/A,#N/A,TRUE,"PAGE007";#N/A,#N/A,TRUE,"PAGE008";#N/A,#N/A,TRUE,"PAGE009";#N/A,#N/A,TRUE,"PAGE010";#N/A,#N/A,TRUE,"PAGE011";#N/A,#N/A,TRUE,"PAGE012";#N/A,#N/A,TRUE,"PAGE013"}</definedName>
    <definedName name="FBD" hidden="1">{#N/A,#N/A,TRUE,"LOADCOVE";#N/A,#N/A,TRUE,"PAGE001";#N/A,#N/A,TRUE,"PAGE002";#N/A,#N/A,TRUE,"PAGE003";#N/A,#N/A,TRUE,"PAGE004";#N/A,#N/A,TRUE,"PAGE005";#N/A,#N/A,TRUE,"PAGE006";#N/A,#N/A,TRUE,"PAGE007";#N/A,#N/A,TRUE,"PAGE008";#N/A,#N/A,TRUE,"PAGE009";#N/A,#N/A,TRUE,"PAGE010";#N/A,#N/A,TRUE,"PAGE011";#N/A,#N/A,TRUE,"PAGE012";#N/A,#N/A,TRUE,"PAGE013"}</definedName>
    <definedName name="fbdd" hidden="1">{#N/A,#N/A,TRUE,"LOADCOVE";#N/A,#N/A,TRUE,"PAGE001";#N/A,#N/A,TRUE,"PAGE002";#N/A,#N/A,TRUE,"PAGE003";#N/A,#N/A,TRUE,"PAGE004";#N/A,#N/A,TRUE,"PAGE005";#N/A,#N/A,TRUE,"PAGE006";#N/A,#N/A,TRUE,"PAGE007";#N/A,#N/A,TRUE,"PAGE008";#N/A,#N/A,TRUE,"PAGE009";#N/A,#N/A,TRUE,"PAGE010";#N/A,#N/A,TRUE,"PAGE011";#N/A,#N/A,TRUE,"PAGE012";#N/A,#N/A,TRUE,"PAGE013"}</definedName>
    <definedName name="FBTOTAL">#REF!</definedName>
    <definedName name="FC">#REF!</definedName>
    <definedName name="FCCM">#REF!</definedName>
    <definedName name="fchk" hidden="1">{#N/A,#N/A,TRUE,"Front";#N/A,#N/A,TRUE,"Simple Letter";#N/A,#N/A,TRUE,"Inside";#N/A,#N/A,TRUE,"Contents";#N/A,#N/A,TRUE,"Basis";#N/A,#N/A,TRUE,"Inclusions";#N/A,#N/A,TRUE,"Exclusions";#N/A,#N/A,TRUE,"Areas";#N/A,#N/A,TRUE,"Summary";#N/A,#N/A,TRUE,"Detail"}</definedName>
    <definedName name="fck">#REF!</definedName>
    <definedName name="FCode" hidden="1">#REF!</definedName>
    <definedName name="FCTcurex">#REF!</definedName>
    <definedName name="fd" hidden="1">{"'Sheet1'!$A$4386:$N$4591"}</definedName>
    <definedName name="fd_1" hidden="1">{"'Sheet1'!$L$16"}</definedName>
    <definedName name="fd_2" hidden="1">{"'Sheet1'!$L$16"}</definedName>
    <definedName name="fdcvgfty" hidden="1">#REF!</definedName>
    <definedName name="fddfhdfhdgh" hidden="1">{#N/A,#N/A,FALSE,"CCTV"}</definedName>
    <definedName name="fddfhdfhdgh_1" hidden="1">{#N/A,#N/A,FALSE,"CCTV"}</definedName>
    <definedName name="fddfhdfhdgh_2" hidden="1">{#N/A,#N/A,FALSE,"CCTV"}</definedName>
    <definedName name="FDDH" hidden="1">{#N/A,#N/A,TRUE,"Front";#N/A,#N/A,TRUE,"Simple Letter";#N/A,#N/A,TRUE,"Inside";#N/A,#N/A,TRUE,"Contents";#N/A,#N/A,TRUE,"Basis";#N/A,#N/A,TRUE,"Inclusions";#N/A,#N/A,TRUE,"Exclusions";#N/A,#N/A,TRUE,"Areas";#N/A,#N/A,TRUE,"Summary";#N/A,#N/A,TRUE,"Detail"}</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#REF!</definedName>
    <definedName name="fdf_1" hidden="1">{#N/A,#N/A,FALSE,"CCTV"}</definedName>
    <definedName name="fdf_2"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df" hidden="1">{#N/A,#N/A,FALSE,"SumD";#N/A,#N/A,FALSE,"ElecD";#N/A,#N/A,FALSE,"MechD";#N/A,#N/A,FALSE,"GeotD";#N/A,#N/A,FALSE,"PrcsD";#N/A,#N/A,FALSE,"TunnD";#N/A,#N/A,FALSE,"CivlD";#N/A,#N/A,FALSE,"NtwkD";#N/A,#N/A,FALSE,"EstgD";#N/A,#N/A,FALSE,"PEngD"}</definedName>
    <definedName name="FDFDF" hidden="1">{#N/A,#N/A,FALSE,"CCTV"}</definedName>
    <definedName name="FDFDF_1" hidden="1">{#N/A,#N/A,FALSE,"CCTV"}</definedName>
    <definedName name="FDFDF_2" hidden="1">{#N/A,#N/A,FALSE,"CCTV"}</definedName>
    <definedName name="fdff" hidden="1">{#N/A,#N/A,FALSE,"SumG";#N/A,#N/A,FALSE,"ElecG";#N/A,#N/A,FALSE,"MechG";#N/A,#N/A,FALSE,"GeotG";#N/A,#N/A,FALSE,"PrcsG";#N/A,#N/A,FALSE,"TunnG";#N/A,#N/A,FALSE,"CivlG";#N/A,#N/A,FALSE,"NtwkG";#N/A,#N/A,FALSE,"EstgG";#N/A,#N/A,FALSE,"PEngG"}</definedName>
    <definedName name="fdff_1"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fgr">IF(ISNA(MATCH(ROW(),RowAfterpgbrk,1)),1,MATCH(ROW(),RowAfterpgbrk,1)+1)</definedName>
    <definedName name="fdgd" hidden="1">{#N/A,#N/A,TRUE,"Front";#N/A,#N/A,TRUE,"Simple Letter";#N/A,#N/A,TRUE,"Inside";#N/A,#N/A,TRUE,"Contents";#N/A,#N/A,TRUE,"Basis";#N/A,#N/A,TRUE,"Inclusions";#N/A,#N/A,TRUE,"Exclusions";#N/A,#N/A,TRUE,"Areas";#N/A,#N/A,TRUE,"Summary";#N/A,#N/A,TRUE,"Detail"}</definedName>
    <definedName name="fdgdfgd" hidden="1">#REF!</definedName>
    <definedName name="fdgdg" hidden="1">{#N/A,#N/A,TRUE,"Cover Memo";"Complete Sys. Estimate",#N/A,TRUE,"Change Summary";"Complete Sys. Estimate",#N/A,TRUE,"Estimate Summary";"Complete Sys. Estimate",#N/A,TRUE,"Dept. Summary";"Complete Sys. Estimate",#N/A,TRUE,"DOW Detail"}</definedName>
    <definedName name="fdgdr" hidden="1">{#N/A,#N/A,TRUE,"Front";#N/A,#N/A,TRUE,"Simple Letter";#N/A,#N/A,TRUE,"Inside";#N/A,#N/A,TRUE,"Contents";#N/A,#N/A,TRUE,"Basis";#N/A,#N/A,TRUE,"Inclusions";#N/A,#N/A,TRUE,"Exclusions";#N/A,#N/A,TRUE,"Areas";#N/A,#N/A,TRUE,"Summary";#N/A,#N/A,TRUE,"Detail"}</definedName>
    <definedName name="fdghdfg" hidden="1">{#N/A,#N/A,FALSE,"II-2 POP.HH";#N/A,#N/A,FALSE,"II-3 AGE.DIST";#N/A,#N/A,FALSE,"II-4 HH.DIST";#N/A,#N/A,FALSE,"II-5 EMP.INDUS"}</definedName>
    <definedName name="fdgk" hidden="1">{"'Sheet1'!$L$16"}</definedName>
    <definedName name="fdgk_1" hidden="1">{"'Sheet1'!$L$16"}</definedName>
    <definedName name="fdgk_2" hidden="1">{"'Sheet1'!$L$16"}</definedName>
    <definedName name="fdhdfh" hidden="1">{#N/A,#N/A,TRUE,"Front";#N/A,#N/A,TRUE,"Simple Letter";#N/A,#N/A,TRUE,"Inside";#N/A,#N/A,TRUE,"Contents";#N/A,#N/A,TRUE,"Basis";#N/A,#N/A,TRUE,"Inclusions";#N/A,#N/A,TRUE,"Exclusions";#N/A,#N/A,TRUE,"Areas";#N/A,#N/A,TRUE,"Summary";#N/A,#N/A,TRUE,"Detail"}</definedName>
    <definedName name="fdjk" hidden="1">{#N/A,#N/A,FALSE,"골재소요량";#N/A,#N/A,FALSE,"골재소요량"}</definedName>
    <definedName name="FDSA" hidden="1">{#N/A,#N/A,FALSE,"CCTV"}</definedName>
    <definedName name="FDSA_1" hidden="1">{#N/A,#N/A,FALSE,"CCTV"}</definedName>
    <definedName name="FDSA_2" hidden="1">{#N/A,#N/A,FALSE,"CCTV"}</definedName>
    <definedName name="FDSG" hidden="1">{#N/A,#N/A,FALSE,"CCTV"}</definedName>
    <definedName name="FDSG_1" hidden="1">{#N/A,#N/A,FALSE,"CCTV"}</definedName>
    <definedName name="FDSG_2" hidden="1">{#N/A,#N/A,FALSE,"CCTV"}</definedName>
    <definedName name="fdsgdgs" hidden="1">#REF!</definedName>
    <definedName name="fdsgw" hidden="1">{#N/A,#N/A,FALSE,"SumD";#N/A,#N/A,FALSE,"ElecD";#N/A,#N/A,FALSE,"MechD";#N/A,#N/A,FALSE,"GeotD";#N/A,#N/A,FALSE,"PrcsD";#N/A,#N/A,FALSE,"TunnD";#N/A,#N/A,FALSE,"CivlD";#N/A,#N/A,FALSE,"NtwkD";#N/A,#N/A,FALSE,"EstgD";#N/A,#N/A,FALSE,"PEngD"}</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dx">#REF!</definedName>
    <definedName name="Fdz">#REF!</definedName>
    <definedName name="fe_1" hidden="1">{"'Sheet1'!$L$16"}</definedName>
    <definedName name="fe_2" hidden="1">{"'Sheet1'!$L$16"}</definedName>
    <definedName name="fedr" hidden="1">{#N/A,#N/A,TRUE,"Front";#N/A,#N/A,TRUE,"Simple Letter";#N/A,#N/A,TRUE,"Inside";#N/A,#N/A,TRUE,"Contents";#N/A,#N/A,TRUE,"Basis";#N/A,#N/A,TRUE,"Inclusions";#N/A,#N/A,TRUE,"Exclusions";#N/A,#N/A,TRUE,"Areas";#N/A,#N/A,TRUE,"Summary";#N/A,#N/A,TRUE,"Detail"}</definedName>
    <definedName name="FEE" hidden="1">#REF!</definedName>
    <definedName name="Fees">#REF!</definedName>
    <definedName name="Fees.1" localSheetId="7" hidden="1">{#N/A,#N/A,TRUE,"Cover";#N/A,#N/A,TRUE,"Conts";#N/A,#N/A,TRUE,"VOS";#N/A,#N/A,TRUE,"Warrington";#N/A,#N/A,TRUE,"Widnes"}</definedName>
    <definedName name="Fees.1" localSheetId="0" hidden="1">{#N/A,#N/A,TRUE,"Cover";#N/A,#N/A,TRUE,"Conts";#N/A,#N/A,TRUE,"VOS";#N/A,#N/A,TRUE,"Warrington";#N/A,#N/A,TRUE,"Widnes"}</definedName>
    <definedName name="Fees.1" localSheetId="9"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ees_Expat">#REF!</definedName>
    <definedName name="Fees_TCNHI">#REF!</definedName>
    <definedName name="Fees_TCNLI">#REF!</definedName>
    <definedName name="FEFC_Salary">#REF!</definedName>
    <definedName name="fefwe" hidden="1">{#N/A,#N/A,TRUE,"Front";#N/A,#N/A,TRUE,"Simple Letter";#N/A,#N/A,TRUE,"Inside";#N/A,#N/A,TRUE,"Contents";#N/A,#N/A,TRUE,"Basis";#N/A,#N/A,TRUE,"Inclusions";#N/A,#N/A,TRUE,"Exclusions";#N/A,#N/A,TRUE,"Areas";#N/A,#N/A,TRUE,"Summary";#N/A,#N/A,TRUE,"Detail"}</definedName>
    <definedName name="fer">IF(ISNA(MATCH(ROW(),RowAfterpgbrk,1)),1,MATCH(ROW(),RowAfterpgbrk,1)+1)&lt;&gt;IF(ISNA(MATCH(ROW()+1,RowAfterpgbrk,1)),1,MATCH(ROW()+1,RowAfterpgbrk,1)+1)</definedName>
    <definedName name="FES">#REF!</definedName>
    <definedName name="few"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ex">#REF!</definedName>
    <definedName name="Fez">#REF!</definedName>
    <definedName name="FF">#REF!</definedName>
    <definedName name="ff_1" hidden="1">{#N/A,#N/A,FALSE,"CCTV"}</definedName>
    <definedName name="ff_2" hidden="1">{#N/A,#N/A,FALSE,"CCTV"}</definedName>
    <definedName name="ffaaaaf" hidden="1">{"'장비'!$A$3:$M$12"}</definedName>
    <definedName name="FFD" hidden="1">{#N/A,#N/A,FALSE,"골재소요량";#N/A,#N/A,FALSE,"골재소요량"}</definedName>
    <definedName name="ffddfdfd">#REF!</definedName>
    <definedName name="FFDGF" hidden="1">{#N/A,#N/A,FALSE,"부대2"}</definedName>
    <definedName name="FFDGF_1" hidden="1">{#N/A,#N/A,FALSE,"부대2"}</definedName>
    <definedName name="FFDGF_2" hidden="1">{#N/A,#N/A,FALSE,"부대2"}</definedName>
    <definedName name="FFF">#REF!</definedName>
    <definedName name="fff_1" hidden="1">{#N/A,#N/A,FALSE,"CCTV"}</definedName>
    <definedName name="fff_2" hidden="1">{#N/A,#N/A,FALSE,"CCTV"}</definedName>
    <definedName name="Fffef" hidden="1">{#N/A,#N/A,FALSE,"MARCH"}</definedName>
    <definedName name="ffff">#REF!</definedName>
    <definedName name="ffff_1" hidden="1">{"'장비'!$A$3:$M$12"}</definedName>
    <definedName name="ffff_2" hidden="1">{"'장비'!$A$3:$M$12"}</definedName>
    <definedName name="FFFFF" hidden="1">{#N/A,#N/A,FALSE,"CCTV"}</definedName>
    <definedName name="fffff_1" hidden="1">{#N/A,#N/A,TRUE,"Basic";#N/A,#N/A,TRUE,"EXT-TABLE";#N/A,#N/A,TRUE,"STEEL";#N/A,#N/A,TRUE,"INT-Table";#N/A,#N/A,TRUE,"STEEL";#N/A,#N/A,TRUE,"Door"}</definedName>
    <definedName name="FFFFF_2" hidden="1">{#N/A,#N/A,FALSE,"CCTV"}</definedName>
    <definedName name="ffffff" hidden="1">{#N/A,#N/A,FALSE,"CCTV"}</definedName>
    <definedName name="ffffff_1" hidden="1">{#N/A,#N/A,FALSE,"CCTV"}</definedName>
    <definedName name="ffffff_2" hidden="1">{#N/A,#N/A,FALSE,"CCTV"}</definedName>
    <definedName name="fffffff" hidden="1">#REF!</definedName>
    <definedName name="fffffffff" hidden="1">{#N/A,#N/A,FALSE,"SumD";#N/A,#N/A,FALSE,"ElecD";#N/A,#N/A,FALSE,"MechD";#N/A,#N/A,FALSE,"GeotD";#N/A,#N/A,FALSE,"PrcsD";#N/A,#N/A,FALSE,"TunnD";#N/A,#N/A,FALSE,"CivlD";#N/A,#N/A,FALSE,"NtwkD";#N/A,#N/A,FALSE,"EstgD";#N/A,#N/A,FALSE,"PEngD"}</definedName>
    <definedName name="ffffffffffffff" hidden="1">{#N/A,#N/A,FALSE,"SumG";#N/A,#N/A,FALSE,"ElecG";#N/A,#N/A,FALSE,"MechG";#N/A,#N/A,FALSE,"GeotG";#N/A,#N/A,FALSE,"PrcsG";#N/A,#N/A,FALSE,"TunnG";#N/A,#N/A,FALSE,"CivlG";#N/A,#N/A,FALSE,"NtwkG";#N/A,#N/A,FALSE,"EstgG";#N/A,#N/A,FALSE,"PEngG"}</definedName>
    <definedName name="ffffffffffffffff" hidden="1">{#N/A,#N/A,FALSE,"표지목차"}</definedName>
    <definedName name="fffffffffffffffff" hidden="1">#REF!</definedName>
    <definedName name="fffffffffffffffffffff"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hidden="1">{#N/A,#N/A,FALSE,"SumG";#N/A,#N/A,FALSE,"ElecG";#N/A,#N/A,FALSE,"MechG";#N/A,#N/A,FALSE,"GeotG";#N/A,#N/A,FALSE,"PrcsG";#N/A,#N/A,FALSE,"TunnG";#N/A,#N/A,FALSE,"CivlG";#N/A,#N/A,FALSE,"NtwkG";#N/A,#N/A,FALSE,"EstgG";#N/A,#N/A,FALSE,"PEngG"}</definedName>
    <definedName name="fffffffg" hidden="1">{"'장비'!$A$3:$M$12"}</definedName>
    <definedName name="fffffffg_1" hidden="1">{"'장비'!$A$3:$M$12"}</definedName>
    <definedName name="fffffffg_2" hidden="1">{"'장비'!$A$3:$M$12"}</definedName>
    <definedName name="FFFFHBT" hidden="1">#REF!</definedName>
    <definedName name="fffuu" hidden="1">{"'Break down'!$A$4"}</definedName>
    <definedName name="ffgfg" hidden="1">{"'장비'!$A$3:$M$12"}</definedName>
    <definedName name="ffgfg_1" hidden="1">{"'장비'!$A$3:$M$12"}</definedName>
    <definedName name="ffgfg_2" hidden="1">{"'장비'!$A$3:$M$12"}</definedName>
    <definedName name="ffggfg">#REF!</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we" hidden="1">{#N/A,#N/A,TRUE,"Front";#N/A,#N/A,TRUE,"Simple Letter";#N/A,#N/A,TRUE,"Inside";#N/A,#N/A,TRUE,"Contents";#N/A,#N/A,TRUE,"Basis";#N/A,#N/A,TRUE,"Inclusions";#N/A,#N/A,TRUE,"Exclusions";#N/A,#N/A,TRUE,"Areas";#N/A,#N/A,TRUE,"Summary";#N/A,#N/A,TRUE,"Detail"}</definedName>
    <definedName name="FFR">#REF!</definedName>
    <definedName name="ffsdf"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fz" hidden="1">{#N/A,#N/A,FALSE,"SumD";#N/A,#N/A,FALSE,"ElecD";#N/A,#N/A,FALSE,"MechD";#N/A,#N/A,FALSE,"GeotD";#N/A,#N/A,FALSE,"PrcsD";#N/A,#N/A,FALSE,"TunnD";#N/A,#N/A,FALSE,"CivlD";#N/A,#N/A,FALSE,"NtwkD";#N/A,#N/A,FALSE,"EstgD";#N/A,#N/A,FALSE,"PEngD"}</definedName>
    <definedName name="fg" localSheetId="7" hidden="1">{#N/A,#N/A,TRUE,"Cover";#N/A,#N/A,TRUE,"Conts";#N/A,#N/A,TRUE,"VOS";#N/A,#N/A,TRUE,"Warrington";#N/A,#N/A,TRUE,"Widnes"}</definedName>
    <definedName name="fg" localSheetId="0" hidden="1">{#N/A,#N/A,TRUE,"Cover";#N/A,#N/A,TRUE,"Conts";#N/A,#N/A,TRUE,"VOS";#N/A,#N/A,TRUE,"Warrington";#N/A,#N/A,TRUE,"Widnes"}</definedName>
    <definedName name="fg" localSheetId="9"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_1" hidden="1">{#N/A,#N/A,TRUE,"Cover";#N/A,#N/A,TRUE,"Conts";#N/A,#N/A,TRUE,"VOS";#N/A,#N/A,TRUE,"Warrington";#N/A,#N/A,TRUE,"Widnes"}</definedName>
    <definedName name="FG_2" hidden="1">{"'장비'!$A$3:$M$12"}</definedName>
    <definedName name="fgdfg" hidden="1">{#N/A,#N/A,FALSE,"SumD";#N/A,#N/A,FALSE,"ElecD";#N/A,#N/A,FALSE,"MechD";#N/A,#N/A,FALSE,"GeotD";#N/A,#N/A,FALSE,"PrcsD";#N/A,#N/A,FALSE,"TunnD";#N/A,#N/A,FALSE,"CivlD";#N/A,#N/A,FALSE,"NtwkD";#N/A,#N/A,FALSE,"EstgD";#N/A,#N/A,FALSE,"PEngD"}</definedName>
    <definedName name="fgdfg_1"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F" hidden="1">{#N/A,#N/A,FALSE,"CCTV"}</definedName>
    <definedName name="FGF_1" hidden="1">{#N/A,#N/A,FALSE,"CCTV"}</definedName>
    <definedName name="FGF_2" hidden="1">{#N/A,#N/A,FALSE,"CCTV"}</definedName>
    <definedName name="fgfdg" hidden="1">{#N/A,#N/A,FALSE,"SumG";#N/A,#N/A,FALSE,"ElecG";#N/A,#N/A,FALSE,"MechG";#N/A,#N/A,FALSE,"GeotG";#N/A,#N/A,FALSE,"PrcsG";#N/A,#N/A,FALSE,"TunnG";#N/A,#N/A,FALSE,"CivlG";#N/A,#N/A,FALSE,"NtwkG";#N/A,#N/A,FALSE,"EstgG";#N/A,#N/A,FALSE,"PEngG"}</definedName>
    <definedName name="fgfdg_1" hidden="1">{#N/A,#N/A,FALSE,"SumG";#N/A,#N/A,FALSE,"ElecG";#N/A,#N/A,FALSE,"MechG";#N/A,#N/A,FALSE,"GeotG";#N/A,#N/A,FALSE,"PrcsG";#N/A,#N/A,FALSE,"TunnG";#N/A,#N/A,FALSE,"CivlG";#N/A,#N/A,FALSE,"NtwkG";#N/A,#N/A,FALSE,"EstgG";#N/A,#N/A,FALSE,"PEngG"}</definedName>
    <definedName name="fgfdgz" hidden="1">{#N/A,#N/A,FALSE,"SumG";#N/A,#N/A,FALSE,"ElecG";#N/A,#N/A,FALSE,"MechG";#N/A,#N/A,FALSE,"GeotG";#N/A,#N/A,FALSE,"PrcsG";#N/A,#N/A,FALSE,"TunnG";#N/A,#N/A,FALSE,"CivlG";#N/A,#N/A,FALSE,"NtwkG";#N/A,#N/A,FALSE,"EstgG";#N/A,#N/A,FALSE,"PEngG"}</definedName>
    <definedName name="fgfgf">#REF!</definedName>
    <definedName name="fgg" hidden="1">{"'장비'!$A$3:$M$12"}</definedName>
    <definedName name="fgg_1" hidden="1">{"'장비'!$A$3:$M$12"}</definedName>
    <definedName name="fgg_2" hidden="1">{"'장비'!$A$3:$M$12"}</definedName>
    <definedName name="fggdfhdf"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#REF!</definedName>
    <definedName name="fghdf" hidden="1">{#N/A,#N/A,FALSE,"III-1 Sum.Dem";#N/A,#N/A,FALSE,"III-2 RER.Dem.Pop";#N/A,#N/A,FALSE,"III-3 RER.Cap.Pop";#N/A,#N/A,FALSE,"III-4 RER.Dem.TCSS";#N/A,#N/A,FALSE,"III-5 RER.Cap.TCSS";#N/A,#N/A,FALSE,"III-6 Pow.Center.Dem";#N/A,#N/A,FALSE,"III-7 Off.Demand";#N/A,#N/A,FALSE,"III-8 Htl.Dem"}</definedName>
    <definedName name="fghfg" hidden="1">{#N/A,#N/A,FALSE,"SumD";#N/A,#N/A,FALSE,"ElecD";#N/A,#N/A,FALSE,"MechD";#N/A,#N/A,FALSE,"GeotD";#N/A,#N/A,FALSE,"PrcsD";#N/A,#N/A,FALSE,"TunnD";#N/A,#N/A,FALSE,"CivlD";#N/A,#N/A,FALSE,"NtwkD";#N/A,#N/A,FALSE,"EstgD";#N/A,#N/A,FALSE,"PEngD"}</definedName>
    <definedName name="fghfg_1"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_1" hidden="1">{#N/A,#N/A,FALSE,"SumD";#N/A,#N/A,FALSE,"ElecD";#N/A,#N/A,FALSE,"MechD";#N/A,#N/A,FALSE,"GeotD";#N/A,#N/A,FALSE,"PrcsD";#N/A,#N/A,FALSE,"TunnD";#N/A,#N/A,FALSE,"CivlD";#N/A,#N/A,FALSE,"NtwkD";#N/A,#N/A,FALSE,"EstgD";#N/A,#N/A,FALSE,"PEngD"}</definedName>
    <definedName name="fghhg" hidden="1">{#N/A,#N/A,TRUE,"Front";#N/A,#N/A,TRUE,"Simple Letter";#N/A,#N/A,TRUE,"Inside";#N/A,#N/A,TRUE,"Contents";#N/A,#N/A,TRUE,"Basis";#N/A,#N/A,TRUE,"Inclusions";#N/A,#N/A,TRUE,"Exclusions";#N/A,#N/A,TRUE,"Areas";#N/A,#N/A,TRUE,"Summary";#N/A,#N/A,TRUE,"Detail"}</definedName>
    <definedName name="fghhz" hidden="1">{#N/A,#N/A,FALSE,"SumD";#N/A,#N/A,FALSE,"ElecD";#N/A,#N/A,FALSE,"MechD";#N/A,#N/A,FALSE,"GeotD";#N/A,#N/A,FALSE,"PrcsD";#N/A,#N/A,FALSE,"TunnD";#N/A,#N/A,FALSE,"CivlD";#N/A,#N/A,FALSE,"NtwkD";#N/A,#N/A,FALSE,"EstgD";#N/A,#N/A,FALSE,"PEngD"}</definedName>
    <definedName name="fghn" hidden="1">{#N/A,#N/A,FALSE,"pop.hh";#N/A,#N/A,FALSE,"age.dist";#N/A,#N/A,FALSE,"hh.income";#N/A,#N/A,FALSE,"hh.chars"}</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hidden="1">{#N/A,#N/A,FALSE,"배수2"}</definedName>
    <definedName name="FGJFG_1" hidden="1">{#N/A,#N/A,FALSE,"배수2"}</definedName>
    <definedName name="FGJFG_2" hidden="1">{#N/A,#N/A,FALSE,"배수2"}</definedName>
    <definedName name="FGJFK" hidden="1">{#N/A,#N/A,FALSE,"구조2"}</definedName>
    <definedName name="FGJFK_1" hidden="1">{#N/A,#N/A,FALSE,"구조2"}</definedName>
    <definedName name="FGJFK_2" hidden="1">{#N/A,#N/A,FALSE,"구조2"}</definedName>
    <definedName name="FGJGFJGF" hidden="1">{#N/A,#N/A,FALSE,"포장2"}</definedName>
    <definedName name="FGJGFJGF_1" hidden="1">{#N/A,#N/A,FALSE,"포장2"}</definedName>
    <definedName name="FGJGFJGF_2" hidden="1">{#N/A,#N/A,FALSE,"포장2"}</definedName>
    <definedName name="FGJGFJGH" hidden="1">{#N/A,#N/A,FALSE,"구조2"}</definedName>
    <definedName name="FGJGFJGH_1" hidden="1">{#N/A,#N/A,FALSE,"구조2"}</definedName>
    <definedName name="FGJGFJGH_2" hidden="1">{#N/A,#N/A,FALSE,"구조2"}</definedName>
    <definedName name="FGJGFTTJGHK" hidden="1">{#N/A,#N/A,FALSE,"배수2"}</definedName>
    <definedName name="FGJGFTTJGHK_1" hidden="1">{#N/A,#N/A,FALSE,"배수2"}</definedName>
    <definedName name="FGJGFTTJGHK_2" hidden="1">{#N/A,#N/A,FALSE,"배수2"}</definedName>
    <definedName name="FGJGHJ" hidden="1">{#N/A,#N/A,FALSE,"속도"}</definedName>
    <definedName name="FGJGHJ_1" hidden="1">{#N/A,#N/A,FALSE,"속도"}</definedName>
    <definedName name="FGJGHJ_2" hidden="1">{#N/A,#N/A,FALSE,"속도"}</definedName>
    <definedName name="fgjgj" hidden="1">{#N/A,#N/A,TRUE,"Front";#N/A,#N/A,TRUE,"Simple Letter";#N/A,#N/A,TRUE,"Inside";#N/A,#N/A,TRUE,"Contents";#N/A,#N/A,TRUE,"Basis";#N/A,#N/A,TRUE,"Inclusions";#N/A,#N/A,TRUE,"Exclusions";#N/A,#N/A,TRUE,"Areas";#N/A,#N/A,TRUE,"Summary";#N/A,#N/A,TRUE,"Detail"}</definedName>
    <definedName name="FGJGJG" hidden="1">{#N/A,#N/A,FALSE,"배수1"}</definedName>
    <definedName name="FGJGJG_1" hidden="1">{#N/A,#N/A,FALSE,"배수1"}</definedName>
    <definedName name="FGJGJG_2" hidden="1">{#N/A,#N/A,FALSE,"배수1"}</definedName>
    <definedName name="FGJHGFJG" hidden="1">{#N/A,#N/A,FALSE,"구조2"}</definedName>
    <definedName name="FGJHGFJG_1" hidden="1">{#N/A,#N/A,FALSE,"구조2"}</definedName>
    <definedName name="FGJHGFJG_2" hidden="1">{#N/A,#N/A,FALSE,"구조2"}</definedName>
    <definedName name="fgjjjkyg" localSheetId="7" hidden="1">{#N/A,#N/A,TRUE,"Cover";#N/A,#N/A,TRUE,"Conts";#N/A,#N/A,TRUE,"VOS";#N/A,#N/A,TRUE,"Warrington";#N/A,#N/A,TRUE,"Widnes"}</definedName>
    <definedName name="fgjjjkyg" localSheetId="0" hidden="1">{#N/A,#N/A,TRUE,"Cover";#N/A,#N/A,TRUE,"Conts";#N/A,#N/A,TRUE,"VOS";#N/A,#N/A,TRUE,"Warrington";#N/A,#N/A,TRUE,"Widnes"}</definedName>
    <definedName name="fgjjjkyg" localSheetId="9"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gnbgf" hidden="1">{#N/A,#N/A,TRUE,"LOADCOVE";#N/A,#N/A,TRUE,"PAGE001";#N/A,#N/A,TRUE,"PAGE002";#N/A,#N/A,TRUE,"PAGE003";#N/A,#N/A,TRUE,"PAGE004";#N/A,#N/A,TRUE,"PAGE005";#N/A,#N/A,TRUE,"PAGE006";#N/A,#N/A,TRUE,"PAGE007";#N/A,#N/A,TRUE,"PAGE008";#N/A,#N/A,TRUE,"PAGE009";#N/A,#N/A,TRUE,"PAGE010";#N/A,#N/A,TRUE,"PAGE011";#N/A,#N/A,TRUE,"PAGE012";#N/A,#N/A,TRUE,"PAGE013"}</definedName>
    <definedName name="fgr" hidden="1">{#N/A,#N/A,TRUE,"Front";#N/A,#N/A,TRUE,"Simple Letter";#N/A,#N/A,TRUE,"Inside";#N/A,#N/A,TRUE,"Contents";#N/A,#N/A,TRUE,"Basis";#N/A,#N/A,TRUE,"Inclusions";#N/A,#N/A,TRUE,"Exclusions";#N/A,#N/A,TRUE,"Areas";#N/A,#N/A,TRUE,"Summary";#N/A,#N/A,TRUE,"Detail"}</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gsfd" hidden="1">{#N/A,#N/A,TRUE,"LOADCOVE";#N/A,#N/A,TRUE,"PAGE001";#N/A,#N/A,TRUE,"PAGE002";#N/A,#N/A,TRUE,"PAGE003";#N/A,#N/A,TRUE,"PAGE004";#N/A,#N/A,TRUE,"PAGE005";#N/A,#N/A,TRUE,"PAGE006";#N/A,#N/A,TRUE,"PAGE007";#N/A,#N/A,TRUE,"PAGE008";#N/A,#N/A,TRUE,"PAGE009";#N/A,#N/A,TRUE,"PAGE010";#N/A,#N/A,TRUE,"PAGE011";#N/A,#N/A,TRUE,"PAGE012";#N/A,#N/A,TRUE,"PAGE013"}</definedName>
    <definedName name="fgwehwrhw">#REF!</definedName>
    <definedName name="fgz" hidden="1">{#N/A,#N/A,FALSE,"SumG";#N/A,#N/A,FALSE,"ElecG";#N/A,#N/A,FALSE,"MechG";#N/A,#N/A,FALSE,"GeotG";#N/A,#N/A,FALSE,"PrcsG";#N/A,#N/A,FALSE,"TunnG";#N/A,#N/A,FALSE,"CivlG";#N/A,#N/A,FALSE,"NtwkG";#N/A,#N/A,FALSE,"EstgG";#N/A,#N/A,FALSE,"PEngG"}</definedName>
    <definedName name="fh">IF(ISNA(MATCH(ROW(),RowAfterpgbrk,1)),1,MATCH(ROW(),RowAfterpgbrk,1)+1)&lt;&gt;IF(ISNA(MATCH(ROW()+1,RowAfterpgbrk,1)),1,MATCH(ROW()+1,RowAfterpgbrk,1)+1)</definedName>
    <definedName name="FHFGHFG" hidden="1">{#N/A,#N/A,TRUE,"Cover";#N/A,#N/A,TRUE,"Conts";#N/A,#N/A,TRUE,"VOS";#N/A,#N/A,TRUE,"Warrington";#N/A,#N/A,TRUE,"Widnes"}</definedName>
    <definedName name="fhgjfghfghgf" hidden="1">{#N/A,#N/A,FALSE,"CCTV"}</definedName>
    <definedName name="fhgjfghfghgf_1" hidden="1">{#N/A,#N/A,FALSE,"CCTV"}</definedName>
    <definedName name="fhgjfghfghgf_2" hidden="1">{#N/A,#N/A,FALSE,"CCTV"}</definedName>
    <definedName name="fhgujguthi" localSheetId="7" hidden="1">{#N/A,#N/A,TRUE,"Cover";#N/A,#N/A,TRUE,"Conts";#N/A,#N/A,TRUE,"VOS";#N/A,#N/A,TRUE,"Warrington";#N/A,#N/A,TRUE,"Widnes"}</definedName>
    <definedName name="fhgujguthi" localSheetId="0" hidden="1">{#N/A,#N/A,TRUE,"Cover";#N/A,#N/A,TRUE,"Conts";#N/A,#N/A,TRUE,"VOS";#N/A,#N/A,TRUE,"Warrington";#N/A,#N/A,TRUE,"Widnes"}</definedName>
    <definedName name="fhgujguthi" localSheetId="9"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hfhg" hidden="1">{#N/A,#N/A,TRUE,"Front";#N/A,#N/A,TRUE,"Simple Letter";#N/A,#N/A,TRUE,"Inside";#N/A,#N/A,TRUE,"Contents";#N/A,#N/A,TRUE,"Basis";#N/A,#N/A,TRUE,"Inclusions";#N/A,#N/A,TRUE,"Exclusions";#N/A,#N/A,TRUE,"Areas";#N/A,#N/A,TRUE,"Summary";#N/A,#N/A,TRUE,"Detail"}</definedName>
    <definedName name="fhjsjs" localSheetId="7" hidden="1">{#N/A,#N/A,TRUE,"Cover";#N/A,#N/A,TRUE,"Conts";#N/A,#N/A,TRUE,"VOS";#N/A,#N/A,TRUE,"Warrington";#N/A,#N/A,TRUE,"Widnes"}</definedName>
    <definedName name="fhjsjs" localSheetId="0" hidden="1">{#N/A,#N/A,TRUE,"Cover";#N/A,#N/A,TRUE,"Conts";#N/A,#N/A,TRUE,"VOS";#N/A,#N/A,TRUE,"Warrington";#N/A,#N/A,TRUE,"Widnes"}</definedName>
    <definedName name="fhjsjs" localSheetId="9"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eld_Ofc_OT">#REF!</definedName>
    <definedName name="Field_Ofc_ST">#REF!</definedName>
    <definedName name="fifthraw">IF(ISNA(MATCH(ROW(),RowAfterpgbrk,1)),1,MATCH(ROW(),RowAfterpgbrk,1)+1)&lt;&gt;IF(ISNA(MATCH(ROW()+1,RowAfterpgbrk,1)),1,MATCH(ROW()+1,RowAfterpgbrk,1)+1)</definedName>
    <definedName name="File.Type" hidden="1">#REF!</definedName>
    <definedName name="FileName">#REF!</definedName>
    <definedName name="Fill" hidden="1">#REF!</definedName>
    <definedName name="FILLED" hidden="1">#REF!</definedName>
    <definedName name="Filter_input_fac">#REF!</definedName>
    <definedName name="Fin_Hrs">#REF!</definedName>
    <definedName name="Fin_Rev">#REF!</definedName>
    <definedName name="FINA">#REF!</definedName>
    <definedName name="Final_FF_E">#REF!</definedName>
    <definedName name="finalct">#REF!</definedName>
    <definedName name="FINB">#REF!</definedName>
    <definedName name="FINC">#REF!</definedName>
    <definedName name="FINISHES">#REF!</definedName>
    <definedName name="Finishings">#REF!</definedName>
    <definedName name="finsarea">#REF!</definedName>
    <definedName name="FIRA">#REF!</definedName>
    <definedName name="FIRB">#REF!</definedName>
    <definedName name="FIRC">#REF!</definedName>
    <definedName name="FIRE">#REF!</definedName>
    <definedName name="FirstRow">IF(ISNA(MATCH(ROW(),RowAfterpgbrk,1)),1,MATCH(ROW(),RowAfterpgbrk,1)+1)&lt;&gt;IF(ISNA(MATCH(ROW()-1,RowAfterpgbrk,1)),1,MATCH(ROW()-1,RowAfterpgbrk,1)+1)</definedName>
    <definedName name="FITTINGS__AND__FURNISHINGS">#REF!</definedName>
    <definedName name="fiyu" hidden="1">{"'Break down'!$A$4"}</definedName>
    <definedName name="FJDSKJF" hidden="1">{#N/A,#N/A,FALSE,"골재소요량";#N/A,#N/A,FALSE,"골재소요량"}</definedName>
    <definedName name="FJHGJK" hidden="1">{#N/A,#N/A,FALSE,"운반시간"}</definedName>
    <definedName name="FJHGJK_1" hidden="1">{#N/A,#N/A,FALSE,"운반시간"}</definedName>
    <definedName name="FJHGJK_2" hidden="1">{#N/A,#N/A,FALSE,"운반시간"}</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JF_1" hidden="1">{#N/A,#N/A,TRUE,"LOADCOVE";#N/A,#N/A,TRUE,"PAGE001";#N/A,#N/A,TRUE,"PAGE002";#N/A,#N/A,TRUE,"PAGE003";#N/A,#N/A,TRUE,"PAGE004";#N/A,#N/A,TRUE,"PAGE005";#N/A,#N/A,TRUE,"PAGE006";#N/A,#N/A,TRUE,"PAGE007";#N/A,#N/A,TRUE,"PAGE008";#N/A,#N/A,TRUE,"PAGE009";#N/A,#N/A,TRUE,"PAGE010";#N/A,#N/A,TRUE,"PAGE011";#N/A,#N/A,TRUE,"PAGE012";#N/A,#N/A,TRUE,"PAGE013"}</definedName>
    <definedName name="FKDJF_2" hidden="1">{#N/A,#N/A,TRUE,"LOADCOVE";#N/A,#N/A,TRUE,"PAGE001";#N/A,#N/A,TRUE,"PAGE002";#N/A,#N/A,TRUE,"PAGE003";#N/A,#N/A,TRUE,"PAGE004";#N/A,#N/A,TRUE,"PAGE005";#N/A,#N/A,TRUE,"PAGE006";#N/A,#N/A,TRUE,"PAGE007";#N/A,#N/A,TRUE,"PAGE008";#N/A,#N/A,TRUE,"PAGE009";#N/A,#N/A,TRUE,"PAGE010";#N/A,#N/A,TRUE,"PAGE011";#N/A,#N/A,TRUE,"PAGE012";#N/A,#N/A,TRUE,"PAGE013"}</definedName>
    <definedName name="fkf" hidden="1">#REF!</definedName>
    <definedName name="fkfkvhikkhju" localSheetId="7" hidden="1">{#N/A,#N/A,TRUE,"Cover";#N/A,#N/A,TRUE,"Conts";#N/A,#N/A,TRUE,"VOS";#N/A,#N/A,TRUE,"Warrington";#N/A,#N/A,TRUE,"Widnes"}</definedName>
    <definedName name="fkfkvhikkhju" localSheetId="0" hidden="1">{#N/A,#N/A,TRUE,"Cover";#N/A,#N/A,TRUE,"Conts";#N/A,#N/A,TRUE,"VOS";#N/A,#N/A,TRUE,"Warrington";#N/A,#N/A,TRUE,"Widnes"}</definedName>
    <definedName name="fkfkvhikkhju" localSheetId="9"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kieifi" hidden="1">#REF!</definedName>
    <definedName name="FKIS_Salary">#REF!</definedName>
    <definedName name="FLA">#REF!</definedName>
    <definedName name="FlagBalanced">#REF!</definedName>
    <definedName name="FlagConventional">#REF!</definedName>
    <definedName name="FlagERRORAnywhere">#REF!</definedName>
    <definedName name="FlagNonPRV">#REF!</definedName>
    <definedName name="FlagPilot">#REF!</definedName>
    <definedName name="FlagReducedContent">#REF!</definedName>
    <definedName name="FlagThermPRV">#REF!</definedName>
    <definedName name="FLANGE_BLD">#REF!</definedName>
    <definedName name="FLANGE_CHROME">#REF!</definedName>
    <definedName name="FLANGE_CS">#REF!</definedName>
    <definedName name="FLANGE_CSCL">#REF!</definedName>
    <definedName name="FLANGE_ORIFCHRO">#REF!</definedName>
    <definedName name="FLANGE_ORIFCS">#REF!</definedName>
    <definedName name="FLANGE_ORIFSS">#REF!</definedName>
    <definedName name="FLANGE_PVC">#REF!</definedName>
    <definedName name="FLANGE_RTR">#REF!</definedName>
    <definedName name="FLANGE_SS">#REF!</definedName>
    <definedName name="FLANGE_THRD">#REF!</definedName>
    <definedName name="FlArea">#REF!</definedName>
    <definedName name="FLG">#REF!</definedName>
    <definedName name="FLG_Orifice">#REF!</definedName>
    <definedName name="floor">#REF!</definedName>
    <definedName name="FLOOR__FINISHES">#REF!</definedName>
    <definedName name="FLOORS">#REF!</definedName>
    <definedName name="FLY">#N/A</definedName>
    <definedName name="FM" hidden="1">{#N/A,#N/A,FALSE,"CCTV"}</definedName>
    <definedName name="Fmin" hidden="1">#REF!</definedName>
    <definedName name="FN">#REF!</definedName>
    <definedName name="fnfjjfnfn" hidden="1">{#N/A,#N/A,TRUE,"Front";#N/A,#N/A,TRUE,"Simple Letter";#N/A,#N/A,TRUE,"Inside";#N/A,#N/A,TRUE,"Contents";#N/A,#N/A,TRUE,"Basis";#N/A,#N/A,TRUE,"Inclusions";#N/A,#N/A,TRUE,"Exclusions";#N/A,#N/A,TRUE,"Areas";#N/A,#N/A,TRUE,"Summary";#N/A,#N/A,TRUE,"Detail"}</definedName>
    <definedName name="fno">#REF!</definedName>
    <definedName name="fNonpiperack">1.2</definedName>
    <definedName name="fnx">#REF!</definedName>
    <definedName name="fnz">#REF!</definedName>
    <definedName name="fo">#REF!</definedName>
    <definedName name="foamglas">#REF!</definedName>
    <definedName name="foot">#REF!</definedName>
    <definedName name="FOOTCL">#REF!</definedName>
    <definedName name="Footer">#REF!</definedName>
    <definedName name="footing">#REF!</definedName>
    <definedName name="FOR" hidden="1">{#N/A,#N/A,FALSE,"CCTV"}</definedName>
    <definedName name="FOR_1" hidden="1">{#N/A,#N/A,FALSE,"CCTV"}</definedName>
    <definedName name="FOR_2" hidden="1">{#N/A,#N/A,FALSE,"CCTV"}</definedName>
    <definedName name="forecastfinal">#REF!</definedName>
    <definedName name="Form_4_Instrument" hidden="1">#REF!</definedName>
    <definedName name="FORMAT" hidden="1">{#N/A,#N/A,FALSE,"CCTV"}</definedName>
    <definedName name="FORMAT_1" hidden="1">{#N/A,#N/A,FALSE,"CCTV"}</definedName>
    <definedName name="FORMAT_2" hidden="1">{#N/A,#N/A,FALSE,"CCTV"}</definedName>
    <definedName name="formh">#N/A</definedName>
    <definedName name="FormQty">#N/A</definedName>
    <definedName name="FormQty1">#N/A</definedName>
    <definedName name="FORMULA_ELECT">#REF!</definedName>
    <definedName name="formworkl" hidden="1">{#N/A,#N/A,TRUE,"Front";#N/A,#N/A,TRUE,"Simple Letter";#N/A,#N/A,TRUE,"Inside";#N/A,#N/A,TRUE,"Contents";#N/A,#N/A,TRUE,"Basis";#N/A,#N/A,TRUE,"Inclusions";#N/A,#N/A,TRUE,"Exclusions";#N/A,#N/A,TRUE,"Areas";#N/A,#N/A,TRUE,"Summary";#N/A,#N/A,TRUE,"Detail"}</definedName>
    <definedName name="FOS">#REF!</definedName>
    <definedName name="FourthRaw">"Page "&amp;IF(ISNA(MATCH(ROW(),RowAfterpgbrk,1)),1,MATCH(ROW(),RowAfterpgbrk,1)+1)&amp;" of " &amp; TotPageCount + 0*NOW()</definedName>
    <definedName name="fqwettqwtq" hidden="1">{#N/A,#N/A,FALSE,"MARCH"}</definedName>
    <definedName name="FQWFF" hidden="1">#REF!</definedName>
    <definedName name="FR">#REF!</definedName>
    <definedName name="FRAME">#REF!</definedName>
    <definedName name="fre" hidden="1">{#N/A,#N/A,TRUE,"Cover";#N/A,#N/A,TRUE,"Conts";#N/A,#N/A,TRUE,"VOS";#N/A,#N/A,TRUE,"Warrington";#N/A,#N/A,TRUE,"Widnes"}</definedName>
    <definedName name="fre_1" hidden="1">{#N/A,#N/A,TRUE,"Cover";#N/A,#N/A,TRUE,"Conts";#N/A,#N/A,TRUE,"VOS";#N/A,#N/A,TRUE,"Warrington";#N/A,#N/A,TRUE,"Widnes"}</definedName>
    <definedName name="FReport5" hidden="1">{#N/A,#N/A,FALSE,"MARCH"}</definedName>
    <definedName name="fret_cost">#REF!</definedName>
    <definedName name="FRF">#REF!</definedName>
    <definedName name="frff"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gt">"Page "&amp;IF(ISNA(MATCH(ROW(),RowAfterpgbrk,1)),1,MATCH(ROW(),RowAfterpgbrk,1)+1)&amp;" of " &amp; TotPageCount + 0*NOW()</definedName>
    <definedName name="FRGTHGFRT" hidden="1">#REF!</definedName>
    <definedName name="frjj" localSheetId="7" hidden="1">{#N/A,#N/A,TRUE,"Cover";#N/A,#N/A,TRUE,"Conts";#N/A,#N/A,TRUE,"VOS";#N/A,#N/A,TRUE,"Warrington";#N/A,#N/A,TRUE,"Widnes"}</definedName>
    <definedName name="frjj" localSheetId="0" hidden="1">{#N/A,#N/A,TRUE,"Cover";#N/A,#N/A,TRUE,"Conts";#N/A,#N/A,TRUE,"VOS";#N/A,#N/A,TRUE,"Warrington";#N/A,#N/A,TRUE,"Widnes"}</definedName>
    <definedName name="frjj" localSheetId="9"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fro">#REF!</definedName>
    <definedName name="FRTHJJG" hidden="1">{#N/A,#N/A,TRUE,"Cover";#N/A,#N/A,TRUE,"Conts";#N/A,#N/A,TRUE,"VOS";#N/A,#N/A,TRUE,"Warrington";#N/A,#N/A,TRUE,"Widnes"}</definedName>
    <definedName name="frx">#REF!</definedName>
    <definedName name="frz">#REF!</definedName>
    <definedName name="fs" hidden="1">{"'Sheet1'!$L$16"}</definedName>
    <definedName name="fs_1" hidden="1">{"'Sheet1'!$L$16"}</definedName>
    <definedName name="fs_2" hidden="1">{"'Sheet1'!$L$16"}</definedName>
    <definedName name="FSAFSAFSA" hidden="1">{#N/A,#N/A,FALSE,"운반시간"}</definedName>
    <definedName name="FSAFSAFSA_1" hidden="1">{#N/A,#N/A,FALSE,"운반시간"}</definedName>
    <definedName name="FSAFSAFSA_2" hidden="1">{#N/A,#N/A,FALSE,"운반시간"}</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_2" hidden="1">{#N/A,#N/A,TRUE,"Basic";#N/A,#N/A,TRUE,"EXT-TABLE";#N/A,#N/A,TRUE,"STEEL";#N/A,#N/A,TRUE,"INT-Table";#N/A,#N/A,TRUE,"STEEL";#N/A,#N/A,TRUE,"Door"}</definedName>
    <definedName name="fsdaa" hidden="1">{#N/A,#N/A,TRUE,"Basic";#N/A,#N/A,TRUE,"EXT-TABLE";#N/A,#N/A,TRUE,"STEEL";#N/A,#N/A,TRUE,"INT-Table";#N/A,#N/A,TRUE,"STEEL";#N/A,#N/A,TRUE,"Door"}</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ASDF" hidden="1">{#N/A,#N/A,FALSE,"배수1"}</definedName>
    <definedName name="FSDFASDF_1" hidden="1">{#N/A,#N/A,FALSE,"배수1"}</definedName>
    <definedName name="FSDFASDF_2" hidden="1">{#N/A,#N/A,FALSE,"배수1"}</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SAFSA" hidden="1">{#N/A,#N/A,FALSE,"2~8번"}</definedName>
    <definedName name="FSDSAFSA_1" hidden="1">{#N/A,#N/A,FALSE,"2~8번"}</definedName>
    <definedName name="FSDSAFSA_2" hidden="1">{#N/A,#N/A,FALSE,"2~8번"}</definedName>
    <definedName name="fsfs" hidden="1">#REF!</definedName>
    <definedName name="ft_sch">#REF!</definedName>
    <definedName name="FTG" hidden="1">{"T_Pole",#N/A,FALSE,"T-Pole"}</definedName>
    <definedName name="Ftx">#REF!</definedName>
    <definedName name="Ftz">#REF!</definedName>
    <definedName name="Full_Model_Name">#REF!</definedName>
    <definedName name="fullTl">#REF!</definedName>
    <definedName name="fullTl_1">#N/A</definedName>
    <definedName name="FURA">#REF!</definedName>
    <definedName name="FURB">#REF!</definedName>
    <definedName name="FURC">#REF!</definedName>
    <definedName name="Furniture" hidden="1">{#N/A,#N/A,TRUE,"Basic";#N/A,#N/A,TRUE,"EXT-TABLE";#N/A,#N/A,TRUE,"STEEL";#N/A,#N/A,TRUE,"INT-Table";#N/A,#N/A,TRUE,"STEEL";#N/A,#N/A,TRUE,"Door"}</definedName>
    <definedName name="Furniture_Charge_Rate">#REF!</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rfg">IF(ISNA(MATCH(ROW(),RowAfterpgbrk,1)),1,MATCH(ROW(),RowAfterpgbrk,1)+1)&lt;&gt;IF(ISNA(MATCH(ROW()-1,RowAfterpgbrk,1)),1,MATCH(ROW()-1,RowAfterpgbrk,1)+1)</definedName>
    <definedName name="FW">#REF!</definedName>
    <definedName name="FWB">#REF!</definedName>
    <definedName name="FWBS1531Aa">#REF!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fwef"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fwrfwevre">#REF!</definedName>
    <definedName name="Fxsm">#REF!</definedName>
    <definedName name="FY">#REF!</definedName>
    <definedName name="Fysm">#REF!</definedName>
    <definedName name="fyukfyuk">IF(ISNA(MATCH(ROW(),RowAfterpgbrk,1)),1,MATCH(ROW(),RowAfterpgbrk,1)+1)</definedName>
    <definedName name="Fzsxm">#REF!</definedName>
    <definedName name="Fzsym">#REF!</definedName>
    <definedName name="G">#REF!</definedName>
    <definedName name="G.01">#REF!</definedName>
    <definedName name="G.01a">#REF!</definedName>
    <definedName name="G.01b">#REF!</definedName>
    <definedName name="G.01c">#REF!</definedName>
    <definedName name="G.01d">#REF!</definedName>
    <definedName name="G.01e">#REF!</definedName>
    <definedName name="G.05">#REF!</definedName>
    <definedName name="G.10">#REF!</definedName>
    <definedName name="G.101">#REF!</definedName>
    <definedName name="G.10a">#REF!</definedName>
    <definedName name="G.10b">#REF!</definedName>
    <definedName name="G.10c">#REF!</definedName>
    <definedName name="G.110">#REF!</definedName>
    <definedName name="G.20">#REF!</definedName>
    <definedName name="G.20a">#REF!</definedName>
    <definedName name="G.20b">#REF!</definedName>
    <definedName name="G.20c">#REF!</definedName>
    <definedName name="G.20d">#REF!</definedName>
    <definedName name="G.20e">#REF!</definedName>
    <definedName name="G.20f">#REF!</definedName>
    <definedName name="G.30">#REF!</definedName>
    <definedName name="G.30a">#REF!</definedName>
    <definedName name="G.30b">#REF!</definedName>
    <definedName name="G.50">#REF!</definedName>
    <definedName name="G.60">#REF!</definedName>
    <definedName name="G.61">#REF!</definedName>
    <definedName name="G.62">#REF!</definedName>
    <definedName name="G.63">#REF!</definedName>
    <definedName name="G.71">#REF!</definedName>
    <definedName name="G.72">#REF!</definedName>
    <definedName name="G.73">#REF!</definedName>
    <definedName name="G.75">#REF!</definedName>
    <definedName name="G.78">#REF!</definedName>
    <definedName name="G.80">#REF!</definedName>
    <definedName name="G.90">#REF!</definedName>
    <definedName name="G______SANITARY___PLUMBING">#REF!</definedName>
    <definedName name="G_Ceilings">#REF!</definedName>
    <definedName name="g29dR">#REF!</definedName>
    <definedName name="g5t" hidden="1">{#N/A,#N/A,TRUE,"Front";#N/A,#N/A,TRUE,"Simple Letter";#N/A,#N/A,TRUE,"Inside";#N/A,#N/A,TRUE,"Contents";#N/A,#N/A,TRUE,"Basis";#N/A,#N/A,TRUE,"Inclusions";#N/A,#N/A,TRUE,"Exclusions";#N/A,#N/A,TRUE,"Areas";#N/A,#N/A,TRUE,"Summary";#N/A,#N/A,TRUE,"Detail"}</definedName>
    <definedName name="GADFGSDFG" hidden="1">#REF!</definedName>
    <definedName name="gaeg" localSheetId="7" hidden="1">{#N/A,#N/A,TRUE,"Cover";#N/A,#N/A,TRUE,"Conts";#N/A,#N/A,TRUE,"VOS";#N/A,#N/A,TRUE,"Warrington";#N/A,#N/A,TRUE,"Widnes"}</definedName>
    <definedName name="gaeg" localSheetId="0" hidden="1">{#N/A,#N/A,TRUE,"Cover";#N/A,#N/A,TRUE,"Conts";#N/A,#N/A,TRUE,"VOS";#N/A,#N/A,TRUE,"Warrington";#N/A,#N/A,TRUE,"Widnes"}</definedName>
    <definedName name="gaeg" localSheetId="9"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7" hidden="1">{#N/A,#N/A,TRUE,"Cover";#N/A,#N/A,TRUE,"Conts";#N/A,#N/A,TRUE,"VOS";#N/A,#N/A,TRUE,"Warrington";#N/A,#N/A,TRUE,"Widnes"}</definedName>
    <definedName name="gaegg" localSheetId="0" hidden="1">{#N/A,#N/A,TRUE,"Cover";#N/A,#N/A,TRUE,"Conts";#N/A,#N/A,TRUE,"VOS";#N/A,#N/A,TRUE,"Warrington";#N/A,#N/A,TRUE,"Widnes"}</definedName>
    <definedName name="gaegg" localSheetId="9"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AEU_LAB">#REF!</definedName>
    <definedName name="gamma">#REF!</definedName>
    <definedName name="GAMMAC">#REF!</definedName>
    <definedName name="GAMMAS">#REF!</definedName>
    <definedName name="gana">#REF!</definedName>
    <definedName name="GANTRY">#REF!</definedName>
    <definedName name="gas">#REF!</definedName>
    <definedName name="GAS__INSTALLATIONS">#REF!</definedName>
    <definedName name="gas_cost">#REF!</definedName>
    <definedName name="gas_factor">#REF!</definedName>
    <definedName name="GASP">#REF!</definedName>
    <definedName name="gate">#REF!</definedName>
    <definedName name="Gate_Barrier_Automatic_doors">#REF!</definedName>
    <definedName name="GATES">#REF!</definedName>
    <definedName name="GB_Sched">#REF!</definedName>
    <definedName name="gbf" hidden="1">{#N/A,#N/A,TRUE,"LOADCOVE";#N/A,#N/A,TRUE,"PAGE001";#N/A,#N/A,TRUE,"PAGE002";#N/A,#N/A,TRUE,"PAGE003";#N/A,#N/A,TRUE,"PAGE004";#N/A,#N/A,TRUE,"PAGE005";#N/A,#N/A,TRUE,"PAGE006";#N/A,#N/A,TRUE,"PAGE007";#N/A,#N/A,TRUE,"PAGE008";#N/A,#N/A,TRUE,"PAGE009";#N/A,#N/A,TRUE,"PAGE010";#N/A,#N/A,TRUE,"PAGE011";#N/A,#N/A,TRUE,"PAGE012";#N/A,#N/A,TRUE,"PAGE013"}</definedName>
    <definedName name="gbgbx" hidden="1">{#N/A,#N/A,TRUE,"LOADCOVE";#N/A,#N/A,TRUE,"PAGE001";#N/A,#N/A,TRUE,"PAGE002";#N/A,#N/A,TRUE,"PAGE003";#N/A,#N/A,TRUE,"PAGE004";#N/A,#N/A,TRUE,"PAGE005";#N/A,#N/A,TRUE,"PAGE006";#N/A,#N/A,TRUE,"PAGE007";#N/A,#N/A,TRUE,"PAGE008";#N/A,#N/A,TRUE,"PAGE009";#N/A,#N/A,TRUE,"PAGE010";#N/A,#N/A,TRUE,"PAGE011";#N/A,#N/A,TRUE,"PAGE012";#N/A,#N/A,TRUE,"PAGE013"}</definedName>
    <definedName name="GC">#REF!</definedName>
    <definedName name="GCV">#REF!</definedName>
    <definedName name="GDF" hidden="1">{#N/A,#N/A,TRUE,"Front";#N/A,#N/A,TRUE,"Simple Letter";#N/A,#N/A,TRUE,"Inside";#N/A,#N/A,TRUE,"Contents";#N/A,#N/A,TRUE,"Basis";#N/A,#N/A,TRUE,"Inclusions";#N/A,#N/A,TRUE,"Exclusions";#N/A,#N/A,TRUE,"Areas";#N/A,#N/A,TRUE,"Summary";#N/A,#N/A,TRUE,"Detail"}</definedName>
    <definedName name="gdfdf">#REF!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shg" hidden="1">{#N/A,#N/A,TRUE,"LOADCOVE";#N/A,#N/A,TRUE,"PAGE001";#N/A,#N/A,TRUE,"PAGE002";#N/A,#N/A,TRUE,"PAGE003";#N/A,#N/A,TRUE,"PAGE004";#N/A,#N/A,TRUE,"PAGE005";#N/A,#N/A,TRUE,"PAGE006";#N/A,#N/A,TRUE,"PAGE007";#N/A,#N/A,TRUE,"PAGE008";#N/A,#N/A,TRUE,"PAGE009";#N/A,#N/A,TRUE,"PAGE010";#N/A,#N/A,TRUE,"PAGE011";#N/A,#N/A,TRUE,"PAGE012";#N/A,#N/A,TRUE,"PAGE013"}</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hidden="1">{#N/A,#N/A,FALSE,"Chi tiÆt"}</definedName>
    <definedName name="GDHS" hidden="1">#REF!</definedName>
    <definedName name="GE">#REF!</definedName>
    <definedName name="GEA">#REF!</definedName>
    <definedName name="geag" localSheetId="7" hidden="1">{#N/A,#N/A,TRUE,"Cover";#N/A,#N/A,TRUE,"Conts";#N/A,#N/A,TRUE,"VOS";#N/A,#N/A,TRUE,"Warrington";#N/A,#N/A,TRUE,"Widnes"}</definedName>
    <definedName name="geag" localSheetId="0" hidden="1">{#N/A,#N/A,TRUE,"Cover";#N/A,#N/A,TRUE,"Conts";#N/A,#N/A,TRUE,"VOS";#N/A,#N/A,TRUE,"Warrington";#N/A,#N/A,TRUE,"Widnes"}</definedName>
    <definedName name="geag" localSheetId="9"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dhhh">#REF!</definedName>
    <definedName name="GEN">#REF!</definedName>
    <definedName name="GEN_VALVE">#REF!</definedName>
    <definedName name="GEN_WORKS">#REF!</definedName>
    <definedName name="GENA">#REF!</definedName>
    <definedName name="GenArrange" localSheetId="7">#REF!</definedName>
    <definedName name="GenArrange" localSheetId="9">#REF!</definedName>
    <definedName name="GenArrange">#REF!</definedName>
    <definedName name="GenArrangeR1" localSheetId="7">#REF!</definedName>
    <definedName name="GenArrangeR1" localSheetId="9">#REF!</definedName>
    <definedName name="GenArrangeR1">#REF!</definedName>
    <definedName name="GENB">#REF!</definedName>
    <definedName name="GENC">#REF!</definedName>
    <definedName name="General">#REF!</definedName>
    <definedName name="General_Excavation">#REF!</definedName>
    <definedName name="General_No">#REF!</definedName>
    <definedName name="GeneralArrangementR2" localSheetId="7">#REF!</definedName>
    <definedName name="GeneralArrangementR2" localSheetId="9">#REF!</definedName>
    <definedName name="GeneralArrangementR2">#REF!</definedName>
    <definedName name="GenNotes">#REF!</definedName>
    <definedName name="geog2">#REF!</definedName>
    <definedName name="GEOG9703">#REF!</definedName>
    <definedName name="ger">IF(ISNA(MATCH(ROW(),RowAfterpgbrk,1)),1,MATCH(ROW(),RowAfterpgbrk,1)+1)&lt;&gt;IF(ISNA(MATCH(ROW()+1,RowAfterpgbrk,1)),1,MATCH(ROW()+1,RowAfterpgbrk,1)+1)</definedName>
    <definedName name="gere">IF(ISNA(MATCH(ROW(),RowAfterpgbrk,1)),1,MATCH(ROW(),RowAfterpgbrk,1)+1)&lt;&gt;IF(ISNA(MATCH(ROW()+1,RowAfterpgbrk,1)),1,MATCH(ROW()+1,RowAfterpgbrk,1)+1)</definedName>
    <definedName name="gerger" localSheetId="7" hidden="1">{#N/A,#N/A,TRUE,"Cover";#N/A,#N/A,TRUE,"Conts";#N/A,#N/A,TRUE,"VOS";#N/A,#N/A,TRUE,"Warrington";#N/A,#N/A,TRUE,"Widnes"}</definedName>
    <definedName name="gerger" localSheetId="0" hidden="1">{#N/A,#N/A,TRUE,"Cover";#N/A,#N/A,TRUE,"Conts";#N/A,#N/A,TRUE,"VOS";#N/A,#N/A,TRUE,"Warrington";#N/A,#N/A,TRUE,"Widnes"}</definedName>
    <definedName name="gerger" localSheetId="9"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7" hidden="1">{#N/A,#N/A,TRUE,"Cover";#N/A,#N/A,TRUE,"Conts";#N/A,#N/A,TRUE,"VOS";#N/A,#N/A,TRUE,"Warrington";#N/A,#N/A,TRUE,"Widnes"}</definedName>
    <definedName name="gf" localSheetId="0" hidden="1">{#N/A,#N/A,TRUE,"Cover";#N/A,#N/A,TRUE,"Conts";#N/A,#N/A,TRUE,"VOS";#N/A,#N/A,TRUE,"Warrington";#N/A,#N/A,TRUE,"Widnes"}</definedName>
    <definedName name="gf" localSheetId="9"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a">#REF!</definedName>
    <definedName name="gfdfg" hidden="1">{#N/A,#N/A,TRUE,"Front";#N/A,#N/A,TRUE,"Simple Letter";#N/A,#N/A,TRUE,"Inside";#N/A,#N/A,TRUE,"Contents";#N/A,#N/A,TRUE,"Basis";#N/A,#N/A,TRUE,"Inclusions";#N/A,#N/A,TRUE,"Exclusions";#N/A,#N/A,TRUE,"Areas";#N/A,#N/A,TRUE,"Summary";#N/A,#N/A,TRUE,"Detail"}</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fdg" hidden="1">{#N/A,#N/A,FALSE,"SumD";#N/A,#N/A,FALSE,"ElecD";#N/A,#N/A,FALSE,"MechD";#N/A,#N/A,FALSE,"GeotD";#N/A,#N/A,FALSE,"PrcsD";#N/A,#N/A,FALSE,"TunnD";#N/A,#N/A,FALSE,"CivlD";#N/A,#N/A,FALSE,"NtwkD";#N/A,#N/A,FALSE,"EstgD";#N/A,#N/A,FALSE,"PEngD"}</definedName>
    <definedName name="gfdgfdg_1"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dh" hidden="1">{#N/A,#N/A,FALSE,"CCTV"}</definedName>
    <definedName name="GFDS" hidden="1">{#N/A,#N/A,FALSE,"CCTV"}</definedName>
    <definedName name="GFDS_1" hidden="1">{#N/A,#N/A,FALSE,"CCTV"}</definedName>
    <definedName name="GFDS_2"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gd" hidden="1">{#N/A,#N/A,TRUE,"Front";#N/A,#N/A,TRUE,"Simple Letter";#N/A,#N/A,TRUE,"Inside";#N/A,#N/A,TRUE,"Contents";#N/A,#N/A,TRUE,"Basis";#N/A,#N/A,TRUE,"Inclusions";#N/A,#N/A,TRUE,"Exclusions";#N/A,#N/A,TRUE,"Areas";#N/A,#N/A,TRUE,"Summary";#N/A,#N/A,TRUE,"Detail"}</definedName>
    <definedName name="gfgfg" hidden="1">{#N/A,#N/A,TRUE,"Front";#N/A,#N/A,TRUE,"Simple Letter";#N/A,#N/A,TRUE,"Inside";#N/A,#N/A,TRUE,"Contents";#N/A,#N/A,TRUE,"Basis";#N/A,#N/A,TRUE,"Inclusions";#N/A,#N/A,TRUE,"Exclusions";#N/A,#N/A,TRUE,"Areas";#N/A,#N/A,TRUE,"Summary";#N/A,#N/A,TRUE,"Detail"}</definedName>
    <definedName name="gfgfgfgfg" hidden="1">{#N/A,#N/A,FALSE,"SumD";#N/A,#N/A,FALSE,"ElecD";#N/A,#N/A,FALSE,"MechD";#N/A,#N/A,FALSE,"GeotD";#N/A,#N/A,FALSE,"PrcsD";#N/A,#N/A,FALSE,"TunnD";#N/A,#N/A,FALSE,"CivlD";#N/A,#N/A,FALSE,"NtwkD";#N/A,#N/A,FALSE,"EstgD";#N/A,#N/A,FALSE,"PEngD"}</definedName>
    <definedName name="gfgfgfgfg_1"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fgfgss_1"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hidden="1">{#N/A,#N/A,FALSE,"SumD";#N/A,#N/A,FALSE,"ElecD";#N/A,#N/A,FALSE,"MechD";#N/A,#N/A,FALSE,"GeotD";#N/A,#N/A,FALSE,"PrcsD";#N/A,#N/A,FALSE,"TunnD";#N/A,#N/A,FALSE,"CivlD";#N/A,#N/A,FALSE,"NtwkD";#N/A,#N/A,FALSE,"EstgD";#N/A,#N/A,FALSE,"PEngD"}</definedName>
    <definedName name="gfhfdh" hidden="1">{#N/A,#N/A,TRUE,"Front";#N/A,#N/A,TRUE,"Simple Letter";#N/A,#N/A,TRUE,"Inside";#N/A,#N/A,TRUE,"Contents";#N/A,#N/A,TRUE,"Basis";#N/A,#N/A,TRUE,"Inclusions";#N/A,#N/A,TRUE,"Exclusions";#N/A,#N/A,TRUE,"Areas";#N/A,#N/A,TRUE,"Summary";#N/A,#N/A,TRUE,"Detail"}</definedName>
    <definedName name="gfhfgh" hidden="1">{#N/A,#N/A,FALSE,"Chi tiÆt"}</definedName>
    <definedName name="gfhhgfgh" hidden="1">{#N/A,#N/A,TRUE,"Front";#N/A,#N/A,TRUE,"Simple Letter";#N/A,#N/A,TRUE,"Inside";#N/A,#N/A,TRUE,"Contents";#N/A,#N/A,TRUE,"Basis";#N/A,#N/A,TRUE,"Inclusions";#N/A,#N/A,TRUE,"Exclusions";#N/A,#N/A,TRUE,"Areas";#N/A,#N/A,TRUE,"Summary";#N/A,#N/A,TRUE,"Detail"}</definedName>
    <definedName name="GFHJ" hidden="1">{#N/A,#N/A,FALSE,"단가표지"}</definedName>
    <definedName name="GFHJ_1" hidden="1">{#N/A,#N/A,FALSE,"단가표지"}</definedName>
    <definedName name="GFHJ_2" hidden="1">{#N/A,#N/A,FALSE,"단가표지"}</definedName>
    <definedName name="gfjg" hidden="1">{#N/A,#N/A,TRUE,"LOADCOVE";#N/A,#N/A,TRUE,"PAGE001";#N/A,#N/A,TRUE,"PAGE002";#N/A,#N/A,TRUE,"PAGE003";#N/A,#N/A,TRUE,"PAGE004";#N/A,#N/A,TRUE,"PAGE005";#N/A,#N/A,TRUE,"PAGE006";#N/A,#N/A,TRUE,"PAGE007";#N/A,#N/A,TRUE,"PAGE008";#N/A,#N/A,TRUE,"PAGE009";#N/A,#N/A,TRUE,"PAGE010";#N/A,#N/A,TRUE,"PAGE011";#N/A,#N/A,TRUE,"PAGE012";#N/A,#N/A,TRUE,"PAGE013"}</definedName>
    <definedName name="gfjgfh" hidden="1">{#N/A,#N/A,FALSE,"CCTV"}</definedName>
    <definedName name="gfjgfh_1" hidden="1">{#N/A,#N/A,FALSE,"CCTV"}</definedName>
    <definedName name="gfjgfh_2" hidden="1">{#N/A,#N/A,FALSE,"CCTV"}</definedName>
    <definedName name="gfjgfhfg" hidden="1">{#N/A,#N/A,FALSE,"CCTV"}</definedName>
    <definedName name="gfjgfhfg_1" hidden="1">{#N/A,#N/A,FALSE,"CCTV"}</definedName>
    <definedName name="gfjgfhfg_2" hidden="1">{#N/A,#N/A,FALSE,"CCTV"}</definedName>
    <definedName name="GFJGFJGH" hidden="1">{#N/A,#N/A,FALSE,"2~8번"}</definedName>
    <definedName name="GFJGFJGH_1" hidden="1">{#N/A,#N/A,FALSE,"2~8번"}</definedName>
    <definedName name="GFJGFJGH_2" hidden="1">{#N/A,#N/A,FALSE,"2~8번"}</definedName>
    <definedName name="GFJGFJRRJGH" hidden="1">{#N/A,#N/A,FALSE,"배수1"}</definedName>
    <definedName name="GFJGFJRRJGH_1" hidden="1">{#N/A,#N/A,FALSE,"배수1"}</definedName>
    <definedName name="GFJGFJRRJGH_2" hidden="1">{#N/A,#N/A,FALSE,"배수1"}</definedName>
    <definedName name="GFJHGFJGF" hidden="1">{#N/A,#N/A,FALSE,"혼합골재"}</definedName>
    <definedName name="GFJHGFJGF_1" hidden="1">{#N/A,#N/A,FALSE,"혼합골재"}</definedName>
    <definedName name="GFJHGFJGF_2" hidden="1">{#N/A,#N/A,FALSE,"혼합골재"}</definedName>
    <definedName name="GFRRJGH" hidden="1">{#N/A,#N/A,FALSE,"단가표지"}</definedName>
    <definedName name="GFRRJGH_1" hidden="1">{#N/A,#N/A,FALSE,"단가표지"}</definedName>
    <definedName name="GFRRJGH_2" hidden="1">{#N/A,#N/A,FALSE,"단가표지"}</definedName>
    <definedName name="gg">#REF!</definedName>
    <definedName name="gg_1" hidden="1">{#N/A,#N/A,FALSE,"SumG";#N/A,#N/A,FALSE,"ElecG";#N/A,#N/A,FALSE,"MechG";#N/A,#N/A,FALSE,"GeotG";#N/A,#N/A,FALSE,"PrcsG";#N/A,#N/A,FALSE,"TunnG";#N/A,#N/A,FALSE,"CivlG";#N/A,#N/A,FALSE,"NtwkG";#N/A,#N/A,FALSE,"EstgG";#N/A,#N/A,FALSE,"PEngG"}</definedName>
    <definedName name="ggdf">#REF!</definedName>
    <definedName name="ggdrgdfhyyj" localSheetId="7" hidden="1">{#N/A,#N/A,TRUE,"Cover";#N/A,#N/A,TRUE,"Conts";#N/A,#N/A,TRUE,"VOS";#N/A,#N/A,TRUE,"Warrington";#N/A,#N/A,TRUE,"Widnes"}</definedName>
    <definedName name="ggdrgdfhyyj" localSheetId="0" hidden="1">{#N/A,#N/A,TRUE,"Cover";#N/A,#N/A,TRUE,"Conts";#N/A,#N/A,TRUE,"VOS";#N/A,#N/A,TRUE,"Warrington";#N/A,#N/A,TRUE,"Widnes"}</definedName>
    <definedName name="ggdrgdfhyyj" localSheetId="9"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er" hidden="1">{#N/A,#N/A,TRUE,"Front";#N/A,#N/A,TRUE,"Simple Letter";#N/A,#N/A,TRUE,"Inside";#N/A,#N/A,TRUE,"Contents";#N/A,#N/A,TRUE,"Basis";#N/A,#N/A,TRUE,"Inclusions";#N/A,#N/A,TRUE,"Exclusions";#N/A,#N/A,TRUE,"Areas";#N/A,#N/A,TRUE,"Summary";#N/A,#N/A,TRUE,"Detail"}</definedName>
    <definedName name="ggf" hidden="1">{#N/A,#N/A,TRUE,"LOADCOVE";#N/A,#N/A,TRUE,"PAGE001";#N/A,#N/A,TRUE,"PAGE002";#N/A,#N/A,TRUE,"PAGE003";#N/A,#N/A,TRUE,"PAGE004";#N/A,#N/A,TRUE,"PAGE005";#N/A,#N/A,TRUE,"PAGE006";#N/A,#N/A,TRUE,"PAGE007";#N/A,#N/A,TRUE,"PAGE008";#N/A,#N/A,TRUE,"PAGE009";#N/A,#N/A,TRUE,"PAGE010";#N/A,#N/A,TRUE,"PAGE011";#N/A,#N/A,TRUE,"PAGE012";#N/A,#N/A,TRUE,"PAGE013"}</definedName>
    <definedName name="ggfgdgd" hidden="1">{#N/A,#N/A,TRUE,"Cover";#N/A,#N/A,TRUE,"Conts";#N/A,#N/A,TRUE,"VOS";#N/A,#N/A,TRUE,"Warrington";#N/A,#N/A,TRUE,"Widnes"}</definedName>
    <definedName name="ggg" hidden="1">{#N/A,#N/A,TRUE,"Cover";#N/A,#N/A,TRUE,"Conts";#N/A,#N/A,TRUE,"VOS";#N/A,#N/A,TRUE,"Warrington";#N/A,#N/A,TRUE,"Widnes"}</definedName>
    <definedName name="gggg" hidden="1">{#N/A,#N/A,FALSE,"SumD";#N/A,#N/A,FALSE,"ElecD";#N/A,#N/A,FALSE,"MechD";#N/A,#N/A,FALSE,"GeotD";#N/A,#N/A,FALSE,"PrcsD";#N/A,#N/A,FALSE,"TunnD";#N/A,#N/A,FALSE,"CivlD";#N/A,#N/A,FALSE,"NtwkD";#N/A,#N/A,FALSE,"EstgD";#N/A,#N/A,FALSE,"PEngD"}</definedName>
    <definedName name="gggg_1" hidden="1">{#N/A,#N/A,FALSE,"SumD";#N/A,#N/A,FALSE,"ElecD";#N/A,#N/A,FALSE,"MechD";#N/A,#N/A,FALSE,"GeotD";#N/A,#N/A,FALSE,"PrcsD";#N/A,#N/A,FALSE,"TunnD";#N/A,#N/A,FALSE,"CivlD";#N/A,#N/A,FALSE,"NtwkD";#N/A,#N/A,FALSE,"EstgD";#N/A,#N/A,FALSE,"PEngD"}</definedName>
    <definedName name="gggg_2" hidden="1">{"'장비'!$A$3:$M$12"}</definedName>
    <definedName name="ggggg">#REF!</definedName>
    <definedName name="ggggg_1" hidden="1">{"'장비'!$A$3:$M$12"}</definedName>
    <definedName name="ggggg_2" hidden="1">{"'장비'!$A$3:$M$12"}</definedName>
    <definedName name="GGGGGG" hidden="1">{#N/A,#N/A,FALSE,"OAS";#N/A,#N/A,FALSE,"OBG";#N/A,#N/A,FALSE,"OCZ";#N/A,#N/A,FALSE,"OFR";#N/A,#N/A,FALSE,"OGR";#N/A,#N/A,FALSE,"OGY";#N/A,#N/A,FALSE,"OHY ";#N/A,#N/A,FALSE,"OLX";#N/A,#N/A,FALSE,"ONL";#N/A,#N/A,FALSE,"OPO";#N/A,#N/A,FALSE,"OPL";#N/A,#N/A,FALSE,"OSK";#N/A,#N/A,FALSE,"OSP";#N/A,#N/A,FALSE,"OSZ";#N/A,#N/A,FALSE,"OTU";#N/A,#N/A,FALSE,"OUK"}</definedName>
    <definedName name="gggggggg" hidden="1">{#N/A,#N/A,FALSE,"배수2"}</definedName>
    <definedName name="ggggggggggggggggggg" hidden="1">#REF!</definedName>
    <definedName name="ggggggggggggggggggggggggggggggg" hidden="1">#REF!</definedName>
    <definedName name="ggggz" hidden="1">{#N/A,#N/A,FALSE,"SumD";#N/A,#N/A,FALSE,"ElecD";#N/A,#N/A,FALSE,"MechD";#N/A,#N/A,FALSE,"GeotD";#N/A,#N/A,FALSE,"PrcsD";#N/A,#N/A,FALSE,"TunnD";#N/A,#N/A,FALSE,"CivlD";#N/A,#N/A,FALSE,"NtwkD";#N/A,#N/A,FALSE,"EstgD";#N/A,#N/A,FALSE,"PEngD"}</definedName>
    <definedName name="gggw"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z" hidden="1">{#N/A,#N/A,FALSE,"SumG";#N/A,#N/A,FALSE,"ElecG";#N/A,#N/A,FALSE,"MechG";#N/A,#N/A,FALSE,"GeotG";#N/A,#N/A,FALSE,"PrcsG";#N/A,#N/A,FALSE,"TunnG";#N/A,#N/A,FALSE,"CivlG";#N/A,#N/A,FALSE,"NtwkG";#N/A,#N/A,FALSE,"EstgG";#N/A,#N/A,FALSE,"PEngG"}</definedName>
    <definedName name="gh">#REF!</definedName>
    <definedName name="gh_1" hidden="1">{"'장비'!$A$3:$M$12"}</definedName>
    <definedName name="gh_2" hidden="1">{"'장비'!$A$3:$M$12"}</definedName>
    <definedName name="ghdfhfgh"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f" hidden="1">{#N/A,#N/A,TRUE,"LOADCOVE";#N/A,#N/A,TRUE,"PAGE001";#N/A,#N/A,TRUE,"PAGE002";#N/A,#N/A,TRUE,"PAGE003";#N/A,#N/A,TRUE,"PAGE004";#N/A,#N/A,TRUE,"PAGE005";#N/A,#N/A,TRUE,"PAGE006";#N/A,#N/A,TRUE,"PAGE007";#N/A,#N/A,TRUE,"PAGE008";#N/A,#N/A,TRUE,"PAGE009";#N/A,#N/A,TRUE,"PAGE010";#N/A,#N/A,TRUE,"PAGE011";#N/A,#N/A,TRUE,"PAGE012";#N/A,#N/A,TRUE,"PAGE013"}</definedName>
    <definedName name="ghgg" hidden="1">{#N/A,#N/A,TRUE,"Front";#N/A,#N/A,TRUE,"Simple Letter";#N/A,#N/A,TRUE,"Inside";#N/A,#N/A,TRUE,"Contents";#N/A,#N/A,TRUE,"Basis";#N/A,#N/A,TRUE,"Inclusions";#N/A,#N/A,TRUE,"Exclusions";#N/A,#N/A,TRUE,"Areas";#N/A,#N/A,TRUE,"Summary";#N/A,#N/A,TRUE,"Detail"}</definedName>
    <definedName name="ghggg" hidden="1">{#N/A,#N/A,FALSE,"SumG";#N/A,#N/A,FALSE,"ElecG";#N/A,#N/A,FALSE,"MechG";#N/A,#N/A,FALSE,"GeotG";#N/A,#N/A,FALSE,"PrcsG";#N/A,#N/A,FALSE,"TunnG";#N/A,#N/A,FALSE,"CivlG";#N/A,#N/A,FALSE,"NtwkG";#N/A,#N/A,FALSE,"EstgG";#N/A,#N/A,FALSE,"PEngG"}</definedName>
    <definedName name="ghggg_1"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hgh" hidden="1">{#N/A,#N/A,TRUE,"Cover";#N/A,#N/A,TRUE,"Conts";#N/A,#N/A,TRUE,"VOS";#N/A,#N/A,TRUE,"Warrington";#N/A,#N/A,TRUE,"Widnes"}</definedName>
    <definedName name="ghghd" hidden="1">{#N/A,#N/A,TRUE,"Front";#N/A,#N/A,TRUE,"Simple Letter";#N/A,#N/A,TRUE,"Inside";#N/A,#N/A,TRUE,"Contents";#N/A,#N/A,TRUE,"Basis";#N/A,#N/A,TRUE,"Inclusions";#N/A,#N/A,TRUE,"Exclusions";#N/A,#N/A,TRUE,"Areas";#N/A,#N/A,TRUE,"Summary";#N/A,#N/A,TRUE,"Detail"}</definedName>
    <definedName name="ghghg">#REF!</definedName>
    <definedName name="ghghgf"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J">#REF!</definedName>
    <definedName name="ghksrud" hidden="1">{#N/A,#N/A,TRUE,"LOADCOVE";#N/A,#N/A,TRUE,"PAGE001";#N/A,#N/A,TRUE,"PAGE002";#N/A,#N/A,TRUE,"PAGE003";#N/A,#N/A,TRUE,"PAGE004";#N/A,#N/A,TRUE,"PAGE005";#N/A,#N/A,TRUE,"PAGE006";#N/A,#N/A,TRUE,"PAGE007";#N/A,#N/A,TRUE,"PAGE008";#N/A,#N/A,TRUE,"PAGE009";#N/A,#N/A,TRUE,"PAGE010";#N/A,#N/A,TRUE,"PAGE011";#N/A,#N/A,TRUE,"PAGE012";#N/A,#N/A,TRUE,"PAGE013"}</definedName>
    <definedName name="ghm" hidden="1">{#N/A,#N/A,TRUE,"LOADCOVE";#N/A,#N/A,TRUE,"PAGE001";#N/A,#N/A,TRUE,"PAGE002";#N/A,#N/A,TRUE,"PAGE003";#N/A,#N/A,TRUE,"PAGE004";#N/A,#N/A,TRUE,"PAGE005";#N/A,#N/A,TRUE,"PAGE006";#N/A,#N/A,TRUE,"PAGE007";#N/A,#N/A,TRUE,"PAGE008";#N/A,#N/A,TRUE,"PAGE009";#N/A,#N/A,TRUE,"PAGE010";#N/A,#N/A,TRUE,"PAGE011";#N/A,#N/A,TRUE,"PAGE012";#N/A,#N/A,TRUE,"PAGE013"}</definedName>
    <definedName name="ghsdhth" localSheetId="7" hidden="1">{#N/A,#N/A,TRUE,"Cover";#N/A,#N/A,TRUE,"Conts";#N/A,#N/A,TRUE,"VOS";#N/A,#N/A,TRUE,"Warrington";#N/A,#N/A,TRUE,"Widnes"}</definedName>
    <definedName name="ghsdhth" localSheetId="0" hidden="1">{#N/A,#N/A,TRUE,"Cover";#N/A,#N/A,TRUE,"Conts";#N/A,#N/A,TRUE,"VOS";#N/A,#N/A,TRUE,"Warrington";#N/A,#N/A,TRUE,"Widnes"}</definedName>
    <definedName name="ghsdhth" localSheetId="9"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7" hidden="1">{#N/A,#N/A,TRUE,"Cover";#N/A,#N/A,TRUE,"Conts";#N/A,#N/A,TRUE,"VOS";#N/A,#N/A,TRUE,"Warrington";#N/A,#N/A,TRUE,"Widnes"}</definedName>
    <definedName name="ghsg" localSheetId="0" hidden="1">{#N/A,#N/A,TRUE,"Cover";#N/A,#N/A,TRUE,"Conts";#N/A,#N/A,TRUE,"VOS";#N/A,#N/A,TRUE,"Warrington";#N/A,#N/A,TRUE,"Widnes"}</definedName>
    <definedName name="ghsg" localSheetId="9"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hyt" hidden="1">{#N/A,#N/A,FALSE,"SUBS";#N/A,#N/A,FALSE,"SUPERS";#N/A,#N/A,FALSE,"FINISHES";#N/A,#N/A,FALSE,"FITTINGS";#N/A,#N/A,FALSE,"SERVICES";#N/A,#N/A,FALSE,"SITEWORKS"}</definedName>
    <definedName name="gid" hidden="1">{"'Sheet1'!$L$16"}</definedName>
    <definedName name="gid_1" hidden="1">{"'Sheet1'!$L$16"}</definedName>
    <definedName name="gid_2" hidden="1">{"'Sheet1'!$L$16"}</definedName>
    <definedName name="GIFA">#REF!</definedName>
    <definedName name="GIFA2">#REF!</definedName>
    <definedName name="gij" hidden="1">{"'Break down'!$A$4"}</definedName>
    <definedName name="GIP">#REF!</definedName>
    <definedName name="Girder">#REF!</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j" hidden="1">{"'Sheet1'!$L$16"}</definedName>
    <definedName name="gj_1" hidden="1">{"'Sheet1'!$L$16"}</definedName>
    <definedName name="gj_2" hidden="1">{"'Sheet1'!$L$16"}</definedName>
    <definedName name="gjahgkj" localSheetId="7" hidden="1">{#N/A,#N/A,TRUE,"Cover";#N/A,#N/A,TRUE,"Conts";#N/A,#N/A,TRUE,"VOS";#N/A,#N/A,TRUE,"Warrington";#N/A,#N/A,TRUE,"Widnes"}</definedName>
    <definedName name="gjahgkj" localSheetId="0" hidden="1">{#N/A,#N/A,TRUE,"Cover";#N/A,#N/A,TRUE,"Conts";#N/A,#N/A,TRUE,"VOS";#N/A,#N/A,TRUE,"Warrington";#N/A,#N/A,TRUE,"Widnes"}</definedName>
    <definedName name="gjahgkj" localSheetId="9"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FGJFGJ" hidden="1">{#N/A,#N/A,FALSE,"골재소요량";#N/A,#N/A,FALSE,"골재소요량"}</definedName>
    <definedName name="GJFGJFGJ_1" hidden="1">{#N/A,#N/A,FALSE,"골재소요량";#N/A,#N/A,FALSE,"골재소요량"}</definedName>
    <definedName name="GJFGJFGJ_2" hidden="1">{#N/A,#N/A,FALSE,"골재소요량";#N/A,#N/A,FALSE,"골재소요량"}</definedName>
    <definedName name="GJGFJGFHJ" hidden="1">{#N/A,#N/A,FALSE,"속도"}</definedName>
    <definedName name="GJGFJGFHJ_1" hidden="1">{#N/A,#N/A,FALSE,"속도"}</definedName>
    <definedName name="GJGFJGFHJ_2" hidden="1">{#N/A,#N/A,FALSE,"속도"}</definedName>
    <definedName name="gjgjjhgj" hidden="1">{#N/A,#N/A,TRUE,"Front";#N/A,#N/A,TRUE,"Simple Letter";#N/A,#N/A,TRUE,"Inside";#N/A,#N/A,TRUE,"Contents";#N/A,#N/A,TRUE,"Basis";#N/A,#N/A,TRUE,"Inclusions";#N/A,#N/A,TRUE,"Exclusions";#N/A,#N/A,TRUE,"Areas";#N/A,#N/A,TRUE,"Summary";#N/A,#N/A,TRUE,"Detail"}</definedName>
    <definedName name="gjkkl" localSheetId="7" hidden="1">{#N/A,#N/A,TRUE,"Cover";#N/A,#N/A,TRUE,"Conts";#N/A,#N/A,TRUE,"VOS";#N/A,#N/A,TRUE,"Warrington";#N/A,#N/A,TRUE,"Widnes"}</definedName>
    <definedName name="gjkkl" localSheetId="0" hidden="1">{#N/A,#N/A,TRUE,"Cover";#N/A,#N/A,TRUE,"Conts";#N/A,#N/A,TRUE,"VOS";#N/A,#N/A,TRUE,"Warrington";#N/A,#N/A,TRUE,"Widnes"}</definedName>
    <definedName name="gjkkl" localSheetId="9"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k" hidden="1">{#N/A,#N/A,TRUE,"COVER";#N/A,#N/A,TRUE,"DETAILS";#N/A,#N/A,TRUE,"SUMMARY";#N/A,#N/A,TRUE,"EXP MON";#N/A,#N/A,TRUE,"APPENDIX A";#N/A,#N/A,TRUE,"APPENDIX B";#N/A,#N/A,TRUE,"APPENDIX C";#N/A,#N/A,TRUE,"APPENDIX D";#N/A,#N/A,TRUE,"APPENDIX E";#N/A,#N/A,TRUE,"APPENDIX F";#N/A,#N/A,TRUE,"APPENDIX G"}</definedName>
    <definedName name="gkd" hidden="1">{"'Sheet1'!$L$16"}</definedName>
    <definedName name="gkd_1" hidden="1">{"'Sheet1'!$L$16"}</definedName>
    <definedName name="gkd_2" hidden="1">{"'Sheet1'!$L$16"}</definedName>
    <definedName name="GKGF" hidden="1">{"'장비'!$A$3:$M$12"}</definedName>
    <definedName name="GLAND" hidden="1">{0,0,0,0;0,0,0,0;0,0,0,0;0,0,0,0;0,0,0,0;0,0,0,0}</definedName>
    <definedName name="Glass_Doors___Partitions">#REF!</definedName>
    <definedName name="GLASS_PANEL">#REF!</definedName>
    <definedName name="GLevel">#REF!</definedName>
    <definedName name="GLevel_1">#N/A</definedName>
    <definedName name="globale_marge">#REF!</definedName>
    <definedName name="globe">#REF!</definedName>
    <definedName name="GM">#REF!</definedName>
    <definedName name="gmnhhg" hidden="1">{#N/A,#N/A,TRUE,"Front";#N/A,#N/A,TRUE,"Simple Letter";#N/A,#N/A,TRUE,"Inside";#N/A,#N/A,TRUE,"Contents";#N/A,#N/A,TRUE,"Basis";#N/A,#N/A,TRUE,"Inclusions";#N/A,#N/A,TRUE,"Exclusions";#N/A,#N/A,TRUE,"Areas";#N/A,#N/A,TRUE,"Summary";#N/A,#N/A,TRUE,"Detail"}</definedName>
    <definedName name="gmo" hidden="1">{#N/A,#N/A,FALSE,"SumD";#N/A,#N/A,FALSE,"ElecD";#N/A,#N/A,FALSE,"MechD";#N/A,#N/A,FALSE,"GeotD";#N/A,#N/A,FALSE,"PrcsD";#N/A,#N/A,FALSE,"TunnD";#N/A,#N/A,FALSE,"CivlD";#N/A,#N/A,FALSE,"NtwkD";#N/A,#N/A,FALSE,"EstgD";#N/A,#N/A,FALSE,"PEngD"}</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 hidden="1">{#N/A,#N/A,TRUE,"FIELDOFF";#N/A,#N/A,TRUE,"SCAFF";#N/A,#N/A,TRUE,"CONSTEQP";#N/A,#N/A,TRUE,"FUELUBE";#N/A,#N/A,TRUE,"CONSUME";#N/A,#N/A,TRUE,"FIELDEXP";#N/A,#N/A,TRUE,"MANPLAN";#N/A,#N/A,TRUE,"EQPLAN"}</definedName>
    <definedName name="GoBack">#REF!</definedName>
    <definedName name="gound_rent">#REF!</definedName>
    <definedName name="gqg" hidden="1">{#N/A,#N/A,TRUE,"Front";#N/A,#N/A,TRUE,"Simple Letter";#N/A,#N/A,TRUE,"Inside";#N/A,#N/A,TRUE,"Contents";#N/A,#N/A,TRUE,"Basis";#N/A,#N/A,TRUE,"Inclusions";#N/A,#N/A,TRUE,"Exclusions";#N/A,#N/A,TRUE,"Areas";#N/A,#N/A,TRUE,"Summary";#N/A,#N/A,TRUE,"Detail"}</definedName>
    <definedName name="gr">#REF!</definedName>
    <definedName name="GRANITE">#REF!</definedName>
    <definedName name="Granite___Marble">#REF!</definedName>
    <definedName name="GRATINGH">#N/A</definedName>
    <definedName name="GRC">#REF!</definedName>
    <definedName name="GREEN">#REF!</definedName>
    <definedName name="greg" hidden="1">{#N/A,#N/A,TRUE,"Front";#N/A,#N/A,TRUE,"Simple Letter";#N/A,#N/A,TRUE,"Inside";#N/A,#N/A,TRUE,"Contents";#N/A,#N/A,TRUE,"Basis";#N/A,#N/A,TRUE,"Inclusions";#N/A,#N/A,TRUE,"Exclusions";#N/A,#N/A,TRUE,"Areas";#N/A,#N/A,TRUE,"Summary";#N/A,#N/A,TRUE,"Detail"}</definedName>
    <definedName name="GREGEA" hidden="1">{"'장비'!$A$3:$M$12"}</definedName>
    <definedName name="gregt"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ewgrhj" hidden="1">#REF!</definedName>
    <definedName name="grfd" hidden="1">{"'장비'!$A$3:$M$12"}</definedName>
    <definedName name="grjhd" hidden="1">{#N/A,#N/A,FALSE,"CCTV"}</definedName>
    <definedName name="Gross_Floor_Area">#REF!</definedName>
    <definedName name="Gross_Margin">#REF!</definedName>
    <definedName name="ground">#REF!</definedName>
    <definedName name="GROUND_WIRE">#REF!</definedName>
    <definedName name="GROUNDING">#REF!</definedName>
    <definedName name="Group" localSheetId="7">#REF!</definedName>
    <definedName name="Group" localSheetId="9">#REF!</definedName>
    <definedName name="Group">#REF!</definedName>
    <definedName name="Group_Code">#REF!</definedName>
    <definedName name="Group_Description">#REF!</definedName>
    <definedName name="GroupCodeConc">#REF!</definedName>
    <definedName name="GroupEarthwork">#REF!</definedName>
    <definedName name="GroupEquipment">#REF!</definedName>
    <definedName name="GroupFree7">#REF!</definedName>
    <definedName name="GroupFree8">#REF!</definedName>
    <definedName name="GroupGeneral">#REF!</definedName>
    <definedName name="GroupInstallation">#REF!</definedName>
    <definedName name="GroupMaterial">#REF!</definedName>
    <definedName name="GroupMisc">#REF!</definedName>
    <definedName name="GroupPersonnel">#REF!</definedName>
    <definedName name="Groups_Code_Conc">#REF!</definedName>
    <definedName name="GROUT">#REF!</definedName>
    <definedName name="GroutedRiprap">#REF!</definedName>
    <definedName name="GroutedRiprap_21">#REF!</definedName>
    <definedName name="GroutedRiprap_22">#REF!</definedName>
    <definedName name="GroutedRiprap_23">#REF!</definedName>
    <definedName name="GroutedRiprap_24">#REF!</definedName>
    <definedName name="GroutedRiprap_25">#REF!</definedName>
    <definedName name="GroutedRiprap_26">#REF!</definedName>
    <definedName name="GrphActSales">#REF!</definedName>
    <definedName name="GrphActStk">#REF!</definedName>
    <definedName name="GrphPlanSales">#REF!</definedName>
    <definedName name="GrphTgtStk">#REF!</definedName>
    <definedName name="grttr" hidden="1">{#N/A,#N/A,TRUE,"Front";#N/A,#N/A,TRUE,"Simple Letter";#N/A,#N/A,TRUE,"Inside";#N/A,#N/A,TRUE,"Contents";#N/A,#N/A,TRUE,"Basis";#N/A,#N/A,TRUE,"Inclusions";#N/A,#N/A,TRUE,"Exclusions";#N/A,#N/A,TRUE,"Areas";#N/A,#N/A,TRUE,"Summary";#N/A,#N/A,TRUE,"Detail"}</definedName>
    <definedName name="gs">#REF!</definedName>
    <definedName name="gsdga"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DGSRWQR" hidden="1">{#N/A,#N/A,FALSE,"속도"}</definedName>
    <definedName name="GSDGSRWQR_1" hidden="1">{#N/A,#N/A,FALSE,"속도"}</definedName>
    <definedName name="GSDGSRWQR_2" hidden="1">{#N/A,#N/A,FALSE,"속도"}</definedName>
    <definedName name="gsf">#REF!</definedName>
    <definedName name="gsg" hidden="1">{#N/A,#N/A,TRUE,"Cover";#N/A,#N/A,TRUE,"Conts";#N/A,#N/A,TRUE,"VOS";#N/A,#N/A,TRUE,"Warrington";#N/A,#N/A,TRUE,"Widnes"}</definedName>
    <definedName name="gsm">#REF!</definedName>
    <definedName name="GSTSYAEYAEYEYET" hidden="1">{"'Break down'!$A$4"}</definedName>
    <definedName name="GT">#REF!</definedName>
    <definedName name="GT_ELECT">#REF!</definedName>
    <definedName name="GTA">#REF!</definedName>
    <definedName name="GTB">#REF!</definedName>
    <definedName name="GTC">#REF!</definedName>
    <definedName name="gthh" hidden="1">{#N/A,#N/A,TRUE,"Front";#N/A,#N/A,TRUE,"Simple Letter";#N/A,#N/A,TRUE,"Inside";#N/A,#N/A,TRUE,"Contents";#N/A,#N/A,TRUE,"Basis";#N/A,#N/A,TRUE,"Inclusions";#N/A,#N/A,TRUE,"Exclusions";#N/A,#N/A,TRUE,"Areas";#N/A,#N/A,TRUE,"Summary";#N/A,#N/A,TRUE,"Detail"}</definedName>
    <definedName name="GTOT">#REF!</definedName>
    <definedName name="gtrghr" localSheetId="7" hidden="1">{#N/A,#N/A,TRUE,"Cover";#N/A,#N/A,TRUE,"Conts";#N/A,#N/A,TRUE,"VOS";#N/A,#N/A,TRUE,"Warrington";#N/A,#N/A,TRUE,"Widnes"}</definedName>
    <definedName name="gtrghr" localSheetId="0" hidden="1">{#N/A,#N/A,TRUE,"Cover";#N/A,#N/A,TRUE,"Conts";#N/A,#N/A,TRUE,"VOS";#N/A,#N/A,TRUE,"Warrington";#N/A,#N/A,TRUE,"Widnes"}</definedName>
    <definedName name="gtrghr" localSheetId="9"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twhh" hidden="1">#REF!</definedName>
    <definedName name="gtyh">IF(ISNA(MATCH(ROW(),RowAfterpgbrk,1)),1,MATCH(ROW(),RowAfterpgbrk,1)+1)&lt;&gt;IF(ISNA(MATCH(ROW()+1,RowAfterpgbrk,1)),1,MATCH(ROW()+1,RowAfterpgbrk,1)+1)</definedName>
    <definedName name="GUARD" hidden="1">#REF!</definedName>
    <definedName name="guestroom" hidden="1">{#N/A,#N/A,TRUE,"Cover Memo";"Complete Sys. Estimate",#N/A,TRUE,"Change Summary";"Complete Sys. Estimate",#N/A,TRUE,"Estimate Summary";"Complete Sys. Estimate",#N/A,TRUE,"Dept. Summary";"Complete Sys. Estimate",#N/A,TRUE,"DOW Detail"}</definedName>
    <definedName name="GUI" hidden="1">{#N/A,#N/A,TRUE,"SUMMARY";#N/A,#N/A,TRUE,"ISBL";#N/A,#N/A,TRUE,"OSBL";#N/A,#N/A,TRUE,"OFFSITE";#N/A,#N/A,TRUE,"STEAM"}</definedName>
    <definedName name="GV" hidden="1">{#N/A,#N/A,FALSE,"CCTV"}</definedName>
    <definedName name="GV_1" hidden="1">{#N/A,#N/A,FALSE,"CCTV"}</definedName>
    <definedName name="GV_2" hidden="1">{#N/A,#N/A,FALSE,"CCTV"}</definedName>
    <definedName name="GVHKJ" hidden="1">{#N/A,#N/A,FALSE,"pop.hh";#N/A,#N/A,FALSE,"age.dist";#N/A,#N/A,FALSE,"hh.income";#N/A,#N/A,FALSE,"hh.chars"}</definedName>
    <definedName name="gvv" hidden="1">{"LKD",#N/A,FALSE,"표지"}</definedName>
    <definedName name="gwefh" hidden="1">{#N/A,#N/A,TRUE,"Front";#N/A,#N/A,TRUE,"Simple Letter";#N/A,#N/A,TRUE,"Inside";#N/A,#N/A,TRUE,"Contents";#N/A,#N/A,TRUE,"Basis";#N/A,#N/A,TRUE,"Inclusions";#N/A,#N/A,TRUE,"Exclusions";#N/A,#N/A,TRUE,"Areas";#N/A,#N/A,TRUE,"Summary";#N/A,#N/A,TRUE,"Detail"}</definedName>
    <definedName name="gWEG" hidden="1">{#N/A,#N/A,TRUE,"Cover";#N/A,#N/A,TRUE,"Conts";#N/A,#N/A,TRUE,"VOS";#N/A,#N/A,TRUE,"Warrington";#N/A,#N/A,TRUE,"Widnes"}</definedName>
    <definedName name="gWEG_1" hidden="1">{#N/A,#N/A,TRUE,"Cover";#N/A,#N/A,TRUE,"Conts";#N/A,#N/A,TRUE,"VOS";#N/A,#N/A,TRUE,"Warrington";#N/A,#N/A,TRUE,"Widnes"}</definedName>
    <definedName name="GWEGTew" hidden="1">{#N/A,#N/A,TRUE,"Cover";#N/A,#N/A,TRUE,"Conts";#N/A,#N/A,TRUE,"VOS";#N/A,#N/A,TRUE,"Warrington";#N/A,#N/A,TRUE,"Widnes"}</definedName>
    <definedName name="GWEGTew_1" hidden="1">{#N/A,#N/A,TRUE,"Cover";#N/A,#N/A,TRUE,"Conts";#N/A,#N/A,TRUE,"VOS";#N/A,#N/A,TRUE,"Warrington";#N/A,#N/A,TRUE,"Widnes"}</definedName>
    <definedName name="gwgtergyr" localSheetId="7" hidden="1">{#N/A,#N/A,TRUE,"Cover";#N/A,#N/A,TRUE,"Conts";#N/A,#N/A,TRUE,"VOS";#N/A,#N/A,TRUE,"Warrington";#N/A,#N/A,TRUE,"Widnes"}</definedName>
    <definedName name="gwgtergyr" localSheetId="0" hidden="1">{#N/A,#N/A,TRUE,"Cover";#N/A,#N/A,TRUE,"Conts";#N/A,#N/A,TRUE,"VOS";#N/A,#N/A,TRUE,"Warrington";#N/A,#N/A,TRUE,"Widnes"}</definedName>
    <definedName name="gwgtergyr" localSheetId="9"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gwgw" hidden="1">#REF!</definedName>
    <definedName name="gwqrtrftgf" hidden="1">{#N/A,#N/A,TRUE,"Front";#N/A,#N/A,TRUE,"Simple Letter";#N/A,#N/A,TRUE,"Inside";#N/A,#N/A,TRUE,"Contents";#N/A,#N/A,TRUE,"Basis";#N/A,#N/A,TRUE,"Inclusions";#N/A,#N/A,TRUE,"Exclusions";#N/A,#N/A,TRUE,"Areas";#N/A,#N/A,TRUE,"Summary";#N/A,#N/A,TRUE,"Detail"}</definedName>
    <definedName name="GYKV" hidden="1">{#N/A,#N/A,TRUE,"Cover";#N/A,#N/A,TRUE,"Conts";#N/A,#N/A,TRUE,"VOS";#N/A,#N/A,TRUE,"Warrington";#N/A,#N/A,TRUE,"Widnes"}</definedName>
    <definedName name="GYPSUM" hidden="1">{#N/A,#N/A,TRUE,"Front";#N/A,#N/A,TRUE,"Simple Letter";#N/A,#N/A,TRUE,"Inside";#N/A,#N/A,TRUE,"Contents";#N/A,#N/A,TRUE,"Basis";#N/A,#N/A,TRUE,"Inclusions";#N/A,#N/A,TRUE,"Exclusions";#N/A,#N/A,TRUE,"Areas";#N/A,#N/A,TRUE,"Summary";#N/A,#N/A,TRUE,"Detail"}</definedName>
    <definedName name="GYPSUM_BOARD">#REF!</definedName>
    <definedName name="gyt" hidden="1">{#N/A,#N/A,TRUE,"Front";#N/A,#N/A,TRUE,"Simple Letter";#N/A,#N/A,TRUE,"Inside";#N/A,#N/A,TRUE,"Contents";#N/A,#N/A,TRUE,"Basis";#N/A,#N/A,TRUE,"Inclusions";#N/A,#N/A,TRUE,"Exclusions";#N/A,#N/A,TRUE,"Areas";#N/A,#N/A,TRUE,"Summary";#N/A,#N/A,TRUE,"Detail"}</definedName>
    <definedName name="H">#REF!</definedName>
    <definedName name="H.01">#REF!</definedName>
    <definedName name="H.01a">#REF!</definedName>
    <definedName name="H.01b">#REF!</definedName>
    <definedName name="H.01c">#REF!</definedName>
    <definedName name="H.01d">#REF!</definedName>
    <definedName name="H.01e">#REF!</definedName>
    <definedName name="H.01f">#REF!</definedName>
    <definedName name="H.02">#REF!</definedName>
    <definedName name="H.02a">#REF!</definedName>
    <definedName name="H.02b">#REF!</definedName>
    <definedName name="H.02c">#REF!</definedName>
    <definedName name="H.02d">#REF!</definedName>
    <definedName name="H.03">#REF!</definedName>
    <definedName name="H.03a">#REF!</definedName>
    <definedName name="H.21">#REF!</definedName>
    <definedName name="H.22">#REF!</definedName>
    <definedName name="H.23">#REF!</definedName>
    <definedName name="H.24">#REF!</definedName>
    <definedName name="H.26">#REF!</definedName>
    <definedName name="H.30">#REF!</definedName>
    <definedName name="H.30a">#REF!</definedName>
    <definedName name="H.30b">#REF!</definedName>
    <definedName name="H.30c">#REF!</definedName>
    <definedName name="H.40">#REF!</definedName>
    <definedName name="H.41">#REF!</definedName>
    <definedName name="H.42">#REF!</definedName>
    <definedName name="H.50">#REF!</definedName>
    <definedName name="H.60">#REF!</definedName>
    <definedName name="H.65">#REF!</definedName>
    <definedName name="H.70">#REF!</definedName>
    <definedName name="H_______EARTH_WORKS">#REF!</definedName>
    <definedName name="H_______PLUMBING_PVC_PIPES">#REF!</definedName>
    <definedName name="H_FloorCov">#REF!</definedName>
    <definedName name="H_ring">#REF!</definedName>
    <definedName name="H_V_A_C">#REF!</definedName>
    <definedName name="h_W">#REF!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C">#REF!</definedName>
    <definedName name="H1H">#REF!</definedName>
    <definedName name="H1L">#REF!</definedName>
    <definedName name="H1R">#REF!</definedName>
    <definedName name="H1WL">#REF!</definedName>
    <definedName name="H1WR">#REF!</definedName>
    <definedName name="H2C">#REF!</definedName>
    <definedName name="H2H">#REF!</definedName>
    <definedName name="H2L">#REF!</definedName>
    <definedName name="H2R">#REF!</definedName>
    <definedName name="H2WL">#REF!</definedName>
    <definedName name="H2WR">#REF!</definedName>
    <definedName name="H3H">#REF!</definedName>
    <definedName name="H3L">#REF!</definedName>
    <definedName name="H3R">#REF!</definedName>
    <definedName name="H3WL">#REF!</definedName>
    <definedName name="H3WR">#REF!</definedName>
    <definedName name="H4H">#REF!</definedName>
    <definedName name="H4L">#REF!</definedName>
    <definedName name="H4R">#REF!</definedName>
    <definedName name="H5L">#REF!</definedName>
    <definedName name="H5R">#REF!</definedName>
    <definedName name="h5t4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6L">#REF!</definedName>
    <definedName name="H6R">#REF!</definedName>
    <definedName name="H7L">#REF!</definedName>
    <definedName name="H7R">#REF!</definedName>
    <definedName name="H9A">#REF!</definedName>
    <definedName name="ha">#REF!</definedName>
    <definedName name="half" hidden="1">{#N/A,#N/A,FALSE,"전체집계표";#N/A,#N/A,FALSE,"안벽30000";#N/A,#N/A,FALSE,"안벽20000";#N/A,#N/A,FALSE,"내호안";#N/A,#N/A,FALSE,"외호안";#N/A,#N/A,FALSE,"준설토A";#N/A,#N/A,FALSE,"준설토B";#N/A,#N/A,FALSE,"적출장"}</definedName>
    <definedName name="half_1" hidden="1">{#N/A,#N/A,FALSE,"전체집계표";#N/A,#N/A,FALSE,"안벽30000";#N/A,#N/A,FALSE,"안벽20000";#N/A,#N/A,FALSE,"내호안";#N/A,#N/A,FALSE,"외호안";#N/A,#N/A,FALSE,"준설토A";#N/A,#N/A,FALSE,"준설토B";#N/A,#N/A,FALSE,"적출장"}</definedName>
    <definedName name="half_2" hidden="1">{#N/A,#N/A,FALSE,"전체집계표";#N/A,#N/A,FALSE,"안벽30000";#N/A,#N/A,FALSE,"안벽20000";#N/A,#N/A,FALSE,"내호안";#N/A,#N/A,FALSE,"외호안";#N/A,#N/A,FALSE,"준설토A";#N/A,#N/A,FALSE,"준설토B";#N/A,#N/A,FALSE,"적출장"}</definedName>
    <definedName name="HAND_VLV_MANIF">#REF!</definedName>
    <definedName name="HANDH">#REF!</definedName>
    <definedName name="HANDL">#REF!</definedName>
    <definedName name="HANDM">#REF!</definedName>
    <definedName name="HARDNESS">#REF!</definedName>
    <definedName name="HAUT2">#REF!</definedName>
    <definedName name="HAUT3">#REF!</definedName>
    <definedName name="HAUT4">#REF!</definedName>
    <definedName name="HAUT5">#REF!</definedName>
    <definedName name="HAUT6">#REF!</definedName>
    <definedName name="HAUT7">#REF!</definedName>
    <definedName name="hb" hidden="1">{#N/A,#N/A,TRUE,"Cover";#N/A,#N/A,TRUE,"Conts";#N/A,#N/A,TRUE,"VOS";#N/A,#N/A,TRUE,"Warrington";#N/A,#N/A,TRUE,"Widnes"}</definedName>
    <definedName name="hbn" hidden="1">{#N/A,#N/A,TRUE,"Cover";#N/A,#N/A,TRUE,"Conts";#N/A,#N/A,TRUE,"VOS";#N/A,#N/A,TRUE,"Warrington";#N/A,#N/A,TRUE,"Widnes"}</definedName>
    <definedName name="HC">#REF!</definedName>
    <definedName name="HCAPA">#REF!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DFD" hidden="1">{#N/A,#N/A,FALSE,"속도"}</definedName>
    <definedName name="HDFD_1" hidden="1">{#N/A,#N/A,FALSE,"속도"}</definedName>
    <definedName name="HDFD_2" hidden="1">{#N/A,#N/A,FALSE,"속도"}</definedName>
    <definedName name="hdfhdhf" hidden="1">{#N/A,#N/A,TRUE,"Front";#N/A,#N/A,TRUE,"Simple Letter";#N/A,#N/A,TRUE,"Inside";#N/A,#N/A,TRUE,"Contents";#N/A,#N/A,TRUE,"Basis";#N/A,#N/A,TRUE,"Inclusions";#N/A,#N/A,TRUE,"Exclusions";#N/A,#N/A,TRUE,"Areas";#N/A,#N/A,TRUE,"Summary";#N/A,#N/A,TRUE,"Detail"}</definedName>
    <definedName name="HDGFDS" hidden="1">#REF!</definedName>
    <definedName name="head1">#REF!</definedName>
    <definedName name="header">#REF!</definedName>
    <definedName name="Header1" hidden="1">IF(COUNTA(#REF!)=0,0,INDEX(#REF!,MATCH(ROW(#REF!),#REF!,TRUE)))+1</definedName>
    <definedName name="Header2" hidden="1">#REF!-1 &amp; "." &amp; MAX(1,COUNTA(INDEX(#REF!,MATCH(#REF!-1,#REF!,FALSE)):#REF!))</definedName>
    <definedName name="HeadWall">#REF!</definedName>
    <definedName name="HeadWall_21">#REF!</definedName>
    <definedName name="HeadWall_22">#REF!</definedName>
    <definedName name="HeadWall_23">#REF!</definedName>
    <definedName name="HeadWall_24">#REF!</definedName>
    <definedName name="HeadWall_25">#REF!</definedName>
    <definedName name="HeadWall_26">#REF!</definedName>
    <definedName name="HEAT__SOURCE">#REF!</definedName>
    <definedName name="HEAT_100T">#REF!</definedName>
    <definedName name="HEAT_100TH">#REF!</definedName>
    <definedName name="HEAT_10T">#REF!</definedName>
    <definedName name="HEAT_50T">#REF!</definedName>
    <definedName name="HEAT_5T">#REF!</definedName>
    <definedName name="HEAT_A100T">#REF!</definedName>
    <definedName name="HEAT_TRACE">#REF!</definedName>
    <definedName name="HEAT_TRACE_PROT">#REF!</definedName>
    <definedName name="HEATERKD">#REF!</definedName>
    <definedName name="HEATERP">#REF!</definedName>
    <definedName name="HEATING__VENTILATION___AIR_CONDITIONING">#REF!</definedName>
    <definedName name="Heb">#REF!</definedName>
    <definedName name="HEDAL" hidden="1">{#N/A,#N/A,FALSE,"TABLE"}</definedName>
    <definedName name="Hedge">6.7754</definedName>
    <definedName name="Hedge_rate">6.7754</definedName>
    <definedName name="height">#REF!</definedName>
    <definedName name="HEIGHT_1000mm_dia._GRP">#REF!</definedName>
    <definedName name="HEIGHT_100mm_thk_blinding">#REF!</definedName>
    <definedName name="HEIGHT_1300mm_high_upstand">#REF!</definedName>
    <definedName name="HEIGHT_1600mm_thk_base_slab">#REF!</definedName>
    <definedName name="HEIGHT_200mm_thick_cantilever_slab">#REF!</definedName>
    <definedName name="HEIGHT_20mm_Isolation_Joint">#REF!</definedName>
    <definedName name="HEIGHT_22KV_SWITCHGEAR_GR_651">#REF!</definedName>
    <definedName name="HEIGHT_22KV_SWITCHGEAR_under_eqpt__GR_651">#REF!</definedName>
    <definedName name="HEIGHT_22KV_SWITCHGEAR_under_walk__GR_651">#REF!</definedName>
    <definedName name="HEIGHT_300mm_thk_base_slab">#REF!</definedName>
    <definedName name="HEIGHT_300mm_thk_Susp._slab">#REF!</definedName>
    <definedName name="HEIGHT_4mm_thk_below_ground_waterproofing">#REF!</definedName>
    <definedName name="HEIGHT_4mm_thk_roof_covering_system">#REF!</definedName>
    <definedName name="HEIGHT_500mm_thk_base_slab">#REF!</definedName>
    <definedName name="HEIGHT_75mm_thk_blinding">#REF!</definedName>
    <definedName name="HEIGHT_800mm_thk_base_slab">#REF!</definedName>
    <definedName name="HEIGHT_AC_DC_GR_658">#REF!</definedName>
    <definedName name="HEIGHT_Access_drive_rear">#REF!</definedName>
    <definedName name="HEIGHT_Access_drive_rear_F.1">#REF!</definedName>
    <definedName name="HEIGHT_Access_tunnel">#REF!</definedName>
    <definedName name="HEIGHT_AGV_depot">#REF!</definedName>
    <definedName name="HEIGHT_Air_filter_chamber">#REF!</definedName>
    <definedName name="HEIGHT_Air_intake_trench">#REF!</definedName>
    <definedName name="HEIGHT_AUX_1_GR_653">#REF!</definedName>
    <definedName name="HEIGHT_AUX_2_GR_654">#REF!</definedName>
    <definedName name="HEIGHT_b10s1">#REF!</definedName>
    <definedName name="HEIGHT_b20s2">#REF!</definedName>
    <definedName name="HEIGHT_b30s2">#REF!</definedName>
    <definedName name="HEIGHT_b50s3">#REF!</definedName>
    <definedName name="HEIGHT_BASEMENT_BS_651">#REF!</definedName>
    <definedName name="HEIGHT_BATTERY_GR_659">#REF!</definedName>
    <definedName name="HEIGHT_Beam_B1_400X700_">#REF!</definedName>
    <definedName name="HEIGHT_Beam_B2_300X700_">#REF!</definedName>
    <definedName name="HEIGHT_Below_ground_horizontal">#REF!</definedName>
    <definedName name="HEIGHT_Below_tunnel_horizontal">#REF!</definedName>
    <definedName name="HEIGHT_Blinding">#REF!</definedName>
    <definedName name="HEIGHT_Break">#REF!</definedName>
    <definedName name="HEIGHT_Break.F">#REF!</definedName>
    <definedName name="HEIGHT_Break_room">#REF!</definedName>
    <definedName name="HEIGHT_Break_room.1">#REF!</definedName>
    <definedName name="HEIGHT_Cable_trench_slab_200mm_thk">#REF!</definedName>
    <definedName name="HEIGHT_Cable_trench_wall_800mm_high">#REF!</definedName>
    <definedName name="HEIGHT_Comm">#REF!</definedName>
    <definedName name="HEIGHT_COMMU.ROOM_GR_660">#REF!</definedName>
    <definedName name="HEIGHT_Communication_room">#REF!</definedName>
    <definedName name="HEIGHT_Control.1">#REF!</definedName>
    <definedName name="HEIGHT_CONTROL_ROOM_GR_657">#REF!</definedName>
    <definedName name="HEIGHT_Corridor">#REF!</definedName>
    <definedName name="HEIGHT_Corridor.1">#REF!</definedName>
    <definedName name="HEIGHT_Corridor.2">#REF!</definedName>
    <definedName name="HEIGHT_Corridor.3">#REF!</definedName>
    <definedName name="HEIGHT_Corridor.4">#REF!</definedName>
    <definedName name="HEIGHT_CORRIDOR_GR_665">#REF!</definedName>
    <definedName name="HEIGHT_CT___02">#REF!</definedName>
    <definedName name="HEIGHT_Duct_from_SS_to_Trench">#REF!</definedName>
    <definedName name="HEIGHT_Elec">#REF!</definedName>
    <definedName name="HEIGHT_Elec.1">#REF!</definedName>
    <definedName name="HEIGHT_Elec.2">#REF!</definedName>
    <definedName name="HEIGHT_Electrical">#REF!</definedName>
    <definedName name="HEIGHT_Electrical.1">#REF!</definedName>
    <definedName name="HEIGHT_Electrical.f">#REF!</definedName>
    <definedName name="HEIGHT_Electrical_room">#REF!</definedName>
    <definedName name="HEIGHT_Elev._equip">#REF!</definedName>
    <definedName name="HEIGHT_EP___01">#REF!</definedName>
    <definedName name="HEIGHT_EP___02">#REF!</definedName>
    <definedName name="HEIGHT_EP_01_S">#REF!</definedName>
    <definedName name="HEIGHT_EP_02_S">#REF!</definedName>
    <definedName name="HEIGHT_Epoxy_paint_anti_fungus">#REF!</definedName>
    <definedName name="HEIGHT_Excation">#REF!</definedName>
    <definedName name="HEIGHT_Exit_passageway">#REF!</definedName>
    <definedName name="HEIGHT_Exit_passageway.1">#REF!</definedName>
    <definedName name="HEIGHT_Exit_passageway.2">#REF!</definedName>
    <definedName name="HEIGHT_Exit_passageway.F">#REF!</definedName>
    <definedName name="HEIGHT_Exit_passageway_1">#REF!</definedName>
    <definedName name="HEIGHT_Fair_faced_concrete">#REF!</definedName>
    <definedName name="HEIGHT_False_Ceiling">#REF!</definedName>
    <definedName name="HEIGHT_Fan_room">#REF!</definedName>
    <definedName name="HEIGHT_Fan_room.2">#REF!</definedName>
    <definedName name="HEIGHT_Female_toilet_shower.F">#REF!</definedName>
    <definedName name="HEIGHT_Fencing">#REF!</definedName>
    <definedName name="HEIGHT_FF_conc._w_epoxy_paint_anti_fungus">#REF!</definedName>
    <definedName name="HEIGHT_Filters.RF">#REF!</definedName>
    <definedName name="HEIGHT_FIRE_FIGHTING_GR_656">#REF!</definedName>
    <definedName name="HEIGHT_Fire_riser">#REF!</definedName>
    <definedName name="HEIGHT_Fire_riser.F">#REF!</definedName>
    <definedName name="HEIGHT_FL_01_General_floor">#REF!</definedName>
    <definedName name="HEIGHT_FL_01_Ramps">#REF!</definedName>
    <definedName name="HEIGHT_FL_02_Traffic_islands___Raised_area">#REF!</definedName>
    <definedName name="HEIGHT_FL_03__Kerbs_3">#REF!</definedName>
    <definedName name="HEIGHT_FL_03_Raised_Kerbs">#REF!</definedName>
    <definedName name="HEIGHT_FL_04_Wheel_stops">#REF!</definedName>
    <definedName name="HEIGHT_FL_05_Bay_Numbers">#REF!</definedName>
    <definedName name="HEIGHT_FL_05_Disable_signage">#REF!</definedName>
    <definedName name="HEIGHT_FL_05_Left_turn_Arrow_616">#REF!</definedName>
    <definedName name="HEIGHT_FL_05_Parking_line_100mm_thk">#REF!</definedName>
    <definedName name="HEIGHT_FL_05_Parking_line_280mm_thk">#REF!</definedName>
    <definedName name="HEIGHT_FL_05_Parking_line_390mm_thk">#REF!</definedName>
    <definedName name="HEIGHT_FL_05_Parking_line_530mm_thk">#REF!</definedName>
    <definedName name="HEIGHT_FL_05_Right_turn_Arrow_615">#REF!</definedName>
    <definedName name="HEIGHT_FL_05_Straight_Arrow_614">#REF!</definedName>
    <definedName name="HEIGHT_FL_05_Straight_Right_Arrow_617">#REF!</definedName>
    <definedName name="HEIGHT_FL_06_Ped._Walkways">#REF!</definedName>
    <definedName name="HEIGHT_Footing_F1_400mm_high">#REF!</definedName>
    <definedName name="Height_from_invert_level_lf_tee_to_manhole">#REF!</definedName>
    <definedName name="HEIGHT_GB1_300X750mm">#REF!</definedName>
    <definedName name="HEIGHT_GB2_400X750mm">#REF!</definedName>
    <definedName name="HEIGHT_GENERATOR_1_GR_671">#REF!</definedName>
    <definedName name="HEIGHT_GENERATOR_2_GR_672">#REF!</definedName>
    <definedName name="HEIGHT_GIS_ROOM_GR_652">#REF!</definedName>
    <definedName name="HEIGHT_GIS_ROOM_under_eqpt__GR_652">#REF!</definedName>
    <definedName name="HEIGHT_GIS_ROOM_under_walkable__GR_652">#REF!</definedName>
    <definedName name="HEIGHT_Grade_Slab_200mm_thk">#REF!</definedName>
    <definedName name="HEIGHT_Ground_Beam_GB1_350X500_">#REF!</definedName>
    <definedName name="HEIGHT_Ground_Beam_GB2_300X500_">#REF!</definedName>
    <definedName name="HEIGHT_GUARD_ROOM_GR_666">#REF!</definedName>
    <definedName name="HEIGHT_GUARD_WC_GR_669">#REF!</definedName>
    <definedName name="HEIGHT_Hangar_11">#REF!</definedName>
    <definedName name="HEIGHT_Hangar_12">#REF!</definedName>
    <definedName name="HEIGHT_Imam_office">#REF!</definedName>
    <definedName name="HEIGHT_Janitor">#REF!</definedName>
    <definedName name="HEIGHT_Janitor.1">#REF!</definedName>
    <definedName name="HEIGHT_L1_300X400">#REF!</definedName>
    <definedName name="HEIGHT_L1_300X500">#REF!</definedName>
    <definedName name="HEIGHT_L1_300X600">#REF!</definedName>
    <definedName name="HEIGHT_L4_300X400">#REF!</definedName>
    <definedName name="HEIGHT_L4_300X500">#REF!</definedName>
    <definedName name="HEIGHT_L4_300X600">#REF!</definedName>
    <definedName name="HEIGHT_L4_350X500">#REF!</definedName>
    <definedName name="HEIGHT_L4_500X500">#REF!</definedName>
    <definedName name="HEIGHT_L6_300X300">#REF!</definedName>
    <definedName name="HEIGHT_L6_300X500">#REF!</definedName>
    <definedName name="HEIGHT_Line_hangar_1">#REF!</definedName>
    <definedName name="HEIGHT_Mech">#REF!</definedName>
    <definedName name="HEIGHT_Mech.">#REF!</definedName>
    <definedName name="HEIGHT_Mech.1">#REF!</definedName>
    <definedName name="HEIGHT_Mech.2">#REF!</definedName>
    <definedName name="HEIGHT_Mechanical">#REF!</definedName>
    <definedName name="HEIGHT_Mechanical.1">#REF!</definedName>
    <definedName name="HEIGHT_Mechanical.PH">#REF!</definedName>
    <definedName name="HEIGHT_Mechanical.RF">#REF!</definedName>
    <definedName name="HEIGHT_Mechanical_room">#REF!</definedName>
    <definedName name="HEIGHT_MEDIUM_VOLTAGE_RM_GR_670">#REF!</definedName>
    <definedName name="HEIGHT_Men_toilet_shower">#REF!</definedName>
    <definedName name="HEIGHT_Men_toilet_shower.1">#REF!</definedName>
    <definedName name="HEIGHT_Men_toilet_shower.F">#REF!</definedName>
    <definedName name="HEIGHT_Mens_toilet">#REF!</definedName>
    <definedName name="HEIGHT_Mens_toilet.F">#REF!</definedName>
    <definedName name="HEIGHT_Office">#REF!</definedName>
    <definedName name="HEIGHT_Office.1">#REF!</definedName>
    <definedName name="HEIGHT_Office_1">#REF!</definedName>
    <definedName name="HEIGHT_Office_2">#REF!</definedName>
    <definedName name="HEIGHT_Office_3">#REF!</definedName>
    <definedName name="HEIGHT_OFFICE_GR_663">#REF!</definedName>
    <definedName name="HEIGHT_OFFICE_GR_664">#REF!</definedName>
    <definedName name="HEIGHT_Offices">#REF!</definedName>
    <definedName name="HEIGHT_OIL_PIT_B_655">#REF!</definedName>
    <definedName name="HEIGHT_OIL_PIT_B_656">#REF!</definedName>
    <definedName name="HEIGHT_OIL_PIT_BS_654">#REF!</definedName>
    <definedName name="HEIGHT_Open_office">#REF!</definedName>
    <definedName name="HEIGHT_OPen_office.1">#REF!</definedName>
    <definedName name="HEIGHT_Open_office.F">#REF!</definedName>
    <definedName name="HEIGHT_Paint_hangar_1">#REF!</definedName>
    <definedName name="HEIGHT_Paint_hold.1">#REF!</definedName>
    <definedName name="HEIGHT_Paint_mix">#REF!</definedName>
    <definedName name="HEIGHT_Paint_mix.1">#REF!</definedName>
    <definedName name="HEIGHT_Paint_shop">#REF!</definedName>
    <definedName name="HEIGHT_Paint_shop.1">#REF!</definedName>
    <definedName name="HEIGHT_Paint_store">#REF!</definedName>
    <definedName name="HEIGHT_Painted_plaster">#REF!</definedName>
    <definedName name="HEIGHT_PANTRY_GR_662">#REF!</definedName>
    <definedName name="HEIGHT_Parapet_at_transformer_room">#REF!</definedName>
    <definedName name="HEIGHT_Parts">#REF!</definedName>
    <definedName name="HEIGHT_Parts.1">#REF!</definedName>
    <definedName name="HEIGHT_Parts_">#REF!</definedName>
    <definedName name="HEIGHT_Plaster_Anti_alkaline_paint">#REF!</definedName>
    <definedName name="HEIGHT_Plot_Area">#REF!</definedName>
    <definedName name="HEIGHT_Prayer_room">#REF!</definedName>
    <definedName name="HEIGHT_PT___10">#REF!</definedName>
    <definedName name="HEIGHT_PT_01_S">#REF!</definedName>
    <definedName name="HEIGHT_RC_base">#REF!</definedName>
    <definedName name="HEIGHT_RC_Wall">#REF!</definedName>
    <definedName name="HEIGHT_RC_Wall_300W_3500H">#REF!</definedName>
    <definedName name="HEIGHT_RC_Wall_300W_867H">#REF!</definedName>
    <definedName name="HEIGHT_RC_Wall_400W_3500H">#REF!</definedName>
    <definedName name="HEIGHT_RC_Wall_400W_3700H">#REF!</definedName>
    <definedName name="HEIGHT_RC_Wall_500W_11670H">#REF!</definedName>
    <definedName name="HEIGHT_RC_Wall_500W_12770H">#REF!</definedName>
    <definedName name="HEIGHT_RC_Wall_600W_4000H">#REF!</definedName>
    <definedName name="HEIGHT_RC_Wall_600W_5000H">#REF!</definedName>
    <definedName name="HEIGHT_RC_Wall_800W_4800H">#REF!</definedName>
    <definedName name="HEIGHT_RC_Wall_800W_6500H">#REF!</definedName>
    <definedName name="HEIGHT_Receiver_tanks">#REF!</definedName>
    <definedName name="HEIGHT_Removal_of_top_soil">#REF!</definedName>
    <definedName name="HEIGHT_Riser">#REF!</definedName>
    <definedName name="HEIGHT_Roof_Beam_RB1_300X600_">#REF!</definedName>
    <definedName name="HEIGHT_Roof_beam_RB1_400X600_">#REF!</definedName>
    <definedName name="HEIGHT_Roof_Beam_RB2_300X600_">#REF!</definedName>
    <definedName name="HEIGHT_Roof_beam_RB2_400X600_">#REF!</definedName>
    <definedName name="HEIGHT_Roof_beam_RB3_300X600_">#REF!</definedName>
    <definedName name="HEIGHT_Roof_beam_RB4_200X400_">#REF!</definedName>
    <definedName name="HEIGHT_Roof_parapet_300mm_high">#REF!</definedName>
    <definedName name="HEIGHT_Roof_Parapet_500mm_high">#REF!</definedName>
    <definedName name="HEIGHT_ROOF_RF_651">#REF!</definedName>
    <definedName name="HEIGHT_ROOF_RF_652">#REF!</definedName>
    <definedName name="HEIGHT_ROOF_RF_653">#REF!</definedName>
    <definedName name="HEIGHT_ROOF_RF_654">#REF!</definedName>
    <definedName name="HEIGHT_Roof_Slab_200mm_thick">#REF!</definedName>
    <definedName name="HEIGHT_Roof_slab_250mm_thk">#REF!</definedName>
    <definedName name="HEIGHT_SC_Columns_C1">#REF!</definedName>
    <definedName name="HEIGHT_SC_Columns_C2">#REF!</definedName>
    <definedName name="HEIGHT_Seat_storage.F1">#REF!</definedName>
    <definedName name="HEIGHT_Seat_storage.F2">#REF!</definedName>
    <definedName name="HEIGHT_SF_01_General_soffit">#REF!</definedName>
    <definedName name="HEIGHT_Slab_S2_180mm_thick">#REF!</definedName>
    <definedName name="HEIGHT_Slab_S3_200mm_thick">#REF!</definedName>
    <definedName name="HEIGHT_Slab_S4_220mm_thick">#REF!</definedName>
    <definedName name="HEIGHT_Slab_S5_250mm_thk">#REF!</definedName>
    <definedName name="HEIGHT_Sloped_Roof_160mm_thick">#REF!</definedName>
    <definedName name="HEIGHT_Smoking.1">#REF!</definedName>
    <definedName name="HEIGHT_Smoking.2">#REF!</definedName>
    <definedName name="HEIGHT_Smoking.F">#REF!</definedName>
    <definedName name="HEIGHT_SS_B1_300X600_450mm_deep">#REF!</definedName>
    <definedName name="HEIGHT_SS_B1_300X700_450mm_deep">#REF!</definedName>
    <definedName name="HEIGHT_SS_B1_300X700_500mm_deep">#REF!</definedName>
    <definedName name="HEIGHT_SS_B1_300X700X520mm_deep">#REF!</definedName>
    <definedName name="HEIGHT_SS_B10_300X600_350mm_deep">#REF!</definedName>
    <definedName name="HEIGHT_SS_B10_300X700_450mm_deep">#REF!</definedName>
    <definedName name="HEIGHT_SS_B10_300X700_480mm_deep">#REF!</definedName>
    <definedName name="HEIGHT_SS_B10_350X700_450mm_deep">#REF!</definedName>
    <definedName name="HEIGHT_SS_B10_350X700_500mm_deep">#REF!</definedName>
    <definedName name="HEIGHT_SS_B11_300X700_450mm_deep">#REF!</definedName>
    <definedName name="HEIGHT_SS_B11_400X800_550mm_deep">#REF!</definedName>
    <definedName name="HEIGHT_SS_B12_200X600_380mm_deep">#REF!</definedName>
    <definedName name="HEIGHT_SS_B12_300X700">#REF!</definedName>
    <definedName name="HEIGHT_SS_B12_300X700_500mm_deep">#REF!</definedName>
    <definedName name="HEIGHT_SS_B12_300X700_520mm_deep">#REF!</definedName>
    <definedName name="HEIGHT_SS_B12_300X700_580mm_deep">#REF!</definedName>
    <definedName name="HEIGHT_SS_B13_300X700_480mm_deep">#REF!</definedName>
    <definedName name="HEIGHT_SS_B13_350X700_450mm_deep">#REF!</definedName>
    <definedName name="HEIGHT_SS_B14_300X700_450mm_deep">#REF!</definedName>
    <definedName name="HEIGHT_SS_B14_300X700_500mm_deep">#REF!</definedName>
    <definedName name="HEIGHT_SS_B15_300X700_450mm_deep">#REF!</definedName>
    <definedName name="HEIGHT_SS_B15_350X700_450mm_deep">#REF!</definedName>
    <definedName name="HEIGHT_SS_B15_350X700_500mm_deep">#REF!</definedName>
    <definedName name="HEIGHT_SS_B16_300X700">#REF!</definedName>
    <definedName name="HEIGHT_SS_B16_300X700_520mm_deep">#REF!</definedName>
    <definedName name="HEIGHT_SS_B16_350X700_500mm_deep">#REF!</definedName>
    <definedName name="HEIGHT_SS_B17_300X700">#REF!</definedName>
    <definedName name="HEIGHT_SS_B18_300X700_480mm_deep">#REF!</definedName>
    <definedName name="HEIGHT_SS_B18_300X700_500mm_deep">#REF!</definedName>
    <definedName name="HEIGHT_SS_B18300X700">#REF!</definedName>
    <definedName name="HEIGHT_SS_B19_300X700_450mm_deep">#REF!</definedName>
    <definedName name="HEIGHT_SS_B19_300X700_500mm_deep">#REF!</definedName>
    <definedName name="HEIGHT_SS_B2_400X800_550mm_deep">#REF!</definedName>
    <definedName name="HEIGHT_SS_B20_300X700_450mm_deep">#REF!</definedName>
    <definedName name="HEIGHT_SS_B20_300X700_520mm_deep">#REF!</definedName>
    <definedName name="HEIGHT_SS_B21_300X700_450mm_deep">#REF!</definedName>
    <definedName name="HEIGHT_SS_B22_300X700_450mm_deep">#REF!</definedName>
    <definedName name="HEIGHT_SS_B23_300X700_500mm_deep">#REF!</definedName>
    <definedName name="HEIGHT_SS_B24_300X700_500mm_deep">#REF!</definedName>
    <definedName name="HEIGHT_SS_B25_300X700_480mm_deep">#REF!</definedName>
    <definedName name="HEIGHT_SS_B26_300X500_340mm_deep">#REF!</definedName>
    <definedName name="HEIGHT_SS_B27_300X500_340___deep">#REF!</definedName>
    <definedName name="HEIGHT_SS_B28_500X1000_750mm_deep">#REF!</definedName>
    <definedName name="HEIGHT_SS_B29_500X1000_750mm_deep">#REF!</definedName>
    <definedName name="HEIGHT_SS_B3_400X700_480mm_deep">#REF!</definedName>
    <definedName name="HEIGHT_SS_B3_400X800_550mm_deep">#REF!</definedName>
    <definedName name="HEIGHT_SS_B30_500X1000_750mm_deep">#REF!</definedName>
    <definedName name="HEIGHT_SS_B31_500X1000_750mm_deep">#REF!</definedName>
    <definedName name="HEIGHT_SS_B4_300X700_520mm_deep">#REF!</definedName>
    <definedName name="HEIGHT_SS_B4_400X800_550mm_deep">#REF!</definedName>
    <definedName name="HEIGHT_SS_B5_400X800_550mm_deep">#REF!</definedName>
    <definedName name="HEIGHT_SS_B6_300X600_350mm_deep">#REF!</definedName>
    <definedName name="HEIGHT_SS_B6_300X700">#REF!</definedName>
    <definedName name="HEIGHT_SS_B6_300X700_520mm_deep">#REF!</definedName>
    <definedName name="HEIGHT_SS_B7_200X700_450mm_deep">#REF!</definedName>
    <definedName name="HEIGHT_SS_B8_400X800_550mm_deep">#REF!</definedName>
    <definedName name="HEIGHT_SS_B9_300X600_350mm_deep">#REF!</definedName>
    <definedName name="HEIGHT_SS_B9_300X700_450mm_deep">#REF!</definedName>
    <definedName name="HEIGHT_SS_B9_350X700_450mm_deep">#REF!</definedName>
    <definedName name="HEIGHT_SS_B9_350X700_500mm_deep">#REF!</definedName>
    <definedName name="HEIGHT_SS_CA1_300X700">#REF!</definedName>
    <definedName name="HEIGHT_Stair">#REF!</definedName>
    <definedName name="HEIGHT_Stair.1">#REF!</definedName>
    <definedName name="HEIGHT_Stair_10">#REF!</definedName>
    <definedName name="HEIGHT_Stair_11">#REF!</definedName>
    <definedName name="HEIGHT_Stair_11A">#REF!</definedName>
    <definedName name="HEIGHT_Stair_12">#REF!</definedName>
    <definedName name="HEIGHT_Stair_12A">#REF!</definedName>
    <definedName name="HEIGHT_Stair_12B">#REF!</definedName>
    <definedName name="HEIGHT_Stair_13">#REF!</definedName>
    <definedName name="HEIGHT_Stair_14">#REF!</definedName>
    <definedName name="HEIGHT_STAIRCASE_ROOM_BS_668">#REF!</definedName>
    <definedName name="HEIGHT_Storage.1">#REF!</definedName>
    <definedName name="HEIGHT_Storage.F">#REF!</definedName>
    <definedName name="HEIGHT_Storage.F1">#REF!</definedName>
    <definedName name="HEIGHT_Storage.F2">#REF!</definedName>
    <definedName name="HEIGHT_Storage.F3">#REF!</definedName>
    <definedName name="HEIGHT_Storage_F">#REF!</definedName>
    <definedName name="HEIGHT_STORE_GR_655">#REF!</definedName>
    <definedName name="HEIGHT_Strip_footings_400mm_thk">#REF!</definedName>
    <definedName name="HEIGHT_Strip_footings_500mm_thk">#REF!</definedName>
    <definedName name="HEIGHT_Sub_Str._RC_Wall_250mm_thk">#REF!</definedName>
    <definedName name="HEIGHT_Sub_str._RC_Wall_400mm_thk">#REF!</definedName>
    <definedName name="HEIGHT_Sub_Str._Trench_wall_250mm_thick">#REF!</definedName>
    <definedName name="HEIGHT_Sub_Str.RC_Wall_300mm_thk">#REF!</definedName>
    <definedName name="HEIGHT_Superstr._Basement_Wall_250mm_thick">#REF!</definedName>
    <definedName name="HEIGHT_Surface_Bed_S_120mm_thick">#REF!</definedName>
    <definedName name="HEIGHT_Surface_Bed_S1_150mm_thick">#REF!</definedName>
    <definedName name="HEIGHT_Surface_Bed_S5_250mm_thk">#REF!</definedName>
    <definedName name="HEIGHT_Tech.">#REF!</definedName>
    <definedName name="HEIGHT_Tech._library">#REF!</definedName>
    <definedName name="HEIGHT_Tech.1">#REF!</definedName>
    <definedName name="HEIGHT_Tech_library.1">#REF!</definedName>
    <definedName name="HEIGHT_TL___01">#REF!</definedName>
    <definedName name="HEIGHT_TL___04">#REF!</definedName>
    <definedName name="HEIGHT_TL___09">#REF!</definedName>
    <definedName name="HEIGHT_TL___10">#REF!</definedName>
    <definedName name="HEIGHT_TL___11">#REF!</definedName>
    <definedName name="HEIGHT_TL___12_S">#REF!</definedName>
    <definedName name="HEIGHT_TL_04_S">#REF!</definedName>
    <definedName name="HEIGHT_TL_09_S">#REF!</definedName>
    <definedName name="HEIGHT_TOILETS_GR_661">#REF!</definedName>
    <definedName name="HEIGHT_Tool_crib">#REF!</definedName>
    <definedName name="HEIGHT_Tool_crib.1">#REF!</definedName>
    <definedName name="HEIGHT_Tools">#REF!</definedName>
    <definedName name="HEIGHT_Tools_CE_P">#REF!</definedName>
    <definedName name="HEIGHT_Tools_CE_P.1">#REF!</definedName>
    <definedName name="HEIGHT_Training.F">#REF!</definedName>
    <definedName name="HEIGHT_Training_room">#REF!</definedName>
    <definedName name="HEIGHT_Training_room.1">#REF!</definedName>
    <definedName name="HEIGHT_TRENCH_BS_653">#REF!</definedName>
    <definedName name="HEIGHT_TUNNEL_BS_652">#REF!</definedName>
    <definedName name="HEIGHT_Type_E_Scratched_Finish">#REF!</definedName>
    <definedName name="HEIGHT_Type_F_Smooth_finish">#REF!</definedName>
    <definedName name="HEIGHT_Warming_kitchen">#REF!</definedName>
    <definedName name="HEIGHT_Wash_hangar_2">#REF!</definedName>
    <definedName name="HEIGHT_WL_01_General_walls">#REF!</definedName>
    <definedName name="HEIGHT_WL_01_Upstand">#REF!</definedName>
    <definedName name="HEIGHT_WL_02_Columns_and_Corners">#REF!</definedName>
    <definedName name="HEIGHT_WL_03_Bollards___100dia">#REF!</definedName>
    <definedName name="HEIGHT_WL_03_Bollards___150dia">#REF!</definedName>
    <definedName name="HEIGHT_Womens_toilet">#REF!</definedName>
    <definedName name="HEIGHT_Womens_toilet.F">#REF!</definedName>
    <definedName name="HEIGHT_WORKSHOP_GR_667">#REF!</definedName>
    <definedName name="hello">#REF!</definedName>
    <definedName name="help1" hidden="1">{#N/A,#N/A,FALSE,"Project Summary";#N/A,#N/A,FALSE,"Parameter Summary";#N/A,#N/A,FALSE,"Budget Control Report";#N/A,#N/A,FALSE,"DETAIL.XLS"}</definedName>
    <definedName name="HERE">#REF!</definedName>
    <definedName name="HEW">#REF!</definedName>
    <definedName name="HF">#REF!</definedName>
    <definedName name="hfdgfdg" hidden="1">{#N/A,#N/A,FALSE,"CCTV"}</definedName>
    <definedName name="hfdgfdg_1" hidden="1">{#N/A,#N/A,FALSE,"CCTV"}</definedName>
    <definedName name="hfdgfdg_2" hidden="1">{#N/A,#N/A,FALSE,"CCTV"}</definedName>
    <definedName name="hfdhd"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 hidden="1">{#N/A,#N/A,TRUE,"Cover";#N/A,#N/A,TRUE,"Conts";#N/A,#N/A,TRUE,"VOS";#N/A,#N/A,TRUE,"Warrington";#N/A,#N/A,TRUE,"Widnes"}</definedName>
    <definedName name="hfghf"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localSheetId="7" hidden="1">{#N/A,#N/A,TRUE,"Cover";#N/A,#N/A,TRUE,"Conts";#N/A,#N/A,TRUE,"VOS";#N/A,#N/A,TRUE,"Warrington";#N/A,#N/A,TRUE,"Widnes"}</definedName>
    <definedName name="hfhgf" localSheetId="0" hidden="1">{#N/A,#N/A,TRUE,"Cover";#N/A,#N/A,TRUE,"Conts";#N/A,#N/A,TRUE,"VOS";#N/A,#N/A,TRUE,"Warrington";#N/A,#N/A,TRUE,"Widnes"}</definedName>
    <definedName name="hfhgf" localSheetId="9"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FJ">#REF!</definedName>
    <definedName name="hfjhhjj" hidden="1">{#N/A,#N/A,FALSE,"CCTV"}</definedName>
    <definedName name="hfjhhjj_1" hidden="1">{#N/A,#N/A,FALSE,"CCTV"}</definedName>
    <definedName name="hfjhhjj_2" hidden="1">{#N/A,#N/A,FALSE,"CCTV"}</definedName>
    <definedName name="HFS">#REF!</definedName>
    <definedName name="hg" hidden="1">{#N/A,#N/A,TRUE,"Front";#N/A,#N/A,TRUE,"Simple Letter";#N/A,#N/A,TRUE,"Inside";#N/A,#N/A,TRUE,"Contents";#N/A,#N/A,TRUE,"Basis";#N/A,#N/A,TRUE,"Inclusions";#N/A,#N/A,TRUE,"Exclusions";#N/A,#N/A,TRUE,"Areas";#N/A,#N/A,TRUE,"Summary";#N/A,#N/A,TRUE,"Detail"}</definedName>
    <definedName name="HGDSGJGFJGF" hidden="1">{#N/A,#N/A,FALSE,"배수2"}</definedName>
    <definedName name="HGDSGJGFJGF_1" hidden="1">{#N/A,#N/A,FALSE,"배수2"}</definedName>
    <definedName name="HGDSGJGFJGF_2" hidden="1">{#N/A,#N/A,FALSE,"배수2"}</definedName>
    <definedName name="hgeo">#REF!</definedName>
    <definedName name="hgfdhg">#REF!</definedName>
    <definedName name="hgfhfghgh" hidden="1">{#N/A,#N/A,TRUE,"Cover";#N/A,#N/A,TRUE,"Conts";#N/A,#N/A,TRUE,"VOS";#N/A,#N/A,TRUE,"Warrington";#N/A,#N/A,TRUE,"Widnes"}</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HH" hidden="1">{#N/A,#N/A,FALSE,"표지목차"}</definedName>
    <definedName name="HGHH_1" hidden="1">{#N/A,#N/A,FALSE,"표지목차"}</definedName>
    <definedName name="HGHH_2" hidden="1">{#N/A,#N/A,FALSE,"표지목차"}</definedName>
    <definedName name="hgjfgh" hidden="1">{#N/A,#N/A,FALSE,"CCTV"}</definedName>
    <definedName name="hgjfgh_1" hidden="1">{#N/A,#N/A,FALSE,"CCTV"}</definedName>
    <definedName name="hgjfgh_2" hidden="1">{#N/A,#N/A,FALSE,"CCTV"}</definedName>
    <definedName name="hgjgfhgh" hidden="1">{#N/A,#N/A,FALSE,"CCTV"}</definedName>
    <definedName name="hgjgfhgh_1" hidden="1">{#N/A,#N/A,FALSE,"CCTV"}</definedName>
    <definedName name="hgjgfhgh_2" hidden="1">{#N/A,#N/A,FALSE,"CCTV"}</definedName>
    <definedName name="hgjhj" hidden="1">{#N/A,#N/A,TRUE,"Front";#N/A,#N/A,TRUE,"Simple Letter";#N/A,#N/A,TRUE,"Inside";#N/A,#N/A,TRUE,"Contents";#N/A,#N/A,TRUE,"Basis";#N/A,#N/A,TRUE,"Inclusions";#N/A,#N/A,TRUE,"Exclusions";#N/A,#N/A,TRUE,"Areas";#N/A,#N/A,TRUE,"Summary";#N/A,#N/A,TRUE,"Detail"}</definedName>
    <definedName name="hgkhkg" localSheetId="7" hidden="1">{#N/A,#N/A,TRUE,"Cover";#N/A,#N/A,TRUE,"Conts";#N/A,#N/A,TRUE,"VOS";#N/A,#N/A,TRUE,"Warrington";#N/A,#N/A,TRUE,"Widnes"}</definedName>
    <definedName name="hgkhkg" localSheetId="0" hidden="1">{#N/A,#N/A,TRUE,"Cover";#N/A,#N/A,TRUE,"Conts";#N/A,#N/A,TRUE,"VOS";#N/A,#N/A,TRUE,"Warrington";#N/A,#N/A,TRUE,"Widnes"}</definedName>
    <definedName name="hgkhkg" localSheetId="9"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gkhlh" hidden="1">{"'Break down'!$A$4"}</definedName>
    <definedName name="HH">#REF!</definedName>
    <definedName name="hh_1" hidden="1">{#N/A,#N/A,FALSE,"CCTV"}</definedName>
    <definedName name="hh_2" hidden="1">{#N/A,#N/A,FALSE,"CCTV"}</definedName>
    <definedName name="hhd"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fgh" hidden="1">{#N/A,#N/A,TRUE,"Cover";#N/A,#N/A,TRUE,"Conts";#N/A,#N/A,TRUE,"VOS";#N/A,#N/A,TRUE,"Warrington";#N/A,#N/A,TRUE,"Widnes"}</definedName>
    <definedName name="hhg">#REF!</definedName>
    <definedName name="hhghddkdk">#REF!</definedName>
    <definedName name="hhh">#REF!</definedName>
    <definedName name="HHH_1" hidden="1">{#N/A,#N/A,FALSE,"CCTV"}</definedName>
    <definedName name="HHH_2" hidden="1">{#N/A,#N/A,FALSE,"CCTV"}</definedName>
    <definedName name="hhhh">#REF!</definedName>
    <definedName name="hhhhh" hidden="1">{#N/A,#N/A,FALSE,"SumG";#N/A,#N/A,FALSE,"ElecG";#N/A,#N/A,FALSE,"MechG";#N/A,#N/A,FALSE,"GeotG";#N/A,#N/A,FALSE,"PrcsG";#N/A,#N/A,FALSE,"TunnG";#N/A,#N/A,FALSE,"CivlG";#N/A,#N/A,FALSE,"NtwkG";#N/A,#N/A,FALSE,"EstgG";#N/A,#N/A,FALSE,"PEngG"}</definedName>
    <definedName name="hhhhhh" hidden="1">#REF!</definedName>
    <definedName name="hhhhhhh" hidden="1">{#N/A,#N/A,TRUE,"LOADCOVE";#N/A,#N/A,TRUE,"PAGE001";#N/A,#N/A,TRUE,"PAGE002";#N/A,#N/A,TRUE,"PAGE003";#N/A,#N/A,TRUE,"PAGE004";#N/A,#N/A,TRUE,"PAGE005";#N/A,#N/A,TRUE,"PAGE006";#N/A,#N/A,TRUE,"PAGE007";#N/A,#N/A,TRUE,"PAGE008";#N/A,#N/A,TRUE,"PAGE009";#N/A,#N/A,TRUE,"PAGE010";#N/A,#N/A,TRUE,"PAGE011";#N/A,#N/A,TRUE,"PAGE012";#N/A,#N/A,TRUE,"PAGE013"}</definedName>
    <definedName name="hhhhhhhh"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HHHHHHHHHHHHHHHHHHHH" hidden="1">{#N/A,#N/A,FALSE,"토공2"}</definedName>
    <definedName name="HHHHHHHHHHHHHHHHHHHHH_1" hidden="1">{#N/A,#N/A,FALSE,"토공2"}</definedName>
    <definedName name="HHHHHHHHHHHHHHHHHHHHH_2" hidden="1">{#N/A,#N/A,FALSE,"토공2"}</definedName>
    <definedName name="HHHJ" hidden="1">{#N/A,#N/A,TRUE,"Cover";#N/A,#N/A,TRUE,"Conts";#N/A,#N/A,TRUE,"VOS";#N/A,#N/A,TRUE,"Warrington";#N/A,#N/A,TRUE,"Widnes"}</definedName>
    <definedName name="hhuuyvv" hidden="1">{#N/A,#N/A,TRUE,"Front";#N/A,#N/A,TRUE,"Simple Letter";#N/A,#N/A,TRUE,"Inside";#N/A,#N/A,TRUE,"Contents";#N/A,#N/A,TRUE,"Basis";#N/A,#N/A,TRUE,"Inclusions";#N/A,#N/A,TRUE,"Exclusions";#N/A,#N/A,TRUE,"Areas";#N/A,#N/A,TRUE,"Summary";#N/A,#N/A,TRUE,"Detail"}</definedName>
    <definedName name="hi">#REF!</definedName>
    <definedName name="HiddenRows" hidden="1">#REF!</definedName>
    <definedName name="HIGHINSU">#REF!</definedName>
    <definedName name="hii">#REF!</definedName>
    <definedName name="hiii">#REF!</definedName>
    <definedName name="hik" hidden="1">{#N/A,#N/A,FALSE,"TABLE"}</definedName>
    <definedName name="Hire">#REF!</definedName>
    <definedName name="hiulj" hidden="1">{"EVA",#N/A,FALSE,"EVA";"WACC",#N/A,FALSE,"WACC"}</definedName>
    <definedName name="hj" hidden="1">#REF!</definedName>
    <definedName name="hj_1" hidden="1">{"'Sheet1'!$L$16"}</definedName>
    <definedName name="hj_2" hidden="1">{"'Sheet1'!$L$16"}</definedName>
    <definedName name="hjdj" localSheetId="7" hidden="1">{#N/A,#N/A,TRUE,"Cover";#N/A,#N/A,TRUE,"Conts";#N/A,#N/A,TRUE,"VOS";#N/A,#N/A,TRUE,"Warrington";#N/A,#N/A,TRUE,"Widnes"}</definedName>
    <definedName name="hjdj" localSheetId="0" hidden="1">{#N/A,#N/A,TRUE,"Cover";#N/A,#N/A,TRUE,"Conts";#N/A,#N/A,TRUE,"VOS";#N/A,#N/A,TRUE,"Warrington";#N/A,#N/A,TRUE,"Widnes"}</definedName>
    <definedName name="hjdj" localSheetId="9"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jh" hidden="1">{#N/A,#N/A,TRUE,"LOADCOVE";#N/A,#N/A,TRUE,"PAGE001";#N/A,#N/A,TRUE,"PAGE002";#N/A,#N/A,TRUE,"PAGE003";#N/A,#N/A,TRUE,"PAGE004";#N/A,#N/A,TRUE,"PAGE005";#N/A,#N/A,TRUE,"PAGE006";#N/A,#N/A,TRUE,"PAGE007";#N/A,#N/A,TRUE,"PAGE008";#N/A,#N/A,TRUE,"PAGE009";#N/A,#N/A,TRUE,"PAGE010";#N/A,#N/A,TRUE,"PAGE011";#N/A,#N/A,TRUE,"PAGE012";#N/A,#N/A,TRUE,"PAGE013"}</definedName>
    <definedName name="hjk" hidden="1">{#N/A,#N/A,FALSE,"MARCH"}</definedName>
    <definedName name="hjsfhso" hidden="1">{#N/A,#N/A,FALSE,"III-1 Sum.Dem";#N/A,#N/A,FALSE,"III-2 RER.Dem.Pop";#N/A,#N/A,FALSE,"III-3 RER.Cap.Pop";#N/A,#N/A,FALSE,"III-4 RER.Dem.TCSS";#N/A,#N/A,FALSE,"III-5 RER.Cap.TCSS";#N/A,#N/A,FALSE,"III-6 Pow.Center.Dem";#N/A,#N/A,FALSE,"III-7 Off.Demand";#N/A,#N/A,FALSE,"III-8 Htl.Dem"}</definedName>
    <definedName name="hjy" hidden="1">{"'Break down'!$A$4"}</definedName>
    <definedName name="hk"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kuui">#REF!</definedName>
    <definedName name="HL">#REF!</definedName>
    <definedName name="hm" hidden="1">{#N/A,#N/A,TRUE,"LOADCOVE";#N/A,#N/A,TRUE,"PAGE001";#N/A,#N/A,TRUE,"PAGE002";#N/A,#N/A,TRUE,"PAGE003";#N/A,#N/A,TRUE,"PAGE004";#N/A,#N/A,TRUE,"PAGE005";#N/A,#N/A,TRUE,"PAGE006";#N/A,#N/A,TRUE,"PAGE007";#N/A,#N/A,TRUE,"PAGE008";#N/A,#N/A,TRUE,"PAGE009";#N/A,#N/A,TRUE,"PAGE010";#N/A,#N/A,TRUE,"PAGE011";#N/A,#N/A,TRUE,"PAGE012";#N/A,#N/A,TRUE,"PAGE013"}</definedName>
    <definedName name="hmliynklyh" hidden="1">{#N/A,#N/A,TRUE,"Front";#N/A,#N/A,TRUE,"Simple Letter";#N/A,#N/A,TRUE,"Inside";#N/A,#N/A,TRUE,"Contents";#N/A,#N/A,TRUE,"Basis";#N/A,#N/A,TRUE,"Inclusions";#N/A,#N/A,TRUE,"Exclusions";#N/A,#N/A,TRUE,"Areas";#N/A,#N/A,TRUE,"Summary";#N/A,#N/A,TRUE,"Detail"}</definedName>
    <definedName name="Ho">#REF!</definedName>
    <definedName name="HOME">#REF!</definedName>
    <definedName name="Home_Ofc_OT">#REF!</definedName>
    <definedName name="Home_Ofc_ST">#REF!</definedName>
    <definedName name="HorizontalArea">#REF!</definedName>
    <definedName name="horrrrrr" hidden="1">{"'INDICE'!$A$4:$I$27"}</definedName>
    <definedName name="Hos">#REF!</definedName>
    <definedName name="HOSSAM">#REF!</definedName>
    <definedName name="Hot">#REF!</definedName>
    <definedName name="HOT_TAP">#REF!</definedName>
    <definedName name="HOT_TAP_ASSIST">#REF!</definedName>
    <definedName name="HOURS_A">#REF!</definedName>
    <definedName name="HOURS_C">#REF!</definedName>
    <definedName name="Hours_Per_Month_For_Recitals">#REF!</definedName>
    <definedName name="Hours_Per_Month_For_Ss_And_FCs">#REF!</definedName>
    <definedName name="How">#REF!</definedName>
    <definedName name="Howt">#REF!</definedName>
    <definedName name="Hp">#REF!</definedName>
    <definedName name="HpGPMFth">IF(#REF!&lt;&gt;0,(ROUND(#REF!*#REF!/3364*1.33,0)),0)</definedName>
    <definedName name="HPL">#REF!</definedName>
    <definedName name="Hpp">#REF!</definedName>
    <definedName name="HPS">#REF!</definedName>
    <definedName name="HR">#REF!</definedName>
    <definedName name="HR_BUDGET" hidden="1">{#N/A,#N/A,FALSE,"Cover";#N/A,#N/A,FALSE,"Index";#N/A,#N/A,FALSE,"Spec";#N/A,#N/A,FALSE,"Breakdown";#N/A,#N/A,FALSE,"Cost Plan"}</definedName>
    <definedName name="hrcs">#REF!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rths">IF(ISNA(MATCH(ROW(),RowAfterpgbrk,1)),1,MATCH(ROW(),RowAfterpgbrk,1)+1)</definedName>
    <definedName name="Hs">#REF!</definedName>
    <definedName name="HSB">#REF!</definedName>
    <definedName name="HSH">#REF!</definedName>
    <definedName name="hshfdssfsfd" hidden="1">{#N/A,#N/A,FALSE,"MAINTENANCE"}</definedName>
    <definedName name="hshjy" localSheetId="7" hidden="1">{#N/A,#N/A,TRUE,"Cover";#N/A,#N/A,TRUE,"Conts";#N/A,#N/A,TRUE,"VOS";#N/A,#N/A,TRUE,"Warrington";#N/A,#N/A,TRUE,"Widnes"}</definedName>
    <definedName name="hshjy" localSheetId="0" hidden="1">{#N/A,#N/A,TRUE,"Cover";#N/A,#N/A,TRUE,"Conts";#N/A,#N/A,TRUE,"VOS";#N/A,#N/A,TRUE,"Warrington";#N/A,#N/A,TRUE,"Widnes"}</definedName>
    <definedName name="hshjy" localSheetId="9"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7" hidden="1">{#N/A,#N/A,TRUE,"Cover";#N/A,#N/A,TRUE,"Conts";#N/A,#N/A,TRUE,"VOS";#N/A,#N/A,TRUE,"Warrington";#N/A,#N/A,TRUE,"Widnes"}</definedName>
    <definedName name="hshxdht" localSheetId="0" hidden="1">{#N/A,#N/A,TRUE,"Cover";#N/A,#N/A,TRUE,"Conts";#N/A,#N/A,TRUE,"VOS";#N/A,#N/A,TRUE,"Warrington";#N/A,#N/A,TRUE,"Widnes"}</definedName>
    <definedName name="hshxdht" localSheetId="9"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jha" hidden="1">{#N/A,#N/A,TRUE,"Front";#N/A,#N/A,TRUE,"Simple Letter";#N/A,#N/A,TRUE,"Inside";#N/A,#N/A,TRUE,"Contents";#N/A,#N/A,TRUE,"Basis";#N/A,#N/A,TRUE,"Inclusions";#N/A,#N/A,TRUE,"Exclusions";#N/A,#N/A,TRUE,"Areas";#N/A,#N/A,TRUE,"Summary";#N/A,#N/A,TRUE,"Detail"}</definedName>
    <definedName name="hsyhjtyhj" localSheetId="7" hidden="1">{#N/A,#N/A,TRUE,"Cover";#N/A,#N/A,TRUE,"Conts";#N/A,#N/A,TRUE,"VOS";#N/A,#N/A,TRUE,"Warrington";#N/A,#N/A,TRUE,"Widnes"}</definedName>
    <definedName name="hsyhjtyhj" localSheetId="0" hidden="1">{#N/A,#N/A,TRUE,"Cover";#N/A,#N/A,TRUE,"Conts";#N/A,#N/A,TRUE,"VOS";#N/A,#N/A,TRUE,"Warrington";#N/A,#N/A,TRUE,"Widnes"}</definedName>
    <definedName name="hsyhjtyhj" localSheetId="9"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 hidden="1">{"'Break down'!$A$4"}</definedName>
    <definedName name="htggf" hidden="1">{#N/A,#N/A,TRUE,"Front";#N/A,#N/A,TRUE,"Simple Letter";#N/A,#N/A,TRUE,"Inside";#N/A,#N/A,TRUE,"Contents";#N/A,#N/A,TRUE,"Basis";#N/A,#N/A,TRUE,"Inclusions";#N/A,#N/A,TRUE,"Exclusions";#N/A,#N/A,TRUE,"Areas";#N/A,#N/A,TRUE,"Summary";#N/A,#N/A,TRUE,"Detail"}</definedName>
    <definedName name="hth">#REF!</definedName>
    <definedName name="hthuj" hidden="1">{#N/A,#N/A,TRUE,"Front";#N/A,#N/A,TRUE,"Simple Letter";#N/A,#N/A,TRUE,"Inside";#N/A,#N/A,TRUE,"Contents";#N/A,#N/A,TRUE,"Basis";#N/A,#N/A,TRUE,"Inclusions";#N/A,#N/A,TRUE,"Exclusions";#N/A,#N/A,TRUE,"Areas";#N/A,#N/A,TRUE,"Summary";#N/A,#N/A,TRUE,"Detail"}</definedName>
    <definedName name="HTML" hidden="1">{"'장비'!$A$3:$M$12"}</definedName>
    <definedName name="HTML__Control" hidden="1">{"'Sheet1'!$L$16"}</definedName>
    <definedName name="HTML_1" hidden="1">{"'장비'!$A$3:$M$12"}</definedName>
    <definedName name="HTML_2" hidden="1">{"'장비'!$A$3:$M$12"}</definedName>
    <definedName name="HTML_CodePage" hidden="1">949</definedName>
    <definedName name="HTML_CodePage1" hidden="1">9</definedName>
    <definedName name="HTML_CONTORL1" hidden="1">{"'장비'!$A$3:$M$12"}</definedName>
    <definedName name="HTML_Control" hidden="1">{"'Sheet1'!$L$16"}</definedName>
    <definedName name="HTML_Control_1" hidden="1">{"'Appendix 3 Currency'!$A$1:$U$96"}</definedName>
    <definedName name="HTML_Control_2" hidden="1">{"'장비'!$A$3:$M$12"}</definedName>
    <definedName name="HTML_Control1" hidden="1">{"'Break down'!$A$4"}</definedName>
    <definedName name="HTML_Description" hidden="1">""</definedName>
    <definedName name="HTML_Email" hidden="1">""</definedName>
    <definedName name="HTML_Header" hidden="1">"장비"</definedName>
    <definedName name="HTML_Header1" hidden="1">"Break down"</definedName>
    <definedName name="HTML_LastUpdate" hidden="1">"97-08-05"</definedName>
    <definedName name="HTML_LastUpdate1" hidden="1">"6/7/98"</definedName>
    <definedName name="HTML_LineAfter" hidden="1">FALSE</definedName>
    <definedName name="HTML_LineBefore" hidden="1">FALSE</definedName>
    <definedName name="HTML_Name" hidden="1">"이진화"</definedName>
    <definedName name="HTML_Name1" hidden="1">"PAUL MATHEW"</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File1" hidden="1">"C:\WINDOWS\MSAPPS\MyHTML.htm"</definedName>
    <definedName name="HTML_PathTemplate" hidden="1">"C:\My Documents\Const_Sov_REV\HTMLTemp.htm"</definedName>
    <definedName name="HTML_Title" hidden="1">"가산동미라보"</definedName>
    <definedName name="HTML_Title1" hidden="1">"Break_down"</definedName>
    <definedName name="HTML1" hidden="1">{"'장비'!$A$3:$M$12"}</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"[mnsavg.xls]Sheet1!$A$4:$K$33"</definedName>
    <definedName name="HTML2_10" hidden="1">""</definedName>
    <definedName name="HTML2_11" hidden="1">1</definedName>
    <definedName name="HTML2_12" hidden="1">"A:\mnsavg.htm"</definedName>
    <definedName name="HTML2_2" hidden="1">1</definedName>
    <definedName name="HTML2_3" hidden="1">"mnsavg"</definedName>
    <definedName name="HTML2_4" hidden="1">"Sheet1"</definedName>
    <definedName name="HTML2_5" hidden="1">""</definedName>
    <definedName name="HTML2_6" hidden="1">-4146</definedName>
    <definedName name="HTML2_7" hidden="1">-4146</definedName>
    <definedName name="HTML2_8" hidden="1">"98-10-26"</definedName>
    <definedName name="HTML2_9" hidden="1">"한국외환은행"</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"[keb97avrg.xls]Sheet1!$A$4:$O$32"</definedName>
    <definedName name="HTML3_10" hidden="1">""</definedName>
    <definedName name="HTML3_11" hidden="1">1</definedName>
    <definedName name="HTML3_12" hidden="1">"A:\97mns.htm"</definedName>
    <definedName name="HTML3_2" hidden="1">1</definedName>
    <definedName name="HTML3_3" hidden="1">"keb97avrg"</definedName>
    <definedName name="HTML3_4" hidden="1">"Sheet1"</definedName>
    <definedName name="HTML3_5" hidden="1">""</definedName>
    <definedName name="HTML3_6" hidden="1">-4146</definedName>
    <definedName name="HTML3_7" hidden="1">-4146</definedName>
    <definedName name="HTML3_8" hidden="1">"99-02-08"</definedName>
    <definedName name="HTML3_9" hidden="1">"한국외환은행"</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ntrol" hidden="1">{"'장비'!$A$3:$M$12"}</definedName>
    <definedName name="HTMLCount" hidden="1">2</definedName>
    <definedName name="htr" hidden="1">{"'Break down'!$A$4"}</definedName>
    <definedName name="HTR_COUNT">#REF!</definedName>
    <definedName name="htrhrsth" localSheetId="7" hidden="1">{#N/A,#N/A,TRUE,"Cover";#N/A,#N/A,TRUE,"Conts";#N/A,#N/A,TRUE,"VOS";#N/A,#N/A,TRUE,"Warrington";#N/A,#N/A,TRUE,"Widnes"}</definedName>
    <definedName name="htrhrsth" localSheetId="0" hidden="1">{#N/A,#N/A,TRUE,"Cover";#N/A,#N/A,TRUE,"Conts";#N/A,#N/A,TRUE,"VOS";#N/A,#N/A,TRUE,"Warrington";#N/A,#N/A,TRUE,"Widnes"}</definedName>
    <definedName name="htrhrsth" localSheetId="9"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trruj" hidden="1">{#N/A,#N/A,TRUE,"Front";#N/A,#N/A,TRUE,"Simple Letter";#N/A,#N/A,TRUE,"Inside";#N/A,#N/A,TRUE,"Contents";#N/A,#N/A,TRUE,"Basis";#N/A,#N/A,TRUE,"Inclusions";#N/A,#N/A,TRUE,"Exclusions";#N/A,#N/A,TRUE,"Areas";#N/A,#N/A,TRUE,"Summary";#N/A,#N/A,TRUE,"Detail"}</definedName>
    <definedName name="HTS">#REF!</definedName>
    <definedName name="Htsw">#REF!</definedName>
    <definedName name="httr" hidden="1">{#N/A,#N/A,TRUE,"Front";#N/A,#N/A,TRUE,"Simple Letter";#N/A,#N/A,TRUE,"Inside";#N/A,#N/A,TRUE,"Contents";#N/A,#N/A,TRUE,"Basis";#N/A,#N/A,TRUE,"Inclusions";#N/A,#N/A,TRUE,"Exclusions";#N/A,#N/A,TRUE,"Areas";#N/A,#N/A,TRUE,"Summary";#N/A,#N/A,TRUE,"Detail"}</definedName>
    <definedName name="Htw">#REF!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ing">#REF!</definedName>
    <definedName name="htwing_1">#N/A</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t">#REF!</definedName>
    <definedName name="hu" hidden="1">{"'Break down'!$A$4"}</definedName>
    <definedName name="huil" hidden="1">{#N/A,#N/A,TRUE,"LOADCOVE";#N/A,#N/A,TRUE,"PAGE001";#N/A,#N/A,TRUE,"PAGE002";#N/A,#N/A,TRUE,"PAGE003";#N/A,#N/A,TRUE,"PAGE004";#N/A,#N/A,TRUE,"PAGE005";#N/A,#N/A,TRUE,"PAGE006";#N/A,#N/A,TRUE,"PAGE007";#N/A,#N/A,TRUE,"PAGE008";#N/A,#N/A,TRUE,"PAGE009";#N/A,#N/A,TRUE,"PAGE010";#N/A,#N/A,TRUE,"PAGE011";#N/A,#N/A,TRUE,"PAGE012";#N/A,#N/A,TRUE,"PAGE013"}</definedName>
    <definedName name="Humbird">#REF!</definedName>
    <definedName name="hutgfru" localSheetId="7" hidden="1">{#N/A,#N/A,TRUE,"Cover";#N/A,#N/A,TRUE,"Conts";#N/A,#N/A,TRUE,"VOS";#N/A,#N/A,TRUE,"Warrington";#N/A,#N/A,TRUE,"Widnes"}</definedName>
    <definedName name="hutgfru" localSheetId="0" hidden="1">{#N/A,#N/A,TRUE,"Cover";#N/A,#N/A,TRUE,"Conts";#N/A,#N/A,TRUE,"VOS";#N/A,#N/A,TRUE,"Warrington";#N/A,#N/A,TRUE,"Widnes"}</definedName>
    <definedName name="hutgfru" localSheetId="9"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huy" hidden="1">{"'Sheet1'!$L$16"}</definedName>
    <definedName name="HV_0TO5T">#REF!</definedName>
    <definedName name="HV_101TO150T">#REF!</definedName>
    <definedName name="HV_11TO20T">#REF!</definedName>
    <definedName name="HV_151TO200T">#REF!</definedName>
    <definedName name="HV_201TO250T">#REF!</definedName>
    <definedName name="HV_21TO30T">#REF!</definedName>
    <definedName name="HV_251TO300T">#REF!</definedName>
    <definedName name="HV_31TO40T">#REF!</definedName>
    <definedName name="HV_41TO60T">#REF!</definedName>
    <definedName name="HV_61TO100T">#REF!</definedName>
    <definedName name="HV_6TO10T">#REF!</definedName>
    <definedName name="HV_A300T">#REF!</definedName>
    <definedName name="HVAA">#REF!</definedName>
    <definedName name="HVAB">#REF!</definedName>
    <definedName name="hvac">#REF!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W">#REF!</definedName>
    <definedName name="Hwb">#REF!</definedName>
    <definedName name="hwk" hidden="1">{#N/A,#N/A,FALSE,"OAS";#N/A,#N/A,FALSE,"OBG";#N/A,#N/A,FALSE,"OCZ";#N/A,#N/A,FALSE,"OFR";#N/A,#N/A,FALSE,"OGR";#N/A,#N/A,FALSE,"OGY";#N/A,#N/A,FALSE,"OHY ";#N/A,#N/A,FALSE,"OLX";#N/A,#N/A,FALSE,"ONL";#N/A,#N/A,FALSE,"OPO";#N/A,#N/A,FALSE,"OPL";#N/A,#N/A,FALSE,"OSK";#N/A,#N/A,FALSE,"OSP";#N/A,#N/A,FALSE,"OSZ";#N/A,#N/A,FALSE,"OTU";#N/A,#N/A,FALSE,"OUK"}</definedName>
    <definedName name="HWL">#REF!</definedName>
    <definedName name="HWR">#REF!</definedName>
    <definedName name="Hx">#REF!</definedName>
    <definedName name="Hy" hidden="1">{"ECA Qtrs C",#N/A,TRUE,"ECA_Qtrs_C";"ECA Qtrs D",#N/A,TRUE,"ECA_Qtrs_D";"ECA Qtrs F",#N/A,TRUE,"ECA_Qtrs_F";"ECA Qtrs G",#N/A,TRUE,"ECA_Qtrs_G";"ECA SisterApt",#N/A,TRUE,"ECA_SisterApt";"ECA Nurses",#N/A,TRUE,"ECA_NursesHostel"}</definedName>
    <definedName name="HYDBN" hidden="1">{#N/A,#N/A,TRUE,"Cover";#N/A,#N/A,TRUE,"Conts";#N/A,#N/A,TRUE,"VOS";#N/A,#N/A,TRUE,"Warrington";#N/A,#N/A,TRUE,"Widnes"}</definedName>
    <definedName name="HYDROTEST">#REF!</definedName>
    <definedName name="hyuguy" hidden="1">{#N/A,#N/A,TRUE,"Front";#N/A,#N/A,TRUE,"Simple Letter";#N/A,#N/A,TRUE,"Inside";#N/A,#N/A,TRUE,"Contents";#N/A,#N/A,TRUE,"Basis";#N/A,#N/A,TRUE,"Inclusions";#N/A,#N/A,TRUE,"Exclusions";#N/A,#N/A,TRUE,"Areas";#N/A,#N/A,TRUE,"Summary";#N/A,#N/A,TRUE,"Detail"}</definedName>
    <definedName name="Hz">#REF!</definedName>
    <definedName name="I">{#N/A,#N/A,TRUE,"Cover";#N/A,#N/A,TRUE,"Conts";#N/A,#N/A,TRUE,"VOS";#N/A,#N/A,TRUE,"Warrington";#N/A,#N/A,TRUE,"Widnes"}</definedName>
    <definedName name="I.01">#REF!</definedName>
    <definedName name="I.02">#REF!</definedName>
    <definedName name="I.03">#REF!</definedName>
    <definedName name="I.04">#REF!</definedName>
    <definedName name="I.05">#REF!</definedName>
    <definedName name="i.d" hidden="1">{"'Break down'!$A$4"}</definedName>
    <definedName name="I_Activities">#REF!</definedName>
    <definedName name="I_Bechtel">#REF!</definedName>
    <definedName name="I_Equip_OS_Tot">#REF!</definedName>
    <definedName name="I_Equip_Plan_Tot">#REF!</definedName>
    <definedName name="I_Equip_Work_Tot">#REF!</definedName>
    <definedName name="I_Man_Tot">#REF!</definedName>
    <definedName name="I_NM_Tot">#REF!</definedName>
    <definedName name="I_Steel">#REF!</definedName>
    <definedName name="i8uiuyi" localSheetId="7" hidden="1">{#N/A,#N/A,TRUE,"Cover";#N/A,#N/A,TRUE,"Conts";#N/A,#N/A,TRUE,"VOS";#N/A,#N/A,TRUE,"Warrington";#N/A,#N/A,TRUE,"Widnes"}</definedName>
    <definedName name="i8uiuyi" localSheetId="0" hidden="1">{#N/A,#N/A,TRUE,"Cover";#N/A,#N/A,TRUE,"Conts";#N/A,#N/A,TRUE,"VOS";#N/A,#N/A,TRUE,"Warrington";#N/A,#N/A,TRUE,"Widnes"}</definedName>
    <definedName name="i8uiuyi" localSheetId="9"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CE">#REF!</definedName>
    <definedName name="id">#REF!</definedName>
    <definedName name="IDLBMH">#REF!</definedName>
    <definedName name="IDLBMHCOST">#REF!</definedName>
    <definedName name="IDLCMH">#REF!</definedName>
    <definedName name="IDLCMHCOST">#REF!</definedName>
    <definedName name="idpvol">#REF!</definedName>
    <definedName name="idpvol_1">#N/A</definedName>
    <definedName name="ie" hidden="1">{"'Sheet1'!$L$16"}</definedName>
    <definedName name="ie_1" hidden="1">{"'Sheet1'!$L$16"}</definedName>
    <definedName name="ie_2" hidden="1">{"'Sheet1'!$L$16"}</definedName>
    <definedName name="IELWSALES">#REF!</definedName>
    <definedName name="IELYSALES">#REF!</definedName>
    <definedName name="IEPLANSALES">#REF!</definedName>
    <definedName name="IESP">#REF!</definedName>
    <definedName name="If">#REF!</definedName>
    <definedName name="IGLE" hidden="1">#REF!</definedName>
    <definedName name="ihg" localSheetId="7" hidden="1">{#N/A,#N/A,TRUE,"Cover";#N/A,#N/A,TRUE,"Conts";#N/A,#N/A,TRUE,"VOS";#N/A,#N/A,TRUE,"Warrington";#N/A,#N/A,TRUE,"Widnes"}</definedName>
    <definedName name="ihg" localSheetId="0" hidden="1">{#N/A,#N/A,TRUE,"Cover";#N/A,#N/A,TRUE,"Conts";#N/A,#N/A,TRUE,"VOS";#N/A,#N/A,TRUE,"Warrington";#N/A,#N/A,TRUE,"Widnes"}</definedName>
    <definedName name="ihg" localSheetId="9"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7" hidden="1">{#N/A,#N/A,TRUE,"Cover";#N/A,#N/A,TRUE,"Conts";#N/A,#N/A,TRUE,"VOS";#N/A,#N/A,TRUE,"Warrington";#N/A,#N/A,TRUE,"Widnes"}</definedName>
    <definedName name="iho" localSheetId="0" hidden="1">{#N/A,#N/A,TRUE,"Cover";#N/A,#N/A,TRUE,"Conts";#N/A,#N/A,TRUE,"VOS";#N/A,#N/A,TRUE,"Warrington";#N/A,#N/A,TRUE,"Widnes"}</definedName>
    <definedName name="iho" localSheetId="9"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#REF!</definedName>
    <definedName name="ii_1" hidden="1">{#N/A,#N/A,FALSE,"CCTV"}</definedName>
    <definedName name="ii_2" hidden="1">{#N/A,#N/A,FALSE,"CCTV"}</definedName>
    <definedName name="IIF__PAGE_NUM___5___BUILDING_COSTS____SITEWORK_COSTS">#REF!</definedName>
    <definedName name="iii">#REF!</definedName>
    <definedName name="iiiiiiiiiiiiiiiiiiiiiiiiiiiiiiiiii">#REF!</definedName>
    <definedName name="iiip" hidden="1">{"'Break down'!$A$4"}</definedName>
    <definedName name="iiouolkll" hidden="1">{#N/A,#N/A,FALSE,"CCTV"}</definedName>
    <definedName name="iiouolkll_1" hidden="1">{#N/A,#N/A,FALSE,"CCTV"}</definedName>
    <definedName name="iiouolkll_2" hidden="1">{#N/A,#N/A,FALSE,"CCTV"}</definedName>
    <definedName name="IIP.XLS" hidden="1">{#N/A,#N/A,FALSE,"예상손익";#N/A,#N/A,FALSE,"관리분석";#N/A,#N/A,FALSE,"장비분석";#N/A,#N/A,FALSE,"준설분석";#N/A,#N/A,FALSE,"철구분석"}</definedName>
    <definedName name="iiy" hidden="1">{"'Break down'!$A$4"}</definedName>
    <definedName name="ijn" hidden="1">{#N/A,#N/A,FALSE,"MARCH"}</definedName>
    <definedName name="ikolu">IF(ISNA(MATCH(ROW(),RowAfterpgbrk,1)),1,MATCH(ROW(),RowAfterpgbrk,1)+1)&lt;&gt;IF(ISNA(MATCH(ROW()+1,RowAfterpgbrk,1)),1,MATCH(ROW()+1,RowAfterpgbrk,1)+1)</definedName>
    <definedName name="il">#REF!</definedName>
    <definedName name="Imama"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MS">#REF!</definedName>
    <definedName name="Impact">#REF!</definedName>
    <definedName name="imported">#REF!</definedName>
    <definedName name="imported_1">#N/A</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msi_1" hidden="1">{#N/A,#N/A,TRUE,"LOADCOVE";#N/A,#N/A,TRUE,"PAGE001";#N/A,#N/A,TRUE,"PAGE002";#N/A,#N/A,TRUE,"PAGE003";#N/A,#N/A,TRUE,"PAGE004";#N/A,#N/A,TRUE,"PAGE005";#N/A,#N/A,TRUE,"PAGE006";#N/A,#N/A,TRUE,"PAGE007";#N/A,#N/A,TRUE,"PAGE008";#N/A,#N/A,TRUE,"PAGE009";#N/A,#N/A,TRUE,"PAGE010";#N/A,#N/A,TRUE,"PAGE011";#N/A,#N/A,TRUE,"PAGE012";#N/A,#N/A,TRUE,"PAGE013"}</definedName>
    <definedName name="imsi_2" hidden="1">{#N/A,#N/A,TRUE,"LOADCOVE";#N/A,#N/A,TRUE,"PAGE001";#N/A,#N/A,TRUE,"PAGE002";#N/A,#N/A,TRUE,"PAGE003";#N/A,#N/A,TRUE,"PAGE004";#N/A,#N/A,TRUE,"PAGE005";#N/A,#N/A,TRUE,"PAGE006";#N/A,#N/A,TRUE,"PAGE007";#N/A,#N/A,TRUE,"PAGE008";#N/A,#N/A,TRUE,"PAGE009";#N/A,#N/A,TRUE,"PAGE010";#N/A,#N/A,TRUE,"PAGE011";#N/A,#N/A,TRUE,"PAGE012";#N/A,#N/A,TRUE,"PAGE013"}</definedName>
    <definedName name="Included">#REF!</definedName>
    <definedName name="Increase_of_Boreholes">#REF!</definedName>
    <definedName name="Index">#REF!</definedName>
    <definedName name="INDEX_1">#REF!</definedName>
    <definedName name="INDEX_2">#REF!</definedName>
    <definedName name="INDEX22222" hidden="1">#REF!</definedName>
    <definedName name="IndexItems">#REF!</definedName>
    <definedName name="IndexServices">#REF!</definedName>
    <definedName name="IndexSheetNos">#REF!</definedName>
    <definedName name="india">#REF!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OOR_COND">#REF!</definedName>
    <definedName name="industry">#REF!</definedName>
    <definedName name="Inflation">#REF!</definedName>
    <definedName name="Inflation_Rate">#REF!</definedName>
    <definedName name="inh" hidden="1">{#N/A,#N/A,TRUE,"Cover";#N/A,#N/A,TRUE,"Conts";#N/A,#N/A,TRUE,"VOS";#N/A,#N/A,TRUE,"Warrington";#N/A,#N/A,TRUE,"Widnes"}</definedName>
    <definedName name="Inland_Interchanges">#REF!</definedName>
    <definedName name="input_index">#REF!</definedName>
    <definedName name="InputData">#REF!,#REF!,#REF!,#REF!,#REF!,#REF!,#REF!</definedName>
    <definedName name="INQ3500BQ">#REF!</definedName>
    <definedName name="INQ3600BQ">#REF!</definedName>
    <definedName name="INQ3700BQ">#REF!</definedName>
    <definedName name="INQ3800BQ">#REF!</definedName>
    <definedName name="ins.acc">#REF!</definedName>
    <definedName name="ins.intall">#REF!</definedName>
    <definedName name="InsB">#REF!</definedName>
    <definedName name="Inside_Dia__ID" localSheetId="9">#REF!</definedName>
    <definedName name="Inside_Dia__ID">#REF!</definedName>
    <definedName name="Inspection" hidden="1">{#N/A,#N/A,FALSE,"WNTS"}</definedName>
    <definedName name="Inst.">#REF!</definedName>
    <definedName name="INST60_OLD_CITY">#REF!</definedName>
    <definedName name="INST60_OLD_ESC">#REF!</definedName>
    <definedName name="INST60_OLD_PROD">#REF!</definedName>
    <definedName name="INST60_OLD_WAGE">#REF!</definedName>
    <definedName name="install_cost">#REF!</definedName>
    <definedName name="Installation_Group_4C">#REF!</definedName>
    <definedName name="Installation_Group_SC_A_UAA35">#REF!</definedName>
    <definedName name="Installation_Group_SC_UAB35">#REF!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ATION">#REF!</definedName>
    <definedName name="insulation_water_proofing">#REF!</definedName>
    <definedName name="Insurance">#REF!</definedName>
    <definedName name="InsY">#REF!</definedName>
    <definedName name="Int">#REF!</definedName>
    <definedName name="intel" hidden="1">{#N/A,#N/A,FALSE,"TABLE"}</definedName>
    <definedName name="Interest">#REF!</definedName>
    <definedName name="InterestAppraised">#REF!</definedName>
    <definedName name="INTERNAL__DOORS">#REF!</definedName>
    <definedName name="INTERNAL__WALLS__AND__PARTITIONS">#REF!</definedName>
    <definedName name="IntFreeCred">#REF!</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oPrintArea" hidden="1">#REF!</definedName>
    <definedName name="INTWALL" hidden="1">{"T_Pole",#N/A,FALSE,"T-Pole"}</definedName>
    <definedName name="io" localSheetId="7" hidden="1">{#N/A,#N/A,TRUE,"Cover";#N/A,#N/A,TRUE,"Conts";#N/A,#N/A,TRUE,"VOS";#N/A,#N/A,TRUE,"Warrington";#N/A,#N/A,TRUE,"Widnes"}</definedName>
    <definedName name="io" localSheetId="0" hidden="1">{#N/A,#N/A,TRUE,"Cover";#N/A,#N/A,TRUE,"Conts";#N/A,#N/A,TRUE,"VOS";#N/A,#N/A,TRUE,"Warrington";#N/A,#N/A,TRUE,"Widnes"}</definedName>
    <definedName name="io" localSheetId="9"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1I">#REF!</definedName>
    <definedName name="Io2I">#REF!</definedName>
    <definedName name="io8yuou8y" localSheetId="7" hidden="1">{#N/A,#N/A,TRUE,"Cover";#N/A,#N/A,TRUE,"Conts";#N/A,#N/A,TRUE,"VOS";#N/A,#N/A,TRUE,"Warrington";#N/A,#N/A,TRUE,"Widnes"}</definedName>
    <definedName name="io8yuou8y" localSheetId="0" hidden="1">{#N/A,#N/A,TRUE,"Cover";#N/A,#N/A,TRUE,"Conts";#N/A,#N/A,TRUE,"VOS";#N/A,#N/A,TRUE,"Warrington";#N/A,#N/A,TRUE,"Widnes"}</definedName>
    <definedName name="io8yuou8y" localSheetId="9"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ik" hidden="1">{#N/A,#N/A,TRUE,"Cover";#N/A,#N/A,TRUE,"Conts";#N/A,#N/A,TRUE,"VOS";#N/A,#N/A,TRUE,"Warrington";#N/A,#N/A,TRUE,"Widnes"}</definedName>
    <definedName name="iol" localSheetId="7" hidden="1">{#N/A,#N/A,TRUE,"Cover";#N/A,#N/A,TRUE,"Conts";#N/A,#N/A,TRUE,"VOS";#N/A,#N/A,TRUE,"Warrington";#N/A,#N/A,TRUE,"Widnes"}</definedName>
    <definedName name="iol" localSheetId="0" hidden="1">{#N/A,#N/A,TRUE,"Cover";#N/A,#N/A,TRUE,"Conts";#N/A,#N/A,TRUE,"VOS";#N/A,#N/A,TRUE,"Warrington";#N/A,#N/A,TRUE,"Widnes"}</definedName>
    <definedName name="iol" localSheetId="9"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p" hidden="1">{#N/A,#N/A,TRUE,"COVER";#N/A,#N/A,TRUE,"DETAILS";#N/A,#N/A,TRUE,"SUMMARY";#N/A,#N/A,TRUE,"EXP MON";#N/A,#N/A,TRUE,"APPENDIX A";#N/A,#N/A,TRUE,"APPENDIX B";#N/A,#N/A,TRUE,"APPENDIX C";#N/A,#N/A,TRUE,"APPENDIX D";#N/A,#N/A,TRUE,"APPENDIX E";#N/A,#N/A,TRUE,"APPENDIX F";#N/A,#N/A,TRUE,"APPENDIX G"}</definedName>
    <definedName name="iop_1" hidden="1">{"'Sheet1'!$L$16"}</definedName>
    <definedName name="iop_2" hidden="1">{"'Sheet1'!$L$16"}</definedName>
    <definedName name="ioykyoyu" localSheetId="7" hidden="1">{#N/A,#N/A,TRUE,"Cover";#N/A,#N/A,TRUE,"Conts";#N/A,#N/A,TRUE,"VOS";#N/A,#N/A,TRUE,"Warrington";#N/A,#N/A,TRUE,"Widnes"}</definedName>
    <definedName name="ioykyoyu" localSheetId="0" hidden="1">{#N/A,#N/A,TRUE,"Cover";#N/A,#N/A,TRUE,"Conts";#N/A,#N/A,TRUE,"VOS";#N/A,#N/A,TRUE,"Warrington";#N/A,#N/A,TRUE,"Widnes"}</definedName>
    <definedName name="ioykyoyu" localSheetId="9"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p">#REF!</definedName>
    <definedName name="IPCs">#REF!</definedName>
    <definedName name="IPCs_21">#REF!</definedName>
    <definedName name="IPCs_22">#REF!</definedName>
    <definedName name="IPCs_23">#REF!</definedName>
    <definedName name="IPCs_24">#REF!</definedName>
    <definedName name="IPCs_25">#REF!</definedName>
    <definedName name="IPCs_26">#REF!</definedName>
    <definedName name="ipsgsghsrh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43020.5230902777</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A13" hidden="1">"$AA$14"</definedName>
    <definedName name="IQRAB13" hidden="1">"$AB$14"</definedName>
    <definedName name="IQRBA4" hidden="1">"$BA$5:$BA$9"</definedName>
    <definedName name="IQRBB4" hidden="1">"$BB$5:$BB$9"</definedName>
    <definedName name="IQRCapitalIQ2AD143" hidden="1">#REF!</definedName>
    <definedName name="IQRN84" hidden="1">"$N$85:$N$86"</definedName>
    <definedName name="IQRS13" hidden="1">"$S$14"</definedName>
    <definedName name="IQRT13" hidden="1">"$T$14"</definedName>
    <definedName name="IQRU13" hidden="1">"$U$14"</definedName>
    <definedName name="IQRV13" hidden="1">"$V$14"</definedName>
    <definedName name="IQRW13" hidden="1">"$W$14"</definedName>
    <definedName name="IQRX13" hidden="1">"$X$14"</definedName>
    <definedName name="IQRY13" hidden="1">"$Y$14"</definedName>
    <definedName name="IQRZ13" hidden="1">"$Z$14"</definedName>
    <definedName name="Irrigation">#REF!</definedName>
    <definedName name="is" hidden="1">{"'Sheet1'!$L$16"}</definedName>
    <definedName name="is_1" hidden="1">{"'Sheet1'!$L$16"}</definedName>
    <definedName name="is_2" hidden="1">{"'Sheet1'!$L$16"}</definedName>
    <definedName name="isolator">#REF!</definedName>
    <definedName name="ISSUE">#REF!</definedName>
    <definedName name="it" hidden="1">{"'Sheet1'!$L$16"}</definedName>
    <definedName name="it_1" hidden="1">{"'Sheet1'!$L$16"}</definedName>
    <definedName name="it_2" hidden="1">{"'Sheet1'!$L$16"}</definedName>
    <definedName name="itb" hidden="1">{#N/A,#N/A,FALSE,"CCTV"}</definedName>
    <definedName name="ITEM">#REF!</definedName>
    <definedName name="ITEM_CODE">#REF!</definedName>
    <definedName name="Item_Code_PckB">#REF!</definedName>
    <definedName name="Item_Code_PckC">#REF!</definedName>
    <definedName name="Item_Code_PckD">#REF!</definedName>
    <definedName name="ITEM2">#REF!</definedName>
    <definedName name="ITEM3">#REF!</definedName>
    <definedName name="ITEM4">#REF!</definedName>
    <definedName name="ITEM5">#REF!</definedName>
    <definedName name="ITEM6">#REF!</definedName>
    <definedName name="ITEM7">#REF!</definedName>
    <definedName name="ITEMCODE">#REF!</definedName>
    <definedName name="ITEMDESC">#REF!</definedName>
    <definedName name="iteration">#REF!</definedName>
    <definedName name="ITL">#REF!</definedName>
    <definedName name="ityiuy">IF(ISNA(MATCH(ROW(),RowAfterpgbrk,1)),1,MATCH(ROW(),RowAfterpgbrk,1)+1)&lt;&gt;IF(ISNA(MATCH(ROW()-1,RowAfterpgbrk,1)),1,MATCH(ROW()-1,RowAfterpgbrk,1)+1)</definedName>
    <definedName name="iu" localSheetId="7" hidden="1">{#N/A,#N/A,TRUE,"Cover";#N/A,#N/A,TRUE,"Conts";#N/A,#N/A,TRUE,"VOS";#N/A,#N/A,TRUE,"Warrington";#N/A,#N/A,TRUE,"Widnes"}</definedName>
    <definedName name="iu" localSheetId="0" hidden="1">{#N/A,#N/A,TRUE,"Cover";#N/A,#N/A,TRUE,"Conts";#N/A,#N/A,TRUE,"VOS";#N/A,#N/A,TRUE,"Warrington";#N/A,#N/A,TRUE,"Widnes"}</definedName>
    <definedName name="iu" localSheetId="9"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7" hidden="1">{#N/A,#N/A,TRUE,"Cover";#N/A,#N/A,TRUE,"Conts";#N/A,#N/A,TRUE,"VOS";#N/A,#N/A,TRUE,"Warrington";#N/A,#N/A,TRUE,"Widnes"}</definedName>
    <definedName name="iuh" localSheetId="0" hidden="1">{#N/A,#N/A,TRUE,"Cover";#N/A,#N/A,TRUE,"Conts";#N/A,#N/A,TRUE,"VOS";#N/A,#N/A,TRUE,"Warrington";#N/A,#N/A,TRUE,"Widnes"}</definedName>
    <definedName name="iuh" localSheetId="9"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7" hidden="1">{#N/A,#N/A,TRUE,"Cover";#N/A,#N/A,TRUE,"Conts";#N/A,#N/A,TRUE,"VOS";#N/A,#N/A,TRUE,"Warrington";#N/A,#N/A,TRUE,"Widnes"}</definedName>
    <definedName name="iui" localSheetId="0" hidden="1">{#N/A,#N/A,TRUE,"Cover";#N/A,#N/A,TRUE,"Conts";#N/A,#N/A,TRUE,"VOS";#N/A,#N/A,TRUE,"Warrington";#N/A,#N/A,TRUE,"Widnes"}</definedName>
    <definedName name="iui" localSheetId="9"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7" hidden="1">{#N/A,#N/A,TRUE,"Cover";#N/A,#N/A,TRUE,"Conts";#N/A,#N/A,TRUE,"VOS";#N/A,#N/A,TRUE,"Warrington";#N/A,#N/A,TRUE,"Widnes"}</definedName>
    <definedName name="iuiou" localSheetId="0" hidden="1">{#N/A,#N/A,TRUE,"Cover";#N/A,#N/A,TRUE,"Conts";#N/A,#N/A,TRUE,"VOS";#N/A,#N/A,TRUE,"Warrington";#N/A,#N/A,TRUE,"Widnes"}</definedName>
    <definedName name="iuiou" localSheetId="9"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7" hidden="1">{#N/A,#N/A,TRUE,"Cover";#N/A,#N/A,TRUE,"Conts";#N/A,#N/A,TRUE,"VOS";#N/A,#N/A,TRUE,"Warrington";#N/A,#N/A,TRUE,"Widnes"}</definedName>
    <definedName name="iuk" localSheetId="0" hidden="1">{#N/A,#N/A,TRUE,"Cover";#N/A,#N/A,TRUE,"Conts";#N/A,#N/A,TRUE,"VOS";#N/A,#N/A,TRUE,"Warrington";#N/A,#N/A,TRUE,"Widnes"}</definedName>
    <definedName name="iuk" localSheetId="9"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7" hidden="1">{#N/A,#N/A,TRUE,"Cover";#N/A,#N/A,TRUE,"Conts";#N/A,#N/A,TRUE,"VOS";#N/A,#N/A,TRUE,"Warrington";#N/A,#N/A,TRUE,"Widnes"}</definedName>
    <definedName name="iukh" localSheetId="0" hidden="1">{#N/A,#N/A,TRUE,"Cover";#N/A,#N/A,TRUE,"Conts";#N/A,#N/A,TRUE,"VOS";#N/A,#N/A,TRUE,"Warrington";#N/A,#N/A,TRUE,"Widnes"}</definedName>
    <definedName name="iukh" localSheetId="9"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7" hidden="1">{#N/A,#N/A,TRUE,"Cover";#N/A,#N/A,TRUE,"Conts";#N/A,#N/A,TRUE,"VOS";#N/A,#N/A,TRUE,"Warrington";#N/A,#N/A,TRUE,"Widnes"}</definedName>
    <definedName name="iulouy" localSheetId="0" hidden="1">{#N/A,#N/A,TRUE,"Cover";#N/A,#N/A,TRUE,"Conts";#N/A,#N/A,TRUE,"VOS";#N/A,#N/A,TRUE,"Warrington";#N/A,#N/A,TRUE,"Widnes"}</definedName>
    <definedName name="iulouy" localSheetId="9"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IUP">#REF!</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y" hidden="1">{#N/A,#N/A,TRUE,"Cover";#N/A,#N/A,TRUE,"Conts";#N/A,#N/A,TRUE,"VOS";#N/A,#N/A,TRUE,"Warrington";#N/A,#N/A,TRUE,"Widnes"}</definedName>
    <definedName name="iw">#REF!</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#REF!</definedName>
    <definedName name="J.01">#REF!</definedName>
    <definedName name="J.02">#REF!</definedName>
    <definedName name="J.03">#REF!</definedName>
    <definedName name="J.04">#REF!</definedName>
    <definedName name="J.05">#REF!</definedName>
    <definedName name="J.06">#REF!</definedName>
    <definedName name="J.07">#REF!</definedName>
    <definedName name="J.08">#REF!</definedName>
    <definedName name="J.09">#REF!</definedName>
    <definedName name="J.10">#REF!</definedName>
    <definedName name="J.11">#REF!</definedName>
    <definedName name="J.20">#REF!</definedName>
    <definedName name="J.30">#REF!</definedName>
    <definedName name="J_Metalwork">#REF!</definedName>
    <definedName name="j7uy" hidden="1">{#N/A,#N/A,TRUE,"Front";#N/A,#N/A,TRUE,"Simple Letter";#N/A,#N/A,TRUE,"Inside";#N/A,#N/A,TRUE,"Contents";#N/A,#N/A,TRUE,"Basis";#N/A,#N/A,TRUE,"Inclusions";#N/A,#N/A,TRUE,"Exclusions";#N/A,#N/A,TRUE,"Areas";#N/A,#N/A,TRUE,"Summary";#N/A,#N/A,TRUE,"Detail"}</definedName>
    <definedName name="jacket" hidden="1">{#N/A,#N/A,FALSE,"CCTV"}</definedName>
    <definedName name="jangan" hidden="1">#REF!</definedName>
    <definedName name="Jarryd" hidden="1">#REF!</definedName>
    <definedName name="Jason" hidden="1">{#N/A,#N/A,FALSE,"SumG";#N/A,#N/A,FALSE,"ElecG";#N/A,#N/A,FALSE,"MechG";#N/A,#N/A,FALSE,"GeotG";#N/A,#N/A,FALSE,"PrcsG";#N/A,#N/A,FALSE,"TunnG";#N/A,#N/A,FALSE,"CivlG";#N/A,#N/A,FALSE,"NtwkG";#N/A,#N/A,FALSE,"EstgG";#N/A,#N/A,FALSE,"PEngG"}</definedName>
    <definedName name="jay">#REF!</definedName>
    <definedName name="jba" hidden="1">{"'M'!$C$12:$D$12"}</definedName>
    <definedName name="jbc">#REF!</definedName>
    <definedName name="JDFHERHGFHJ" hidden="1">{#N/A,#N/A,FALSE,"포장2"}</definedName>
    <definedName name="JDFHERHGFHJ_1" hidden="1">{#N/A,#N/A,FALSE,"포장2"}</definedName>
    <definedName name="JDFHERHGFHJ_2" hidden="1">{#N/A,#N/A,FALSE,"포장2"}</definedName>
    <definedName name="JDFHERHGFJFD" hidden="1">{#N/A,#N/A,FALSE,"포장1";#N/A,#N/A,FALSE,"포장1"}</definedName>
    <definedName name="JDFHERHGFJFD_1" hidden="1">{#N/A,#N/A,FALSE,"포장1";#N/A,#N/A,FALSE,"포장1"}</definedName>
    <definedName name="JDFHERHGFJFD_2" hidden="1">{#N/A,#N/A,FALSE,"포장1";#N/A,#N/A,FALSE,"포장1"}</definedName>
    <definedName name="JDFHETHGFJ" hidden="1">{#N/A,#N/A,FALSE,"조골재"}</definedName>
    <definedName name="JDFHETHGFJ_1" hidden="1">{#N/A,#N/A,FALSE,"조골재"}</definedName>
    <definedName name="JDFHETHGFJ_2" hidden="1">{#N/A,#N/A,FALSE,"조골재"}</definedName>
    <definedName name="JDFHFDJDNDHT" hidden="1">{#N/A,#N/A,FALSE,"토공2"}</definedName>
    <definedName name="JDFHFDJDNDHT_1" hidden="1">{#N/A,#N/A,FALSE,"토공2"}</definedName>
    <definedName name="JDFHFDJDNDHT_2" hidden="1">{#N/A,#N/A,FALSE,"토공2"}</definedName>
    <definedName name="JDHDFHERHG" hidden="1">{#N/A,#N/A,FALSE,"이정표"}</definedName>
    <definedName name="JDHDFHERHG_1" hidden="1">{#N/A,#N/A,FALSE,"이정표"}</definedName>
    <definedName name="JDHDFHERHG_2" hidden="1">{#N/A,#N/A,FALSE,"이정표"}</definedName>
    <definedName name="JDHGEHGFGJRTYJHFG" hidden="1">{#N/A,#N/A,FALSE,"구조1"}</definedName>
    <definedName name="JDHGEHGFGJRTYJHFG_1" hidden="1">{#N/A,#N/A,FALSE,"구조1"}</definedName>
    <definedName name="JDHGEHGFGJRTYJHFG_2" hidden="1">{#N/A,#N/A,FALSE,"구조1"}</definedName>
    <definedName name="jdtyjd">IF(ISNA(MATCH(ROW(),RowAfterpgbrk,1)),1,MATCH(ROW(),RowAfterpgbrk,1)+1)&lt;&gt;IF(ISNA(MATCH(ROW()-1,RowAfterpgbrk,1)),1,MATCH(ROW()-1,RowAfterpgbrk,1)+1)</definedName>
    <definedName name="jdtyjdt">"Page "&amp;IF(ISNA(MATCH(ROW(),RowAfterpgbrk,1)),1,MATCH(ROW(),RowAfterpgbrk,1)+1)&amp;" of " &amp; TotPageCount + 0*NOW()</definedName>
    <definedName name="jen">#REF!</definedName>
    <definedName name="jfkflf" hidden="1">{#N/A,#N/A,TRUE,"Cover";#N/A,#N/A,TRUE,"Conts";#N/A,#N/A,TRUE,"VOS";#N/A,#N/A,TRUE,"Warrington";#N/A,#N/A,TRUE,"Widnes"}</definedName>
    <definedName name="jg" localSheetId="7" hidden="1">{#N/A,#N/A,TRUE,"Cover";#N/A,#N/A,TRUE,"Conts";#N/A,#N/A,TRUE,"VOS";#N/A,#N/A,TRUE,"Warrington";#N/A,#N/A,TRUE,"Widnes"}</definedName>
    <definedName name="jg" localSheetId="0" hidden="1">{#N/A,#N/A,TRUE,"Cover";#N/A,#N/A,TRUE,"Conts";#N/A,#N/A,TRUE,"VOS";#N/A,#N/A,TRUE,"Warrington";#N/A,#N/A,TRUE,"Widnes"}</definedName>
    <definedName name="jg" localSheetId="9"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ghj">IF(ISNA(MATCH(ROW(),RowAfterpgbrk,1)),1,MATCH(ROW(),RowAfterpgbrk,1)+1)</definedName>
    <definedName name="jgt" hidden="1">{"'Break down'!$A$4"}</definedName>
    <definedName name="jh" localSheetId="7" hidden="1">{#N/A,#N/A,TRUE,"Cover";#N/A,#N/A,TRUE,"Conts";#N/A,#N/A,TRUE,"VOS";#N/A,#N/A,TRUE,"Warrington";#N/A,#N/A,TRUE,"Widnes"}</definedName>
    <definedName name="jh" localSheetId="0" hidden="1">{#N/A,#N/A,TRUE,"Cover";#N/A,#N/A,TRUE,"Conts";#N/A,#N/A,TRUE,"VOS";#N/A,#N/A,TRUE,"Warrington";#N/A,#N/A,TRUE,"Widnes"}</definedName>
    <definedName name="jh" localSheetId="9"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_1" hidden="1">{#N/A,#N/A,FALSE,"SumG";#N/A,#N/A,FALSE,"ElecG";#N/A,#N/A,FALSE,"MechG";#N/A,#N/A,FALSE,"GeotG";#N/A,#N/A,FALSE,"PrcsG";#N/A,#N/A,FALSE,"TunnG";#N/A,#N/A,FALSE,"CivlG";#N/A,#N/A,FALSE,"NtwkG";#N/A,#N/A,FALSE,"EstgG";#N/A,#N/A,FALSE,"PEngG"}</definedName>
    <definedName name="jhg" localSheetId="7" hidden="1">{#N/A,#N/A,TRUE,"Cover";#N/A,#N/A,TRUE,"Conts";#N/A,#N/A,TRUE,"VOS";#N/A,#N/A,TRUE,"Warrington";#N/A,#N/A,TRUE,"Widnes"}</definedName>
    <definedName name="jhg" localSheetId="0" hidden="1">{#N/A,#N/A,TRUE,"Cover";#N/A,#N/A,TRUE,"Conts";#N/A,#N/A,TRUE,"VOS";#N/A,#N/A,TRUE,"Warrington";#N/A,#N/A,TRUE,"Widnes"}</definedName>
    <definedName name="jhg" localSheetId="9"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hga">IF(ISNA(MATCH(ROW(),RowAfterpgbrk,1)),1,MATCH(ROW(),RowAfterpgbrk,1)+1)&lt;&gt;IF(ISNA(MATCH(ROW()-1,RowAfterpgbrk,1)),1,MATCH(ROW()-1,RowAfterpgbrk,1)+1)</definedName>
    <definedName name="jhguyb"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hhh" hidden="1">{#N/A,#N/A,FALSE,"CCTV"}</definedName>
    <definedName name="jhhhh_1" hidden="1">{#N/A,#N/A,FALSE,"CCTV"}</definedName>
    <definedName name="jhhhh_2" hidden="1">{#N/A,#N/A,FALSE,"CCTV"}</definedName>
    <definedName name="jhj" hidden="1">{#N/A,#N/A,TRUE,"LOADCOVE";#N/A,#N/A,TRUE,"PAGE001";#N/A,#N/A,TRUE,"PAGE002";#N/A,#N/A,TRUE,"PAGE003";#N/A,#N/A,TRUE,"PAGE004";#N/A,#N/A,TRUE,"PAGE005";#N/A,#N/A,TRUE,"PAGE006";#N/A,#N/A,TRUE,"PAGE007";#N/A,#N/A,TRUE,"PAGE008";#N/A,#N/A,TRUE,"PAGE009";#N/A,#N/A,TRUE,"PAGE010";#N/A,#N/A,TRUE,"PAGE011";#N/A,#N/A,TRUE,"PAGE012";#N/A,#N/A,TRUE,"PAGE013"}</definedName>
    <definedName name="jhjh" hidden="1">{#N/A,#N/A,TRUE,"SUMMARY";#N/A,#N/A,TRUE,"ISBL";#N/A,#N/A,TRUE,"OSBL";#N/A,#N/A,TRUE,"OFFSITE";#N/A,#N/A,TRUE,"STEAM"}</definedName>
    <definedName name="jhjhj" hidden="1">{#N/A,#N/A,TRUE,"LOADCOVE";#N/A,#N/A,TRUE,"PAGE001";#N/A,#N/A,TRUE,"PAGE002";#N/A,#N/A,TRUE,"PAGE003";#N/A,#N/A,TRUE,"PAGE004";#N/A,#N/A,TRUE,"PAGE005";#N/A,#N/A,TRUE,"PAGE006";#N/A,#N/A,TRUE,"PAGE007";#N/A,#N/A,TRUE,"PAGE008";#N/A,#N/A,TRUE,"PAGE009";#N/A,#N/A,TRUE,"PAGE010";#N/A,#N/A,TRUE,"PAGE011";#N/A,#N/A,TRUE,"PAGE012";#N/A,#N/A,TRUE,"PAGE013"}</definedName>
    <definedName name="jhjjkjuioujk"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hs" hidden="1">{#N/A,#N/A,TRUE,"Basic";#N/A,#N/A,TRUE,"EXT-TABLE";#N/A,#N/A,TRUE,"STEEL";#N/A,#N/A,TRUE,"INT-Table";#N/A,#N/A,TRUE,"STEEL";#N/A,#N/A,TRUE,"Door"}</definedName>
    <definedName name="jhz" hidden="1">{#N/A,#N/A,FALSE,"SumG";#N/A,#N/A,FALSE,"ElecG";#N/A,#N/A,FALSE,"MechG";#N/A,#N/A,FALSE,"GeotG";#N/A,#N/A,FALSE,"PrcsG";#N/A,#N/A,FALSE,"TunnG";#N/A,#N/A,FALSE,"CivlG";#N/A,#N/A,FALSE,"NtwkG";#N/A,#N/A,FALSE,"EstgG";#N/A,#N/A,FALSE,"PEngG"}</definedName>
    <definedName name="jih" hidden="1">{#N/A,#N/A,TRUE,"Front";#N/A,#N/A,TRUE,"Simple Letter";#N/A,#N/A,TRUE,"Inside";#N/A,#N/A,TRUE,"Contents";#N/A,#N/A,TRUE,"Basis";#N/A,#N/A,TRUE,"Inclusions";#N/A,#N/A,TRUE,"Exclusions";#N/A,#N/A,TRUE,"Areas";#N/A,#N/A,TRUE,"Summary";#N/A,#N/A,TRUE,"Detail"}</definedName>
    <definedName name="Jijan" hidden="1">{#N/A,#N/A,FALSE,"CCTV"}</definedName>
    <definedName name="jiku">"Page "&amp;IF(ISNA(MATCH(ROW(),RowAfterpgbrk,1)),1,MATCH(ROW(),RowAfterpgbrk,1)+1)&amp;" of " &amp; TotPageCount + 0*NOW()</definedName>
    <definedName name="jiljl" hidden="1">{#N/A,#N/A,FALSE,"자재비 (2)";#N/A,#N/A,FALSE,"공사비 (2)";#N/A,#N/A,FALSE,"설계외주비";#N/A,#N/A,FALSE,"노무비";#N/A,#N/A,FALSE,"기계장치비";#N/A,#N/A,FALSE,"경비"}</definedName>
    <definedName name="JIM">#REF!</definedName>
    <definedName name="Jip" hidden="1">{"'CATALO(8)'!$B$1:$G$49"}</definedName>
    <definedName name="jjiok">#REF!</definedName>
    <definedName name="jjj" hidden="1">{#N/A,#N/A,TRUE,"Cover";#N/A,#N/A,TRUE,"Conts";#N/A,#N/A,TRUE,"VOS";#N/A,#N/A,TRUE,"Warrington";#N/A,#N/A,TRUE,"Widnes"}</definedName>
    <definedName name="JJJ_1" hidden="1">{#N/A,#N/A,FALSE,"CCTV"}</definedName>
    <definedName name="JJJ_2" hidden="1">{#N/A,#N/A,FALSE,"CCTV"}</definedName>
    <definedName name="jjjhhh" hidden="1">{#N/A,#N/A,TRUE,"LOADCOVE";#N/A,#N/A,TRUE,"PAGE001";#N/A,#N/A,TRUE,"PAGE002";#N/A,#N/A,TRUE,"PAGE003";#N/A,#N/A,TRUE,"PAGE004";#N/A,#N/A,TRUE,"PAGE005";#N/A,#N/A,TRUE,"PAGE006";#N/A,#N/A,TRUE,"PAGE007";#N/A,#N/A,TRUE,"PAGE008";#N/A,#N/A,TRUE,"PAGE009";#N/A,#N/A,TRUE,"PAGE010";#N/A,#N/A,TRUE,"PAGE011";#N/A,#N/A,TRUE,"PAGE012";#N/A,#N/A,TRUE,"PAGE013"}</definedName>
    <definedName name="jjllwe">#REF!</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mnj_1" hidden="1">{#N/A,#N/A,TRUE,"LOADCOVE";#N/A,#N/A,TRUE,"PAGE001";#N/A,#N/A,TRUE,"PAGE002";#N/A,#N/A,TRUE,"PAGE003";#N/A,#N/A,TRUE,"PAGE004";#N/A,#N/A,TRUE,"PAGE005";#N/A,#N/A,TRUE,"PAGE006";#N/A,#N/A,TRUE,"PAGE007";#N/A,#N/A,TRUE,"PAGE008";#N/A,#N/A,TRUE,"PAGE009";#N/A,#N/A,TRUE,"PAGE010";#N/A,#N/A,TRUE,"PAGE011";#N/A,#N/A,TRUE,"PAGE012";#N/A,#N/A,TRUE,"PAGE013"}</definedName>
    <definedName name="jjmnj_2" hidden="1">{#N/A,#N/A,TRUE,"LOADCOVE";#N/A,#N/A,TRUE,"PAGE001";#N/A,#N/A,TRUE,"PAGE002";#N/A,#N/A,TRUE,"PAGE003";#N/A,#N/A,TRUE,"PAGE004";#N/A,#N/A,TRUE,"PAGE005";#N/A,#N/A,TRUE,"PAGE006";#N/A,#N/A,TRUE,"PAGE007";#N/A,#N/A,TRUE,"PAGE008";#N/A,#N/A,TRUE,"PAGE009";#N/A,#N/A,TRUE,"PAGE010";#N/A,#N/A,TRUE,"PAGE011";#N/A,#N/A,TRUE,"PAGE012";#N/A,#N/A,TRUE,"PAGE013"}</definedName>
    <definedName name="jjuu" hidden="1">{#N/A,#N/A,TRUE,"Cover";#N/A,#N/A,TRUE,"Conts";#N/A,#N/A,TRUE,"VOS";#N/A,#N/A,TRUE,"Warrington";#N/A,#N/A,TRUE,"Widnes"}</definedName>
    <definedName name="jjy" hidden="1">{"'Break down'!$A$4"}</definedName>
    <definedName name="jk" localSheetId="7" hidden="1">{#N/A,#N/A,TRUE,"Cover";#N/A,#N/A,TRUE,"Conts";#N/A,#N/A,TRUE,"VOS";#N/A,#N/A,TRUE,"Warrington";#N/A,#N/A,TRUE,"Widnes"}</definedName>
    <definedName name="jk" localSheetId="0" hidden="1">{#N/A,#N/A,TRUE,"Cover";#N/A,#N/A,TRUE,"Conts";#N/A,#N/A,TRUE,"VOS";#N/A,#N/A,TRUE,"Warrington";#N/A,#N/A,TRUE,"Widnes"}</definedName>
    <definedName name="jk" localSheetId="9"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7" hidden="1">{#N/A,#N/A,TRUE,"Cover";#N/A,#N/A,TRUE,"Conts";#N/A,#N/A,TRUE,"VOS";#N/A,#N/A,TRUE,"Warrington";#N/A,#N/A,TRUE,"Widnes"}</definedName>
    <definedName name="jk.j.oi" localSheetId="0" hidden="1">{#N/A,#N/A,TRUE,"Cover";#N/A,#N/A,TRUE,"Conts";#N/A,#N/A,TRUE,"VOS";#N/A,#N/A,TRUE,"Warrington";#N/A,#N/A,TRUE,"Widnes"}</definedName>
    <definedName name="jk.j.oi" localSheetId="9"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_1" hidden="1">{#N/A,#N/A,FALSE,"SumG";#N/A,#N/A,FALSE,"ElecG";#N/A,#N/A,FALSE,"MechG";#N/A,#N/A,FALSE,"GeotG";#N/A,#N/A,FALSE,"PrcsG";#N/A,#N/A,FALSE,"TunnG";#N/A,#N/A,FALSE,"CivlG";#N/A,#N/A,FALSE,"NtwkG";#N/A,#N/A,FALSE,"EstgG";#N/A,#N/A,FALSE,"PEngG"}</definedName>
    <definedName name="JKE" hidden="1">{#N/A,#N/A,FALSE,"CCTV"}</definedName>
    <definedName name="JKGHJ" hidden="1">{#N/A,#N/A,TRUE,"Cover";#N/A,#N/A,TRUE,"Conts";#N/A,#N/A,TRUE,"VOS";#N/A,#N/A,TRUE,"Warrington";#N/A,#N/A,TRUE,"Widnes"}</definedName>
    <definedName name="JKGKJHK" localSheetId="7" hidden="1">{#N/A,#N/A,TRUE,"Cover";#N/A,#N/A,TRUE,"Conts";#N/A,#N/A,TRUE,"VOS";#N/A,#N/A,TRUE,"Warrington";#N/A,#N/A,TRUE,"Widnes"}</definedName>
    <definedName name="JKGKJHK" localSheetId="0" hidden="1">{#N/A,#N/A,TRUE,"Cover";#N/A,#N/A,TRUE,"Conts";#N/A,#N/A,TRUE,"VOS";#N/A,#N/A,TRUE,"Warrington";#N/A,#N/A,TRUE,"Widnes"}</definedName>
    <definedName name="JKGKJHK" localSheetId="9"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h" hidden="1">{#N/A,#N/A,FALSE,"Chi tiÆt"}</definedName>
    <definedName name="jkjk" hidden="1">{#N/A,#N/A,TRUE,"Front";#N/A,#N/A,TRUE,"Simple Letter";#N/A,#N/A,TRUE,"Inside";#N/A,#N/A,TRUE,"Contents";#N/A,#N/A,TRUE,"Basis";#N/A,#N/A,TRUE,"Inclusions";#N/A,#N/A,TRUE,"Exclusions";#N/A,#N/A,TRUE,"Areas";#N/A,#N/A,TRUE,"Summary";#N/A,#N/A,TRUE,"Detail"}</definedName>
    <definedName name="jkkkj" hidden="1">#REF!</definedName>
    <definedName name="jkljljkl" localSheetId="7" hidden="1">{#N/A,#N/A,TRUE,"Cover";#N/A,#N/A,TRUE,"Conts";#N/A,#N/A,TRUE,"VOS";#N/A,#N/A,TRUE,"Warrington";#N/A,#N/A,TRUE,"Widnes"}</definedName>
    <definedName name="jkljljkl" localSheetId="0" hidden="1">{#N/A,#N/A,TRUE,"Cover";#N/A,#N/A,TRUE,"Conts";#N/A,#N/A,TRUE,"VOS";#N/A,#N/A,TRUE,"Warrington";#N/A,#N/A,TRUE,"Widnes"}</definedName>
    <definedName name="jkljljkl" localSheetId="9"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nk">#REF!</definedName>
    <definedName name="jktrujij" localSheetId="7" hidden="1">{#N/A,#N/A,TRUE,"Cover";#N/A,#N/A,TRUE,"Conts";#N/A,#N/A,TRUE,"VOS";#N/A,#N/A,TRUE,"Warrington";#N/A,#N/A,TRUE,"Widnes"}</definedName>
    <definedName name="jktrujij" localSheetId="0" hidden="1">{#N/A,#N/A,TRUE,"Cover";#N/A,#N/A,TRUE,"Conts";#N/A,#N/A,TRUE,"VOS";#N/A,#N/A,TRUE,"Warrington";#N/A,#N/A,TRUE,"Widnes"}</definedName>
    <definedName name="jktrujij" localSheetId="9"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7" hidden="1">{#N/A,#N/A,TRUE,"Cover";#N/A,#N/A,TRUE,"Conts";#N/A,#N/A,TRUE,"VOS";#N/A,#N/A,TRUE,"Warrington";#N/A,#N/A,TRUE,"Widnes"}</definedName>
    <definedName name="jktukk" localSheetId="0" hidden="1">{#N/A,#N/A,TRUE,"Cover";#N/A,#N/A,TRUE,"Conts";#N/A,#N/A,TRUE,"VOS";#N/A,#N/A,TRUE,"Warrington";#N/A,#N/A,TRUE,"Widnes"}</definedName>
    <definedName name="jktukk" localSheetId="9"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VBHB" hidden="1">{#N/A,#N/A,TRUE,"Front";#N/A,#N/A,TRUE,"Simple Letter";#N/A,#N/A,TRUE,"Inside";#N/A,#N/A,TRUE,"Contents";#N/A,#N/A,TRUE,"Basis";#N/A,#N/A,TRUE,"Inclusions";#N/A,#N/A,TRUE,"Exclusions";#N/A,#N/A,TRUE,"Areas";#N/A,#N/A,TRUE,"Summary";#N/A,#N/A,TRUE,"Detail"}</definedName>
    <definedName name="jky" localSheetId="7" hidden="1">{#N/A,#N/A,TRUE,"Cover";#N/A,#N/A,TRUE,"Conts";#N/A,#N/A,TRUE,"VOS";#N/A,#N/A,TRUE,"Warrington";#N/A,#N/A,TRUE,"Widnes"}</definedName>
    <definedName name="jky" localSheetId="0" hidden="1">{#N/A,#N/A,TRUE,"Cover";#N/A,#N/A,TRUE,"Conts";#N/A,#N/A,TRUE,"VOS";#N/A,#N/A,TRUE,"Warrington";#N/A,#N/A,TRUE,"Widnes"}</definedName>
    <definedName name="jky" localSheetId="9"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lt">#REF!</definedName>
    <definedName name="jmjkjk" hidden="1">{"'Break down'!$A$4"}</definedName>
    <definedName name="JMMFF" hidden="1">{#N/A,#N/A,FALSE,"포장1";#N/A,#N/A,FALSE,"포장1"}</definedName>
    <definedName name="JMMFF_1" hidden="1">{#N/A,#N/A,FALSE,"포장1";#N/A,#N/A,FALSE,"포장1"}</definedName>
    <definedName name="JMMFF_2" hidden="1">{#N/A,#N/A,FALSE,"포장1";#N/A,#N/A,FALSE,"포장1"}</definedName>
    <definedName name="JMVJMV" hidden="1">{#N/A,#N/A,TRUE,"Cover";#N/A,#N/A,TRUE,"Conts";#N/A,#N/A,TRUE,"VOS";#N/A,#N/A,TRUE,"Warrington";#N/A,#N/A,TRUE,"Widnes"}</definedName>
    <definedName name="JNOJO">#REF!</definedName>
    <definedName name="jo" hidden="1">{"'Break down'!$A$4"}</definedName>
    <definedName name="job">#REF!</definedName>
    <definedName name="job.no" hidden="1">#REF!</definedName>
    <definedName name="Job_No">#REF!</definedName>
    <definedName name="JobDate">#REF!</definedName>
    <definedName name="JOBNUM">#REF!</definedName>
    <definedName name="john" hidden="1">{#N/A,#N/A,TRUE,"COVER";#N/A,#N/A,TRUE,"DETAILS";#N/A,#N/A,TRUE,"SUMMARY";#N/A,#N/A,TRUE,"EXP MON";#N/A,#N/A,TRUE,"APPENDIX A";#N/A,#N/A,TRUE,"APPENDIX B";#N/A,#N/A,TRUE,"APPENDIX C";#N/A,#N/A,TRUE,"APPENDIX D";#N/A,#N/A,TRUE,"APPENDIX E";#N/A,#N/A,TRUE,"APPENDIX F";#N/A,#N/A,TRUE,"APPENDIX G"}</definedName>
    <definedName name="jon">#REF!</definedName>
    <definedName name="joy" hidden="1">{"'Break down'!$A$4"}</definedName>
    <definedName name="joyr" hidden="1">{"'Break down'!$A$4"}</definedName>
    <definedName name="jsdf" hidden="1">#REF!</definedName>
    <definedName name="JSJHSH" hidden="1">{#N/A,#N/A,TRUE,"Basic";#N/A,#N/A,TRUE,"EXT-TABLE";#N/A,#N/A,TRUE,"STEEL";#N/A,#N/A,TRUE,"INT-Table";#N/A,#N/A,TRUE,"STEEL";#N/A,#N/A,TRUE,"Door"}</definedName>
    <definedName name="jt">"Page "&amp;IF(ISNA(MATCH(ROW(),RowAfterpgbrk,1)),1,MATCH(ROW(),RowAfterpgbrk,1)+1)&amp;" of " &amp; TotPageCount + 0*NOW()</definedName>
    <definedName name="jty">IF(ISNA(MATCH(ROW(),RowAfterpgbrk,1)),1,MATCH(ROW(),RowAfterpgbrk,1)+1)&lt;&gt;IF(ISNA(MATCH(ROW()-1,RowAfterpgbrk,1)),1,MATCH(ROW()-1,RowAfterpgbrk,1)+1)</definedName>
    <definedName name="jtyhjswjy" localSheetId="7" hidden="1">{#N/A,#N/A,TRUE,"Cover";#N/A,#N/A,TRUE,"Conts";#N/A,#N/A,TRUE,"VOS";#N/A,#N/A,TRUE,"Warrington";#N/A,#N/A,TRUE,"Widnes"}</definedName>
    <definedName name="jtyhjswjy" localSheetId="0" hidden="1">{#N/A,#N/A,TRUE,"Cover";#N/A,#N/A,TRUE,"Conts";#N/A,#N/A,TRUE,"VOS";#N/A,#N/A,TRUE,"Warrington";#N/A,#N/A,TRUE,"Widnes"}</definedName>
    <definedName name="jtyhjswjy" localSheetId="9"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tyjt">"Page "&amp;IF(ISNA(MATCH(ROW(),RowAfterpgbrk,1)),1,MATCH(ROW(),RowAfterpgbrk,1)+1)&amp;" of " &amp; TotPageCount + 0*NOW()</definedName>
    <definedName name="jug"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LIET" hidden="1">#REF!</definedName>
    <definedName name="June_2006___to_QAR">#REF!</definedName>
    <definedName name="JUNK" hidden="1">{"SCHEDULE",#N/A,FALSE,"Fin_sched"}</definedName>
    <definedName name="JUNK2" hidden="1">{"SUMMARY",#N/A,FALSE,"Fin_sched"}</definedName>
    <definedName name="juy" hidden="1">{#N/A,#N/A,TRUE,"Front";#N/A,#N/A,TRUE,"Simple Letter";#N/A,#N/A,TRUE,"Inside";#N/A,#N/A,TRUE,"Contents";#N/A,#N/A,TRUE,"Basis";#N/A,#N/A,TRUE,"Inclusions";#N/A,#N/A,TRUE,"Exclusions";#N/A,#N/A,TRUE,"Areas";#N/A,#N/A,TRUE,"Summary";#N/A,#N/A,TRUE,"Detail"}</definedName>
    <definedName name="jwsjkks" hidden="1">#REF!</definedName>
    <definedName name="JY" hidden="1">#REF!</definedName>
    <definedName name="JYDFF" hidden="1">{#N/A,#N/A,FALSE,"속도"}</definedName>
    <definedName name="JYDFF_1" hidden="1">{#N/A,#N/A,FALSE,"속도"}</definedName>
    <definedName name="JYDFF_2" hidden="1">{#N/A,#N/A,FALSE,"속도"}</definedName>
    <definedName name="jydkkde" hidden="1">#REF!</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skdkklds" hidden="1">#REF!</definedName>
    <definedName name="jyt">IF(ISNA(MATCH(ROW(),RowAfterpgbrk,1)),1,MATCH(ROW(),RowAfterpgbrk,1)+1)</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localSheetId="7" hidden="1">{#N/A,#N/A,TRUE,"Cover";#N/A,#N/A,TRUE,"Conts";#N/A,#N/A,TRUE,"VOS";#N/A,#N/A,TRUE,"Warrington";#N/A,#N/A,TRUE,"Widnes"}</definedName>
    <definedName name="k" localSheetId="0" hidden="1">{#N/A,#N/A,TRUE,"Cover";#N/A,#N/A,TRUE,"Conts";#N/A,#N/A,TRUE,"VOS";#N/A,#N/A,TRUE,"Warrington";#N/A,#N/A,TRUE,"Widnes"}</definedName>
    <definedName name="k" localSheetId="9"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01">#REF!</definedName>
    <definedName name="K.01a">#REF!</definedName>
    <definedName name="K.01b">#REF!</definedName>
    <definedName name="K.01c">#REF!</definedName>
    <definedName name="K.02">#REF!</definedName>
    <definedName name="K.02a">#REF!</definedName>
    <definedName name="K.02b">#REF!</definedName>
    <definedName name="K.03">#REF!</definedName>
    <definedName name="K.04">#REF!</definedName>
    <definedName name="K.05">#REF!</definedName>
    <definedName name="K.06">#REF!</definedName>
    <definedName name="K.07">#REF!</definedName>
    <definedName name="K.08">#REF!</definedName>
    <definedName name="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Plastering">#REF!</definedName>
    <definedName name="k0">#REF!</definedName>
    <definedName name="K9B_1" localSheetId="9">#REF!</definedName>
    <definedName name="K9B_1">#REF!</definedName>
    <definedName name="K9B_2" localSheetId="9">#REF!</definedName>
    <definedName name="K9B_2">#REF!</definedName>
    <definedName name="KAJLJ">#REF!</definedName>
    <definedName name="KAJLJ1">#REF!</definedName>
    <definedName name="Katsayi08">#REF!</definedName>
    <definedName name="kb">#REF!</definedName>
    <definedName name="KD">#REF!</definedName>
    <definedName name="KDJU" hidden="1">{"'장비'!$A$3:$M$12"}</definedName>
    <definedName name="KDJU_1" hidden="1">{"'장비'!$A$3:$M$12"}</definedName>
    <definedName name="KDJU_2" hidden="1">{"'장비'!$A$3:$M$12"}</definedName>
    <definedName name="Keith" hidden="1">{#N/A,#N/A,TRUE,"COVER";#N/A,#N/A,TRUE,"DETAILS";#N/A,#N/A,TRUE,"SUMMARY";#N/A,#N/A,TRUE,"EXP MON";#N/A,#N/A,TRUE,"APPENDIX A";#N/A,#N/A,TRUE,"APPENDIX B";#N/A,#N/A,TRUE,"APPENDIX C";#N/A,#N/A,TRUE,"APPENDIX D";#N/A,#N/A,TRUE,"APPENDIX E";#N/A,#N/A,TRUE,"APPENDIX F";#N/A,#N/A,TRUE,"APPENDIX G"}</definedName>
    <definedName name="Key" hidden="1">#REF!</definedName>
    <definedName name="KFG" hidden="1">{"'장비'!$A$3:$M$12"}</definedName>
    <definedName name="KFGHYH" hidden="1">{#N/A,#N/A,FALSE,"혼합골재"}</definedName>
    <definedName name="KFGHYH_1" hidden="1">{#N/A,#N/A,FALSE,"혼합골재"}</definedName>
    <definedName name="KFGHYH_2" hidden="1">{#N/A,#N/A,FALSE,"혼합골재"}</definedName>
    <definedName name="KFGJGFJGHGRJGH" hidden="1">{#N/A,#N/A,FALSE,"부대1"}</definedName>
    <definedName name="KFGJGFJGHGRJGH_1" hidden="1">{#N/A,#N/A,FALSE,"부대1"}</definedName>
    <definedName name="KFGJGFJGHGRJGH_2" hidden="1">{#N/A,#N/A,FALSE,"부대1"}</definedName>
    <definedName name="KFGJREYDFHFD" hidden="1">{#N/A,#N/A,FALSE,"속도"}</definedName>
    <definedName name="KFGJREYDFHFD_1" hidden="1">{#N/A,#N/A,FALSE,"속도"}</definedName>
    <definedName name="KFGJREYDFHFD_2" hidden="1">{#N/A,#N/A,FALSE,"속도"}</definedName>
    <definedName name="KFHJFIH" hidden="1">#REF!</definedName>
    <definedName name="KFill" hidden="1">#REF!</definedName>
    <definedName name="kFOB">#REF!</definedName>
    <definedName name="KGFJHGJGH" hidden="1">{#N/A,#N/A,FALSE,"2~8번"}</definedName>
    <definedName name="KGFJHGJGH_1" hidden="1">{#N/A,#N/A,FALSE,"2~8번"}</definedName>
    <definedName name="KGFJHGJGH_2" hidden="1">{#N/A,#N/A,FALSE,"2~8번"}</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FKLFD" hidden="1">{#N/A,#N/A,TRUE,"Front";#N/A,#N/A,TRUE,"Simple Letter";#N/A,#N/A,TRUE,"Inside";#N/A,#N/A,TRUE,"Contents";#N/A,#N/A,TRUE,"Basis";#N/A,#N/A,TRUE,"Inclusions";#N/A,#N/A,TRUE,"Exclusions";#N/A,#N/A,TRUE,"Areas";#N/A,#N/A,TRUE,"Summary";#N/A,#N/A,TRUE,"Detail"}</definedName>
    <definedName name="KGHJF" hidden="1">{#N/A,#N/A,TRUE,"Cover";#N/A,#N/A,TRUE,"Conts";#N/A,#N/A,TRUE,"VOS";#N/A,#N/A,TRUE,"Warrington";#N/A,#N/A,TRUE,"Widnes"}</definedName>
    <definedName name="kghlgh" hidden="1">{#N/A,#N/A,FALSE,"CCTV"}</definedName>
    <definedName name="kghlgh_1" hidden="1">{#N/A,#N/A,FALSE,"CCTV"}</definedName>
    <definedName name="kghlgh_2" hidden="1">{#N/A,#N/A,FALSE,"CCTV"}</definedName>
    <definedName name="kgj" hidden="1">{#N/A,#N/A,FALSE,"MARCH"}</definedName>
    <definedName name="kgjfgjgj" localSheetId="7" hidden="1">{#N/A,#N/A,TRUE,"Cover";#N/A,#N/A,TRUE,"Conts";#N/A,#N/A,TRUE,"VOS";#N/A,#N/A,TRUE,"Warrington";#N/A,#N/A,TRUE,"Widnes"}</definedName>
    <definedName name="kgjfgjgj" localSheetId="0" hidden="1">{#N/A,#N/A,TRUE,"Cover";#N/A,#N/A,TRUE,"Conts";#N/A,#N/A,TRUE,"VOS";#N/A,#N/A,TRUE,"Warrington";#N/A,#N/A,TRUE,"Widnes"}</definedName>
    <definedName name="kgjfgjgj" localSheetId="9"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GMA">#REF!</definedName>
    <definedName name="KGOH">#REF!</definedName>
    <definedName name="KGOT">#REF!</definedName>
    <definedName name="KGPR">#REF!</definedName>
    <definedName name="kh">#REF!</definedName>
    <definedName name="khgfkhgf" localSheetId="7" hidden="1">{#N/A,#N/A,TRUE,"Cover";#N/A,#N/A,TRUE,"Conts";#N/A,#N/A,TRUE,"VOS";#N/A,#N/A,TRUE,"Warrington";#N/A,#N/A,TRUE,"Widnes"}</definedName>
    <definedName name="khgfkhgf" localSheetId="0" hidden="1">{#N/A,#N/A,TRUE,"Cover";#N/A,#N/A,TRUE,"Conts";#N/A,#N/A,TRUE,"VOS";#N/A,#N/A,TRUE,"Warrington";#N/A,#N/A,TRUE,"Widnes"}</definedName>
    <definedName name="khgfkhgf" localSheetId="9"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htfy" hidden="1">{#N/A,#N/A,TRUE,"Front";#N/A,#N/A,TRUE,"Simple Letter";#N/A,#N/A,TRUE,"Inside";#N/A,#N/A,TRUE,"Contents";#N/A,#N/A,TRUE,"Basis";#N/A,#N/A,TRUE,"Inclusions";#N/A,#N/A,TRUE,"Exclusions";#N/A,#N/A,TRUE,"Areas";#N/A,#N/A,TRUE,"Summary";#N/A,#N/A,TRUE,"Detail"}</definedName>
    <definedName name="khthitjjkl" hidden="1">{#N/A,#N/A,TRUE,"Front";#N/A,#N/A,TRUE,"Simple Letter";#N/A,#N/A,TRUE,"Inside";#N/A,#N/A,TRUE,"Contents";#N/A,#N/A,TRUE,"Basis";#N/A,#N/A,TRUE,"Inclusions";#N/A,#N/A,TRUE,"Exclusions";#N/A,#N/A,TRUE,"Areas";#N/A,#N/A,TRUE,"Summary";#N/A,#N/A,TRUE,"Detail"}</definedName>
    <definedName name="KI">#REF!</definedName>
    <definedName name="kIF">#REF!</definedName>
    <definedName name="kij" hidden="1">{#N/A,#N/A,FALSE,"MARCH"}</definedName>
    <definedName name="kiju">IF(ISNA(MATCH(ROW(),RowAfterpgbrk,1)),1,MATCH(ROW(),RowAfterpgbrk,1)+1)&lt;&gt;IF(ISNA(MATCH(ROW()-1,RowAfterpgbrk,1)),1,MATCH(ROW()-1,RowAfterpgbrk,1)+1)</definedName>
    <definedName name="KILOPL" hidden="1">{#N/A,#N/A,TRUE,"Cover";#N/A,#N/A,TRUE,"Conts";#N/A,#N/A,TRUE,"VOS";#N/A,#N/A,TRUE,"Warrington";#N/A,#N/A,TRUE,"Widnes"}</definedName>
    <definedName name="kim" hidden="1">#REF!</definedName>
    <definedName name="KIMMM" hidden="1">{"'장비'!$A$3:$M$12"}</definedName>
    <definedName name="kinaAUD">#REF!</definedName>
    <definedName name="kiop" hidden="1">{#N/A,#N/A,TRUE,"Cover";#N/A,#N/A,TRUE,"Conts";#N/A,#N/A,TRUE,"VOS";#N/A,#N/A,TRUE,"Warrington";#N/A,#N/A,TRUE,"Widnes"}</definedName>
    <definedName name="KITCHEN_EQUIPMENT">#REF!</definedName>
    <definedName name="kiulil" hidden="1">{#N/A,#N/A,FALSE,"CCTV"}</definedName>
    <definedName name="kiulil_1" hidden="1">{#N/A,#N/A,FALSE,"CCTV"}</definedName>
    <definedName name="kiulil_2" hidden="1">{#N/A,#N/A,FALSE,"CCTV"}</definedName>
    <definedName name="kj" localSheetId="7" hidden="1">{#N/A,#N/A,TRUE,"Cover";#N/A,#N/A,TRUE,"Conts";#N/A,#N/A,TRUE,"VOS";#N/A,#N/A,TRUE,"Warrington";#N/A,#N/A,TRUE,"Widnes"}</definedName>
    <definedName name="kj" localSheetId="0" hidden="1">{#N/A,#N/A,TRUE,"Cover";#N/A,#N/A,TRUE,"Conts";#N/A,#N/A,TRUE,"VOS";#N/A,#N/A,TRUE,"Warrington";#N/A,#N/A,TRUE,"Widnes"}</definedName>
    <definedName name="kj" localSheetId="9"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GHJG" hidden="1">{#N/A,#N/A,FALSE,"배수2"}</definedName>
    <definedName name="KJGHJG_1" hidden="1">{#N/A,#N/A,FALSE,"배수2"}</definedName>
    <definedName name="KJGHJG_2" hidden="1">{#N/A,#N/A,FALSE,"배수2"}</definedName>
    <definedName name="kjh" hidden="1">{#N/A,#N/A,FALSE,"Chi tiÆt"}</definedName>
    <definedName name="KJHIUBNJK" hidden="1">{#N/A,#N/A,TRUE,"Front";#N/A,#N/A,TRUE,"Simple Letter";#N/A,#N/A,TRUE,"Inside";#N/A,#N/A,TRUE,"Contents";#N/A,#N/A,TRUE,"Basis";#N/A,#N/A,TRUE,"Inclusions";#N/A,#N/A,TRUE,"Exclusions";#N/A,#N/A,TRUE,"Areas";#N/A,#N/A,TRUE,"Summary";#N/A,#N/A,TRUE,"Detail"}</definedName>
    <definedName name="kjhkj" hidden="1">{#N/A,#N/A,FALSE,"SumG";#N/A,#N/A,FALSE,"ElecG";#N/A,#N/A,FALSE,"MechG";#N/A,#N/A,FALSE,"GeotG";#N/A,#N/A,FALSE,"PrcsG";#N/A,#N/A,FALSE,"TunnG";#N/A,#N/A,FALSE,"CivlG";#N/A,#N/A,FALSE,"NtwkG";#N/A,#N/A,FALSE,"EstgG";#N/A,#N/A,FALSE,"PEngG"}</definedName>
    <definedName name="kjhkj_1"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jhlh" hidden="1">{#N/A,#N/A,FALSE,"CCTV"}</definedName>
    <definedName name="kjhlh_1" hidden="1">{#N/A,#N/A,FALSE,"CCTV"}</definedName>
    <definedName name="kjhlh_2" hidden="1">{#N/A,#N/A,FALSE,"CCTV"}</definedName>
    <definedName name="kjhljhk" hidden="1">{#N/A,#N/A,FALSE,"CCTV"}</definedName>
    <definedName name="kjhljhk_1" hidden="1">{#N/A,#N/A,FALSE,"CCTV"}</definedName>
    <definedName name="kjhljhk_2" hidden="1">{#N/A,#N/A,FALSE,"CCTV"}</definedName>
    <definedName name="kjkgh" hidden="1">{"'장비'!$A$3:$M$12"}</definedName>
    <definedName name="kjkgh_1" hidden="1">{"'장비'!$A$3:$M$12"}</definedName>
    <definedName name="kjkgh_2" hidden="1">{"'장비'!$A$3:$M$12"}</definedName>
    <definedName name="KJUIOL" hidden="1">{#N/A,#N/A,TRUE,"Cover";#N/A,#N/A,TRUE,"Conts";#N/A,#N/A,TRUE,"VOS";#N/A,#N/A,TRUE,"Warrington";#N/A,#N/A,TRUE,"Widnes"}</definedName>
    <definedName name="KK">#REF!</definedName>
    <definedName name="kk_1" hidden="1">{#N/A,#N/A,FALSE,"SumD";#N/A,#N/A,FALSE,"ElecD";#N/A,#N/A,FALSE,"MechD";#N/A,#N/A,FALSE,"GeotD";#N/A,#N/A,FALSE,"PrcsD";#N/A,#N/A,FALSE,"TunnD";#N/A,#N/A,FALSE,"CivlD";#N/A,#N/A,FALSE,"NtwkD";#N/A,#N/A,FALSE,"EstgD";#N/A,#N/A,FALSE,"PEngD"}</definedName>
    <definedName name="kkh" hidden="1">{#N/A,#N/A,TRUE,"LOADCOVE";#N/A,#N/A,TRUE,"PAGE001";#N/A,#N/A,TRUE,"PAGE002";#N/A,#N/A,TRUE,"PAGE003";#N/A,#N/A,TRUE,"PAGE004";#N/A,#N/A,TRUE,"PAGE005";#N/A,#N/A,TRUE,"PAGE006";#N/A,#N/A,TRUE,"PAGE007";#N/A,#N/A,TRUE,"PAGE008";#N/A,#N/A,TRUE,"PAGE009";#N/A,#N/A,TRUE,"PAGE010";#N/A,#N/A,TRUE,"PAGE011";#N/A,#N/A,TRUE,"PAGE012";#N/A,#N/A,TRUE,"PAGE013"}</definedName>
    <definedName name="KKK" hidden="1">{#N/A,#N/A,FALSE,"CCTV"}</definedName>
    <definedName name="KKK_1" hidden="1">{#N/A,#N/A,FALSE,"CCTV"}</definedName>
    <definedName name="KKK_2" hidden="1">{#N/A,#N/A,FALSE,"CCTV"}</definedName>
    <definedName name="kkkj" hidden="1">#REF!</definedName>
    <definedName name="KKKK">#REF!</definedName>
    <definedName name="KKKKJJJ">#REF!</definedName>
    <definedName name="KKKKK" hidden="1">#N/A</definedName>
    <definedName name="kklmlk" localSheetId="7" hidden="1">{#N/A,#N/A,TRUE,"Cover";#N/A,#N/A,TRUE,"Conts";#N/A,#N/A,TRUE,"VOS";#N/A,#N/A,TRUE,"Warrington";#N/A,#N/A,TRUE,"Widnes"}</definedName>
    <definedName name="kklmlk" localSheetId="0" hidden="1">{#N/A,#N/A,TRUE,"Cover";#N/A,#N/A,TRUE,"Conts";#N/A,#N/A,TRUE,"VOS";#N/A,#N/A,TRUE,"Warrington";#N/A,#N/A,TRUE,"Widnes"}</definedName>
    <definedName name="kklmlk" localSheetId="9"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kz" hidden="1">{#N/A,#N/A,FALSE,"SumD";#N/A,#N/A,FALSE,"ElecD";#N/A,#N/A,FALSE,"MechD";#N/A,#N/A,FALSE,"GeotD";#N/A,#N/A,FALSE,"PrcsD";#N/A,#N/A,FALSE,"TunnD";#N/A,#N/A,FALSE,"CivlD";#N/A,#N/A,FALSE,"NtwkD";#N/A,#N/A,FALSE,"EstgD";#N/A,#N/A,FALSE,"PEngD"}</definedName>
    <definedName name="klkloo" hidden="1">{#N/A,#N/A,TRUE,"Front";#N/A,#N/A,TRUE,"Simple Letter";#N/A,#N/A,TRUE,"Inside";#N/A,#N/A,TRUE,"Contents";#N/A,#N/A,TRUE,"Basis";#N/A,#N/A,TRUE,"Inclusions";#N/A,#N/A,TRUE,"Exclusions";#N/A,#N/A,TRUE,"Areas";#N/A,#N/A,TRUE,"Summary";#N/A,#N/A,TRUE,"Detail"}</definedName>
    <definedName name="klo" hidden="1">{#N/A,#N/A,TRUE,"Cover";#N/A,#N/A,TRUE,"Conts";#N/A,#N/A,TRUE,"VOS";#N/A,#N/A,TRUE,"Warrington";#N/A,#N/A,TRUE,"Widnes"}</definedName>
    <definedName name="kloc">#REF!</definedName>
    <definedName name="KLOP" hidden="1">{#N/A,#N/A,TRUE,"Cover";#N/A,#N/A,TRUE,"Conts";#N/A,#N/A,TRUE,"VOS";#N/A,#N/A,TRUE,"Warrington";#N/A,#N/A,TRUE,"Widnes"}</definedName>
    <definedName name="klyhmmkhh" hidden="1">{#N/A,#N/A,TRUE,"Front";#N/A,#N/A,TRUE,"Simple Letter";#N/A,#N/A,TRUE,"Inside";#N/A,#N/A,TRUE,"Contents";#N/A,#N/A,TRUE,"Basis";#N/A,#N/A,TRUE,"Inclusions";#N/A,#N/A,TRUE,"Exclusions";#N/A,#N/A,TRUE,"Areas";#N/A,#N/A,TRUE,"Summary";#N/A,#N/A,TRUE,"Detail"}</definedName>
    <definedName name="KNVHDF" hidden="1">{#N/A,#N/A,TRUE,"Cover";#N/A,#N/A,TRUE,"Conts";#N/A,#N/A,TRUE,"VOS";#N/A,#N/A,TRUE,"Warrington";#N/A,#N/A,TRUE,"Widnes"}</definedName>
    <definedName name="KO" hidden="1">{"'Break down'!$A$4"}</definedName>
    <definedName name="koljl"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yk" localSheetId="7" hidden="1">{#N/A,#N/A,TRUE,"Cover";#N/A,#N/A,TRUE,"Conts";#N/A,#N/A,TRUE,"VOS";#N/A,#N/A,TRUE,"Warrington";#N/A,#N/A,TRUE,"Widnes"}</definedName>
    <definedName name="kryk" localSheetId="0" hidden="1">{#N/A,#N/A,TRUE,"Cover";#N/A,#N/A,TRUE,"Conts";#N/A,#N/A,TRUE,"VOS";#N/A,#N/A,TRUE,"Warrington";#N/A,#N/A,TRUE,"Widnes"}</definedName>
    <definedName name="kryk" localSheetId="9"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tf" hidden="1">#REF!</definedName>
    <definedName name="kty" hidden="1">#REF!</definedName>
    <definedName name="ku" hidden="1">{#N/A,#N/A,TRUE,"LOADCOVE";#N/A,#N/A,TRUE,"PAGE001";#N/A,#N/A,TRUE,"PAGE002";#N/A,#N/A,TRUE,"PAGE003";#N/A,#N/A,TRUE,"PAGE004";#N/A,#N/A,TRUE,"PAGE005";#N/A,#N/A,TRUE,"PAGE006";#N/A,#N/A,TRUE,"PAGE007";#N/A,#N/A,TRUE,"PAGE008";#N/A,#N/A,TRUE,"PAGE009";#N/A,#N/A,TRUE,"PAGE010";#N/A,#N/A,TRUE,"PAGE011";#N/A,#N/A,TRUE,"PAGE012";#N/A,#N/A,TRUE,"PAGE013"}</definedName>
    <definedName name="kuf" hidden="1">{#N/A,#N/A,TRUE,"LOADCOVE";#N/A,#N/A,TRUE,"PAGE001";#N/A,#N/A,TRUE,"PAGE002";#N/A,#N/A,TRUE,"PAGE003";#N/A,#N/A,TRUE,"PAGE004";#N/A,#N/A,TRUE,"PAGE005";#N/A,#N/A,TRUE,"PAGE006";#N/A,#N/A,TRUE,"PAGE007";#N/A,#N/A,TRUE,"PAGE008";#N/A,#N/A,TRUE,"PAGE009";#N/A,#N/A,TRUE,"PAGE010";#N/A,#N/A,TRUE,"PAGE011";#N/A,#N/A,TRUE,"PAGE012";#N/A,#N/A,TRUE,"PAGE013"}</definedName>
    <definedName name="kui" hidden="1">{#N/A,#N/A,TRUE,"Front";#N/A,#N/A,TRUE,"Simple Letter";#N/A,#N/A,TRUE,"Inside";#N/A,#N/A,TRUE,"Contents";#N/A,#N/A,TRUE,"Basis";#N/A,#N/A,TRUE,"Inclusions";#N/A,#N/A,TRUE,"Exclusions";#N/A,#N/A,TRUE,"Areas";#N/A,#N/A,TRUE,"Summary";#N/A,#N/A,TRUE,"Detail"}</definedName>
    <definedName name="kuky">"Page "&amp;IF(ISNA(MATCH(ROW(),RowAfterpgbrk,1)),1,MATCH(ROW(),RowAfterpgbrk,1)+1)&amp;" of " &amp; TotPageCount + 0*NOW()</definedName>
    <definedName name="KurFarki">#REF!</definedName>
    <definedName name="KurFarki_21">#REF!</definedName>
    <definedName name="KurFarki_22">#REF!</definedName>
    <definedName name="KurFarki_23">#REF!</definedName>
    <definedName name="KurFarki_24">#REF!</definedName>
    <definedName name="KurFarki_25">#REF!</definedName>
    <definedName name="KurFarki_26">#REF!</definedName>
    <definedName name="kuy" hidden="1">{#N/A,#N/A,TRUE,"Cover";#N/A,#N/A,TRUE,"Conts";#N/A,#N/A,TRUE,"VOS";#N/A,#N/A,TRUE,"Warrington";#N/A,#N/A,TRUE,"Widnes"}</definedName>
    <definedName name="KUYGGDF" hidden="1">{#N/A,#N/A,FALSE,"표지목차"}</definedName>
    <definedName name="KUYGGDF_1" hidden="1">{#N/A,#N/A,FALSE,"표지목차"}</definedName>
    <definedName name="KUYGGDF_2" hidden="1">{#N/A,#N/A,FALSE,"표지목차"}</definedName>
    <definedName name="KW">#REF!</definedName>
    <definedName name="Kx">#REF!</definedName>
    <definedName name="KYFC" hidden="1">{#N/A,#N/A,TRUE,"Cover";#N/A,#N/A,TRUE,"Conts";#N/A,#N/A,TRUE,"VOS";#N/A,#N/A,TRUE,"Warrington";#N/A,#N/A,TRUE,"Widnes"}</definedName>
    <definedName name="KYSTH" localSheetId="7" hidden="1">{#N/A,#N/A,TRUE,"Cover";#N/A,#N/A,TRUE,"Conts";#N/A,#N/A,TRUE,"VOS";#N/A,#N/A,TRUE,"Warrington";#N/A,#N/A,TRUE,"Widnes"}</definedName>
    <definedName name="KYSTH" localSheetId="0" hidden="1">{#N/A,#N/A,TRUE,"Cover";#N/A,#N/A,TRUE,"Conts";#N/A,#N/A,TRUE,"VOS";#N/A,#N/A,TRUE,"Warrington";#N/A,#N/A,TRUE,"Widnes"}</definedName>
    <definedName name="KYSTH" localSheetId="9"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kyu">IF(ISNA(MATCH(ROW(),RowAfterpgbrk,1)),1,MATCH(ROW(),RowAfterpgbrk,1)+1)</definedName>
    <definedName name="kyukyu">IF(ISNA(MATCH(ROW(),RowAfterpgbrk,1)),1,MATCH(ROW(),RowAfterpgbrk,1)+1)&lt;&gt;IF(ISNA(MATCH(ROW()-1,RowAfterpgbrk,1)),1,MATCH(ROW()-1,RowAfterpgbrk,1)+1)</definedName>
    <definedName name="Kz">#REF!</definedName>
    <definedName name="l" localSheetId="7" hidden="1">{#N/A,#N/A,TRUE,"Cover";#N/A,#N/A,TRUE,"Conts";#N/A,#N/A,TRUE,"VOS";#N/A,#N/A,TRUE,"Warrington";#N/A,#N/A,TRUE,"Widnes"}</definedName>
    <definedName name="l" localSheetId="0" hidden="1">{#N/A,#N/A,TRUE,"Cover";#N/A,#N/A,TRUE,"Conts";#N/A,#N/A,TRUE,"VOS";#N/A,#N/A,TRUE,"Warrington";#N/A,#N/A,TRUE,"Widnes"}</definedName>
    <definedName name="l" localSheetId="9"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_______EARTH_WORKS">#REF!</definedName>
    <definedName name="L_Tiling">#REF!</definedName>
    <definedName name="L1L">#REF!</definedName>
    <definedName name="L2L">#REF!</definedName>
    <definedName name="L3L">#REF!</definedName>
    <definedName name="L4L">#REF!</definedName>
    <definedName name="LA">#REF!</definedName>
    <definedName name="LAB">#REF!</definedName>
    <definedName name="LAB_PART" localSheetId="9">#REF!</definedName>
    <definedName name="LAB_PART">#REF!</definedName>
    <definedName name="LAB_UPLIFT" localSheetId="9">#REF!</definedName>
    <definedName name="LAB_UPLIFT">#REF!</definedName>
    <definedName name="Labor">#N/A</definedName>
    <definedName name="LABOR_C">#REF!</definedName>
    <definedName name="LABOR1">#N/A</definedName>
    <definedName name="LABOUR">#REF!</definedName>
    <definedName name="lacommh">#REF!</definedName>
    <definedName name="lacommhcost">#REF!</definedName>
    <definedName name="LAND">#REF!</definedName>
    <definedName name="Land_Scaping">#REF!</definedName>
    <definedName name="LANDSCAPING">#REF!</definedName>
    <definedName name="LARG2">#REF!</definedName>
    <definedName name="LARG3">#REF!</definedName>
    <definedName name="LARG4">#REF!</definedName>
    <definedName name="LARG5">#REF!</definedName>
    <definedName name="LARG6">#REF!</definedName>
    <definedName name="LARG7">#REF!</definedName>
    <definedName name="Last_Row">#REF!</definedName>
    <definedName name="Lastdate">#REF!</definedName>
    <definedName name="LastRow">IF(ISNA(MATCH(ROW(),RowAfterpgbrk,1)),1,MATCH(ROW(),RowAfterpgbrk,1)+1)&lt;&gt;IF(ISNA(MATCH(ROW()+1,RowAfterpgbrk,1)),1,MATCH(ROW()+1,RowAfterpgbrk,1)+1)</definedName>
    <definedName name="LAUNDRY_ROOMS">#REF!</definedName>
    <definedName name="lavatory">#REF!</definedName>
    <definedName name="LAY" hidden="1">{#N/A,#N/A,TRUE,"CS&amp;SS(AG)";#N/A,#N/A,TRUE,"CS(UG)";#N/A,#N/A,TRUE,"CSCL(UG)";#N/A,#N/A,TRUE,"KYNAR";#N/A,#N/A,TRUE,"ALLOY904";#N/A,#N/A,TRUE,"TITANIUM";#N/A,#N/A,TRUE,"STMTRACE"}</definedName>
    <definedName name="Lb">#REF!</definedName>
    <definedName name="LC">#REF!</definedName>
    <definedName name="Lcant">#REF!</definedName>
    <definedName name="Lcant_1">#N/A</definedName>
    <definedName name="LCC_EXPAT">#REF!</definedName>
    <definedName name="LCC_LOCAL">#REF!</definedName>
    <definedName name="LCL">#REF!</definedName>
    <definedName name="LCM">#REF!</definedName>
    <definedName name="LCT">#REF!</definedName>
    <definedName name="LCTOHP">#REF!</definedName>
    <definedName name="LeanConcrete">#REF!</definedName>
    <definedName name="LeanConcrete_21">#REF!</definedName>
    <definedName name="LeanConcrete_22">#REF!</definedName>
    <definedName name="LeanConcrete_23">#REF!</definedName>
    <definedName name="LeanConcrete_24">#REF!</definedName>
    <definedName name="LeanConcrete_25">#REF!</definedName>
    <definedName name="LeanConcrete_26">#REF!</definedName>
    <definedName name="LeaveDays">#REF!</definedName>
    <definedName name="LeaveDays1">#REF!</definedName>
    <definedName name="ledger" hidden="1">{"'Break down'!$A$4"}</definedName>
    <definedName name="LEE" hidden="1">{#N/A,#N/A,TRUE,"Basic";#N/A,#N/A,TRUE,"EXT-TABLE";#N/A,#N/A,TRUE,"STEEL";#N/A,#N/A,TRUE,"INT-Table";#N/A,#N/A,TRUE,"STEEL";#N/A,#N/A,TRUE,"Door"}</definedName>
    <definedName name="length">#REF!</definedName>
    <definedName name="LENGTH_1000mm_dia._GRP">#REF!</definedName>
    <definedName name="LENGTH_100mm_thk_blinding">#REF!</definedName>
    <definedName name="LENGTH_1300mm_high_upstand">#REF!</definedName>
    <definedName name="LENGTH_1600mm_thk_base_slab">#REF!</definedName>
    <definedName name="LENGTH_200mm_thick_cantilever_slab">#REF!</definedName>
    <definedName name="LENGTH_20mm_Isolation_Joint">#REF!</definedName>
    <definedName name="LENGTH_22KV_SWITCHGEAR_GR_651">#REF!</definedName>
    <definedName name="LENGTH_22KV_SWITCHGEAR_under_eqpt__GR_651">#REF!</definedName>
    <definedName name="LENGTH_22KV_SWITCHGEAR_under_walk__GR_651">#REF!</definedName>
    <definedName name="LENGTH_300mm_thk_base_slab">#REF!</definedName>
    <definedName name="LENGTH_300mm_thk_Susp._slab">#REF!</definedName>
    <definedName name="LENGTH_4mm_thk_below_ground_waterproofing">#REF!</definedName>
    <definedName name="LENGTH_4mm_thk_roof_covering_system">#REF!</definedName>
    <definedName name="LENGTH_500mm_thk_base_slab">#REF!</definedName>
    <definedName name="LENGTH_75mm_thk_blinding">#REF!</definedName>
    <definedName name="LENGTH_800mm_thk_base_slab">#REF!</definedName>
    <definedName name="LENGTH_AC_DC_GR_658">#REF!</definedName>
    <definedName name="LENGTH_Access_drive_rear">#REF!</definedName>
    <definedName name="LENGTH_Access_drive_rear_F.1">#REF!</definedName>
    <definedName name="LENGTH_Access_tunnel">#REF!</definedName>
    <definedName name="LENGTH_AGV_depot">#REF!</definedName>
    <definedName name="LENGTH_Air_filter_chamber">#REF!</definedName>
    <definedName name="LENGTH_Air_intake_trench">#REF!</definedName>
    <definedName name="LENGTH_AUX_1_GR_653">#REF!</definedName>
    <definedName name="LENGTH_AUX_2_GR_654">#REF!</definedName>
    <definedName name="LENGTH_b10s1">#REF!</definedName>
    <definedName name="LENGTH_b20s2">#REF!</definedName>
    <definedName name="LENGTH_b30s2">#REF!</definedName>
    <definedName name="LENGTH_b50s3">#REF!</definedName>
    <definedName name="LENGTH_BASEMENT_BS_651">#REF!</definedName>
    <definedName name="LENGTH_BATTERY_GR_659">#REF!</definedName>
    <definedName name="LENGTH_Beam_B1_400X700_">#REF!</definedName>
    <definedName name="LENGTH_Beam_B2_300X700_">#REF!</definedName>
    <definedName name="LENGTH_Below_ground_horizontal">#REF!</definedName>
    <definedName name="LENGTH_Below_tunnel_horizontal">#REF!</definedName>
    <definedName name="LENGTH_Blinding">#REF!</definedName>
    <definedName name="LENGTH_Break">#REF!</definedName>
    <definedName name="LENGTH_Break.F">#REF!</definedName>
    <definedName name="LENGTH_Break_room">#REF!</definedName>
    <definedName name="LENGTH_Break_room.1">#REF!</definedName>
    <definedName name="LENGTH_Cable_trench_slab_200mm_thk">#REF!</definedName>
    <definedName name="LENGTH_Cable_trench_wall_800mm_high">#REF!</definedName>
    <definedName name="LENGTH_Comm">#REF!</definedName>
    <definedName name="LENGTH_COMMU.ROOM_GR_660">#REF!</definedName>
    <definedName name="LENGTH_Communication_room">#REF!</definedName>
    <definedName name="LENGTH_Control.1">#REF!</definedName>
    <definedName name="LENGTH_CONTROL_ROOM_GR_657">#REF!</definedName>
    <definedName name="LENGTH_Corridor">#REF!</definedName>
    <definedName name="LENGTH_Corridor.1">#REF!</definedName>
    <definedName name="LENGTH_Corridor.2">#REF!</definedName>
    <definedName name="LENGTH_Corridor.3">#REF!</definedName>
    <definedName name="LENGTH_Corridor.4">#REF!</definedName>
    <definedName name="LENGTH_CORRIDOR_GR_665">#REF!</definedName>
    <definedName name="LENGTH_CT___02">#REF!</definedName>
    <definedName name="LENGTH_Duct_from_SS_to_Trench">#REF!</definedName>
    <definedName name="LENGTH_Elec">#REF!</definedName>
    <definedName name="LENGTH_Elec.1">#REF!</definedName>
    <definedName name="LENGTH_Elec.2">#REF!</definedName>
    <definedName name="LENGTH_Electrical">#REF!</definedName>
    <definedName name="LENGTH_Electrical.1">#REF!</definedName>
    <definedName name="LENGTH_Electrical.f">#REF!</definedName>
    <definedName name="LENGTH_Electrical_room">#REF!</definedName>
    <definedName name="LENGTH_Elev._equip">#REF!</definedName>
    <definedName name="LENGTH_EP___01">#REF!</definedName>
    <definedName name="LENGTH_EP___02">#REF!</definedName>
    <definedName name="LENGTH_EP_01_S">#REF!</definedName>
    <definedName name="LENGTH_EP_02_S">#REF!</definedName>
    <definedName name="LENGTH_Epoxy_paint_anti_fungus">#REF!</definedName>
    <definedName name="LENGTH_Excation">#REF!</definedName>
    <definedName name="LENGTH_Exit_passageway">#REF!</definedName>
    <definedName name="LENGTH_Exit_passageway.1">#REF!</definedName>
    <definedName name="LENGTH_Exit_passageway.2">#REF!</definedName>
    <definedName name="LENGTH_Exit_passageway.F">#REF!</definedName>
    <definedName name="LENGTH_Exit_passageway_1">#REF!</definedName>
    <definedName name="LENGTH_Fair_faced_concrete">#REF!</definedName>
    <definedName name="LENGTH_False_Ceiling">#REF!</definedName>
    <definedName name="LENGTH_Fan_room">#REF!</definedName>
    <definedName name="LENGTH_Fan_room.2">#REF!</definedName>
    <definedName name="LENGTH_Female_toilet_shower.F">#REF!</definedName>
    <definedName name="LENGTH_Fencing">#REF!</definedName>
    <definedName name="LENGTH_FF_conc._w_epoxy_paint_anti_fungus">#REF!</definedName>
    <definedName name="LENGTH_Filters.RF">#REF!</definedName>
    <definedName name="LENGTH_FIRE_FIGHTING_GR_656">#REF!</definedName>
    <definedName name="LENGTH_Fire_riser">#REF!</definedName>
    <definedName name="LENGTH_Fire_riser.F">#REF!</definedName>
    <definedName name="LENGTH_FL_01_General_floor">#REF!</definedName>
    <definedName name="LENGTH_FL_01_Ramps">#REF!</definedName>
    <definedName name="LENGTH_FL_02_Traffic_islands___Raised_area">#REF!</definedName>
    <definedName name="LENGTH_FL_03__Kerbs_3">#REF!</definedName>
    <definedName name="LENGTH_FL_03_Raised_Kerbs">#REF!</definedName>
    <definedName name="LENGTH_FL_04_Wheel_stops">#REF!</definedName>
    <definedName name="LENGTH_FL_05_Bay_Numbers">#REF!</definedName>
    <definedName name="LENGTH_FL_05_Disable_signage">#REF!</definedName>
    <definedName name="LENGTH_FL_05_Left_turn_Arrow_616">#REF!</definedName>
    <definedName name="LENGTH_FL_05_Parking_line_100mm_thk">#REF!</definedName>
    <definedName name="LENGTH_FL_05_Parking_line_280mm_thk">#REF!</definedName>
    <definedName name="LENGTH_FL_05_Parking_line_390mm_thk">#REF!</definedName>
    <definedName name="LENGTH_FL_05_Parking_line_530mm_thk">#REF!</definedName>
    <definedName name="LENGTH_FL_05_Right_turn_Arrow_615">#REF!</definedName>
    <definedName name="LENGTH_FL_05_Straight_Arrow_614">#REF!</definedName>
    <definedName name="LENGTH_FL_05_Straight_Right_Arrow_617">#REF!</definedName>
    <definedName name="LENGTH_FL_06_Ped._Walkways">#REF!</definedName>
    <definedName name="LENGTH_Footing_F1_400mm_high">#REF!</definedName>
    <definedName name="LENGTH_GB1_300X750mm">#REF!</definedName>
    <definedName name="LENGTH_GB2_400X750mm">#REF!</definedName>
    <definedName name="LENGTH_GENERATOR_1_GR_671">#REF!</definedName>
    <definedName name="LENGTH_GENERATOR_2_GR_672">#REF!</definedName>
    <definedName name="LENGTH_GIS_ROOM_GR_652">#REF!</definedName>
    <definedName name="LENGTH_GIS_ROOM_under_eqpt__GR_652">#REF!</definedName>
    <definedName name="LENGTH_GIS_ROOM_under_walkable__GR_652">#REF!</definedName>
    <definedName name="LENGTH_Grade_Slab_200mm_thk">#REF!</definedName>
    <definedName name="LENGTH_Ground_Beam_GB1_350X500_">#REF!</definedName>
    <definedName name="LENGTH_Ground_Beam_GB2_300X500_">#REF!</definedName>
    <definedName name="LENGTH_GUARD_ROOM_GR_666">#REF!</definedName>
    <definedName name="LENGTH_GUARD_WC_GR_669">#REF!</definedName>
    <definedName name="LENGTH_Hangar_11">#REF!</definedName>
    <definedName name="LENGTH_Hangar_12">#REF!</definedName>
    <definedName name="LENGTH_Imam_office">#REF!</definedName>
    <definedName name="LENGTH_Janitor">#REF!</definedName>
    <definedName name="LENGTH_Janitor.1">#REF!</definedName>
    <definedName name="LENGTH_L1_300X400">#REF!</definedName>
    <definedName name="LENGTH_L1_300X500">#REF!</definedName>
    <definedName name="LENGTH_L1_300X600">#REF!</definedName>
    <definedName name="LENGTH_L4_300X400">#REF!</definedName>
    <definedName name="LENGTH_L4_300X500">#REF!</definedName>
    <definedName name="LENGTH_L4_300X600">#REF!</definedName>
    <definedName name="LENGTH_L4_350X500">#REF!</definedName>
    <definedName name="LENGTH_L4_500X500">#REF!</definedName>
    <definedName name="LENGTH_L6_300X300">#REF!</definedName>
    <definedName name="LENGTH_L6_300X500">#REF!</definedName>
    <definedName name="LENGTH_Line_hangar_1">#REF!</definedName>
    <definedName name="LENGTH_Mech">#REF!</definedName>
    <definedName name="LENGTH_Mech.">#REF!</definedName>
    <definedName name="LENGTH_Mech.1">#REF!</definedName>
    <definedName name="LENGTH_Mech.2">#REF!</definedName>
    <definedName name="LENGTH_Mechanical">#REF!</definedName>
    <definedName name="LENGTH_Mechanical.1">#REF!</definedName>
    <definedName name="LENGTH_Mechanical.PH">#REF!</definedName>
    <definedName name="LENGTH_Mechanical.RF">#REF!</definedName>
    <definedName name="LENGTH_Mechanical_room">#REF!</definedName>
    <definedName name="LENGTH_MEDIUM_VOLTAGE_RM_GR_670">#REF!</definedName>
    <definedName name="LENGTH_Men_toilet_shower">#REF!</definedName>
    <definedName name="LENGTH_Men_toilet_shower.1">#REF!</definedName>
    <definedName name="LENGTH_Men_toilet_shower.F">#REF!</definedName>
    <definedName name="LENGTH_Mens_toilet">#REF!</definedName>
    <definedName name="LENGTH_Mens_toilet.F">#REF!</definedName>
    <definedName name="LENGTH_Office">#REF!</definedName>
    <definedName name="LENGTH_Office.1">#REF!</definedName>
    <definedName name="LENGTH_Office_1">#REF!</definedName>
    <definedName name="LENGTH_Office_2">#REF!</definedName>
    <definedName name="LENGTH_Office_3">#REF!</definedName>
    <definedName name="LENGTH_OFFICE_GR_663">#REF!</definedName>
    <definedName name="LENGTH_OFFICE_GR_664">#REF!</definedName>
    <definedName name="LENGTH_Offices">#REF!</definedName>
    <definedName name="LENGTH_OIL_PIT_B_655">#REF!</definedName>
    <definedName name="LENGTH_OIL_PIT_B_656">#REF!</definedName>
    <definedName name="LENGTH_OIL_PIT_BS_654">#REF!</definedName>
    <definedName name="LENGTH_Open_office">#REF!</definedName>
    <definedName name="LENGTH_OPen_office.1">#REF!</definedName>
    <definedName name="LENGTH_Open_office.F">#REF!</definedName>
    <definedName name="LENGTH_Paint_hangar_1">#REF!</definedName>
    <definedName name="LENGTH_Paint_hold.1">#REF!</definedName>
    <definedName name="LENGTH_Paint_mix">#REF!</definedName>
    <definedName name="LENGTH_Paint_mix.1">#REF!</definedName>
    <definedName name="LENGTH_Paint_shop">#REF!</definedName>
    <definedName name="LENGTH_Paint_shop.1">#REF!</definedName>
    <definedName name="LENGTH_Paint_store">#REF!</definedName>
    <definedName name="LENGTH_Painted_plaster">#REF!</definedName>
    <definedName name="LENGTH_PANTRY_GR_662">#REF!</definedName>
    <definedName name="LENGTH_Parapet_at_transformer_room">#REF!</definedName>
    <definedName name="LENGTH_Parts">#REF!</definedName>
    <definedName name="LENGTH_Parts.1">#REF!</definedName>
    <definedName name="LENGTH_Parts_">#REF!</definedName>
    <definedName name="LENGTH_Plaster_Anti_alkaline_paint">#REF!</definedName>
    <definedName name="LENGTH_Plot_Area">#REF!</definedName>
    <definedName name="LENGTH_Prayer_room">#REF!</definedName>
    <definedName name="LENGTH_PT___10">#REF!</definedName>
    <definedName name="LENGTH_PT_01_S">#REF!</definedName>
    <definedName name="LENGTH_RC_base">#REF!</definedName>
    <definedName name="LENGTH_RC_Wall">#REF!</definedName>
    <definedName name="LENGTH_RC_Wall_300W_3500H">#REF!</definedName>
    <definedName name="LENGTH_RC_Wall_300W_867H">#REF!</definedName>
    <definedName name="LENGTH_RC_Wall_400W_3500H">#REF!</definedName>
    <definedName name="LENGTH_RC_Wall_400W_3700H">#REF!</definedName>
    <definedName name="LENGTH_RC_Wall_500W_11670H">#REF!</definedName>
    <definedName name="LENGTH_RC_Wall_500W_12770H">#REF!</definedName>
    <definedName name="LENGTH_RC_Wall_600W_4000H">#REF!</definedName>
    <definedName name="LENGTH_RC_Wall_600W_5000H">#REF!</definedName>
    <definedName name="LENGTH_RC_Wall_800W_4800H">#REF!</definedName>
    <definedName name="LENGTH_RC_Wall_800W_6500H">#REF!</definedName>
    <definedName name="LENGTH_Receiver_tanks">#REF!</definedName>
    <definedName name="LENGTH_Removal_of_top_soil">#REF!</definedName>
    <definedName name="LENGTH_Riser">#REF!</definedName>
    <definedName name="LENGTH_Roof_Beam_RB1_300X600_">#REF!</definedName>
    <definedName name="LENGTH_Roof_beam_RB1_400X600_">#REF!</definedName>
    <definedName name="LENGTH_Roof_Beam_RB2_300X600_">#REF!</definedName>
    <definedName name="LENGTH_Roof_beam_RB2_400X600_">#REF!</definedName>
    <definedName name="LENGTH_Roof_beam_RB3_300X600_">#REF!</definedName>
    <definedName name="LENGTH_Roof_beam_RB4_200X400_">#REF!</definedName>
    <definedName name="LENGTH_Roof_parapet_300mm_high">#REF!</definedName>
    <definedName name="LENGTH_Roof_Parapet_500mm_high">#REF!</definedName>
    <definedName name="LENGTH_ROOF_RF_651">#REF!</definedName>
    <definedName name="LENGTH_ROOF_RF_652">#REF!</definedName>
    <definedName name="LENGTH_ROOF_RF_653">#REF!</definedName>
    <definedName name="LENGTH_ROOF_RF_654">#REF!</definedName>
    <definedName name="LENGTH_Roof_Slab_200mm_thick">#REF!</definedName>
    <definedName name="LENGTH_Roof_slab_250mm_thk">#REF!</definedName>
    <definedName name="LENGTH_SC_Columns_C1">#REF!</definedName>
    <definedName name="LENGTH_SC_Columns_C2">#REF!</definedName>
    <definedName name="LENGTH_Seat_storage.F1">#REF!</definedName>
    <definedName name="LENGTH_Seat_storage.F2">#REF!</definedName>
    <definedName name="LENGTH_SF_01_General_soffit">#REF!</definedName>
    <definedName name="LENGTH_Slab_S2_180mm_thick">#REF!</definedName>
    <definedName name="LENGTH_Slab_S3_200mm_thick">#REF!</definedName>
    <definedName name="LENGTH_Slab_S4_220mm_thick">#REF!</definedName>
    <definedName name="LENGTH_Slab_S5_250mm_thk">#REF!</definedName>
    <definedName name="LENGTH_Sloped_Roof_160mm_thick">#REF!</definedName>
    <definedName name="LENGTH_Smoking.1">#REF!</definedName>
    <definedName name="LENGTH_Smoking.2">#REF!</definedName>
    <definedName name="LENGTH_Smoking.F">#REF!</definedName>
    <definedName name="LENGTH_SS_B1_300X600_450mm_deep">#REF!</definedName>
    <definedName name="LENGTH_SS_B1_300X700_450mm_deep">#REF!</definedName>
    <definedName name="LENGTH_SS_B1_300X700_500mm_deep">#REF!</definedName>
    <definedName name="LENGTH_SS_B1_300X700X520mm_deep">#REF!</definedName>
    <definedName name="LENGTH_SS_B10_300X600_350mm_deep">#REF!</definedName>
    <definedName name="LENGTH_SS_B10_300X700_450mm_deep">#REF!</definedName>
    <definedName name="LENGTH_SS_B10_300X700_480mm_deep">#REF!</definedName>
    <definedName name="LENGTH_SS_B10_350X700_450mm_deep">#REF!</definedName>
    <definedName name="LENGTH_SS_B10_350X700_500mm_deep">#REF!</definedName>
    <definedName name="LENGTH_SS_B11_300X700_450mm_deep">#REF!</definedName>
    <definedName name="LENGTH_SS_B11_400X800_550mm_deep">#REF!</definedName>
    <definedName name="LENGTH_SS_B12_200X600_380mm_deep">#REF!</definedName>
    <definedName name="LENGTH_SS_B12_300X700">#REF!</definedName>
    <definedName name="LENGTH_SS_B12_300X700_500mm_deep">#REF!</definedName>
    <definedName name="LENGTH_SS_B12_300X700_520mm_deep">#REF!</definedName>
    <definedName name="LENGTH_SS_B12_300X700_580mm_deep">#REF!</definedName>
    <definedName name="LENGTH_SS_B13_300X700_480mm_deep">#REF!</definedName>
    <definedName name="LENGTH_SS_B13_350X700_450mm_deep">#REF!</definedName>
    <definedName name="LENGTH_SS_B14_300X700_450mm_deep">#REF!</definedName>
    <definedName name="LENGTH_SS_B14_300X700_500mm_deep">#REF!</definedName>
    <definedName name="LENGTH_SS_B15_300X700_450mm_deep">#REF!</definedName>
    <definedName name="LENGTH_SS_B15_350X700_450mm_deep">#REF!</definedName>
    <definedName name="LENGTH_SS_B15_350X700_500mm_deep">#REF!</definedName>
    <definedName name="LENGTH_SS_B16_300X700">#REF!</definedName>
    <definedName name="LENGTH_SS_B16_300X700_520mm_deep">#REF!</definedName>
    <definedName name="LENGTH_SS_B16_350X700_500mm_deep">#REF!</definedName>
    <definedName name="LENGTH_SS_B17_300X700">#REF!</definedName>
    <definedName name="LENGTH_SS_B18_300X700_480mm_deep">#REF!</definedName>
    <definedName name="LENGTH_SS_B18_300X700_500mm_deep">#REF!</definedName>
    <definedName name="LENGTH_SS_B18300X700">#REF!</definedName>
    <definedName name="LENGTH_SS_B19_300X700_450mm_deep">#REF!</definedName>
    <definedName name="LENGTH_SS_B19_300X700_500mm_deep">#REF!</definedName>
    <definedName name="LENGTH_SS_B2_400X800_550mm_deep">#REF!</definedName>
    <definedName name="LENGTH_SS_B20_300X700_450mm_deep">#REF!</definedName>
    <definedName name="LENGTH_SS_B20_300X700_520mm_deep">#REF!</definedName>
    <definedName name="LENGTH_SS_B21_300X700_450mm_deep">#REF!</definedName>
    <definedName name="LENGTH_SS_B22_300X700_450mm_deep">#REF!</definedName>
    <definedName name="LENGTH_SS_B23_300X700_500mm_deep">#REF!</definedName>
    <definedName name="LENGTH_SS_B24_300X700_500mm_deep">#REF!</definedName>
    <definedName name="LENGTH_SS_B25_300X700_480mm_deep">#REF!</definedName>
    <definedName name="LENGTH_SS_B26_300X500_340mm_deep">#REF!</definedName>
    <definedName name="LENGTH_SS_B27_300X500_340___deep">#REF!</definedName>
    <definedName name="LENGTH_SS_B28_500X1000_750mm_deep">#REF!</definedName>
    <definedName name="LENGTH_SS_B29_500X1000_750mm_deep">#REF!</definedName>
    <definedName name="LENGTH_SS_B3_400X700_480mm_deep">#REF!</definedName>
    <definedName name="LENGTH_SS_B3_400X800_550mm_deep">#REF!</definedName>
    <definedName name="LENGTH_SS_B30_500X1000_750mm_deep">#REF!</definedName>
    <definedName name="LENGTH_SS_B31_500X1000_750mm_deep">#REF!</definedName>
    <definedName name="LENGTH_SS_B4_300X700_520mm_deep">#REF!</definedName>
    <definedName name="LENGTH_SS_B4_400X800_550mm_deep">#REF!</definedName>
    <definedName name="LENGTH_SS_B5_400X800_550mm_deep">#REF!</definedName>
    <definedName name="LENGTH_SS_B6_300X600_350mm_deep">#REF!</definedName>
    <definedName name="LENGTH_SS_B6_300X700">#REF!</definedName>
    <definedName name="LENGTH_SS_B6_300X700_520mm_deep">#REF!</definedName>
    <definedName name="LENGTH_SS_B7_200X700_450mm_deep">#REF!</definedName>
    <definedName name="LENGTH_SS_B8_400X800_550mm_deep">#REF!</definedName>
    <definedName name="LENGTH_SS_B9_300X600_350mm_deep">#REF!</definedName>
    <definedName name="LENGTH_SS_B9_300X700_450mm_deep">#REF!</definedName>
    <definedName name="LENGTH_SS_B9_350X700_450mm_deep">#REF!</definedName>
    <definedName name="LENGTH_SS_B9_350X700_500mm_deep">#REF!</definedName>
    <definedName name="LENGTH_SS_CA1_300X700">#REF!</definedName>
    <definedName name="LENGTH_Stair">#REF!</definedName>
    <definedName name="LENGTH_Stair.1">#REF!</definedName>
    <definedName name="LENGTH_Stair_10">#REF!</definedName>
    <definedName name="LENGTH_Stair_11">#REF!</definedName>
    <definedName name="LENGTH_Stair_11A">#REF!</definedName>
    <definedName name="LENGTH_Stair_12">#REF!</definedName>
    <definedName name="LENGTH_Stair_12A">#REF!</definedName>
    <definedName name="LENGTH_Stair_12B">#REF!</definedName>
    <definedName name="LENGTH_Stair_13">#REF!</definedName>
    <definedName name="LENGTH_Stair_14">#REF!</definedName>
    <definedName name="LENGTH_STAIRCASE_ROOM_BS_668">#REF!</definedName>
    <definedName name="LENGTH_Storage.1">#REF!</definedName>
    <definedName name="LENGTH_Storage.F">#REF!</definedName>
    <definedName name="LENGTH_Storage.F1">#REF!</definedName>
    <definedName name="LENGTH_Storage.F2">#REF!</definedName>
    <definedName name="LENGTH_Storage.F3">#REF!</definedName>
    <definedName name="LENGTH_Storage_F">#REF!</definedName>
    <definedName name="LENGTH_STORE_GR_655">#REF!</definedName>
    <definedName name="LENGTH_Strip_footings_400mm_thk">#REF!</definedName>
    <definedName name="LENGTH_Strip_footings_500mm_thk">#REF!</definedName>
    <definedName name="LENGTH_Sub_Str._RC_Wall_250mm_thk">#REF!</definedName>
    <definedName name="LENGTH_Sub_str._RC_Wall_400mm_thk">#REF!</definedName>
    <definedName name="LENGTH_Sub_Str._Trench_wall_250mm_thick">#REF!</definedName>
    <definedName name="LENGTH_Sub_Str.RC_Wall_300mm_thk">#REF!</definedName>
    <definedName name="LENGTH_Superstr._Basement_Wall_250mm_thick">#REF!</definedName>
    <definedName name="LENGTH_Surface_Bed_S_120mm_thick">#REF!</definedName>
    <definedName name="LENGTH_Surface_Bed_S1_150mm_thick">#REF!</definedName>
    <definedName name="LENGTH_Surface_Bed_S5_250mm_thk">#REF!</definedName>
    <definedName name="LENGTH_Tech.">#REF!</definedName>
    <definedName name="LENGTH_Tech._library">#REF!</definedName>
    <definedName name="LENGTH_Tech.1">#REF!</definedName>
    <definedName name="LENGTH_Tech_library.1">#REF!</definedName>
    <definedName name="LENGTH_TL___01">#REF!</definedName>
    <definedName name="LENGTH_TL___04">#REF!</definedName>
    <definedName name="LENGTH_TL___09">#REF!</definedName>
    <definedName name="LENGTH_TL___10">#REF!</definedName>
    <definedName name="LENGTH_TL___11">#REF!</definedName>
    <definedName name="LENGTH_TL___12_S">#REF!</definedName>
    <definedName name="LENGTH_TL_04_S">#REF!</definedName>
    <definedName name="LENGTH_TL_09_S">#REF!</definedName>
    <definedName name="LENGTH_TOILETS_GR_661">#REF!</definedName>
    <definedName name="LENGTH_Tool_crib">#REF!</definedName>
    <definedName name="LENGTH_Tool_crib.1">#REF!</definedName>
    <definedName name="LENGTH_Tools">#REF!</definedName>
    <definedName name="LENGTH_Tools_CE_P">#REF!</definedName>
    <definedName name="LENGTH_Tools_CE_P.1">#REF!</definedName>
    <definedName name="LENGTH_Training.F">#REF!</definedName>
    <definedName name="LENGTH_Training_room">#REF!</definedName>
    <definedName name="LENGTH_Training_room.1">#REF!</definedName>
    <definedName name="LENGTH_TRENCH_BS_653">#REF!</definedName>
    <definedName name="LENGTH_TUNNEL_BS_652">#REF!</definedName>
    <definedName name="LENGTH_Type_E_Scratched_Finish">#REF!</definedName>
    <definedName name="LENGTH_Type_F_Smooth_finish">#REF!</definedName>
    <definedName name="LENGTH_Warming_kitchen">#REF!</definedName>
    <definedName name="LENGTH_Wash_hangar_2">#REF!</definedName>
    <definedName name="LENGTH_WL_01_General_walls">#REF!</definedName>
    <definedName name="LENGTH_WL_01_Upstand">#REF!</definedName>
    <definedName name="LENGTH_WL_02_Columns_and_Corners">#REF!</definedName>
    <definedName name="LENGTH_WL_03_Bollards___100dia">#REF!</definedName>
    <definedName name="LENGTH_WL_03_Bollards___150dia">#REF!</definedName>
    <definedName name="LENGTH_Womens_toilet">#REF!</definedName>
    <definedName name="LENGTH_Womens_toilet.F">#REF!</definedName>
    <definedName name="LENGTH_WORKSHOP_GR_667">#REF!</definedName>
    <definedName name="Lest">#REF!</definedName>
    <definedName name="Lett" hidden="1">#REF!</definedName>
    <definedName name="Leva">#REF!</definedName>
    <definedName name="level" localSheetId="7" hidden="1">{#N/A,#N/A,TRUE,"Cover";#N/A,#N/A,TRUE,"Conts";#N/A,#N/A,TRUE,"VOS";#N/A,#N/A,TRUE,"Warrington";#N/A,#N/A,TRUE,"Widnes"}</definedName>
    <definedName name="level" localSheetId="0" hidden="1">{#N/A,#N/A,TRUE,"Cover";#N/A,#N/A,TRUE,"Conts";#N/A,#N/A,TRUE,"VOS";#N/A,#N/A,TRUE,"Warrington";#N/A,#N/A,TRUE,"Widnes"}</definedName>
    <definedName name="level" localSheetId="9"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1" hidden="1">{"'장비'!$A$3:$M$12"}</definedName>
    <definedName name="level1_1" hidden="1">{"'장비'!$A$3:$M$12"}</definedName>
    <definedName name="level1_2" hidden="1">{"'장비'!$A$3:$M$12"}</definedName>
    <definedName name="Level2">#REF!</definedName>
    <definedName name="level3" localSheetId="7" hidden="1">{#N/A,#N/A,TRUE,"Cover";#N/A,#N/A,TRUE,"Conts";#N/A,#N/A,TRUE,"VOS";#N/A,#N/A,TRUE,"Warrington";#N/A,#N/A,TRUE,"Widnes"}</definedName>
    <definedName name="level3" localSheetId="0" hidden="1">{#N/A,#N/A,TRUE,"Cover";#N/A,#N/A,TRUE,"Conts";#N/A,#N/A,TRUE,"VOS";#N/A,#N/A,TRUE,"Warrington";#N/A,#N/A,TRUE,"Widnes"}</definedName>
    <definedName name="level3" localSheetId="9"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f">#REF!</definedName>
    <definedName name="Lf_1">#N/A</definedName>
    <definedName name="Lff">#REF!</definedName>
    <definedName name="LFL">#REF!</definedName>
    <definedName name="LFM">#REF!</definedName>
    <definedName name="LFT">#REF!</definedName>
    <definedName name="LFTOHP">#REF!</definedName>
    <definedName name="lgoguliu" localSheetId="7" hidden="1">{#N/A,#N/A,TRUE,"Cover";#N/A,#N/A,TRUE,"Conts";#N/A,#N/A,TRUE,"VOS";#N/A,#N/A,TRUE,"Warrington";#N/A,#N/A,TRUE,"Widnes"}</definedName>
    <definedName name="lgoguliu" localSheetId="0" hidden="1">{#N/A,#N/A,TRUE,"Cover";#N/A,#N/A,TRUE,"Conts";#N/A,#N/A,TRUE,"VOS";#N/A,#N/A,TRUE,"Warrington";#N/A,#N/A,TRUE,"Widnes"}</definedName>
    <definedName name="lgoguliu" localSheetId="9"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HHC" hidden="1">{#N/A,#N/A,TRUE,"Cover";#N/A,#N/A,TRUE,"Conts";#N/A,#N/A,TRUE,"VOS";#N/A,#N/A,TRUE,"Warrington";#N/A,#N/A,TRUE,"Widnes"}</definedName>
    <definedName name="LIB">#REF!</definedName>
    <definedName name="lieu">#REF!</definedName>
    <definedName name="LIFT__AND__CONVEYOR__INSTALLATIONS">#REF!</definedName>
    <definedName name="LIGHTING">#REF!</definedName>
    <definedName name="LIGHTNING_MEAS">#REF!</definedName>
    <definedName name="limcount" hidden="1">1</definedName>
    <definedName name="LIMIT_BALANCE">#REF!</definedName>
    <definedName name="LINE">#REF!</definedName>
    <definedName name="LINE1">#REF!</definedName>
    <definedName name="linerh">#N/A</definedName>
    <definedName name="liop" hidden="1">{"'Break down'!$A$4"}</definedName>
    <definedName name="List">#REF!,#REF!</definedName>
    <definedName name="List_1">#REF!</definedName>
    <definedName name="List_2">#REF!</definedName>
    <definedName name="List_3">#REF!</definedName>
    <definedName name="List_4">#REF!</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1_2"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ist02_2" hidden="1">{#N/A,#N/A,TRUE,"Basic";#N/A,#N/A,TRUE,"EXT-TABLE";#N/A,#N/A,TRUE,"STEEL";#N/A,#N/A,TRUE,"INT-Table";#N/A,#N/A,TRUE,"STEEL";#N/A,#N/A,TRUE,"Door"}</definedName>
    <definedName name="LIST2" hidden="1">{#N/A,#N/A,TRUE,"Basic";#N/A,#N/A,TRUE,"EXT-TABLE";#N/A,#N/A,TRUE,"STEEL";#N/A,#N/A,TRUE,"INT-Table";#N/A,#N/A,TRUE,"STEEL";#N/A,#N/A,TRUE,"Door"}</definedName>
    <definedName name="liui">"Page "&amp;IF(ISNA(MATCH(ROW(),RowAfterpgbrk,1)),1,MATCH(ROW(),RowAfterpgbrk,1)+1)&amp;" of " &amp; TotPageCount + 0*NOW()</definedName>
    <definedName name="liuk" hidden="1">#REF!</definedName>
    <definedName name="live">#REF!</definedName>
    <definedName name="ljkㅏㅎ" hidden="1">{#N/A,#N/A,FALSE,"2~8번"}</definedName>
    <definedName name="ljl">#REF!</definedName>
    <definedName name="LJNKJN">#REF!</definedName>
    <definedName name="LK" hidden="1">{#N/A,#N/A,FALSE,"CCTV"}</definedName>
    <definedName name="LK_1" hidden="1">{#N/A,#N/A,FALSE,"CCTV"}</definedName>
    <definedName name="LK_2" hidden="1">{#N/A,#N/A,FALSE,"CCTV"}</definedName>
    <definedName name="LKGDSAEF" hidden="1">{#N/A,#N/A,FALSE,"CCTV"}</definedName>
    <definedName name="LKGDSAEF_1" hidden="1">{#N/A,#N/A,FALSE,"CCTV"}</definedName>
    <definedName name="LKGDSAEF_2" hidden="1">{#N/A,#N/A,FALSE,"CCTV"}</definedName>
    <definedName name="lkii" hidden="1">{#N/A,#N/A,TRUE,"Cover";#N/A,#N/A,TRUE,"Conts";#N/A,#N/A,TRUE,"VOS";#N/A,#N/A,TRUE,"Warrington";#N/A,#N/A,TRUE,"Widnes"}</definedName>
    <definedName name="LKIO" hidden="1">{#N/A,#N/A,TRUE,"Cover";#N/A,#N/A,TRUE,"Conts";#N/A,#N/A,TRUE,"VOS";#N/A,#N/A,TRUE,"Warrington";#N/A,#N/A,TRUE,"Widnes"}</definedName>
    <definedName name="LKIOJK" hidden="1">{#N/A,#N/A,TRUE,"Cover";#N/A,#N/A,TRUE,"Conts";#N/A,#N/A,TRUE,"VOS";#N/A,#N/A,TRUE,"Warrington";#N/A,#N/A,TRUE,"Widnes"}</definedName>
    <definedName name="lkj">IF(ISNA(MATCH(ROW(),RowAfterpgbrk,1)),1,MATCH(ROW(),RowAfterpgbrk,1)+1)&lt;&gt;IF(ISNA(MATCH(ROW()-1,RowAfterpgbrk,1)),1,MATCH(ROW()-1,RowAfterpgbrk,1)+1)</definedName>
    <definedName name="lkjh">IF(ISNA(MATCH(ROW(),RowAfterpgbrk,1)),1,MATCH(ROW(),RowAfterpgbrk,1)+1)&lt;&gt;IF(ISNA(MATCH(ROW()-1,RowAfterpgbrk,1)),1,MATCH(ROW()-1,RowAfterpgbrk,1)+1)</definedName>
    <definedName name="lkjikjoi" localSheetId="7" hidden="1">{#N/A,#N/A,TRUE,"Cover";#N/A,#N/A,TRUE,"Conts";#N/A,#N/A,TRUE,"VOS";#N/A,#N/A,TRUE,"Warrington";#N/A,#N/A,TRUE,"Widnes"}</definedName>
    <definedName name="lkjikjoi" localSheetId="0" hidden="1">{#N/A,#N/A,TRUE,"Cover";#N/A,#N/A,TRUE,"Conts";#N/A,#N/A,TRUE,"VOS";#N/A,#N/A,TRUE,"Warrington";#N/A,#N/A,TRUE,"Widnes"}</definedName>
    <definedName name="lkjikjoi" localSheetId="9"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jr">"Page "&amp;IF(ISNA(MATCH(ROW(),RowAfterpgbrk,1)),1,MATCH(ROW(),RowAfterpgbrk,1)+1)&amp;" of " &amp; TotPageCount + 0*NOW()</definedName>
    <definedName name="lkjw">IF(ISNA(MATCH(ROW(),RowAfterpgbrk,1)),1,MATCH(ROW(),RowAfterpgbrk,1)+1)&lt;&gt;IF(ISNA(MATCH(ROW()-1,RowAfterpgbrk,1)),1,MATCH(ROW()-1,RowAfterpgbrk,1)+1)</definedName>
    <definedName name="LKL" hidden="1">{#N/A,#N/A,FALSE,"SumG";#N/A,#N/A,FALSE,"ElecG";#N/A,#N/A,FALSE,"MechG";#N/A,#N/A,FALSE,"GeotG";#N/A,#N/A,FALSE,"PrcsG";#N/A,#N/A,FALSE,"TunnG";#N/A,#N/A,FALSE,"CivlG";#N/A,#N/A,FALSE,"NtwkG";#N/A,#N/A,FALSE,"EstgG";#N/A,#N/A,FALSE,"PEngG"}</definedName>
    <definedName name="LKL_1" hidden="1">{#N/A,#N/A,FALSE,"SumG";#N/A,#N/A,FALSE,"ElecG";#N/A,#N/A,FALSE,"MechG";#N/A,#N/A,FALSE,"GeotG";#N/A,#N/A,FALSE,"PrcsG";#N/A,#N/A,FALSE,"TunnG";#N/A,#N/A,FALSE,"CivlG";#N/A,#N/A,FALSE,"NtwkG";#N/A,#N/A,FALSE,"EstgG";#N/A,#N/A,FALSE,"PEngG"}</definedName>
    <definedName name="lklhlkjl" hidden="1">{#N/A,#N/A,FALSE,"CCTV"}</definedName>
    <definedName name="lklhlkjl_1" hidden="1">{#N/A,#N/A,FALSE,"CCTV"}</definedName>
    <definedName name="lklhlkjl_2" hidden="1">{#N/A,#N/A,FALSE,"CCTV"}</definedName>
    <definedName name="lklz" hidden="1">{#N/A,#N/A,FALSE,"SumG";#N/A,#N/A,FALSE,"ElecG";#N/A,#N/A,FALSE,"MechG";#N/A,#N/A,FALSE,"GeotG";#N/A,#N/A,FALSE,"PrcsG";#N/A,#N/A,FALSE,"TunnG";#N/A,#N/A,FALSE,"CivlG";#N/A,#N/A,FALSE,"NtwkG";#N/A,#N/A,FALSE,"EstgG";#N/A,#N/A,FALSE,"PEngG"}</definedName>
    <definedName name="lkoj"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#REF!</definedName>
    <definedName name="ll_1" hidden="1">{#N/A,#N/A,FALSE,"SumG";#N/A,#N/A,FALSE,"ElecG";#N/A,#N/A,FALSE,"MechG";#N/A,#N/A,FALSE,"GeotG";#N/A,#N/A,FALSE,"PrcsG";#N/A,#N/A,FALSE,"TunnG";#N/A,#N/A,FALSE,"CivlG";#N/A,#N/A,FALSE,"NtwkG";#N/A,#N/A,FALSE,"EstgG";#N/A,#N/A,FALSE,"PEngG"}</definedName>
    <definedName name="llfoeo" hidden="1">#REF!</definedName>
    <definedName name="llk" hidden="1">#REF!</definedName>
    <definedName name="lll" hidden="1">{#N/A,#N/A,FALSE,"CCTV"}</definedName>
    <definedName name="LLLL" hidden="1">{#N/A,#N/A,FALSE,"CCTV"}</definedName>
    <definedName name="LLLL_1" hidden="1">{#N/A,#N/A,FALSE,"CCTV"}</definedName>
    <definedName name="LLLL_2" hidden="1">{#N/A,#N/A,FALSE,"CCTV"}</definedName>
    <definedName name="lllll" hidden="1">{#N/A,#N/A,FALSE,"Pricing";#N/A,#N/A,FALSE,"Summary";#N/A,#N/A,FALSE,"CompProd";#N/A,#N/A,FALSE,"CompJobhrs";#N/A,#N/A,FALSE,"Escalation";#N/A,#N/A,FALSE,"Contingency";#N/A,#N/A,FALSE,"GM";#N/A,#N/A,FALSE,"CompWage";#N/A,#N/A,FALSE,"costSum"}</definedName>
    <definedName name="lllll_1" hidden="1">{#N/A,#N/A,FALSE,"Pricing";#N/A,#N/A,FALSE,"Summary";#N/A,#N/A,FALSE,"CompProd";#N/A,#N/A,FALSE,"CompJobhrs";#N/A,#N/A,FALSE,"Escalation";#N/A,#N/A,FALSE,"Contingency";#N/A,#N/A,FALSE,"GM";#N/A,#N/A,FALSE,"CompWage";#N/A,#N/A,FALSE,"costSum"}</definedName>
    <definedName name="llz" hidden="1">{#N/A,#N/A,FALSE,"SumG";#N/A,#N/A,FALSE,"ElecG";#N/A,#N/A,FALSE,"MechG";#N/A,#N/A,FALSE,"GeotG";#N/A,#N/A,FALSE,"PrcsG";#N/A,#N/A,FALSE,"TunnG";#N/A,#N/A,FALSE,"CivlG";#N/A,#N/A,FALSE,"NtwkG";#N/A,#N/A,FALSE,"EstgG";#N/A,#N/A,FALSE,"PEngG"}</definedName>
    <definedName name="LM">#REF!</definedName>
    <definedName name="LMO">#REF!</definedName>
    <definedName name="lmpp" hidden="1">#REF!</definedName>
    <definedName name="load" hidden="1">{#N/A,#N/A,TRUE,"LOADCOVE";#N/A,#N/A,TRUE,"PAGE001";#N/A,#N/A,TRUE,"PAGE002";#N/A,#N/A,TRUE,"PAGE003";#N/A,#N/A,TRUE,"PAGE004";#N/A,#N/A,TRUE,"PAGE005";#N/A,#N/A,TRUE,"PAGE006";#N/A,#N/A,TRUE,"PAGE007";#N/A,#N/A,TRUE,"PAGE008";#N/A,#N/A,TRUE,"PAGE009";#N/A,#N/A,TRUE,"PAGE010";#N/A,#N/A,TRUE,"PAGE011";#N/A,#N/A,TRUE,"PAGE012";#N/A,#N/A,TRUE,"PAGE013"}</definedName>
    <definedName name="Load_Type">#REF!</definedName>
    <definedName name="Loan_A_margin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cFactorGoroka">#REF!</definedName>
    <definedName name="LocFactorHagen">#REF!</definedName>
    <definedName name="LocFactorKokopo">#REF!</definedName>
    <definedName name="LocFactorLae">#REF!</definedName>
    <definedName name="LocFactorMadang">#REF!</definedName>
    <definedName name="LocFactorWewak">#REF!</definedName>
    <definedName name="LocRate">#REF!</definedName>
    <definedName name="loi" hidden="1">{#N/A,#N/A,TRUE,"Front";#N/A,#N/A,TRUE,"Simple Letter";#N/A,#N/A,TRUE,"Inside";#N/A,#N/A,TRUE,"Contents";#N/A,#N/A,TRUE,"Basis";#N/A,#N/A,TRUE,"Inclusions";#N/A,#N/A,TRUE,"Exclusions";#N/A,#N/A,TRUE,"Areas";#N/A,#N/A,TRUE,"Summary";#N/A,#N/A,TRUE,"Detail"}</definedName>
    <definedName name="loiy" hidden="1">{#N/A,#N/A,TRUE,"Cover";#N/A,#N/A,TRUE,"Conts";#N/A,#N/A,TRUE,"VOS";#N/A,#N/A,TRUE,"Warrington";#N/A,#N/A,TRUE,"Widnes"}</definedName>
    <definedName name="lok" hidden="1">{#N/A,#N/A,TRUE,"Front";#N/A,#N/A,TRUE,"Simple Letter";#N/A,#N/A,TRUE,"Inside";#N/A,#N/A,TRUE,"Contents";#N/A,#N/A,TRUE,"Basis";#N/A,#N/A,TRUE,"Inclusions";#N/A,#N/A,TRUE,"Exclusions";#N/A,#N/A,TRUE,"Areas";#N/A,#N/A,TRUE,"Summary";#N/A,#N/A,TRUE,"Detail"}</definedName>
    <definedName name="loki" hidden="1">#REF!</definedName>
    <definedName name="lokmj">IF(ISNA(MATCH(ROW(),RowAfterpgbrk,1)),1,MATCH(ROW(),RowAfterpgbrk,1)+1)&lt;&gt;IF(ISNA(MATCH(ROW()-1,RowAfterpgbrk,1)),1,MATCH(ROW()-1,RowAfterpgbrk,1)+1)</definedName>
    <definedName name="london">#REF!</definedName>
    <definedName name="LONG2">#REF!</definedName>
    <definedName name="LONG3">#REF!</definedName>
    <definedName name="LONG4">#REF!</definedName>
    <definedName name="LONG5">#REF!</definedName>
    <definedName name="LONG6">#REF!</definedName>
    <definedName name="LONG7">#REF!</definedName>
    <definedName name="LookPump">IF(VLOOKUP(#REF!,LookupPump,2)="HELP","HELP",VLOOKUP(#REF!,LookupPump,2))</definedName>
    <definedName name="LookPump1">IF(VLOOKUP(#REF!,LookupPump,2)="HELP","HELP",VLOOKUP(#REF!,LookupPump,2))</definedName>
    <definedName name="LookupPump">#REF!</definedName>
    <definedName name="lop" hidden="1">{#N/A,#N/A,TRUE,"Front";#N/A,#N/A,TRUE,"Simple Letter";#N/A,#N/A,TRUE,"Inside";#N/A,#N/A,TRUE,"Contents";#N/A,#N/A,TRUE,"Basis";#N/A,#N/A,TRUE,"Inclusions";#N/A,#N/A,TRUE,"Exclusions";#N/A,#N/A,TRUE,"Areas";#N/A,#N/A,TRUE,"Summary";#N/A,#N/A,TRUE,"Detail"}</definedName>
    <definedName name="lower">#REF!</definedName>
    <definedName name="lp">#REF!</definedName>
    <definedName name="LPI">#REF!</definedName>
    <definedName name="LPO0O" hidden="1">{#N/A,#N/A,TRUE,"Front";#N/A,#N/A,TRUE,"Simple Letter";#N/A,#N/A,TRUE,"Inside";#N/A,#N/A,TRUE,"Contents";#N/A,#N/A,TRUE,"Basis";#N/A,#N/A,TRUE,"Inclusions";#N/A,#N/A,TRUE,"Exclusions";#N/A,#N/A,TRUE,"Areas";#N/A,#N/A,TRUE,"Summary";#N/A,#N/A,TRUE,"Detail"}</definedName>
    <definedName name="lpok" hidden="1">{#N/A,#N/A,TRUE,"Cover";#N/A,#N/A,TRUE,"Conts";#N/A,#N/A,TRUE,"VOS";#N/A,#N/A,TRUE,"Warrington";#N/A,#N/A,TRUE,"Widnes"}</definedName>
    <definedName name="lr">#REF!</definedName>
    <definedName name="LSH">#REF!</definedName>
    <definedName name="LT">#REF!</definedName>
    <definedName name="LTD">#REF!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h">#REF!</definedName>
    <definedName name="LTV">#REF!</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nm" hidden="1">{#N/A,#N/A,TRUE,"Front";#N/A,#N/A,TRUE,"Simple Letter";#N/A,#N/A,TRUE,"Inside";#N/A,#N/A,TRUE,"Contents";#N/A,#N/A,TRUE,"Basis";#N/A,#N/A,TRUE,"Inclusions";#N/A,#N/A,TRUE,"Exclusions";#N/A,#N/A,TRUE,"Areas";#N/A,#N/A,TRUE,"Summary";#N/A,#N/A,TRUE,"Detail"}</definedName>
    <definedName name="LWSALES">#REF!</definedName>
    <definedName name="LY" hidden="1">#REF!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형측구">#REF!</definedName>
    <definedName name="m" localSheetId="7" hidden="1">#N/A</definedName>
    <definedName name="m" localSheetId="0" hidden="1">#REF!</definedName>
    <definedName name="m" localSheetId="9" hidden="1">#REF!</definedName>
    <definedName name="m" hidden="1">#REF!</definedName>
    <definedName name="M.01">#REF!</definedName>
    <definedName name="M.01a">#REF!</definedName>
    <definedName name="M.01b">#REF!</definedName>
    <definedName name="M.01c">#REF!</definedName>
    <definedName name="M.01d">#REF!</definedName>
    <definedName name="M.01e">#REF!</definedName>
    <definedName name="M.01f">#REF!</definedName>
    <definedName name="M.10">#REF!</definedName>
    <definedName name="M_Paintwork">#REF!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4TKPORG" hidden="1">{#N/A,#N/A,TRUE,"Front";#N/A,#N/A,TRUE,"Simple Letter";#N/A,#N/A,TRUE,"Inside";#N/A,#N/A,TRUE,"Contents";#N/A,#N/A,TRUE,"Basis";#N/A,#N/A,TRUE,"Inclusions";#N/A,#N/A,TRUE,"Exclusions";#N/A,#N/A,TRUE,"Areas";#N/A,#N/A,TRUE,"Summary";#N/A,#N/A,TRUE,"Detail"}</definedName>
    <definedName name="M5TRNYTNTBB" hidden="1">#REF!</definedName>
    <definedName name="ma" localSheetId="7" hidden="1">{#N/A,#N/A,TRUE,"Cover";#N/A,#N/A,TRUE,"Conts";#N/A,#N/A,TRUE,"VOS";#N/A,#N/A,TRUE,"Warrington";#N/A,#N/A,TRUE,"Widnes"}</definedName>
    <definedName name="ma" localSheetId="0" hidden="1">{#N/A,#N/A,TRUE,"Cover";#N/A,#N/A,TRUE,"Conts";#N/A,#N/A,TRUE,"VOS";#N/A,#N/A,TRUE,"Warrington";#N/A,#N/A,TRUE,"Widnes"}</definedName>
    <definedName name="ma" localSheetId="9"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IL">#REF!</definedName>
    <definedName name="MAIN">#REF!</definedName>
    <definedName name="MAINT">#REF!</definedName>
    <definedName name="Maintan" hidden="1">{#N/A,#N/A,FALSE,"JACKETS (1100 t) (1)"}</definedName>
    <definedName name="major">#REF!</definedName>
    <definedName name="MAJOR_SUB_CONTRACTORS">#REF!</definedName>
    <definedName name="mak" hidden="1">#REF!</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HRS">#REF!</definedName>
    <definedName name="MAN_LAB">#REF!</definedName>
    <definedName name="Man_Month">#REF!</definedName>
    <definedName name="Management_Fee_at_Risk">#REF!</definedName>
    <definedName name="management_graph">#REF!</definedName>
    <definedName name="management_schedule">#REF!</definedName>
    <definedName name="Manhole" localSheetId="7">#REF!</definedName>
    <definedName name="Manhole" localSheetId="9">#REF!</definedName>
    <definedName name="Manhole">#REF!</definedName>
    <definedName name="manish" hidden="1">#REF!</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npower_site">#REF!</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BLE" hidden="1">{#N/A,#N/A,FALSE,"SITE NUMBERS 1995"}</definedName>
    <definedName name="March_2006___to_QAR">#REF!</definedName>
    <definedName name="Margin">#REF!</definedName>
    <definedName name="MARGINPLAN">#REF!</definedName>
    <definedName name="MARGINPROJ">#REF!</definedName>
    <definedName name="Marina" hidden="1">{"'Break down'!$A$4"}</definedName>
    <definedName name="MARKINGS">#REF!</definedName>
    <definedName name="MASA">#REF!</definedName>
    <definedName name="MASB">#REF!</definedName>
    <definedName name="MASC">#REF!</definedName>
    <definedName name="MASON">#REF!</definedName>
    <definedName name="MASONRY">#REF!</definedName>
    <definedName name="masontry" localSheetId="7" hidden="1">{#N/A,#N/A,FALSE,"C3";#N/A,#N/A,FALSE,"D2-17";#N/A,#N/A,FALSE,"C2-17";#N/A,#N/A,FALSE,"C2-CIVIL";#N/A,#N/A,FALSE,"D1-C1 contract";#N/A,#N/A,FALSE,"D1-CIVIL";#N/A,#N/A,FALSE,"C1 hourly";#N/A,#N/A,FALSE,"C1 contract";#N/A,#N/A,FALSE,"D1-C1 hourly"}</definedName>
    <definedName name="masontry" localSheetId="0" hidden="1">{#N/A,#N/A,FALSE,"C3";#N/A,#N/A,FALSE,"D2-17";#N/A,#N/A,FALSE,"C2-17";#N/A,#N/A,FALSE,"C2-CIVIL";#N/A,#N/A,FALSE,"D1-C1 contract";#N/A,#N/A,FALSE,"D1-CIVIL";#N/A,#N/A,FALSE,"C1 hourly";#N/A,#N/A,FALSE,"C1 contract";#N/A,#N/A,FALSE,"D1-C1 hourly"}</definedName>
    <definedName name="masontry" localSheetId="9"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ST" hidden="1">#REF!</definedName>
    <definedName name="MASTER" hidden="1">#REF!</definedName>
    <definedName name="MAT">#REF!</definedName>
    <definedName name="MATERIAL">#REF!</definedName>
    <definedName name="Material_Ave_Selling">#REF!</definedName>
    <definedName name="Material_Selling">#REF!</definedName>
    <definedName name="Material_Selling_3">#REF!</definedName>
    <definedName name="Material_Selling_4">#REF!</definedName>
    <definedName name="Material_Wastage__5">5%</definedName>
    <definedName name="Material_Wastage__8">8%</definedName>
    <definedName name="MaterialOSTotal">#REF!</definedName>
    <definedName name="MaterialToBeCrushed">#REF!</definedName>
    <definedName name="MaterialToBeCrushed_21">#REF!</definedName>
    <definedName name="MaterialToBeCrushed_22">#REF!</definedName>
    <definedName name="MaterialToBeCrushed_23">#REF!</definedName>
    <definedName name="MaterialToBeCrushed_24">#REF!</definedName>
    <definedName name="MaterialToBeCrushed_25">#REF!</definedName>
    <definedName name="MaterialToBeCrushed_26">#REF!</definedName>
    <definedName name="MaterialToBeScreened">#REF!</definedName>
    <definedName name="MaterialToBeScreened_21">#REF!</definedName>
    <definedName name="MaterialToBeScreened_22">#REF!</definedName>
    <definedName name="MaterialToBeScreened_23">#REF!</definedName>
    <definedName name="MaterialToBeScreened_24">#REF!</definedName>
    <definedName name="MaterialToBeScreened_25">#REF!</definedName>
    <definedName name="MaterialToBeScreened_26">#REF!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#REF!</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_PART" localSheetId="9">#REF!</definedName>
    <definedName name="MATL_PART">#REF!</definedName>
    <definedName name="MATL1">#N/A</definedName>
    <definedName name="max" hidden="1">{#N/A,#N/A,FALSE,"Cover";#N/A,#N/A,FALSE,"Sensit";#N/A,#N/A,FALSE,"HEW";#N/A,#N/A,FALSE,"Bilanz";#N/A,#N/A,FALSE,"Aufbringung";#N/A,#N/A,FALSE,"Absatz";#N/A,#N/A,FALSE,"Durchleitung";#N/A,#N/A,FALSE,"Konzession";#N/A,#N/A,FALSE,"Personal";#N/A,#N/A,FALSE,"WC ";#N/A,#N/A,FALSE,"Capex Deprec ";#N/A,#N/A,FALSE,"Steuern";#N/A,#N/A,FALSE," Rente";#N/A,#N/A,FALSE," EBITDA"}</definedName>
    <definedName name="maxmonth">OFFSET(#REF!,0,0,MATCH(#REF!,#REF!,0),1)</definedName>
    <definedName name="May" hidden="1">{#N/A,#N/A,FALSE,"MARCH"}</definedName>
    <definedName name="May_2006___to_QAR">#REF!</definedName>
    <definedName name="MB">#REF!</definedName>
    <definedName name="MC_">#REF!</definedName>
    <definedName name="MC__21">#REF!</definedName>
    <definedName name="MC__22">#REF!</definedName>
    <definedName name="MC__23">#REF!</definedName>
    <definedName name="MC__24">#REF!</definedName>
    <definedName name="MC__25">#REF!</definedName>
    <definedName name="MC__26">#REF!</definedName>
    <definedName name="mca" hidden="1">{"'Break down'!$A$4"}</definedName>
    <definedName name="MCCO" hidden="1">{#N/A,#N/A,FALSE,"CCTV"}</definedName>
    <definedName name="MCCO_1" hidden="1">{#N/A,#N/A,FALSE,"CCTV"}</definedName>
    <definedName name="MCCO_2" hidden="1">{#N/A,#N/A,FALSE,"CCTV"}</definedName>
    <definedName name="MCCO10" hidden="1">{#N/A,#N/A,FALSE,"CCTV"}</definedName>
    <definedName name="MCCO10_1" hidden="1">{#N/A,#N/A,FALSE,"CCTV"}</definedName>
    <definedName name="MCCO10_2" hidden="1">{#N/A,#N/A,FALSE,"CCTV"}</definedName>
    <definedName name="MCCO11" hidden="1">{#N/A,#N/A,FALSE,"CCTV"}</definedName>
    <definedName name="MCCO11_1" hidden="1">{#N/A,#N/A,FALSE,"CCTV"}</definedName>
    <definedName name="MCCO11_2" hidden="1">{#N/A,#N/A,FALSE,"CCTV"}</definedName>
    <definedName name="MCCO12" hidden="1">{#N/A,#N/A,FALSE,"CCTV"}</definedName>
    <definedName name="MCCO12_1" hidden="1">{#N/A,#N/A,FALSE,"CCTV"}</definedName>
    <definedName name="MCCO12_2" hidden="1">{#N/A,#N/A,FALSE,"CCTV"}</definedName>
    <definedName name="MCCO13" hidden="1">{#N/A,#N/A,FALSE,"CCTV"}</definedName>
    <definedName name="MCCO13_1" hidden="1">{#N/A,#N/A,FALSE,"CCTV"}</definedName>
    <definedName name="MCCO13_2" hidden="1">{#N/A,#N/A,FALSE,"CCTV"}</definedName>
    <definedName name="MCCO3" hidden="1">{#N/A,#N/A,FALSE,"CCTV"}</definedName>
    <definedName name="MCCO3_1" hidden="1">{#N/A,#N/A,FALSE,"CCTV"}</definedName>
    <definedName name="MCCO3_2" hidden="1">{#N/A,#N/A,FALSE,"CCTV"}</definedName>
    <definedName name="MCCO4" hidden="1">{#N/A,#N/A,FALSE,"CCTV"}</definedName>
    <definedName name="MCCO4_1" hidden="1">{#N/A,#N/A,FALSE,"CCTV"}</definedName>
    <definedName name="MCCO4_2" hidden="1">{#N/A,#N/A,FALSE,"CCTV"}</definedName>
    <definedName name="MCCO5" hidden="1">{#N/A,#N/A,FALSE,"CCTV"}</definedName>
    <definedName name="MCCO5_1" hidden="1">{#N/A,#N/A,FALSE,"CCTV"}</definedName>
    <definedName name="MCCO5_2" hidden="1">{#N/A,#N/A,FALSE,"CCTV"}</definedName>
    <definedName name="MCCO6" hidden="1">{#N/A,#N/A,FALSE,"CCTV"}</definedName>
    <definedName name="MCCO6_1" hidden="1">{#N/A,#N/A,FALSE,"CCTV"}</definedName>
    <definedName name="MCCO6_2" hidden="1">{#N/A,#N/A,FALSE,"CCTV"}</definedName>
    <definedName name="MCCO7" hidden="1">{#N/A,#N/A,FALSE,"CCTV"}</definedName>
    <definedName name="MCCO7_1" hidden="1">{#N/A,#N/A,FALSE,"CCTV"}</definedName>
    <definedName name="MCCO7_2" hidden="1">{#N/A,#N/A,FALSE,"CCTV"}</definedName>
    <definedName name="MCCO8" hidden="1">{#N/A,#N/A,FALSE,"CCTV"}</definedName>
    <definedName name="MCCO8_1" hidden="1">{#N/A,#N/A,FALSE,"CCTV"}</definedName>
    <definedName name="MCCO8_2" hidden="1">{#N/A,#N/A,FALSE,"CCTV"}</definedName>
    <definedName name="MCCO9" hidden="1">{#N/A,#N/A,FALSE,"CCTV"}</definedName>
    <definedName name="MCCO9_1" hidden="1">{#N/A,#N/A,FALSE,"CCTV"}</definedName>
    <definedName name="MCCO9_2" hidden="1">{#N/A,#N/A,FALSE,"CCTV"}</definedName>
    <definedName name="MCCOÙ" hidden="1">{#N/A,#N/A,FALSE,"CCTV"}</definedName>
    <definedName name="MCCOÙ_1" hidden="1">{#N/A,#N/A,FALSE,"CCTV"}</definedName>
    <definedName name="MCCOÙ_2" hidden="1">{#N/A,#N/A,FALSE,"CCTV"}</definedName>
    <definedName name="MCS" hidden="1">#REF!</definedName>
    <definedName name="MD1수량집계" hidden="1">#REF!</definedName>
    <definedName name="Mdo">#REF!</definedName>
    <definedName name="MD총괄수량집계" hidden="1">#REF!</definedName>
    <definedName name="Me">#REF!</definedName>
    <definedName name="ME_Salary">#REF!</definedName>
    <definedName name="measur" hidden="1">{#N/A,#N/A,TRUE,"Front";#N/A,#N/A,TRUE,"Simple Letter";#N/A,#N/A,TRUE,"Inside";#N/A,#N/A,TRUE,"Contents";#N/A,#N/A,TRUE,"Basis";#N/A,#N/A,TRUE,"Inclusions";#N/A,#N/A,TRUE,"Exclusions";#N/A,#N/A,TRUE,"Areas";#N/A,#N/A,TRUE,"Summary";#N/A,#N/A,TRUE,"Detail"}</definedName>
    <definedName name="MEASURE">#REF!</definedName>
    <definedName name="Meb">#REF!</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_Work">#REF!</definedName>
    <definedName name="MECH_INSTR">#REF!</definedName>
    <definedName name="Mech_Piping">#REF!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chanical_Piping">#REF!</definedName>
    <definedName name="Mel" hidden="1">#REF!</definedName>
    <definedName name="men">#REF!</definedName>
    <definedName name="MENU">#REF!</definedName>
    <definedName name="Meo">#REF!</definedName>
    <definedName name="MEP" hidden="1">{#N/A,#N/A,TRUE,"Front";#N/A,#N/A,TRUE,"Simple Letter";#N/A,#N/A,TRUE,"Inside";#N/A,#N/A,TRUE,"Contents";#N/A,#N/A,TRUE,"Basis";#N/A,#N/A,TRUE,"Inclusions";#N/A,#N/A,TRUE,"Exclusions";#N/A,#N/A,TRUE,"Areas";#N/A,#N/A,TRUE,"Summary";#N/A,#N/A,TRUE,"Detail"}</definedName>
    <definedName name="MEPbobrev">#REF!</definedName>
    <definedName name="MES">#REF!</definedName>
    <definedName name="MESF">#REF!</definedName>
    <definedName name="META">#REF!</definedName>
    <definedName name="METAL">#REF!</definedName>
    <definedName name="Metal_Work">#REF!</definedName>
    <definedName name="Metalwork">#REF!</definedName>
    <definedName name="METB">#REF!</definedName>
    <definedName name="METC">#REF!</definedName>
    <definedName name="METEO" localSheetId="7" hidden="1">{#N/A,#N/A,FALSE,"C3";#N/A,#N/A,FALSE,"D2-17";#N/A,#N/A,FALSE,"C2-17";#N/A,#N/A,FALSE,"C2-CIVIL";#N/A,#N/A,FALSE,"D1-C1 contract";#N/A,#N/A,FALSE,"D1-CIVIL";#N/A,#N/A,FALSE,"C1 hourly";#N/A,#N/A,FALSE,"C1 contract";#N/A,#N/A,FALSE,"D1-C1 hourly"}</definedName>
    <definedName name="METEO" localSheetId="0" hidden="1">{#N/A,#N/A,FALSE,"C3";#N/A,#N/A,FALSE,"D2-17";#N/A,#N/A,FALSE,"C2-17";#N/A,#N/A,FALSE,"C2-CIVIL";#N/A,#N/A,FALSE,"D1-C1 contract";#N/A,#N/A,FALSE,"D1-CIVIL";#N/A,#N/A,FALSE,"C1 hourly";#N/A,#N/A,FALSE,"C1 contract";#N/A,#N/A,FALSE,"D1-C1 hourly"}</definedName>
    <definedName name="METEO" localSheetId="9"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etering" hidden="1">#REF!</definedName>
    <definedName name="Method_of_Installation_1C_A">#REF!</definedName>
    <definedName name="Method_of_Installation_1C_UA">#REF!</definedName>
    <definedName name="Method_of_Installation_4C">#REF!</definedName>
    <definedName name="Method_of_Installation_BTS">#REF!</definedName>
    <definedName name="Method_of_Installation_FIRE">#REF!</definedName>
    <definedName name="MEW">#REF!</definedName>
    <definedName name="Mex">#REF!</definedName>
    <definedName name="Mey">#REF!</definedName>
    <definedName name="Mf">#REF!</definedName>
    <definedName name="mffnfj"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mt_Spt_Factor">#REF!</definedName>
    <definedName name="MH">#REF!</definedName>
    <definedName name="MH_HH">#REF!</definedName>
    <definedName name="Mhr" localSheetId="7">#REF!</definedName>
    <definedName name="Mhr" localSheetId="9">#REF!</definedName>
    <definedName name="Mhr">#REF!</definedName>
    <definedName name="MHR_Selling">#REF!</definedName>
    <definedName name="MHRS_CONDENSER">#REF!</definedName>
    <definedName name="MHRS_GTG">#REF!</definedName>
    <definedName name="MHRS_STG">#REF!</definedName>
    <definedName name="MIDPOINT">#REF!</definedName>
    <definedName name="mihhm" hidden="1">{#N/A,#N/A,TRUE,"Front";#N/A,#N/A,TRUE,"Simple Letter";#N/A,#N/A,TRUE,"Inside";#N/A,#N/A,TRUE,"Contents";#N/A,#N/A,TRUE,"Basis";#N/A,#N/A,TRUE,"Inclusions";#N/A,#N/A,TRUE,"Exclusions";#N/A,#N/A,TRUE,"Areas";#N/A,#N/A,TRUE,"Summary";#N/A,#N/A,TRUE,"Detail"}</definedName>
    <definedName name="milan">#REF!</definedName>
    <definedName name="MINOR__BUILDING__WORKS">#REF!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iss" hidden="1">{#N/A,#N/A,TRUE,"Front";#N/A,#N/A,TRUE,"Simple Letter";#N/A,#N/A,TRUE,"Inside";#N/A,#N/A,TRUE,"Contents";#N/A,#N/A,TRUE,"Basis";#N/A,#N/A,TRUE,"Inclusions";#N/A,#N/A,TRUE,"Exclusions";#N/A,#N/A,TRUE,"Areas";#N/A,#N/A,TRUE,"Summary";#N/A,#N/A,TRUE,"Detail"}</definedName>
    <definedName name="mjh">IF(ISNA(MATCH(ROW(),RowAfterpgbrk,1)),1,MATCH(ROW(),RowAfterpgbrk,1)+1)</definedName>
    <definedName name="mjki" hidden="1">{#N/A,#N/A,TRUE,"Cover";#N/A,#N/A,TRUE,"Conts";#N/A,#N/A,TRUE,"VOS";#N/A,#N/A,TRUE,"Warrington";#N/A,#N/A,TRUE,"Widnes"}</definedName>
    <definedName name="MJKILO" hidden="1">{#N/A,#N/A,TRUE,"Cover";#N/A,#N/A,TRUE,"Conts";#N/A,#N/A,TRUE,"VOS";#N/A,#N/A,TRUE,"Warrington";#N/A,#N/A,TRUE,"Widnes"}</definedName>
    <definedName name="MJKL" hidden="1">{#N/A,#N/A,TRUE,"Cover";#N/A,#N/A,TRUE,"Conts";#N/A,#N/A,TRUE,"VOS";#N/A,#N/A,TRUE,"Warrington";#N/A,#N/A,TRUE,"Widnes"}</definedName>
    <definedName name="mjnh">IF(ISNA(MATCH(ROW(),RowAfterpgbrk,1)),1,MATCH(ROW(),RowAfterpgbrk,1)+1)</definedName>
    <definedName name="MJNNNN" hidden="1">{#N/A,#N/A,TRUE,"Front";#N/A,#N/A,TRUE,"Simple Letter";#N/A,#N/A,TRUE,"Inside";#N/A,#N/A,TRUE,"Contents";#N/A,#N/A,TRUE,"Basis";#N/A,#N/A,TRUE,"Inclusions";#N/A,#N/A,TRUE,"Exclusions";#N/A,#N/A,TRUE,"Areas";#N/A,#N/A,TRUE,"Summary";#N/A,#N/A,TRUE,"Detail"}</definedName>
    <definedName name="mjyu">IF(ISNA(MATCH(ROW(),RowAfterpgbrk,1)),1,MATCH(ROW(),RowAfterpgbrk,1)+1)&lt;&gt;IF(ISNA(MATCH(ROW()-1,RowAfterpgbrk,1)),1,MATCH(ROW()-1,RowAfterpgbrk,1)+1)</definedName>
    <definedName name="mk">#REF!</definedName>
    <definedName name="MKF"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ij" hidden="1">{#N/A,#N/A,TRUE,"Cover";#N/A,#N/A,TRUE,"Conts";#N/A,#N/A,TRUE,"VOS";#N/A,#N/A,TRUE,"Warrington";#N/A,#N/A,TRUE,"Widnes"}</definedName>
    <definedName name="mkkll" hidden="1">{#N/A,#N/A,TRUE,"Cover";#N/A,#N/A,TRUE,"Conts";#N/A,#N/A,TRUE,"VOS";#N/A,#N/A,TRUE,"Warrington";#N/A,#N/A,TRUE,"Widnes"}</definedName>
    <definedName name="MKLFEINSDF"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k" hidden="1">{#N/A,#N/A,TRUE,"Cover";#N/A,#N/A,TRUE,"Conts";#N/A,#N/A,TRUE,"VOS";#N/A,#N/A,TRUE,"Warrington";#N/A,#N/A,TRUE,"Widnes"}</definedName>
    <definedName name="mm" hidden="1">{"'장비'!$A$3:$M$12"}</definedName>
    <definedName name="mmc" hidden="1">{#N/A,#N/A,TRUE,"Front";#N/A,#N/A,TRUE,"Simple Letter";#N/A,#N/A,TRUE,"Inside";#N/A,#N/A,TRUE,"Contents";#N/A,#N/A,TRUE,"Basis";#N/A,#N/A,TRUE,"Inclusions";#N/A,#N/A,TRUE,"Exclusions";#N/A,#N/A,TRUE,"Areas";#N/A,#N/A,TRUE,"Summary";#N/A,#N/A,TRUE,"Detail"}</definedName>
    <definedName name="mmm">#REF!</definedName>
    <definedName name="mmm_1" hidden="1">{"'장비'!$A$3:$M$12"}</definedName>
    <definedName name="mmm_2" hidden="1">{"'장비'!$A$3:$M$12"}</definedName>
    <definedName name="mmmm" hidden="1">#REF!</definedName>
    <definedName name="mmmm_1" hidden="1">{"'장비'!$A$3:$M$12"}</definedName>
    <definedName name="mmmm_2" hidden="1">{"'장비'!$A$3:$M$12"}</definedName>
    <definedName name="mmmmm" hidden="1">{#N/A,#N/A,FALSE,"CCTV"}</definedName>
    <definedName name="mmmmm_1" hidden="1">{#N/A,#N/A,FALSE,"CCTV"}</definedName>
    <definedName name="mmmmm_2" hidden="1">{#N/A,#N/A,FALSE,"CCTV"}</definedName>
    <definedName name="mmmmmmmmmmmmmmmmmmmmmmm">#REF!</definedName>
    <definedName name="MMX" hidden="1">{#N/A,#N/A,TRUE,"Front";#N/A,#N/A,TRUE,"Simple Letter";#N/A,#N/A,TRUE,"Inside";#N/A,#N/A,TRUE,"Contents";#N/A,#N/A,TRUE,"Basis";#N/A,#N/A,TRUE,"Inclusions";#N/A,#N/A,TRUE,"Exclusions";#N/A,#N/A,TRUE,"Areas";#N/A,#N/A,TRUE,"Summary";#N/A,#N/A,TRUE,"Detail"}</definedName>
    <definedName name="MN" hidden="1">{#N/A,#N/A,FALSE,"CCTV"}</definedName>
    <definedName name="MN_1" hidden="1">{#N/A,#N/A,FALSE,"CCTV"}</definedName>
    <definedName name="MN_2" hidden="1">{#N/A,#N/A,FALSE,"CCTV"}</definedName>
    <definedName name="mnb">"Page "&amp;IF(ISNA(MATCH(ROW(),RowAfterpgbrk,1)),1,MATCH(ROW(),RowAfterpgbrk,1)+1)&amp;" of " &amp; TotPageCount + 0*NOW()</definedName>
    <definedName name="mnjn" hidden="1">{#N/A,#N/A,TRUE,"Front";#N/A,#N/A,TRUE,"Simple Letter";#N/A,#N/A,TRUE,"Inside";#N/A,#N/A,TRUE,"Contents";#N/A,#N/A,TRUE,"Basis";#N/A,#N/A,TRUE,"Inclusions";#N/A,#N/A,TRUE,"Exclusions";#N/A,#N/A,TRUE,"Areas";#N/A,#N/A,TRUE,"Summary";#N/A,#N/A,TRUE,"Detail"}</definedName>
    <definedName name="MNKKLOLO" hidden="1">{#N/A,#N/A,TRUE,"Cover";#N/A,#N/A,TRUE,"Conts";#N/A,#N/A,TRUE,"VOS";#N/A,#N/A,TRUE,"Warrington";#N/A,#N/A,TRUE,"Widnes"}</definedName>
    <definedName name="MNLIJH"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#REF!</definedName>
    <definedName name="MOB" hidden="1">{#N/A,#N/A,TRUE,"Basic";#N/A,#N/A,TRUE,"EXT-TABLE";#N/A,#N/A,TRUE,"STEEL";#N/A,#N/A,TRUE,"INT-Table";#N/A,#N/A,TRUE,"STEEL";#N/A,#N/A,TRUE,"Door"}</definedName>
    <definedName name="MOBILIZATION">#REF!</definedName>
    <definedName name="Model_Name">#REF!</definedName>
    <definedName name="MODERN">#REF!</definedName>
    <definedName name="mon" hidden="1">#REF!</definedName>
    <definedName name="MONTH">#REF!</definedName>
    <definedName name="month1">OFFSET(#REF!,0,0,COUNTA(#REF!),1)</definedName>
    <definedName name="Monthly_Regional_Expense_rate">#REF!</definedName>
    <definedName name="Monthly_Stats">#REF!</definedName>
    <definedName name="MONTHS">#REF!</definedName>
    <definedName name="MontlyPercentCompletion">#REF!</definedName>
    <definedName name="MontlyPercentCompletion_21">#REF!</definedName>
    <definedName name="MontlyPercentCompletion_22">#REF!</definedName>
    <definedName name="MontlyPercentCompletion_23">#REF!</definedName>
    <definedName name="MontlyPercentCompletion_24">#REF!</definedName>
    <definedName name="MontlyPercentCompletion_25">#REF!</definedName>
    <definedName name="MontlyPercentCompletion_26">#REF!</definedName>
    <definedName name="MOS">#REF!</definedName>
    <definedName name="MOSF">#REF!</definedName>
    <definedName name="MOT">#REF!</definedName>
    <definedName name="Motor_Efficiency">#REF!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_SSBW">#REF!</definedName>
    <definedName name="mow">#REF!</definedName>
    <definedName name="Mowt">#REF!</definedName>
    <definedName name="MP">#REF!</definedName>
    <definedName name="MP_1" hidden="1">{#N/A,#N/A,FALSE,"CCTV"}</definedName>
    <definedName name="MP_2" hidden="1">{#N/A,#N/A,FALSE,"CCTV"}</definedName>
    <definedName name="MPI">#REF!</definedName>
    <definedName name="ＭＲ" hidden="1">{#N/A,#N/A,TRUE,"Basic";#N/A,#N/A,TRUE,"EXT-TABLE";#N/A,#N/A,TRUE,"STEEL";#N/A,#N/A,TRUE,"INT-Table";#N/A,#N/A,TRUE,"STEEL";#N/A,#N/A,TRUE,"Door"}</definedName>
    <definedName name="MR.1Length">#REF!</definedName>
    <definedName name="MR.2Length">#REF!</definedName>
    <definedName name="MR.3Length">#REF!</definedName>
    <definedName name="MR.4Length">#REF!</definedName>
    <definedName name="MR.5Length">#REF!</definedName>
    <definedName name="MR.6Length">#REF!</definedName>
    <definedName name="MR.7Length">#REF!</definedName>
    <definedName name="MR.8Length">#REF!</definedName>
    <definedName name="MR.9Length">#REF!</definedName>
    <definedName name="MS_DW_1" localSheetId="9">#REF!</definedName>
    <definedName name="MS_DW_1">#REF!</definedName>
    <definedName name="MS_DW_10" localSheetId="9">#REF!</definedName>
    <definedName name="MS_DW_10">#REF!</definedName>
    <definedName name="MS_DW_13" localSheetId="9">#REF!</definedName>
    <definedName name="MS_DW_13">#REF!</definedName>
    <definedName name="MS_DW_14" localSheetId="9">#REF!</definedName>
    <definedName name="MS_DW_14">#REF!</definedName>
    <definedName name="MS_DW_15" localSheetId="9">#REF!</definedName>
    <definedName name="MS_DW_15">#REF!</definedName>
    <definedName name="MS_DW_16" localSheetId="9">#REF!</definedName>
    <definedName name="MS_DW_16">#REF!</definedName>
    <definedName name="MS_DW_2" localSheetId="9">#REF!</definedName>
    <definedName name="MS_DW_2">#REF!</definedName>
    <definedName name="MS_DW_3" localSheetId="9">#REF!</definedName>
    <definedName name="MS_DW_3">#REF!</definedName>
    <definedName name="MS_DW_4" localSheetId="9">#REF!</definedName>
    <definedName name="MS_DW_4">#REF!</definedName>
    <definedName name="MS_DW_5" localSheetId="9">#REF!</definedName>
    <definedName name="MS_DW_5">#REF!</definedName>
    <definedName name="MS_DW_6" localSheetId="9">#REF!</definedName>
    <definedName name="MS_DW_6">#REF!</definedName>
    <definedName name="MS_DW_7" localSheetId="9">#REF!</definedName>
    <definedName name="MS_DW_7">#REF!</definedName>
    <definedName name="MS_DW_8" localSheetId="9">#REF!</definedName>
    <definedName name="MS_DW_8">#REF!</definedName>
    <definedName name="MS_DW_9" localSheetId="9">#REF!</definedName>
    <definedName name="MS_DW_9">#REF!</definedName>
    <definedName name="MSB">#REF!</definedName>
    <definedName name="MSF">#REF!</definedName>
    <definedName name="MSP" hidden="1">{#N/A,#N/A,FALSE,"CCTV"}</definedName>
    <definedName name="MSSS" hidden="1">{#N/A,#N/A,TRUE,"Basic";#N/A,#N/A,TRUE,"EXT-TABLE";#N/A,#N/A,TRUE,"STEEL";#N/A,#N/A,TRUE,"INT-Table";#N/A,#N/A,TRUE,"STEEL";#N/A,#N/A,TRUE,"Door"}</definedName>
    <definedName name="Mt">#REF!</definedName>
    <definedName name="mta" hidden="1">{#N/A,#N/A,TRUE,"Front";#N/A,#N/A,TRUE,"Simple Letter";#N/A,#N/A,TRUE,"Inside";#N/A,#N/A,TRUE,"Contents";#N/A,#N/A,TRUE,"Basis";#N/A,#N/A,TRUE,"Inclusions";#N/A,#N/A,TRUE,"Exclusions";#N/A,#N/A,TRUE,"Areas";#N/A,#N/A,TRUE,"Summary";#N/A,#N/A,TRUE,"Detail"}</definedName>
    <definedName name="MTHS_TO_DEL">#REF!</definedName>
    <definedName name="Mto">#REF!</definedName>
    <definedName name="MTOT">#REF!</definedName>
    <definedName name="Mtsw">#REF!</definedName>
    <definedName name="Mtw">#REF!</definedName>
    <definedName name="Mtwt">#REF!</definedName>
    <definedName name="Mtwv">#REF!</definedName>
    <definedName name="mtymt">"Page "&amp;IF(ISNA(MATCH(ROW(),RowAfterpgbrk,1)),1,MATCH(ROW(),RowAfterpgbrk,1)+1)&amp;" of " &amp; TotPageCount + 0*NOW()</definedName>
    <definedName name="Mu">#REF!</definedName>
    <definedName name="mub">#REF!</definedName>
    <definedName name="MUCK">#REF!</definedName>
    <definedName name="mudmath">#N/A</definedName>
    <definedName name="Mulification_Factor_X">#REF!</definedName>
    <definedName name="Multiplier">#REF!</definedName>
    <definedName name="Multiplier_21">#REF!</definedName>
    <definedName name="Multiplier_22">#REF!</definedName>
    <definedName name="Multiplier_23">#REF!</definedName>
    <definedName name="Multiplier_24">#REF!</definedName>
    <definedName name="Multiplier_25">#REF!</definedName>
    <definedName name="Multiplier_26">#REF!</definedName>
    <definedName name="Multiplier1">#REF!</definedName>
    <definedName name="Multiplier1_21">#REF!</definedName>
    <definedName name="Multiplier1_22">#REF!</definedName>
    <definedName name="Multiplier1_23">#REF!</definedName>
    <definedName name="Multiplier1_24">#REF!</definedName>
    <definedName name="Multiplier1_25">#REF!</definedName>
    <definedName name="Multiplier1_26">#REF!</definedName>
    <definedName name="MUP">#REF!</definedName>
    <definedName name="mut">#REF!</definedName>
    <definedName name="Mwb">#REF!</definedName>
    <definedName name="MWeGross">#REF!</definedName>
    <definedName name="MWeNet">#REF!</definedName>
    <definedName name="MWF">#REF!</definedName>
    <definedName name="Mx">#REF!</definedName>
    <definedName name="Mxsxm">#REF!</definedName>
    <definedName name="Mxsym">#REF!</definedName>
    <definedName name="Mysxm">#REF!</definedName>
    <definedName name="Mysym">#REF!</definedName>
    <definedName name="Mz">#REF!</definedName>
    <definedName name="MZBJSHGX">#REF!</definedName>
    <definedName name="M당무게">#REF!</definedName>
    <definedName name="N">#REF!</definedName>
    <definedName name="N.01">#REF!</definedName>
    <definedName name="N.02">#REF!</definedName>
    <definedName name="N.1">#REF!</definedName>
    <definedName name="N.2">#REF!</definedName>
    <definedName name="N_ExternalWork">#REF!</definedName>
    <definedName name="N1S">#REF!</definedName>
    <definedName name="N2S">#REF!</definedName>
    <definedName name="N3S">#REF!</definedName>
    <definedName name="nagu" hidden="1">{#N/A,#N/A,TRUE,"Front";#N/A,#N/A,TRUE,"Simple Letter";#N/A,#N/A,TRUE,"Inside";#N/A,#N/A,TRUE,"Contents";#N/A,#N/A,TRUE,"Basis";#N/A,#N/A,TRUE,"Inclusions";#N/A,#N/A,TRUE,"Exclusions";#N/A,#N/A,TRUE,"Areas";#N/A,#N/A,TRUE,"Summary";#N/A,#N/A,TRUE,"Detail"}</definedName>
    <definedName name="Name">#REF!</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tChannelmain" localSheetId="7">#REF!</definedName>
    <definedName name="NatChannelmain" localSheetId="9">#REF!</definedName>
    <definedName name="NatChannelmain">#REF!</definedName>
    <definedName name="NatChannelStart" localSheetId="7">#REF!</definedName>
    <definedName name="NatChannelStart" localSheetId="9">#REF!</definedName>
    <definedName name="NatChannelStart">#REF!</definedName>
    <definedName name="Nave">#REF!</definedName>
    <definedName name="Nbars">#REF!</definedName>
    <definedName name="nbc" hidden="1">{#N/A,#N/A,TRUE,"Front";#N/A,#N/A,TRUE,"Simple Letter";#N/A,#N/A,TRUE,"Inside";#N/A,#N/A,TRUE,"Contents";#N/A,#N/A,TRUE,"Basis";#N/A,#N/A,TRUE,"Inclusions";#N/A,#N/A,TRUE,"Exclusions";#N/A,#N/A,TRUE,"Areas";#N/A,#N/A,TRUE,"Summary";#N/A,#N/A,TRUE,"Detail"}</definedName>
    <definedName name="nbgfnf" hidden="1">{#N/A,#N/A,TRUE,"LOADCOVE";#N/A,#N/A,TRUE,"PAGE001";#N/A,#N/A,TRUE,"PAGE002";#N/A,#N/A,TRUE,"PAGE003";#N/A,#N/A,TRUE,"PAGE004";#N/A,#N/A,TRUE,"PAGE005";#N/A,#N/A,TRUE,"PAGE006";#N/A,#N/A,TRUE,"PAGE007";#N/A,#N/A,TRUE,"PAGE008";#N/A,#N/A,TRUE,"PAGE009";#N/A,#N/A,TRUE,"PAGE010";#N/A,#N/A,TRUE,"PAGE011";#N/A,#N/A,TRUE,"PAGE012";#N/A,#N/A,TRUE,"PAGE013"}</definedName>
    <definedName name="NBHBM" hidden="1">{#N/A,#N/A,TRUE,"Front";#N/A,#N/A,TRUE,"Simple Letter";#N/A,#N/A,TRUE,"Inside";#N/A,#N/A,TRUE,"Contents";#N/A,#N/A,TRUE,"Basis";#N/A,#N/A,TRUE,"Inclusions";#N/A,#N/A,TRUE,"Exclusions";#N/A,#N/A,TRUE,"Areas";#N/A,#N/A,TRUE,"Summary";#N/A,#N/A,TRUE,"Detail"}</definedName>
    <definedName name="nbhg">IF(ISNA(MATCH(ROW(),RowAfterpgbrk,1)),1,MATCH(ROW(),RowAfterpgbrk,1)+1)&lt;&gt;IF(ISNA(MATCH(ROW()+1,RowAfterpgbrk,1)),1,MATCH(ROW()+1,RowAfterpgbrk,1)+1)</definedName>
    <definedName name="nbx" hidden="1">{#N/A,#N/A,TRUE,"LOADCOVE";#N/A,#N/A,TRUE,"PAGE001";#N/A,#N/A,TRUE,"PAGE002";#N/A,#N/A,TRUE,"PAGE003";#N/A,#N/A,TRUE,"PAGE004";#N/A,#N/A,TRUE,"PAGE005";#N/A,#N/A,TRUE,"PAGE006";#N/A,#N/A,TRUE,"PAGE007";#N/A,#N/A,TRUE,"PAGE008";#N/A,#N/A,TRUE,"PAGE009";#N/A,#N/A,TRUE,"PAGE010";#N/A,#N/A,TRUE,"PAGE011";#N/A,#N/A,TRUE,"PAGE012";#N/A,#N/A,TRUE,"PAGE013"}</definedName>
    <definedName name="ncfn" hidden="1">{#N/A,#N/A,TRUE,"LOADCOVE";#N/A,#N/A,TRUE,"PAGE001";#N/A,#N/A,TRUE,"PAGE002";#N/A,#N/A,TRUE,"PAGE003";#N/A,#N/A,TRUE,"PAGE004";#N/A,#N/A,TRUE,"PAGE005";#N/A,#N/A,TRUE,"PAGE006";#N/A,#N/A,TRUE,"PAGE007";#N/A,#N/A,TRUE,"PAGE008";#N/A,#N/A,TRUE,"PAGE009";#N/A,#N/A,TRUE,"PAGE010";#N/A,#N/A,TRUE,"PAGE011";#N/A,#N/A,TRUE,"PAGE012";#N/A,#N/A,TRUE,"PAGE013"}</definedName>
    <definedName name="nclient">#REF!</definedName>
    <definedName name="ncn">#REF!</definedName>
    <definedName name="ncompier">#REF!</definedName>
    <definedName name="ncompier_1">#N/A</definedName>
    <definedName name="NCONA">#REF!</definedName>
    <definedName name="NCONB">#REF!</definedName>
    <definedName name="NCONC">#REF!</definedName>
    <definedName name="NCONVA">#REF!</definedName>
    <definedName name="NCONVB">#REF!</definedName>
    <definedName name="NCONVC">#REF!</definedName>
    <definedName name="ncr" hidden="1">{#N/A,#N/A,FALSE,"현장 NCR 분석";#N/A,#N/A,FALSE,"현장품질감사";#N/A,#N/A,FALSE,"현장품질감사"}</definedName>
    <definedName name="NCV">#REF!</definedName>
    <definedName name="nddddddddf" localSheetId="7" hidden="1">{#N/A,#N/A,TRUE,"Cover";#N/A,#N/A,TRUE,"Conts";#N/A,#N/A,TRUE,"VOS";#N/A,#N/A,TRUE,"Warrington";#N/A,#N/A,TRUE,"Widnes"}</definedName>
    <definedName name="nddddddddf" localSheetId="0" hidden="1">{#N/A,#N/A,TRUE,"Cover";#N/A,#N/A,TRUE,"Conts";#N/A,#N/A,TRUE,"VOS";#N/A,#N/A,TRUE,"Warrington";#N/A,#N/A,TRUE,"Widnes"}</definedName>
    <definedName name="nddddddddf" localSheetId="9"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DO">#REF!</definedName>
    <definedName name="NDOOA">#REF!</definedName>
    <definedName name="NDOOB">#REF!</definedName>
    <definedName name="NDOOC">#REF!</definedName>
    <definedName name="NDR">#REF!</definedName>
    <definedName name="needle">#REF!</definedName>
    <definedName name="Neels" hidden="1">{#N/A,#N/A,TRUE,"COVER";#N/A,#N/A,TRUE,"DETAILS";#N/A,#N/A,TRUE,"SUMMARY";#N/A,#N/A,TRUE,"EXP MON";#N/A,#N/A,TRUE,"APPENDIX A";#N/A,#N/A,TRUE,"APPENDIX B";#N/A,#N/A,TRUE,"APPENDIX C";#N/A,#N/A,TRUE,"APPENDIX D";#N/A,#N/A,TRUE,"APPENDIX E";#N/A,#N/A,TRUE,"APPENDIX F";#N/A,#N/A,TRUE,"APPENDIX G"}</definedName>
    <definedName name="NELEA">#REF!</definedName>
    <definedName name="NELEB">#REF!</definedName>
    <definedName name="NELEC">#REF!</definedName>
    <definedName name="NEQUA">#REF!</definedName>
    <definedName name="NEQUB">#REF!</definedName>
    <definedName name="NEQUC">#REF!</definedName>
    <definedName name="NESTIMATE">#REF!</definedName>
    <definedName name="Networks_Excavation">#REF!</definedName>
    <definedName name="new">#REF!</definedName>
    <definedName name="newmane" hidden="1">{#N/A,#N/A,FALSE,"CCTV"}</definedName>
    <definedName name="NEWNAME" hidden="1">{#N/A,#N/A,FALSE,"CCTV"}</definedName>
    <definedName name="NEWNAME_1" hidden="1">{#N/A,#N/A,FALSE,"CCTV"}</definedName>
    <definedName name="NEWNAME_2" hidden="1">{#N/A,#N/A,FALSE,"CCTV"}</definedName>
    <definedName name="NFG" hidden="1">{#N/A,#N/A,FALSE,"배수2"}</definedName>
    <definedName name="NFG_1" hidden="1">{#N/A,#N/A,FALSE,"배수2"}</definedName>
    <definedName name="NFG_2" hidden="1">{#N/A,#N/A,FALSE,"배수2"}</definedName>
    <definedName name="NFINA">#REF!</definedName>
    <definedName name="NFINB">#REF!</definedName>
    <definedName name="NFINC">#REF!</definedName>
    <definedName name="NFIRA">#REF!</definedName>
    <definedName name="NFIRB">#REF!</definedName>
    <definedName name="NFIRC">#REF!</definedName>
    <definedName name="NFURA">#REF!</definedName>
    <definedName name="NFURB">#REF!</definedName>
    <definedName name="NFURC">#REF!</definedName>
    <definedName name="NFYJD" hidden="1">{#N/A,#N/A,FALSE,"토공2"}</definedName>
    <definedName name="NFYJD_1" hidden="1">{#N/A,#N/A,FALSE,"토공2"}</definedName>
    <definedName name="NFYJD_2" hidden="1">{#N/A,#N/A,FALSE,"토공2"}</definedName>
    <definedName name="ng">"Page "&amp;IF(ISNA(MATCH(ROW(),RowAfterpgbrk,1)),1,MATCH(ROW(),RowAfterpgbrk,1)+1)&amp;" of " &amp; TotPageCount + 0*NOW()</definedName>
    <definedName name="ngb" hidden="1">{#N/A,#N/A,TRUE,"LOADCOVE";#N/A,#N/A,TRUE,"PAGE001";#N/A,#N/A,TRUE,"PAGE002";#N/A,#N/A,TRUE,"PAGE003";#N/A,#N/A,TRUE,"PAGE004";#N/A,#N/A,TRUE,"PAGE005";#N/A,#N/A,TRUE,"PAGE006";#N/A,#N/A,TRUE,"PAGE007";#N/A,#N/A,TRUE,"PAGE008";#N/A,#N/A,TRUE,"PAGE009";#N/A,#N/A,TRUE,"PAGE010";#N/A,#N/A,TRUE,"PAGE011";#N/A,#N/A,TRUE,"PAGE012";#N/A,#N/A,TRUE,"PAGE013"}</definedName>
    <definedName name="NGC">#REF!</definedName>
    <definedName name="NGC_21">#REF!</definedName>
    <definedName name="NGC_22">#REF!</definedName>
    <definedName name="NGC_23">#REF!</definedName>
    <definedName name="NGC_24">#REF!</definedName>
    <definedName name="NGC_25">#REF!</definedName>
    <definedName name="NGC_26">#REF!</definedName>
    <definedName name="NGE" hidden="1">{#N/A,#N/A,FALSE,"혼합골재"}</definedName>
    <definedName name="NGE_1" hidden="1">{#N/A,#N/A,FALSE,"혼합골재"}</definedName>
    <definedName name="NGE_2" hidden="1">{#N/A,#N/A,FALSE,"혼합골재"}</definedName>
    <definedName name="NGENA">#REF!</definedName>
    <definedName name="NGENB">#REF!</definedName>
    <definedName name="NGENC">#REF!</definedName>
    <definedName name="NGFDFNS" hidden="1">{#N/A,#N/A,FALSE,"부대1"}</definedName>
    <definedName name="NGFDFNS_1" hidden="1">{#N/A,#N/A,FALSE,"부대1"}</definedName>
    <definedName name="NGFDFNS_2" hidden="1">{#N/A,#N/A,FALSE,"부대1"}</definedName>
    <definedName name="ngfng" hidden="1">{#N/A,#N/A,FALSE,"Aging Summary";#N/A,#N/A,FALSE,"Ratio Analysis";#N/A,#N/A,FALSE,"Test 120 Day Accts";#N/A,#N/A,FALSE,"Tickmarks"}</definedName>
    <definedName name="ngfng_2" hidden="1">{#N/A,#N/A,FALSE,"Aging Summary";#N/A,#N/A,FALSE,"Ratio Analysis";#N/A,#N/A,FALSE,"Test 120 Day Accts";#N/A,#N/A,FALSE,"Tickmarks"}</definedName>
    <definedName name="ngh">"Page "&amp;IF(ISNA(MATCH(ROW(),RowAfterpgbrk,1)),1,MATCH(ROW(),RowAfterpgbrk,1)+1)&amp;" of " &amp; TotPageCount + 0*NOW()</definedName>
    <definedName name="nh" hidden="1">{#N/A,#N/A,TRUE,"COVER";#N/A,#N/A,TRUE,"DETAILS";#N/A,#N/A,TRUE,"SUMMARY";#N/A,#N/A,TRUE,"EXP MON";#N/A,#N/A,TRUE,"APPENDIX A";#N/A,#N/A,TRUE,"APPENDIX B";#N/A,#N/A,TRUE,"APPENDIX C";#N/A,#N/A,TRUE,"APPENDIX D";#N/A,#N/A,TRUE,"APPENDIX E";#N/A,#N/A,TRUE,"APPENDIX F";#N/A,#N/A,TRUE,"APPENDIX G"}</definedName>
    <definedName name="NHG" hidden="1">{#N/A,#N/A,TRUE,"Cover";#N/A,#N/A,TRUE,"Conts";#N/A,#N/A,TRUE,"VOS";#N/A,#N/A,TRUE,"Warrington";#N/A,#N/A,TRUE,"Widnes"}</definedName>
    <definedName name="NHVAA">#REF!</definedName>
    <definedName name="NHVAB">#REF!</definedName>
    <definedName name="NHVAC">#REF!</definedName>
    <definedName name="Nicol">#REF!</definedName>
    <definedName name="NIPP">#REF!</definedName>
    <definedName name="NIStatus">#REF!</definedName>
    <definedName name="NIStatus1">#REF!</definedName>
    <definedName name="NJ" hidden="1">{#N/A,#N/A,TRUE,"Front";#N/A,#N/A,TRUE,"Simple Letter";#N/A,#N/A,TRUE,"Inside";#N/A,#N/A,TRUE,"Contents";#N/A,#N/A,TRUE,"Basis";#N/A,#N/A,TRUE,"Inclusions";#N/A,#N/A,TRUE,"Exclusions";#N/A,#N/A,TRUE,"Areas";#N/A,#N/A,TRUE,"Summary";#N/A,#N/A,TRUE,"Detail"}</definedName>
    <definedName name="NJH" hidden="1">{#N/A,#N/A,TRUE,"Front";#N/A,#N/A,TRUE,"Simple Letter";#N/A,#N/A,TRUE,"Inside";#N/A,#N/A,TRUE,"Contents";#N/A,#N/A,TRUE,"Basis";#N/A,#N/A,TRUE,"Inclusions";#N/A,#N/A,TRUE,"Exclusions";#N/A,#N/A,TRUE,"Areas";#N/A,#N/A,TRUE,"Summary";#N/A,#N/A,TRUE,"Detail"}</definedName>
    <definedName name="nkknk" hidden="1">{#N/A,#N/A,FALSE,"CCTV"}</definedName>
    <definedName name="nkknk_1" hidden="1">{#N/A,#N/A,FALSE,"CCTV"}</definedName>
    <definedName name="nkknk_2" hidden="1">{#N/A,#N/A,FALSE,"CCTV"}</definedName>
    <definedName name="nm" hidden="1">{"'Break down'!$A$4"}</definedName>
    <definedName name="NMASA">#REF!</definedName>
    <definedName name="NMASB">#REF!</definedName>
    <definedName name="NMASC">#REF!</definedName>
    <definedName name="NMETA">#REF!</definedName>
    <definedName name="NMETB">#REF!</definedName>
    <definedName name="NMETC">#REF!</definedName>
    <definedName name="nmhg" hidden="1">{#N/A,#N/A,TRUE,"Cover";#N/A,#N/A,TRUE,"Conts";#N/A,#N/A,TRUE,"VOS";#N/A,#N/A,TRUE,"Warrington";#N/A,#N/A,TRUE,"Widnes"}</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u">IF(ISNA(MATCH(ROW(),RowAfterpgbrk,1)),1,MATCH(ROW(),RowAfterpgbrk,1)+1)</definedName>
    <definedName name="NMKL" hidden="1">{#N/A,#N/A,TRUE,"Cover";#N/A,#N/A,TRUE,"Conts";#N/A,#N/A,TRUE,"VOS";#N/A,#N/A,TRUE,"Warrington";#N/A,#N/A,TRUE,"Widnes"}</definedName>
    <definedName name="NN">#REF!</definedName>
    <definedName name="nnewname" hidden="1">{#N/A,#N/A,FALSE,"CCTV"}</definedName>
    <definedName name="nnm"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nn"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nnn_1"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nnn_1" hidden="1">{#N/A,#N/A,FALSE,"SumG";#N/A,#N/A,FALSE,"ElecG";#N/A,#N/A,FALSE,"MechG";#N/A,#N/A,FALSE,"GeotG";#N/A,#N/A,FALSE,"PrcsG";#N/A,#N/A,FALSE,"TunnG";#N/A,#N/A,FALSE,"CivlG";#N/A,#N/A,FALSE,"NtwkG";#N/A,#N/A,FALSE,"EstgG";#N/A,#N/A,FALSE,"PEngG"}</definedName>
    <definedName name="nnnz" hidden="1">{#N/A,#N/A,FALSE,"SumD";#N/A,#N/A,FALSE,"ElecD";#N/A,#N/A,FALSE,"MechD";#N/A,#N/A,FALSE,"GeotD";#N/A,#N/A,FALSE,"PrcsD";#N/A,#N/A,FALSE,"TunnD";#N/A,#N/A,FALSE,"CivlD";#N/A,#N/A,FALSE,"NtwkD";#N/A,#N/A,FALSE,"EstgD";#N/A,#N/A,FALSE,"PEngD"}</definedName>
    <definedName name="NNR">#REF!</definedName>
    <definedName name="No">#REF!</definedName>
    <definedName name="NO.">#REF!</definedName>
    <definedName name="no.1" localSheetId="7" hidden="1">{#N/A,#N/A,TRUE,"Cover";#N/A,#N/A,TRUE,"Conts";#N/A,#N/A,TRUE,"VOS";#N/A,#N/A,TRUE,"Warrington";#N/A,#N/A,TRUE,"Widnes"}</definedName>
    <definedName name="no.1" localSheetId="0" hidden="1">{#N/A,#N/A,TRUE,"Cover";#N/A,#N/A,TRUE,"Conts";#N/A,#N/A,TRUE,"VOS";#N/A,#N/A,TRUE,"Warrington";#N/A,#N/A,TRUE,"Widnes"}</definedName>
    <definedName name="no.1" localSheetId="9"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NO_">#REF!</definedName>
    <definedName name="No_of_Hollidays">#REF!</definedName>
    <definedName name="No_Ramadan_Days">#REF!</definedName>
    <definedName name="No_Week_Days">#REF!</definedName>
    <definedName name="No_Weekend_Days">#REF!</definedName>
    <definedName name="No0">#REF!</definedName>
    <definedName name="No0_21">#REF!</definedName>
    <definedName name="No0_22">#REF!</definedName>
    <definedName name="No0_23">#REF!</definedName>
    <definedName name="No0_24">#REF!</definedName>
    <definedName name="No0_25">#REF!</definedName>
    <definedName name="No0_26">#REF!</definedName>
    <definedName name="No1_21">#REF!</definedName>
    <definedName name="No1_22">#REF!</definedName>
    <definedName name="No1_23">#REF!</definedName>
    <definedName name="No1_24">#REF!</definedName>
    <definedName name="No1_25">#REF!</definedName>
    <definedName name="No1_26">#REF!</definedName>
    <definedName name="No2_21">#REF!</definedName>
    <definedName name="No2_22">#REF!</definedName>
    <definedName name="No2_23">#REF!</definedName>
    <definedName name="No2_24">#REF!</definedName>
    <definedName name="No2_25">#REF!</definedName>
    <definedName name="No2_26">#REF!</definedName>
    <definedName name="No3_21">#REF!</definedName>
    <definedName name="No3_22">#REF!</definedName>
    <definedName name="No3_23">#REF!</definedName>
    <definedName name="No3_24">#REF!</definedName>
    <definedName name="No3_25">#REF!</definedName>
    <definedName name="No3_26">#REF!</definedName>
    <definedName name="nolanes">#REF!</definedName>
    <definedName name="nolanes_1">#N/A</definedName>
    <definedName name="non">#REF!</definedName>
    <definedName name="none" hidden="1">{#N/A,#N/A,FALSE,"BS-lead";#N/A,#N/A,FALSE,"BS- cladding";#N/A,#N/A,FALSE,"BS-GRC";#N/A,#N/A,FALSE,"P&amp;L-Lead";#N/A,#N/A,FALSE,"P&amp;L-Cladding";#N/A,#N/A,FALSE,"P&amp;L-GRC"}</definedName>
    <definedName name="nonreimb">#REF!</definedName>
    <definedName name="Northern">#REF!</definedName>
    <definedName name="NOTE" hidden="1">{#N/A,#N/A,TRUE,"총괄"}</definedName>
    <definedName name="Noting" hidden="1">{"ECA Qtrs C",#N/A,TRUE,"ECA_Qtrs_C";"ECA Qtrs D",#N/A,TRUE,"ECA_Qtrs_D";"ECA Qtrs F",#N/A,TRUE,"ECA_Qtrs_F";"ECA Qtrs G",#N/A,TRUE,"ECA_Qtrs_G";"ECA SisterApt",#N/A,TRUE,"ECA_SisterApt";"ECA Nurses",#N/A,TRUE,"ECA_NursesHostel"}</definedName>
    <definedName name="NP">#REF!</definedName>
    <definedName name="NPI">#REF!</definedName>
    <definedName name="Npiers">#REF!</definedName>
    <definedName name="Npiers_1">#N/A</definedName>
    <definedName name="npile2">#REF!</definedName>
    <definedName name="npile2_1">#N/A</definedName>
    <definedName name="npile3">#REF!</definedName>
    <definedName name="npile3_1">#N/A</definedName>
    <definedName name="NPLUA">#REF!</definedName>
    <definedName name="NPLUB">#REF!</definedName>
    <definedName name="NPLUC">#REF!</definedName>
    <definedName name="nr">#REF!</definedName>
    <definedName name="NR126B">#REF!</definedName>
    <definedName name="NRNCG" hidden="1">{#N/A,#N/A,FALSE,"2~8번"}</definedName>
    <definedName name="NRNCG_1" hidden="1">{#N/A,#N/A,FALSE,"2~8번"}</definedName>
    <definedName name="NRNCG_2" hidden="1">{#N/A,#N/A,FALSE,"2~8번"}</definedName>
    <definedName name="Nrows">#REF!</definedName>
    <definedName name="nrunits">#REF!</definedName>
    <definedName name="NSA">#REF!</definedName>
    <definedName name="nsdff" hidden="1">{#N/A,#N/A,TRUE,"Front";#N/A,#N/A,TRUE,"Simple Letter";#N/A,#N/A,TRUE,"Inside";#N/A,#N/A,TRUE,"Contents";#N/A,#N/A,TRUE,"Basis";#N/A,#N/A,TRUE,"Inclusions";#N/A,#N/A,TRUE,"Exclusions";#N/A,#N/A,TRUE,"Areas";#N/A,#N/A,TRUE,"Summary";#N/A,#N/A,TRUE,"Detail"}</definedName>
    <definedName name="NSH">#REF!</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ITA">#REF!</definedName>
    <definedName name="NSITB">#REF!</definedName>
    <definedName name="NSITC">#REF!</definedName>
    <definedName name="nsk">#REF!</definedName>
    <definedName name="NSO">#REF!</definedName>
    <definedName name="Nspans">#REF!</definedName>
    <definedName name="Nspans_1">#N/A</definedName>
    <definedName name="NSPEA">#REF!</definedName>
    <definedName name="NSPEB">#REF!</definedName>
    <definedName name="NSPEC">#REF!</definedName>
    <definedName name="ntag">#REF!</definedName>
    <definedName name="NTHEA">#REF!</definedName>
    <definedName name="NTHEB">#REF!</definedName>
    <definedName name="NTHEC">#REF!</definedName>
    <definedName name="NTRADE">#REF!</definedName>
    <definedName name="NTRD" hidden="1">{#N/A,#N/A,FALSE,"배수1"}</definedName>
    <definedName name="NTRD_1" hidden="1">{#N/A,#N/A,FALSE,"배수1"}</definedName>
    <definedName name="NTRD_2" hidden="1">{#N/A,#N/A,FALSE,"배수1"}</definedName>
    <definedName name="NUBNKUHY" hidden="1">{#N/A,#N/A,TRUE,"Front";#N/A,#N/A,TRUE,"Simple Letter";#N/A,#N/A,TRUE,"Inside";#N/A,#N/A,TRUE,"Contents";#N/A,#N/A,TRUE,"Basis";#N/A,#N/A,TRUE,"Inclusions";#N/A,#N/A,TRUE,"Exclusions";#N/A,#N/A,TRUE,"Areas";#N/A,#N/A,TRUE,"Summary";#N/A,#N/A,TRUE,"Detail"}</definedName>
    <definedName name="NUF" hidden="1">{#N/A,#N/A,FALSE,"운반시간"}</definedName>
    <definedName name="NUF_1" hidden="1">{#N/A,#N/A,FALSE,"운반시간"}</definedName>
    <definedName name="NUF_2" hidden="1">{#N/A,#N/A,FALSE,"운반시간"}</definedName>
    <definedName name="nujnnnb"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ber">#REF!</definedName>
    <definedName name="nutg" hidden="1">{#N/A,#N/A,TRUE,"Front";#N/A,#N/A,TRUE,"Simple Letter";#N/A,#N/A,TRUE,"Inside";#N/A,#N/A,TRUE,"Contents";#N/A,#N/A,TRUE,"Basis";#N/A,#N/A,TRUE,"Inclusions";#N/A,#N/A,TRUE,"Exclusions";#N/A,#N/A,TRUE,"Areas";#N/A,#N/A,TRUE,"Summary";#N/A,#N/A,TRUE,"Detail"}</definedName>
    <definedName name="nwe">#REF!</definedName>
    <definedName name="Nwebs">#REF!</definedName>
    <definedName name="Nwebs_1">#N/A</definedName>
    <definedName name="NWOH">#REF!</definedName>
    <definedName name="NWOOA">#REF!</definedName>
    <definedName name="NWOOB">#REF!</definedName>
    <definedName name="NWOOC">#REF!</definedName>
    <definedName name="Nx">#REF!</definedName>
    <definedName name="ny">IF(ISNA(MATCH(ROW(),RowAfterpgbrk,1)),1,MATCH(ROW(),RowAfterpgbrk,1)+1)&lt;&gt;IF(ISNA(MATCH(ROW()+1,RowAfterpgbrk,1)),1,MATCH(ROW()+1,RowAfterpgbrk,1)+1)</definedName>
    <definedName name="NYDDFG" hidden="1">{#N/A,#N/A,FALSE,"조골재"}</definedName>
    <definedName name="NYDDFG_1" hidden="1">{#N/A,#N/A,FALSE,"조골재"}</definedName>
    <definedName name="NYDDFG_2" hidden="1">{#N/A,#N/A,FALSE,"조골재"}</definedName>
    <definedName name="NYDTDS" hidden="1">{#N/A,#N/A,FALSE,"구조2"}</definedName>
    <definedName name="NYDTDS_1" hidden="1">{#N/A,#N/A,FALSE,"구조2"}</definedName>
    <definedName name="NYDTDS_2" hidden="1">{#N/A,#N/A,FALSE,"구조2"}</definedName>
    <definedName name="NYFD" hidden="1">{#N/A,#N/A,FALSE,"골재소요량";#N/A,#N/A,FALSE,"골재소요량"}</definedName>
    <definedName name="NYFD_1" hidden="1">{#N/A,#N/A,FALSE,"골재소요량";#N/A,#N/A,FALSE,"골재소요량"}</definedName>
    <definedName name="NYFD_2" hidden="1">{#N/A,#N/A,FALSE,"골재소요량";#N/A,#N/A,FALSE,"골재소요량"}</definedName>
    <definedName name="NYTDY" hidden="1">{#N/A,#N/A,FALSE,"단가표지"}</definedName>
    <definedName name="NYTDY_1" hidden="1">{#N/A,#N/A,FALSE,"단가표지"}</definedName>
    <definedName name="NYTDY_2" hidden="1">{#N/A,#N/A,FALSE,"단가표지"}</definedName>
    <definedName name="NYTND" hidden="1">{#N/A,#N/A,FALSE,"구조1"}</definedName>
    <definedName name="NYTND_1" hidden="1">{#N/A,#N/A,FALSE,"구조1"}</definedName>
    <definedName name="NYTND_2" hidden="1">{#N/A,#N/A,FALSE,"구조1"}</definedName>
    <definedName name="Nz">#REF!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#REF!</definedName>
    <definedName name="O.H">#REF!</definedName>
    <definedName name="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H___Profit">#REF!</definedName>
    <definedName name="o9u0piupi" localSheetId="7" hidden="1">{#N/A,#N/A,TRUE,"Cover";#N/A,#N/A,TRUE,"Conts";#N/A,#N/A,TRUE,"VOS";#N/A,#N/A,TRUE,"Warrington";#N/A,#N/A,TRUE,"Widnes"}</definedName>
    <definedName name="o9u0piupi" localSheetId="0" hidden="1">{#N/A,#N/A,TRUE,"Cover";#N/A,#N/A,TRUE,"Conts";#N/A,#N/A,TRUE,"VOS";#N/A,#N/A,TRUE,"Warrington";#N/A,#N/A,TRUE,"Widnes"}</definedName>
    <definedName name="o9u0piupi" localSheetId="9"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a" hidden="1">#REF!</definedName>
    <definedName name="ob">#REF!</definedName>
    <definedName name="obesity"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OC4P">#REF!</definedName>
    <definedName name="ocf" hidden="1">#REF!</definedName>
    <definedName name="OCR">#REF!</definedName>
    <definedName name="octf">#REF!</definedName>
    <definedName name="OD">#REF!</definedName>
    <definedName name="OD_FACTOR">#REF!</definedName>
    <definedName name="ODC">#REF!</definedName>
    <definedName name="ODC_Allowance_Rates">#REF!</definedName>
    <definedName name="ODH" hidden="1">#REF!</definedName>
    <definedName name="Oest">#REF!</definedName>
    <definedName name="offer" hidden="1">{#N/A,#N/A,FALSE,"CCTV"}</definedName>
    <definedName name="Office_Charge_Rate">#REF!</definedName>
    <definedName name="office_exp">#REF!</definedName>
    <definedName name="Office_Supplies_Unit_Rate">#REF!</definedName>
    <definedName name="Offices">#REF!</definedName>
    <definedName name="offset">1</definedName>
    <definedName name="OFSAFO" hidden="1">{#N/A,#N/A,FALSE,"CCTV"}</definedName>
    <definedName name="OH">#REF!</definedName>
    <definedName name="oha">#REF!</definedName>
    <definedName name="ohc">#REF!</definedName>
    <definedName name="oi" localSheetId="7" hidden="1">{#N/A,#N/A,TRUE,"Cover";#N/A,#N/A,TRUE,"Conts";#N/A,#N/A,TRUE,"VOS";#N/A,#N/A,TRUE,"Warrington";#N/A,#N/A,TRUE,"Widnes"}</definedName>
    <definedName name="oi" localSheetId="0" hidden="1">{#N/A,#N/A,TRUE,"Cover";#N/A,#N/A,TRUE,"Conts";#N/A,#N/A,TRUE,"VOS";#N/A,#N/A,TRUE,"Warrington";#N/A,#N/A,TRUE,"Widnes"}</definedName>
    <definedName name="oi" localSheetId="9"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ijha"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lilui" hidden="1">{#N/A,#N/A,FALSE,"CCTV"}</definedName>
    <definedName name="oililui_1" hidden="1">{#N/A,#N/A,FALSE,"CCTV"}</definedName>
    <definedName name="oililui_2" hidden="1">{#N/A,#N/A,FALSE,"CCTV"}</definedName>
    <definedName name="oip" hidden="1">{"'Break down'!$A$4"}</definedName>
    <definedName name="oipu" hidden="1">{#N/A,#N/A,TRUE,"Cover";#N/A,#N/A,TRUE,"Conts";#N/A,#N/A,TRUE,"VOS";#N/A,#N/A,TRUE,"Warrington";#N/A,#N/A,TRUE,"Widnes"}</definedName>
    <definedName name="oitryuyikn">#REF!</definedName>
    <definedName name="oiu">#REF!</definedName>
    <definedName name="OK">#REF!</definedName>
    <definedName name="oke" hidden="1">#REF!</definedName>
    <definedName name="OKNI" hidden="1">#REF!</definedName>
    <definedName name="ol">#REF!</definedName>
    <definedName name="oldprinttotal">#REF!</definedName>
    <definedName name="oldtakeoff">#REF!</definedName>
    <definedName name="OLET_SS">#REF!</definedName>
    <definedName name="OLF" hidden="1">#REF!</definedName>
    <definedName name="olhmh"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#REF!</definedName>
    <definedName name="OMC" hidden="1">{#N/A,#N/A,TRUE,"Front";#N/A,#N/A,TRUE,"Simple Letter";#N/A,#N/A,TRUE,"Inside";#N/A,#N/A,TRUE,"Contents";#N/A,#N/A,TRUE,"Basis";#N/A,#N/A,TRUE,"Inclusions";#N/A,#N/A,TRUE,"Exclusions";#N/A,#N/A,TRUE,"Areas";#N/A,#N/A,TRUE,"Summary";#N/A,#N/A,TRUE,"Detail"}</definedName>
    <definedName name="OMI">#REF!</definedName>
    <definedName name="Omissions" hidden="1">{#N/A,#N/A,TRUE,"Cover";#N/A,#N/A,TRUE,"Conts";#N/A,#N/A,TRUE,"VOS";#N/A,#N/A,TRUE,"Warrington";#N/A,#N/A,TRUE,"Widnes"}</definedName>
    <definedName name="OMIT">#REF!</definedName>
    <definedName name="omnj" hidden="1">{#N/A,#N/A,TRUE,"Front";#N/A,#N/A,TRUE,"Simple Letter";#N/A,#N/A,TRUE,"Inside";#N/A,#N/A,TRUE,"Contents";#N/A,#N/A,TRUE,"Basis";#N/A,#N/A,TRUE,"Inclusions";#N/A,#N/A,TRUE,"Exclusions";#N/A,#N/A,TRUE,"Areas";#N/A,#N/A,TRUE,"Summary";#N/A,#N/A,TRUE,"Detail"}</definedName>
    <definedName name="OMS">#REF!</definedName>
    <definedName name="OMX" hidden="1">{#N/A,#N/A,TRUE,"Front";#N/A,#N/A,TRUE,"Simple Letter";#N/A,#N/A,TRUE,"Inside";#N/A,#N/A,TRUE,"Contents";#N/A,#N/A,TRUE,"Basis";#N/A,#N/A,TRUE,"Inclusions";#N/A,#N/A,TRUE,"Exclusions";#N/A,#N/A,TRUE,"Areas";#N/A,#N/A,TRUE,"Summary";#N/A,#N/A,TRUE,"Detail"}</definedName>
    <definedName name="oo" hidden="1">{#N/A,#N/A,TRUE,"LOADCOVE";#N/A,#N/A,TRUE,"PAGE001";#N/A,#N/A,TRUE,"PAGE002";#N/A,#N/A,TRUE,"PAGE003";#N/A,#N/A,TRUE,"PAGE004";#N/A,#N/A,TRUE,"PAGE005";#N/A,#N/A,TRUE,"PAGE006";#N/A,#N/A,TRUE,"PAGE007";#N/A,#N/A,TRUE,"PAGE008";#N/A,#N/A,TRUE,"PAGE009";#N/A,#N/A,TRUE,"PAGE010";#N/A,#N/A,TRUE,"PAGE011";#N/A,#N/A,TRUE,"PAGE012";#N/A,#N/A,TRUE,"PAGE013"}</definedName>
    <definedName name="oo_1" hidden="1">{#N/A,#N/A,TRUE,"LOADCOVE";#N/A,#N/A,TRUE,"PAGE001";#N/A,#N/A,TRUE,"PAGE002";#N/A,#N/A,TRUE,"PAGE003";#N/A,#N/A,TRUE,"PAGE004";#N/A,#N/A,TRUE,"PAGE005";#N/A,#N/A,TRUE,"PAGE006";#N/A,#N/A,TRUE,"PAGE007";#N/A,#N/A,TRUE,"PAGE008";#N/A,#N/A,TRUE,"PAGE009";#N/A,#N/A,TRUE,"PAGE010";#N/A,#N/A,TRUE,"PAGE011";#N/A,#N/A,TRUE,"PAGE012";#N/A,#N/A,TRUE,"PAGE013"}</definedName>
    <definedName name="oo_2" hidden="1">{#N/A,#N/A,TRUE,"LOADCOVE";#N/A,#N/A,TRUE,"PAGE001";#N/A,#N/A,TRUE,"PAGE002";#N/A,#N/A,TRUE,"PAGE003";#N/A,#N/A,TRUE,"PAGE004";#N/A,#N/A,TRUE,"PAGE005";#N/A,#N/A,TRUE,"PAGE006";#N/A,#N/A,TRUE,"PAGE007";#N/A,#N/A,TRUE,"PAGE008";#N/A,#N/A,TRUE,"PAGE009";#N/A,#N/A,TRUE,"PAGE010";#N/A,#N/A,TRUE,"PAGE011";#N/A,#N/A,TRUE,"PAGE012";#N/A,#N/A,TRUE,"PAGE013"}</definedName>
    <definedName name="OOC">#REF!</definedName>
    <definedName name="ooo" hidden="1">#REF!</definedName>
    <definedName name="oooo" hidden="1">{#N/A,#N/A,TRUE,"Cover";#N/A,#N/A,TRUE,"Conts";#N/A,#N/A,TRUE,"VOS";#N/A,#N/A,TRUE,"Warrington";#N/A,#N/A,TRUE,"Widnes"}</definedName>
    <definedName name="oooooo">#REF!</definedName>
    <definedName name="op">#REF!</definedName>
    <definedName name="OPC">#REF!</definedName>
    <definedName name="Open">#REF!</definedName>
    <definedName name="OpenDesign">#REF!</definedName>
    <definedName name="OpenDuctBanks">#REF!</definedName>
    <definedName name="OpenSiteWorks">#REF!</definedName>
    <definedName name="operat">#REF!</definedName>
    <definedName name="Operationmode">#REF!</definedName>
    <definedName name="OPERATOR" hidden="1">#REF!</definedName>
    <definedName name="OPLKUI" hidden="1">{#N/A,#N/A,TRUE,"Cover";#N/A,#N/A,TRUE,"Conts";#N/A,#N/A,TRUE,"VOS";#N/A,#N/A,TRUE,"Warrington";#N/A,#N/A,TRUE,"Widnes"}</definedName>
    <definedName name="opogd" localSheetId="7" hidden="1">{#N/A,#N/A,TRUE,"Cover";#N/A,#N/A,TRUE,"Conts";#N/A,#N/A,TRUE,"VOS";#N/A,#N/A,TRUE,"Warrington";#N/A,#N/A,TRUE,"Widnes"}</definedName>
    <definedName name="opogd" localSheetId="0" hidden="1">{#N/A,#N/A,TRUE,"Cover";#N/A,#N/A,TRUE,"Conts";#N/A,#N/A,TRUE,"VOS";#N/A,#N/A,TRUE,"Warrington";#N/A,#N/A,TRUE,"Widnes"}</definedName>
    <definedName name="opogd" localSheetId="9"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ps.Start.Date" hidden="1">#REF!</definedName>
    <definedName name="OPTIONS">#REF!</definedName>
    <definedName name="Orange">#REF!</definedName>
    <definedName name="OrderTable" hidden="1">#REF!</definedName>
    <definedName name="Org" hidden="1">{"'CATALO(8)'!$B$1:$G$49"}</definedName>
    <definedName name="origin">#REF!</definedName>
    <definedName name="os" hidden="1">{#N/A,#N/A,FALSE,"TABLE"}</definedName>
    <definedName name="OSAllo">#REF!</definedName>
    <definedName name="OSAllowance">#REF!</definedName>
    <definedName name="OSAllText">#REF!</definedName>
    <definedName name="OSAText">#REF!</definedName>
    <definedName name="OSBL" hidden="1">{#N/A,#N/A,FALSE,"CCTV"}</definedName>
    <definedName name="OSBL_1" hidden="1">{#N/A,#N/A,FALSE,"CCTV"}</definedName>
    <definedName name="OSBL_2" hidden="1">{#N/A,#N/A,FALSE,"CCTV"}</definedName>
    <definedName name="OSBL_Costs">#REF!</definedName>
    <definedName name="OSBL_Mhrs">#REF!</definedName>
    <definedName name="OSDays">#REF!</definedName>
    <definedName name="OSM" hidden="1">{#N/A,#N/A,FALSE,"TELEFON"}</definedName>
    <definedName name="OTH_DIR">#REF!</definedName>
    <definedName name="OTHER">#REF!</definedName>
    <definedName name="OTHER_PRICING">#REF!</definedName>
    <definedName name="other_schedule">#REF!</definedName>
    <definedName name="OTHER_VALVES">#REF!</definedName>
    <definedName name="otherpage">IF(ISNA(MATCH(ROW(),RowAfterpgbrk,1)),1,MATCH(ROW(),RowAfterpgbrk,1)+1)</definedName>
    <definedName name="OTHERS" hidden="1">{"'장비'!$A$3:$M$12"}</definedName>
    <definedName name="OTM">#REF!</definedName>
    <definedName name="OUTDOOR_COND">#REF!</definedName>
    <definedName name="outflow">#REF!</definedName>
    <definedName name="over">#REF!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ner">#REF!</definedName>
    <definedName name="Ownership" hidden="1">OFFSET(#REF!,1,0)</definedName>
    <definedName name="p" localSheetId="7" hidden="1">#N/A</definedName>
    <definedName name="p" localSheetId="0" hidden="1">#REF!</definedName>
    <definedName name="p" localSheetId="9" hidden="1">#REF!</definedName>
    <definedName name="p" hidden="1">#REF!</definedName>
    <definedName name="P.01">#REF!</definedName>
    <definedName name="P.02">#REF!</definedName>
    <definedName name="P.03">#REF!</definedName>
    <definedName name="P.04">#REF!</definedName>
    <definedName name="P.05">#REF!</definedName>
    <definedName name="P.06">#REF!</definedName>
    <definedName name="P.07">#REF!</definedName>
    <definedName name="P.10">#REF!</definedName>
    <definedName name="P.11">#REF!</definedName>
    <definedName name="P.20">#REF!</definedName>
    <definedName name="P.21">#REF!</definedName>
    <definedName name="P.30">#REF!</definedName>
    <definedName name="P.31">#REF!</definedName>
    <definedName name="P.40">#REF!</definedName>
    <definedName name="P.50">#REF!</definedName>
    <definedName name="P_" hidden="1">#REF!</definedName>
    <definedName name="P_1">#REF!</definedName>
    <definedName name="P_1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8">#REF!</definedName>
    <definedName name="P_29">#REF!</definedName>
    <definedName name="P_3">#REF!</definedName>
    <definedName name="P_30">#REF!</definedName>
    <definedName name="P_31">#REF!</definedName>
    <definedName name="P_4">#REF!</definedName>
    <definedName name="P_5">#REF!</definedName>
    <definedName name="P_6">#REF!</definedName>
    <definedName name="P_7">#REF!</definedName>
    <definedName name="P_8">#REF!</definedName>
    <definedName name="P_9">#REF!</definedName>
    <definedName name="P_C">#REF!</definedName>
    <definedName name="P_score">#REF!</definedName>
    <definedName name="P1_Earnings">#REF!</definedName>
    <definedName name="p7y" localSheetId="7" hidden="1">{#N/A,#N/A,TRUE,"Cover";#N/A,#N/A,TRUE,"Conts";#N/A,#N/A,TRUE,"VOS";#N/A,#N/A,TRUE,"Warrington";#N/A,#N/A,TRUE,"Widnes"}</definedName>
    <definedName name="p7y" localSheetId="0" hidden="1">{#N/A,#N/A,TRUE,"Cover";#N/A,#N/A,TRUE,"Conts";#N/A,#N/A,TRUE,"VOS";#N/A,#N/A,TRUE,"Warrington";#N/A,#N/A,TRUE,"Widnes"}</definedName>
    <definedName name="p7y" localSheetId="9"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#REF!</definedName>
    <definedName name="PA_CABLE">#REF!</definedName>
    <definedName name="PA_CONDUIT">#REF!</definedName>
    <definedName name="PA_EQUIP">#REF!</definedName>
    <definedName name="pab">#REF!</definedName>
    <definedName name="pack_name">#REF!</definedName>
    <definedName name="PACKING">#REF!</definedName>
    <definedName name="packname">#REF!</definedName>
    <definedName name="pafegseg" localSheetId="7" hidden="1">{#N/A,#N/A,TRUE,"Cover";#N/A,#N/A,TRUE,"Conts";#N/A,#N/A,TRUE,"VOS";#N/A,#N/A,TRUE,"Warrington";#N/A,#N/A,TRUE,"Widnes"}</definedName>
    <definedName name="pafegseg" localSheetId="0" hidden="1">{#N/A,#N/A,TRUE,"Cover";#N/A,#N/A,TRUE,"Conts";#N/A,#N/A,TRUE,"VOS";#N/A,#N/A,TRUE,"Warrington";#N/A,#N/A,TRUE,"Widnes"}</definedName>
    <definedName name="pafegseg" localSheetId="9"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ge">#REF!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2">#REF!</definedName>
    <definedName name="page13">#REF!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#REF!</definedName>
    <definedName name="PAGE5_21">#REF!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eOfPages">"Page "&amp;IF(ISNA(MATCH(ROW(),RowAfterpgbrk,1)),1,MATCH(ROW(),RowAfterpgbrk,1)+1)&amp;" of " &amp; TotPageCount + 0*NOW()</definedName>
    <definedName name="pages">"Page "&amp;IF(ISNA(MATCH(ROW(),RowAfterpgbrk,1)),1,MATCH(ROW(),RowAfterpgbrk,1)+1)&amp;" of " &amp; TotPageCount + 0*NOW()</definedName>
    <definedName name="PaidDays">#REF!</definedName>
    <definedName name="PAINT">#REF!</definedName>
    <definedName name="PAINT_EQPT">#REF!</definedName>
    <definedName name="PAINT_PIPE">#REF!</definedName>
    <definedName name="Painting">#REF!</definedName>
    <definedName name="Pal_Workbook_GUID" hidden="1">"JK3B1IIGUI8UNM4RK927HVR8"</definedName>
    <definedName name="PAM" localSheetId="1">#REF!</definedName>
    <definedName name="PAM" localSheetId="4">#REF!</definedName>
    <definedName name="PAM" localSheetId="7">#REF!</definedName>
    <definedName name="PAM" localSheetId="3">#REF!</definedName>
    <definedName name="PAM" localSheetId="6">#REF!</definedName>
    <definedName name="PAM" localSheetId="9">#REF!</definedName>
    <definedName name="PAM" localSheetId="2">#REF!</definedName>
    <definedName name="PAM" localSheetId="5">#REF!</definedName>
    <definedName name="PAM" localSheetId="8">#REF!</definedName>
    <definedName name="PAM">#REF!</definedName>
    <definedName name="PAN_TILES">#REF!</definedName>
    <definedName name="Panel" hidden="1">{#N/A,#N/A,TRUE,"Basic";#N/A,#N/A,TRUE,"EXT-TABLE";#N/A,#N/A,TRUE,"STEEL";#N/A,#N/A,TRUE,"INT-Table";#N/A,#N/A,TRUE,"STEEL";#N/A,#N/A,TRUE,"Door"}</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k" hidden="1">{#N/A,#N/A,FALSE,"CCTV"}</definedName>
    <definedName name="park_1" hidden="1">{#N/A,#N/A,FALSE,"CCTV"}</definedName>
    <definedName name="park_2" hidden="1">{#N/A,#N/A,FALSE,"CCTV"}</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t1">#REF!</definedName>
    <definedName name="part10">#REF!</definedName>
    <definedName name="part2">#REF!</definedName>
    <definedName name="part5">#REF!</definedName>
    <definedName name="part7">#REF!</definedName>
    <definedName name="part8">#REF!</definedName>
    <definedName name="part9">#REF!</definedName>
    <definedName name="participation_rents">#REF!</definedName>
    <definedName name="Partitioning">#REF!</definedName>
    <definedName name="Passengerslift">#REF!</definedName>
    <definedName name="pat">#REF!</definedName>
    <definedName name="Pavement_Type" localSheetId="9">#REF!</definedName>
    <definedName name="Pavement_Type">#REF!</definedName>
    <definedName name="PavementMarking">#REF!</definedName>
    <definedName name="PavementMarking_21">#REF!</definedName>
    <definedName name="PavementMarking_22">#REF!</definedName>
    <definedName name="PavementMarking_23">#REF!</definedName>
    <definedName name="PavementMarking_24">#REF!</definedName>
    <definedName name="PavementMarking_25">#REF!</definedName>
    <definedName name="PavementMarking_26">#REF!</definedName>
    <definedName name="PAY">#REF!</definedName>
    <definedName name="PAYCRIT">#REF!</definedName>
    <definedName name="PAYITEM">#REF!</definedName>
    <definedName name="PAYMENT_SCHEDUL">#REF!</definedName>
    <definedName name="PaymentBreakdown" hidden="1">{#N/A,#N/A,FALSE,"CCTV"}</definedName>
    <definedName name="PaymentType">#REF!</definedName>
    <definedName name="Paymenttype2">#REF!</definedName>
    <definedName name="payno">#REF!</definedName>
    <definedName name="PAYROLL">#REF!</definedName>
    <definedName name="pb">#REF!</definedName>
    <definedName name="pbb">#REF!</definedName>
    <definedName name="pbt">#REF!</definedName>
    <definedName name="PC">#REF!</definedName>
    <definedName name="PC_9SUMR12">#REF!</definedName>
    <definedName name="PC_9SUMR16">#REF!</definedName>
    <definedName name="PC_9SUMR20">#REF!</definedName>
    <definedName name="PC_9SUMR25">#REF!</definedName>
    <definedName name="PC_9SUMR32">#REF!</definedName>
    <definedName name="PC_9SUMR40">#REF!</definedName>
    <definedName name="PC_9SUMR6">#REF!</definedName>
    <definedName name="PC_9SUMR8">#REF!</definedName>
    <definedName name="PC_9SUMT10">#REF!</definedName>
    <definedName name="PC_9SUMT12">#REF!</definedName>
    <definedName name="PC_9SUMT16">#REF!</definedName>
    <definedName name="PC_9SUMT20">#REF!</definedName>
    <definedName name="PC_9SUMT25">#REF!</definedName>
    <definedName name="PC_9SUMT32">#REF!</definedName>
    <definedName name="PC_9SUMT40">#REF!</definedName>
    <definedName name="PC_9SUMT6">#REF!</definedName>
    <definedName name="PC_9SUMTT">#REF!</definedName>
    <definedName name="PC_Hrs1">#REF!</definedName>
    <definedName name="PC_HRS2">#REF!</definedName>
    <definedName name="PCA" localSheetId="7" hidden="1">{#N/A,#N/A,FALSE,"C3";#N/A,#N/A,FALSE,"D2-17";#N/A,#N/A,FALSE,"C2-17";#N/A,#N/A,FALSE,"C2-CIVIL";#N/A,#N/A,FALSE,"D1-C1 contract";#N/A,#N/A,FALSE,"D1-CIVIL";#N/A,#N/A,FALSE,"C1 hourly";#N/A,#N/A,FALSE,"C1 contract";#N/A,#N/A,FALSE,"D1-C1 hourly"}</definedName>
    <definedName name="PCA" localSheetId="0" hidden="1">{#N/A,#N/A,FALSE,"C3";#N/A,#N/A,FALSE,"D2-17";#N/A,#N/A,FALSE,"C2-17";#N/A,#N/A,FALSE,"C2-CIVIL";#N/A,#N/A,FALSE,"D1-C1 contract";#N/A,#N/A,FALSE,"D1-CIVIL";#N/A,#N/A,FALSE,"C1 hourly";#N/A,#N/A,FALSE,"C1 contract";#N/A,#N/A,FALSE,"D1-C1 hourly"}</definedName>
    <definedName name="PCA" localSheetId="9"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D">#REF!</definedName>
    <definedName name="PCforecastfinal">#REF!</definedName>
    <definedName name="PCL">#REF!</definedName>
    <definedName name="PCM">#REF!</definedName>
    <definedName name="PCS">#REF!</definedName>
    <definedName name="PCT">#REF!</definedName>
    <definedName name="PCTOHP">#REF!</definedName>
    <definedName name="PCW">#REF!</definedName>
    <definedName name="PD">#REF!</definedName>
    <definedName name="PD_1">#REF!</definedName>
    <definedName name="PD_10">#REF!</definedName>
    <definedName name="PD_11">#REF!</definedName>
    <definedName name="PD_2">#REF!</definedName>
    <definedName name="PD_3">#REF!</definedName>
    <definedName name="PD_4">#REF!</definedName>
    <definedName name="PD_5">#REF!</definedName>
    <definedName name="PD_6">#REF!</definedName>
    <definedName name="PD_7">#REF!</definedName>
    <definedName name="PD_8">#REF!</definedName>
    <definedName name="PD_9">#REF!</definedName>
    <definedName name="PDIA">#REF!</definedName>
    <definedName name="pdpdls" hidden="1">#REF!</definedName>
    <definedName name="pdvol">#REF!</definedName>
    <definedName name="pdvol_1">#N/A</definedName>
    <definedName name="PE">#REF!</definedName>
    <definedName name="PED">#REF!</definedName>
    <definedName name="ped5.1">#REF!</definedName>
    <definedName name="ped5.2">#REF!</definedName>
    <definedName name="pekfokrf">#REF!</definedName>
    <definedName name="PEL">#REF!</definedName>
    <definedName name="PEM">#REF!</definedName>
    <definedName name="perbolag" localSheetId="7" hidden="1">{#N/A,#N/A,FALSE,"intag";#N/A,#N/A,FALSE,"budg";#N/A,#N/A,FALSE,"samtl"}</definedName>
    <definedName name="perbolag" localSheetId="0" hidden="1">{#N/A,#N/A,FALSE,"intag";#N/A,#N/A,FALSE,"budg";#N/A,#N/A,FALSE,"samtl"}</definedName>
    <definedName name="perbolag" localSheetId="9"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7" hidden="1">{#N/A,#N/A,FALSE,"intag";#N/A,#N/A,FALSE,"budg";#N/A,#N/A,FALSE,"samtl"}</definedName>
    <definedName name="perbolagneu" localSheetId="0" hidden="1">{#N/A,#N/A,FALSE,"intag";#N/A,#N/A,FALSE,"budg";#N/A,#N/A,FALSE,"samtl"}</definedName>
    <definedName name="perbolagneu" localSheetId="9" hidden="1">{#N/A,#N/A,FALSE,"intag";#N/A,#N/A,FALSE,"budg";#N/A,#N/A,FALSE,"samtl"}</definedName>
    <definedName name="perbolagneu" localSheetId="8" hidden="1">{#N/A,#N/A,FALSE,"intag";#N/A,#N/A,FALSE,"budg";#N/A,#N/A,FALSE,"samtl"}</definedName>
    <definedName name="perbolagneu" hidden="1">{#N/A,#N/A,FALSE,"intag";#N/A,#N/A,FALSE,"budg";#N/A,#N/A,FALSE,"samtl"}</definedName>
    <definedName name="perbox">#REF!</definedName>
    <definedName name="perbox_1">#N/A</definedName>
    <definedName name="Percent_prev_thismonth">#REF!,#REF!,#REF!,#REF!,#REF!,#REF!,#REF!,#REF!,#REF!,#REF!,#REF!,#REF!,#REF!,#REF!,#REF!,#REF!</definedName>
    <definedName name="Percentage">#REF!</definedName>
    <definedName name="periimported">#REF!</definedName>
    <definedName name="periimported_1">#N/A</definedName>
    <definedName name="Perimeter">#REF!</definedName>
    <definedName name="PERIOD">#REF!</definedName>
    <definedName name="period_names">#REF!</definedName>
    <definedName name="period_number">OFFSET(#REF!,2,0,#REF!,1)</definedName>
    <definedName name="peroxide" hidden="1">{#N/A,#N/A,FALSE,"CCTV"}</definedName>
    <definedName name="peroxide_1" hidden="1">{#N/A,#N/A,FALSE,"CCTV"}</definedName>
    <definedName name="peroxide_2" hidden="1">{#N/A,#N/A,FALSE,"CCTV"}</definedName>
    <definedName name="pesize">#REF!</definedName>
    <definedName name="Pest">#REF!</definedName>
    <definedName name="PET">#REF!</definedName>
    <definedName name="PETOHP">#REF!</definedName>
    <definedName name="petro2" hidden="1">#REF!</definedName>
    <definedName name="pf">#REF!</definedName>
    <definedName name="PFSR">#REF!</definedName>
    <definedName name="PGLabt">#REF!</definedName>
    <definedName name="PGLabt_1">#N/A</definedName>
    <definedName name="pgone">#REF!</definedName>
    <definedName name="pgtwo">#REF!</definedName>
    <definedName name="PH">#REF!</definedName>
    <definedName name="PH1COMMHCOST">#REF!</definedName>
    <definedName name="PH1MH">#REF!</definedName>
    <definedName name="PH1MHCOST">#REF!</definedName>
    <definedName name="PH2COMMH">#REF!</definedName>
    <definedName name="PH2COMMHCOST">#REF!</definedName>
    <definedName name="PH2MH">#REF!</definedName>
    <definedName name="PH2MHCOST">#REF!</definedName>
    <definedName name="PHASE" hidden="1">{#N/A,#N/A,TRUE,"Basic";#N/A,#N/A,TRUE,"EXT-TABLE";#N/A,#N/A,TRUE,"STEEL";#N/A,#N/A,TRUE,"INT-Table";#N/A,#N/A,TRUE,"STEEL";#N/A,#N/A,TRUE,"Door"}</definedName>
    <definedName name="PHASE_1" hidden="1">{#N/A,#N/A,TRUE,"Basic";#N/A,#N/A,TRUE,"EXT-TABLE";#N/A,#N/A,TRUE,"STEEL";#N/A,#N/A,TRUE,"INT-Table";#N/A,#N/A,TRUE,"STEEL";#N/A,#N/A,TRUE,"Door"}</definedName>
    <definedName name="PHASE_2" hidden="1">{#N/A,#N/A,TRUE,"Basic";#N/A,#N/A,TRUE,"EXT-TABLE";#N/A,#N/A,TRUE,"STEEL";#N/A,#N/A,TRUE,"INT-Table";#N/A,#N/A,TRUE,"STEEL";#N/A,#N/A,TRUE,"Door"}</definedName>
    <definedName name="Phase1and2_Area_of_Site">#REF!</definedName>
    <definedName name="Phase1and2_Creek_Area">#REF!</definedName>
    <definedName name="Phase1and2_Key_Wall_Length">#REF!</definedName>
    <definedName name="Phase1and2_Nof_BlocksperRow">#REF!</definedName>
    <definedName name="Phase3_Area_of_Site">#REF!</definedName>
    <definedName name="Phase3_Creek_Area">#REF!</definedName>
    <definedName name="Phase3_Key_Wall_Length">#REF!</definedName>
    <definedName name="Phase3_Nof_BlocksperRow">#REF!</definedName>
    <definedName name="Philip" hidden="1">{#N/A,#N/A,FALSE,"REK-S-TPL";#N/A,#N/A,FALSE,"REK-TPML";#N/A,#N/A,FALSE,"RAB-TEMPEL"}</definedName>
    <definedName name="Phone">#REF!</definedName>
    <definedName name="Phone_00">#REF!</definedName>
    <definedName name="Phone_01">#REF!</definedName>
    <definedName name="Phone_02">#REF!</definedName>
    <definedName name="Phone_03">#REF!</definedName>
    <definedName name="Photo" hidden="1">{#N/A,#N/A,TRUE,"Front";#N/A,#N/A,TRUE,"Simple Letter";#N/A,#N/A,TRUE,"Inside";#N/A,#N/A,TRUE,"Contents";#N/A,#N/A,TRUE,"Basis";#N/A,#N/A,TRUE,"Inclusions";#N/A,#N/A,TRUE,"Exclusions";#N/A,#N/A,TRUE,"Areas";#N/A,#N/A,TRUE,"Summary";#N/A,#N/A,TRUE,"Detail"}</definedName>
    <definedName name="Physical" hidden="1">{#N/A,#N/A,TRUE,"Basic";#N/A,#N/A,TRUE,"EXT-TABLE";#N/A,#N/A,TRUE,"STEEL";#N/A,#N/A,TRUE,"INT-Table";#N/A,#N/A,TRUE,"STEEL";#N/A,#N/A,TRUE,"Door"}</definedName>
    <definedName name="pi">#REF!</definedName>
    <definedName name="PIB">#REF!</definedName>
    <definedName name="pier2">#REF!</definedName>
    <definedName name="pier2_1">#N/A</definedName>
    <definedName name="pierpiles">#REF!</definedName>
    <definedName name="pierpiles_1">#N/A</definedName>
    <definedName name="piervol1">#REF!</definedName>
    <definedName name="piervol1_1">#N/A</definedName>
    <definedName name="piervol2">#REF!</definedName>
    <definedName name="piervol2_1">#N/A</definedName>
    <definedName name="PII">#REF!</definedName>
    <definedName name="PIII">#REF!</definedName>
    <definedName name="PIIII">#REF!</definedName>
    <definedName name="PIIIIIIII">#REF!</definedName>
    <definedName name="PIIIIIIIIIII">#REF!</definedName>
    <definedName name="PIIIIIIIIIIIIIII">#REF!</definedName>
    <definedName name="PIIIIIIIIIIIIIIIIIIIIIIIIIII">#REF!</definedName>
    <definedName name="PILE">#REF!</definedName>
    <definedName name="PILE_1_MOOR" localSheetId="9">#REF!</definedName>
    <definedName name="PILE_1_MOOR">#REF!</definedName>
    <definedName name="PILE_10_Moor" localSheetId="9">#REF!</definedName>
    <definedName name="PILE_10_Moor">#REF!</definedName>
    <definedName name="PILE_11_Moor" localSheetId="9">#REF!</definedName>
    <definedName name="PILE_11_Moor">#REF!</definedName>
    <definedName name="PILE_12_Moor" localSheetId="9">#REF!</definedName>
    <definedName name="PILE_12_Moor">#REF!</definedName>
    <definedName name="PILE_2_LUL" localSheetId="9">#REF!</definedName>
    <definedName name="PILE_2_LUL">#REF!</definedName>
    <definedName name="PILE_2_Moor" localSheetId="9">#REF!</definedName>
    <definedName name="PILE_2_Moor">#REF!</definedName>
    <definedName name="PILE_2a_LUL" localSheetId="9">#REF!</definedName>
    <definedName name="PILE_2a_LUL">#REF!</definedName>
    <definedName name="PILE_3_Moor" localSheetId="9">#REF!</definedName>
    <definedName name="PILE_3_Moor">#REF!</definedName>
    <definedName name="PILE_4_Moor" localSheetId="9">#REF!</definedName>
    <definedName name="PILE_4_Moor">#REF!</definedName>
    <definedName name="PILE_5_Moor" localSheetId="9">#REF!</definedName>
    <definedName name="PILE_5_Moor">#REF!</definedName>
    <definedName name="PILE_6_Moor" localSheetId="9">#REF!</definedName>
    <definedName name="PILE_6_Moor">#REF!</definedName>
    <definedName name="PILE_7_Moor" localSheetId="9">#REF!</definedName>
    <definedName name="PILE_7_Moor">#REF!</definedName>
    <definedName name="PILE_8_Moor" localSheetId="9">#REF!</definedName>
    <definedName name="PILE_8_Moor">#REF!</definedName>
    <definedName name="PILE_9_Moor" localSheetId="9">#REF!</definedName>
    <definedName name="PILE_9_Moor">#REF!</definedName>
    <definedName name="PILECAP">#REF!</definedName>
    <definedName name="PILED">#REF!</definedName>
    <definedName name="piledia1">#REF!</definedName>
    <definedName name="piledia1_1">#N/A</definedName>
    <definedName name="piledia2">#REF!</definedName>
    <definedName name="piledia2_1">#N/A</definedName>
    <definedName name="piledia3">#REF!</definedName>
    <definedName name="piledia3_1">#N/A</definedName>
    <definedName name="Piletipele">#REF!</definedName>
    <definedName name="Piletipele_1">#N/A</definedName>
    <definedName name="Pileworkfoundation">#REF!</definedName>
    <definedName name="PIPE">#REF!</definedName>
    <definedName name="PIPE_CLASS">#REF!</definedName>
    <definedName name="PIPE_PVC">#REF!</definedName>
    <definedName name="PIPE_RACK_TRAY">#REF!</definedName>
    <definedName name="PIPE_RTR">#REF!</definedName>
    <definedName name="PIPE_SS">#REF!</definedName>
    <definedName name="PIPE_SUPPORT">#REF!</definedName>
    <definedName name="PIPE_SUPPORT_CS">#REF!</definedName>
    <definedName name="PIPE_SUPPORT_SS">#REF!</definedName>
    <definedName name="PIPE_THRD">#REF!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lass" localSheetId="9">#REF!</definedName>
    <definedName name="PipeClass">#REF!</definedName>
    <definedName name="PipeCulverts">#REF!</definedName>
    <definedName name="PipeCulverts_21">#REF!</definedName>
    <definedName name="PipeCulverts_22">#REF!</definedName>
    <definedName name="PipeCulverts_23">#REF!</definedName>
    <definedName name="PipeCulverts_24">#REF!</definedName>
    <definedName name="PipeCulverts_25">#REF!</definedName>
    <definedName name="PipeCulverts_26">#REF!</definedName>
    <definedName name="PIPEDIM">#REF!</definedName>
    <definedName name="piperack" hidden="1">{#N/A,#N/A,TRUE,"SUMMARY";#N/A,#N/A,TRUE,"ISBL";#N/A,#N/A,TRUE,"OSBL";#N/A,#N/A,TRUE,"OFFSITE";#N/A,#N/A,TRUE,"STEAM"}</definedName>
    <definedName name="PipeSize" localSheetId="9">#REF!</definedName>
    <definedName name="PipeSize">#REF!</definedName>
    <definedName name="PipeSizeFRP" localSheetId="9">#REF!</definedName>
    <definedName name="PipeSizeFRP">#REF!</definedName>
    <definedName name="piping">#REF!</definedName>
    <definedName name="PIS">#REF!</definedName>
    <definedName name="PIT">#REF!</definedName>
    <definedName name="PKAAA" hidden="1">#REF!</definedName>
    <definedName name="PKBB" hidden="1">#REF!</definedName>
    <definedName name="PKCC" hidden="1">#REF!</definedName>
    <definedName name="Pkg_1A">#REF!</definedName>
    <definedName name="Pkg_1B">#REF!</definedName>
    <definedName name="Pkg_2">#REF!</definedName>
    <definedName name="Pkg_2A">#REF!</definedName>
    <definedName name="Pkg_2B">#REF!</definedName>
    <definedName name="Pkg_3">#REF!</definedName>
    <definedName name="Pkg_4">#REF!</definedName>
    <definedName name="Pkg_5">#REF!</definedName>
    <definedName name="Pkg_6">#REF!</definedName>
    <definedName name="Pkg_P">#REF!</definedName>
    <definedName name="pkml" localSheetId="7" hidden="1">{#N/A,#N/A,TRUE,"Cover";#N/A,#N/A,TRUE,"Conts";#N/A,#N/A,TRUE,"VOS";#N/A,#N/A,TRUE,"Warrington";#N/A,#N/A,TRUE,"Widnes"}</definedName>
    <definedName name="pkml" localSheetId="0" hidden="1">{#N/A,#N/A,TRUE,"Cover";#N/A,#N/A,TRUE,"Conts";#N/A,#N/A,TRUE,"VOS";#N/A,#N/A,TRUE,"Warrington";#N/A,#N/A,TRUE,"Widnes"}</definedName>
    <definedName name="pkml" localSheetId="9"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#REF!</definedName>
    <definedName name="PLA">#REF!</definedName>
    <definedName name="PLANT_PART" localSheetId="9">#REF!</definedName>
    <definedName name="PLANT_PART">#REF!</definedName>
    <definedName name="PLANT_UPLIFT" localSheetId="9">#REF!</definedName>
    <definedName name="PLANT_UPLIFT">#REF!</definedName>
    <definedName name="plant2" hidden="1">#REF!</definedName>
    <definedName name="PlantName">#REF!</definedName>
    <definedName name="PlantPPH">#REF!</definedName>
    <definedName name="PlantType">#REF!</definedName>
    <definedName name="Plaster_Work">#REF!</definedName>
    <definedName name="PLASTERING">#REF!</definedName>
    <definedName name="PLAT" localSheetId="7" hidden="1">{#N/A,#N/A,TRUE,"Cover";#N/A,#N/A,TRUE,"Conts";#N/A,#N/A,TRUE,"VOS";#N/A,#N/A,TRUE,"Warrington";#N/A,#N/A,TRUE,"Widnes"}</definedName>
    <definedName name="PLAT" localSheetId="0" hidden="1">{#N/A,#N/A,TRUE,"Cover";#N/A,#N/A,TRUE,"Conts";#N/A,#N/A,TRUE,"VOS";#N/A,#N/A,TRUE,"Warrington";#N/A,#N/A,TRUE,"Widnes"}</definedName>
    <definedName name="PLAT" localSheetId="9"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7" hidden="1">{#N/A,#N/A,TRUE,"Cover";#N/A,#N/A,TRUE,"Conts";#N/A,#N/A,TRUE,"VOS";#N/A,#N/A,TRUE,"Warrington";#N/A,#N/A,TRUE,"Widnes"}</definedName>
    <definedName name="PLATFORM" localSheetId="0" hidden="1">{#N/A,#N/A,TRUE,"Cover";#N/A,#N/A,TRUE,"Conts";#N/A,#N/A,TRUE,"VOS";#N/A,#N/A,TRUE,"Warrington";#N/A,#N/A,TRUE,"Widnes"}</definedName>
    <definedName name="PLATFORM" localSheetId="9"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lo" hidden="1">{#N/A,#N/A,TRUE,"Cover";#N/A,#N/A,TRUE,"Conts";#N/A,#N/A,TRUE,"VOS";#N/A,#N/A,TRUE,"Warrington";#N/A,#N/A,TRUE,"Widnes"}</definedName>
    <definedName name="ploi" hidden="1">{#N/A,#N/A,TRUE,"Front";#N/A,#N/A,TRUE,"Simple Letter";#N/A,#N/A,TRUE,"Inside";#N/A,#N/A,TRUE,"Contents";#N/A,#N/A,TRUE,"Basis";#N/A,#N/A,TRUE,"Inclusions";#N/A,#N/A,TRUE,"Exclusions";#N/A,#N/A,TRUE,"Areas";#N/A,#N/A,TRUE,"Summary";#N/A,#N/A,TRUE,"Detail"}</definedName>
    <definedName name="plok">IF(ISNA(MATCH(ROW(),RowAfterpgbrk,1)),1,MATCH(ROW(),RowAfterpgbrk,1)+1)</definedName>
    <definedName name="PLUA">#REF!</definedName>
    <definedName name="PLUB">#REF!</definedName>
    <definedName name="PLUC">#REF!</definedName>
    <definedName name="PLUG">#REF!</definedName>
    <definedName name="PLUMBING">#REF!</definedName>
    <definedName name="PM">#REF!</definedName>
    <definedName name="PM_Hrs">#REF!</definedName>
    <definedName name="PM_Rev">#REF!</definedName>
    <definedName name="pmlr27" localSheetId="7">#N/A</definedName>
    <definedName name="pmlr27" localSheetId="9">#REF!</definedName>
    <definedName name="pmlr27">#REF!</definedName>
    <definedName name="pmlr28" localSheetId="7">#N/A</definedName>
    <definedName name="pmlr28" localSheetId="9">#REF!</definedName>
    <definedName name="pmlr28">#REF!</definedName>
    <definedName name="pmlr29" localSheetId="7">#N/A</definedName>
    <definedName name="pmlr29" localSheetId="9">#REF!</definedName>
    <definedName name="pmlr29">#REF!</definedName>
    <definedName name="pmlr63" localSheetId="7">#N/A</definedName>
    <definedName name="pmlr63" localSheetId="9">#REF!</definedName>
    <definedName name="pmlr63">#REF!</definedName>
    <definedName name="PMS" hidden="1">{"'Sheet1'!$L$16"}</definedName>
    <definedName name="PN">#REF!</definedName>
    <definedName name="po" hidden="1">{#N/A,#N/A,FALSE,"CCTV"}</definedName>
    <definedName name="po_1" hidden="1">{#N/A,#N/A,FALSE,"CCTV"}</definedName>
    <definedName name="po_2" hidden="1">{#N/A,#N/A,FALSE,"CCTV"}</definedName>
    <definedName name="PO_HRS">#REF!</definedName>
    <definedName name="poi">#REF!</definedName>
    <definedName name="poiouu">#REF!</definedName>
    <definedName name="POIU" hidden="1">{#N/A,#N/A,TRUE,"Cover";#N/A,#N/A,TRUE,"Conts";#N/A,#N/A,TRUE,"VOS";#N/A,#N/A,TRUE,"Warrington";#N/A,#N/A,TRUE,"Widnes"}</definedName>
    <definedName name="poiujn" hidden="1">{#N/A,#N/A,TRUE,"Cover";#N/A,#N/A,TRUE,"Conts";#N/A,#N/A,TRUE,"VOS";#N/A,#N/A,TRUE,"Warrington";#N/A,#N/A,TRUE,"Widnes"}</definedName>
    <definedName name="pojboijioljn" localSheetId="7" hidden="1">{#N/A,#N/A,TRUE,"Cover";#N/A,#N/A,TRUE,"Conts";#N/A,#N/A,TRUE,"VOS";#N/A,#N/A,TRUE,"Warrington";#N/A,#N/A,TRUE,"Widnes"}</definedName>
    <definedName name="pojboijioljn" localSheetId="0" hidden="1">{#N/A,#N/A,TRUE,"Cover";#N/A,#N/A,TRUE,"Conts";#N/A,#N/A,TRUE,"VOS";#N/A,#N/A,TRUE,"Warrington";#N/A,#N/A,TRUE,"Widnes"}</definedName>
    <definedName name="pojboijioljn" localSheetId="9"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i">IF(ISNA(MATCH(ROW(),RowAfterpgbrk,1)),1,MATCH(ROW(),RowAfterpgbrk,1)+1)&lt;&gt;IF(ISNA(MATCH(ROW()+1,RowAfterpgbrk,1)),1,MATCH(ROW()+1,RowAfterpgbrk,1)+1)</definedName>
    <definedName name="polk">#REF!</definedName>
    <definedName name="pouiy" hidden="1">{#N/A,#N/A,TRUE,"LOADCOVE";#N/A,#N/A,TRUE,"PAGE001";#N/A,#N/A,TRUE,"PAGE002";#N/A,#N/A,TRUE,"PAGE003";#N/A,#N/A,TRUE,"PAGE004";#N/A,#N/A,TRUE,"PAGE005";#N/A,#N/A,TRUE,"PAGE006";#N/A,#N/A,TRUE,"PAGE007";#N/A,#N/A,TRUE,"PAGE008";#N/A,#N/A,TRUE,"PAGE009";#N/A,#N/A,TRUE,"PAGE010";#N/A,#N/A,TRUE,"PAGE011";#N/A,#N/A,TRUE,"PAGE012";#N/A,#N/A,TRUE,"PAGE013"}</definedName>
    <definedName name="pound">#REF!</definedName>
    <definedName name="Power">#REF!</definedName>
    <definedName name="Power_Factor">#REF!</definedName>
    <definedName name="PP" hidden="1">{#N/A,#N/A,FALSE,"CCTV"}</definedName>
    <definedName name="PP_1" hidden="1">{#N/A,#N/A,FALSE,"CCTV"}</definedName>
    <definedName name="PP_2" hidden="1">{#N/A,#N/A,FALSE,"CCTV"}</definedName>
    <definedName name="ppo" hidden="1">{"'Break down'!$A$4"}</definedName>
    <definedName name="ppok" localSheetId="7" hidden="1">{#N/A,#N/A,TRUE,"Cover";#N/A,#N/A,TRUE,"Conts";#N/A,#N/A,TRUE,"VOS";#N/A,#N/A,TRUE,"Warrington";#N/A,#N/A,TRUE,"Widnes"}</definedName>
    <definedName name="ppok" localSheetId="0" hidden="1">{#N/A,#N/A,TRUE,"Cover";#N/A,#N/A,TRUE,"Conts";#N/A,#N/A,TRUE,"VOS";#N/A,#N/A,TRUE,"Warrington";#N/A,#N/A,TRUE,"Widnes"}</definedName>
    <definedName name="ppok" localSheetId="9"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PP" hidden="1">{"'장비'!$A$3:$M$12"}</definedName>
    <definedName name="PPP_1" hidden="1">{#N/A,#N/A,FALSE,"CCTV"}</definedName>
    <definedName name="PPP_2" hidden="1">{#N/A,#N/A,FALSE,"CCTV"}</definedName>
    <definedName name="pppp" hidden="1">{#N/A,#N/A,TRUE,"Cover";#N/A,#N/A,TRUE,"Conts";#N/A,#N/A,TRUE,"VOS";#N/A,#N/A,TRUE,"Warrington";#N/A,#N/A,TRUE,"Widnes"}</definedName>
    <definedName name="ppppp">"Page "&amp;IF(ISNA(MATCH(ROW(),RowAfterpgbrk,1)),1,MATCH(ROW(),RowAfterpgbrk,1)+1)&amp;" of " &amp; TotPageCount + 0*NOW()</definedName>
    <definedName name="ppppppp" hidden="1">{"'INDICE'!$A$4:$I$27"}</definedName>
    <definedName name="ppppppppppppp" hidden="1">{#N/A,#N/A,TRUE,"Cover Memo";"Facility Estimate",#N/A,TRUE,"Change Summary";"Facility Estimate",#N/A,TRUE,"Estimate Summary";"Facility Estimate",#N/A,TRUE,"Dept. Summary";"Facility Estimate",#N/A,TRUE,"DOW Detail"}</definedName>
    <definedName name="Pr">#REF!</definedName>
    <definedName name="PRAYER" hidden="1">{#N/A,#N/A,FALSE,"CCTV"}</definedName>
    <definedName name="PRAYER_1" hidden="1">{#N/A,#N/A,FALSE,"CCTV"}</definedName>
    <definedName name="PRAYER_2" hidden="1">{#N/A,#N/A,FALSE,"CCTV"}</definedName>
    <definedName name="prbeamsh">#N/A</definedName>
    <definedName name="prcolnoh">#N/A</definedName>
    <definedName name="PRDump">#REF!</definedName>
    <definedName name="PRE_TRACED_TUBE">#REF!</definedName>
    <definedName name="preecha" hidden="1">{"'CATALO(8)'!$B$1:$G$49"}</definedName>
    <definedName name="Preecha1" hidden="1">{"'CATALO(8)'!$B$1:$G$49"}</definedName>
    <definedName name="Prelim">#REF!</definedName>
    <definedName name="Preliminaries">#REF!</definedName>
    <definedName name="prelims">#REF!</definedName>
    <definedName name="prepared.by" hidden="1">#REF!</definedName>
    <definedName name="Previous">#N/A</definedName>
    <definedName name="PRICE">#REF!</definedName>
    <definedName name="PRICE_CIVIL">#REF!</definedName>
    <definedName name="Price_menu">#REF!</definedName>
    <definedName name="PrimeCoat">#REF!</definedName>
    <definedName name="PrimeCoat_21">#REF!</definedName>
    <definedName name="PrimeCoat_22">#REF!</definedName>
    <definedName name="PrimeCoat_23">#REF!</definedName>
    <definedName name="PrimeCoat_24">#REF!</definedName>
    <definedName name="PrimeCoat_25">#REF!</definedName>
    <definedName name="PrimeCoat_26">#REF!</definedName>
    <definedName name="PRINT">#REF!</definedName>
    <definedName name="Print__Area">#REF!</definedName>
    <definedName name="PRINT_1">#REF!</definedName>
    <definedName name="_xlnm.Print_Area" localSheetId="1">Cover1!$A$1:$R$42</definedName>
    <definedName name="_xlnm.Print_Area" localSheetId="4">Cover2!$A$1:$R$42</definedName>
    <definedName name="_xlnm.Print_Area" localSheetId="7">Cover3!$A$1:$R$43</definedName>
    <definedName name="_xlnm.Print_Area" localSheetId="0">'General Summary '!$A$1:$I$38</definedName>
    <definedName name="_xlnm.Print_Area" localSheetId="3">P.1!$A$1:$H$601</definedName>
    <definedName name="_xlnm.Print_Area" localSheetId="6">P.2!$A$1:$H$632</definedName>
    <definedName name="_xlnm.Print_Area" localSheetId="9">P.3!$A$1:$I$1209</definedName>
    <definedName name="_xlnm.Print_Area" localSheetId="2">Preamble1!$A$1:$D$94</definedName>
    <definedName name="_xlnm.Print_Area" localSheetId="5">Preamble2!$A$1:$D$94</definedName>
    <definedName name="_xlnm.Print_Area" localSheetId="8">Preamble3!$A$1:$D$93</definedName>
    <definedName name="_xlnm.Print_Area">#REF!</definedName>
    <definedName name="PRINT_area_M">#REF!</definedName>
    <definedName name="PRINT_AREA_MI">#REF!</definedName>
    <definedName name="Print_Area_MI_12">"$#REF!.$A$2:$M$487"</definedName>
    <definedName name="Print_Area_MI_15">#REF!</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#REF!</definedName>
    <definedName name="Print_Area_MII">#REF!</definedName>
    <definedName name="Print_AreaMH">#REF!</definedName>
    <definedName name="_xlnm.Print_Titles" localSheetId="1">Cover1!$2:$10</definedName>
    <definedName name="_xlnm.Print_Titles" localSheetId="4">Cover2!$2:$10</definedName>
    <definedName name="_xlnm.Print_Titles" localSheetId="7">Cover3!$2:$10</definedName>
    <definedName name="_xlnm.Print_Titles" localSheetId="0">'General Summary '!$2:$8</definedName>
    <definedName name="_xlnm.Print_Titles" localSheetId="3">P.1!$1:$5</definedName>
    <definedName name="_xlnm.Print_Titles" localSheetId="6">P.2!$1:$5</definedName>
    <definedName name="_xlnm.Print_Titles" localSheetId="9">P.3!$3:$9</definedName>
    <definedName name="_xlnm.Print_Titles" localSheetId="2">Preamble1!$1:$5</definedName>
    <definedName name="_xlnm.Print_Titles" localSheetId="5">Preamble2!$1:$5</definedName>
    <definedName name="_xlnm.Print_Titles" localSheetId="8">Preamble3!$1:$5</definedName>
    <definedName name="_xlnm.Print_Titles">#REF!</definedName>
    <definedName name="Print_Titles_MI">#REF!</definedName>
    <definedName name="PrintAREA">#REF!</definedName>
    <definedName name="PrintTotal">#REF!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o_basis">#REF!</definedName>
    <definedName name="Probability">#REF!</definedName>
    <definedName name="Proc_Hrs">#REF!</definedName>
    <definedName name="Proc_Rev">#REF!</definedName>
    <definedName name="Process" hidden="1">{"MAN H.O.",#N/A,FALSE,"tabella"}</definedName>
    <definedName name="ProdForm" hidden="1">#REF!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#REF!</definedName>
    <definedName name="PROFILES">#REF!</definedName>
    <definedName name="PROFIT">#REF!</definedName>
    <definedName name="program" hidden="1">{#N/A,#N/A,TRUE,"Front";#N/A,#N/A,TRUE,"Simple Letter";#N/A,#N/A,TRUE,"Inside";#N/A,#N/A,TRUE,"Contents";#N/A,#N/A,TRUE,"Basis";#N/A,#N/A,TRUE,"Inclusions";#N/A,#N/A,TRUE,"Exclusions";#N/A,#N/A,TRUE,"Areas";#N/A,#N/A,TRUE,"Summary";#N/A,#N/A,TRUE,"Detail"}</definedName>
    <definedName name="Programmed_Contribution">#REF!</definedName>
    <definedName name="progress">#REF!</definedName>
    <definedName name="PROJ_OFF_HRS">#REF!</definedName>
    <definedName name="PROJ_OFF_LAB">#REF!</definedName>
    <definedName name="projcum">#REF!</definedName>
    <definedName name="projcum1">OFFSET(#REF!,0,0,COUNTA(#REF!),1)</definedName>
    <definedName name="ProjDay">#REF!</definedName>
    <definedName name="project">#REF!</definedName>
    <definedName name="PROJECT_Description">#REF!</definedName>
    <definedName name="PROJECT_Description1">#REF!</definedName>
    <definedName name="PROJECT_Description2">#REF!</definedName>
    <definedName name="Project_Term">#REF!</definedName>
    <definedName name="ProjExp">#REF!</definedName>
    <definedName name="ProjMonth">#REF!</definedName>
    <definedName name="projmonthly">#REF!</definedName>
    <definedName name="projmonthly1">OFFSET(#REF!,0,0,COUNTA(#REF!),1)</definedName>
    <definedName name="projmonthmax">OFFSET(#REF!,0,0,MATCH(#REF!,#REF!,0),1)</definedName>
    <definedName name="ProjYear">#REF!</definedName>
    <definedName name="Proname">#REF!</definedName>
    <definedName name="Proname_1">#N/A</definedName>
    <definedName name="Property_Name">#REF!</definedName>
    <definedName name="PROPFLOW">#REF!</definedName>
    <definedName name="PropStat">#REF!</definedName>
    <definedName name="ProServices" hidden="1">#REF!</definedName>
    <definedName name="PROTECTIVE__INSTALLATIONS">#REF!</definedName>
    <definedName name="PROV">#REF!</definedName>
    <definedName name="prov_sums">#REF!</definedName>
    <definedName name="provadd">#REF!</definedName>
    <definedName name="Provforecastfinal">#REF!</definedName>
    <definedName name="ProvisionalSums">#REF!</definedName>
    <definedName name="Provisions" hidden="1">{#N/A,#N/A,FALSE,"JACKETS (1100 t) (1)"}</definedName>
    <definedName name="provomit">#REF!</definedName>
    <definedName name="proximity">#REF!</definedName>
    <definedName name="prpa" hidden="1">{#N/A,#N/A,TRUE,"LOADCOVE";#N/A,#N/A,TRUE,"PAGE001";#N/A,#N/A,TRUE,"PAGE002";#N/A,#N/A,TRUE,"PAGE003";#N/A,#N/A,TRUE,"PAGE004";#N/A,#N/A,TRUE,"PAGE005";#N/A,#N/A,TRUE,"PAGE006";#N/A,#N/A,TRUE,"PAGE007";#N/A,#N/A,TRUE,"PAGE008";#N/A,#N/A,TRUE,"PAGE009";#N/A,#N/A,TRUE,"PAGE010";#N/A,#N/A,TRUE,"PAGE011";#N/A,#N/A,TRUE,"PAGE012";#N/A,#N/A,TRUE,"PAGE013"}</definedName>
    <definedName name="pswyry" localSheetId="7" hidden="1">{#N/A,#N/A,TRUE,"Cover";#N/A,#N/A,TRUE,"Conts";#N/A,#N/A,TRUE,"VOS";#N/A,#N/A,TRUE,"Warrington";#N/A,#N/A,TRUE,"Widnes"}</definedName>
    <definedName name="pswyry" localSheetId="0" hidden="1">{#N/A,#N/A,TRUE,"Cover";#N/A,#N/A,TRUE,"Conts";#N/A,#N/A,TRUE,"VOS";#N/A,#N/A,TRUE,"Warrington";#N/A,#N/A,TRUE,"Widnes"}</definedName>
    <definedName name="pswyry" localSheetId="9"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T">#REF!</definedName>
    <definedName name="PTA">#REF!</definedName>
    <definedName name="PTB">#REF!</definedName>
    <definedName name="PTC">#REF!</definedName>
    <definedName name="PU">#REF!</definedName>
    <definedName name="PUMP">#REF!</definedName>
    <definedName name="pune" hidden="1">{#N/A,#N/A,TRUE,"Front";#N/A,#N/A,TRUE,"Simple Letter";#N/A,#N/A,TRUE,"Inside";#N/A,#N/A,TRUE,"Contents";#N/A,#N/A,TRUE,"Basis";#N/A,#N/A,TRUE,"Inclusions";#N/A,#N/A,TRUE,"Exclusions";#N/A,#N/A,TRUE,"Areas";#N/A,#N/A,TRUE,"Summary";#N/A,#N/A,TRUE,"Detail"}</definedName>
    <definedName name="purlin1" hidden="1">{"T_Pole",#N/A,FALSE,"T-Pole"}</definedName>
    <definedName name="puy" localSheetId="7" hidden="1">{#N/A,#N/A,TRUE,"Cover";#N/A,#N/A,TRUE,"Conts";#N/A,#N/A,TRUE,"VOS";#N/A,#N/A,TRUE,"Warrington";#N/A,#N/A,TRUE,"Widnes"}</definedName>
    <definedName name="puy" localSheetId="0" hidden="1">{#N/A,#N/A,TRUE,"Cover";#N/A,#N/A,TRUE,"Conts";#N/A,#N/A,TRUE,"VOS";#N/A,#N/A,TRUE,"Warrington";#N/A,#N/A,TRUE,"Widnes"}</definedName>
    <definedName name="puy" localSheetId="9"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PVatTotIRR">#REF!</definedName>
    <definedName name="PVC_FLEXIBLE_PIPE">#REF!</definedName>
    <definedName name="PVC_PIPE">#REF!</definedName>
    <definedName name="PWR_BLK_TRAY">#REF!</definedName>
    <definedName name="q">#REF!</definedName>
    <definedName name="Q_1" hidden="1">{#N/A,#N/A,TRUE,"Basic";#N/A,#N/A,TRUE,"EXT-TABLE";#N/A,#N/A,TRUE,"STEEL";#N/A,#N/A,TRUE,"INT-Table";#N/A,#N/A,TRUE,"STEEL";#N/A,#N/A,TRUE,"Door"}</definedName>
    <definedName name="Q_2" hidden="1">{#N/A,#N/A,TRUE,"Basic";#N/A,#N/A,TRUE,"EXT-TABLE";#N/A,#N/A,TRUE,"STEEL";#N/A,#N/A,TRUE,"INT-Table";#N/A,#N/A,TRUE,"STEEL";#N/A,#N/A,TRUE,"Door"}</definedName>
    <definedName name="q3tqtq" localSheetId="7" hidden="1">{#N/A,#N/A,TRUE,"Cover";#N/A,#N/A,TRUE,"Conts";#N/A,#N/A,TRUE,"VOS";#N/A,#N/A,TRUE,"Warrington";#N/A,#N/A,TRUE,"Widnes"}</definedName>
    <definedName name="q3tqtq" localSheetId="0" hidden="1">{#N/A,#N/A,TRUE,"Cover";#N/A,#N/A,TRUE,"Conts";#N/A,#N/A,TRUE,"VOS";#N/A,#N/A,TRUE,"Warrington";#N/A,#N/A,TRUE,"Widnes"}</definedName>
    <definedName name="q3tqtq" localSheetId="9"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3WEE" hidden="1">{#N/A,#N/A,FALSE,"조골재"}</definedName>
    <definedName name="q5ttyr" localSheetId="7" hidden="1">{#N/A,#N/A,TRUE,"Cover";#N/A,#N/A,TRUE,"Conts";#N/A,#N/A,TRUE,"VOS";#N/A,#N/A,TRUE,"Warrington";#N/A,#N/A,TRUE,"Widnes"}</definedName>
    <definedName name="q5ttyr" localSheetId="0" hidden="1">{#N/A,#N/A,TRUE,"Cover";#N/A,#N/A,TRUE,"Conts";#N/A,#N/A,TRUE,"VOS";#N/A,#N/A,TRUE,"Warrington";#N/A,#N/A,TRUE,"Widnes"}</definedName>
    <definedName name="q5ttyr" localSheetId="9"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#REF!</definedName>
    <definedName name="qa_graph">#REF!</definedName>
    <definedName name="qa_schedule">#REF!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r">#REF!</definedName>
    <definedName name="QAZ" hidden="1">{#N/A,#N/A,FALSE,"CCTV"}</definedName>
    <definedName name="QAZ_1" hidden="1">{#N/A,#N/A,FALSE,"CCTV"}</definedName>
    <definedName name="QAZ_2" hidden="1">{#N/A,#N/A,FALSE,"CCTV"}</definedName>
    <definedName name="qcdc" hidden="1">{"'Sheet1'!$L$16"}</definedName>
    <definedName name="qd">#REF!</definedName>
    <definedName name="qe" hidden="1">{"'Break down'!$A$4"}</definedName>
    <definedName name="qerad" hidden="1">{"LKD",#N/A,FALSE,"표지"}</definedName>
    <definedName name="qergq" hidden="1">{#N/A,#N/A,FALSE,"CCTV"}</definedName>
    <definedName name="qergq_1" hidden="1">{#N/A,#N/A,FALSE,"CCTV"}</definedName>
    <definedName name="qergq_2" hidden="1">{#N/A,#N/A,FALSE,"CCTV"}</definedName>
    <definedName name="Qf">#REF!</definedName>
    <definedName name="qi">#REF!</definedName>
    <definedName name="QIU" hidden="1">{#N/A,#N/A,TRUE,"SUMMARY";#N/A,#N/A,TRUE,"ISBL";#N/A,#N/A,TRUE,"OSBL";#N/A,#N/A,TRUE,"OFFSITE";#N/A,#N/A,TRUE,"STEAM"}</definedName>
    <definedName name="qkqh1" hidden="1">{#N/A,#N/A,FALSE,"명세표"}</definedName>
    <definedName name="qkqh1_1" hidden="1">{#N/A,#N/A,FALSE,"명세표"}</definedName>
    <definedName name="qkqh1_2" hidden="1">{#N/A,#N/A,FALSE,"명세표"}</definedName>
    <definedName name="Qm">#REF!</definedName>
    <definedName name="qmax">#REF!</definedName>
    <definedName name="qmax1">#REF!</definedName>
    <definedName name="qmi" hidden="1">{#N/A,#N/A,TRUE,"Cover";#N/A,#N/A,TRUE,"Conts";#N/A,#N/A,TRUE,"VOS";#N/A,#N/A,TRUE,"Warrington";#N/A,#N/A,TRUE,"Widnes"}</definedName>
    <definedName name="qo">#REF!</definedName>
    <definedName name="QPPC" hidden="1">{#N/A,#N/A,TRUE,"Basic";#N/A,#N/A,TRUE,"EXT-TABLE";#N/A,#N/A,TRUE,"STEEL";#N/A,#N/A,TRUE,"INT-Table";#N/A,#N/A,TRUE,"STEEL";#N/A,#N/A,TRUE,"Door"}</definedName>
    <definedName name="QQ">#REF!</definedName>
    <definedName name="qq_1" hidden="1">{"'Sheet1'!$L$16"}</definedName>
    <definedName name="qq_2" hidden="1">{"'Sheet1'!$L$16"}</definedName>
    <definedName name="qqq" localSheetId="7" hidden="1">{#N/A,#N/A,TRUE,"Cover";#N/A,#N/A,TRUE,"Conts";#N/A,#N/A,TRUE,"VOS";#N/A,#N/A,TRUE,"Warrington";#N/A,#N/A,TRUE,"Widnes"}</definedName>
    <definedName name="qqq" localSheetId="0" hidden="1">{#N/A,#N/A,TRUE,"Cover";#N/A,#N/A,TRUE,"Conts";#N/A,#N/A,TRUE,"VOS";#N/A,#N/A,TRUE,"Warrington";#N/A,#N/A,TRUE,"Widnes"}</definedName>
    <definedName name="qqq" localSheetId="9"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qq_1" hidden="1">{#N/A,#N/A,TRUE,"Basic";#N/A,#N/A,TRUE,"EXT-TABLE";#N/A,#N/A,TRUE,"STEEL";#N/A,#N/A,TRUE,"INT-Table";#N/A,#N/A,TRUE,"STEEL";#N/A,#N/A,TRUE,"Door"}</definedName>
    <definedName name="qqq_2" hidden="1">{#N/A,#N/A,TRUE,"Basic";#N/A,#N/A,TRUE,"EXT-TABLE";#N/A,#N/A,TRUE,"STEEL";#N/A,#N/A,TRUE,"INT-Table";#N/A,#N/A,TRUE,"STEEL";#N/A,#N/A,TRUE,"Door"}</definedName>
    <definedName name="qqqq" hidden="1">{"'장비'!$A$3:$M$12"}</definedName>
    <definedName name="qqqq_1" hidden="1">{"'장비'!$A$3:$M$12"}</definedName>
    <definedName name="qqqq_2" hidden="1">{"'장비'!$A$3:$M$12"}</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_2" hidden="1">{#N/A,#N/A,TRUE,"Basic";#N/A,#N/A,TRUE,"EXT-TABLE";#N/A,#N/A,TRUE,"STEEL";#N/A,#N/A,TRUE,"INT-Table";#N/A,#N/A,TRUE,"STEEL";#N/A,#N/A,TRUE,"Door"}</definedName>
    <definedName name="qqqqqq"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qqqqqqqqqqqqqqqqqq">#REF!</definedName>
    <definedName name="QQW" hidden="1">{#N/A,#N/A,FALSE,"CCTV"}</definedName>
    <definedName name="QQW_1" hidden="1">{#N/A,#N/A,FALSE,"CCTV"}</definedName>
    <definedName name="QQW_2" hidden="1">{#N/A,#N/A,FALSE,"CCTV"}</definedName>
    <definedName name="QQWW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hidden="1">{#N/A,#N/A,TRUE,"Cover";#N/A,#N/A,TRUE,"Conts";#N/A,#N/A,TRUE,"VOS";#N/A,#N/A,TRUE,"Warrington";#N/A,#N/A,TRUE,"Widnes"}</definedName>
    <definedName name="QR.">#REF!</definedName>
    <definedName name="qr_1" hidden="1">{#N/A,#N/A,TRUE,"Cover";#N/A,#N/A,TRUE,"Conts";#N/A,#N/A,TRUE,"VOS";#N/A,#N/A,TRUE,"Warrington";#N/A,#N/A,TRUE,"Widnes"}</definedName>
    <definedName name="qr_2" hidden="1">{#N/A,#N/A,FALSE,"CCTV"}</definedName>
    <definedName name="QR_to_LB_Sterling">#REF!</definedName>
    <definedName name="qrt" localSheetId="7" hidden="1">{#N/A,#N/A,TRUE,"Cover";#N/A,#N/A,TRUE,"Conts";#N/A,#N/A,TRUE,"VOS";#N/A,#N/A,TRUE,"Warrington";#N/A,#N/A,TRUE,"Widnes"}</definedName>
    <definedName name="qrt" localSheetId="0" hidden="1">{#N/A,#N/A,TRUE,"Cover";#N/A,#N/A,TRUE,"Conts";#N/A,#N/A,TRUE,"VOS";#N/A,#N/A,TRUE,"Warrington";#N/A,#N/A,TRUE,"Widnes"}</definedName>
    <definedName name="qrt" localSheetId="9"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rtqrt" hidden="1">#REF!</definedName>
    <definedName name="Qs">#REF!</definedName>
    <definedName name="QS_adjustment_P1___P4">#REF!</definedName>
    <definedName name="QS_Expenses">735350</definedName>
    <definedName name="QS_Fee_P5_P6">#REF!</definedName>
    <definedName name="QS_fee_per_Package_1_4">#REF!</definedName>
    <definedName name="Qsa">#REF!</definedName>
    <definedName name="qsaaaa" hidden="1">#REF!</definedName>
    <definedName name="qsdewr" hidden="1">#REF!</definedName>
    <definedName name="QSQSQ" hidden="1">{"'장비'!$A$3:$M$12"}</definedName>
    <definedName name="QTE">#REF!</definedName>
    <definedName name="qttty" hidden="1">{#N/A,#N/A,TRUE,"Front";#N/A,#N/A,TRUE,"Simple Letter";#N/A,#N/A,TRUE,"Inside";#N/A,#N/A,TRUE,"Contents";#N/A,#N/A,TRUE,"Basis";#N/A,#N/A,TRUE,"Inclusions";#N/A,#N/A,TRUE,"Exclusions";#N/A,#N/A,TRUE,"Areas";#N/A,#N/A,TRUE,"Summary";#N/A,#N/A,TRUE,"Detail"}</definedName>
    <definedName name="qttyry" localSheetId="7" hidden="1">{#N/A,#N/A,TRUE,"Cover";#N/A,#N/A,TRUE,"Conts";#N/A,#N/A,TRUE,"VOS";#N/A,#N/A,TRUE,"Warrington";#N/A,#N/A,TRUE,"Widnes"}</definedName>
    <definedName name="qttyry" localSheetId="0" hidden="1">{#N/A,#N/A,TRUE,"Cover";#N/A,#N/A,TRUE,"Conts";#N/A,#N/A,TRUE,"VOS";#N/A,#N/A,TRUE,"Warrington";#N/A,#N/A,TRUE,"Widnes"}</definedName>
    <definedName name="qttyry" localSheetId="9"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#REF!</definedName>
    <definedName name="Qty_Cntl_Valves">ROUND(IF(VLOOKUP(#REF!,CNTL_VALVE_PRICE,9,FALSE)=0,0,VLOOKUP(#REF!,CNTL_VALVE_PRICE,9,FALSE)),0)</definedName>
    <definedName name="QTY_DISC_MV">#REF!</definedName>
    <definedName name="qtyhytrh" localSheetId="7" hidden="1">{#N/A,#N/A,TRUE,"Cover";#N/A,#N/A,TRUE,"Conts";#N/A,#N/A,TRUE,"VOS";#N/A,#N/A,TRUE,"Warrington";#N/A,#N/A,TRUE,"Widnes"}</definedName>
    <definedName name="qtyhytrh" localSheetId="0" hidden="1">{#N/A,#N/A,TRUE,"Cover";#N/A,#N/A,TRUE,"Conts";#N/A,#N/A,TRUE,"VOS";#N/A,#N/A,TRUE,"Warrington";#N/A,#N/A,TRUE,"Widnes"}</definedName>
    <definedName name="qtyhytrh" localSheetId="9"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7" hidden="1">{#N/A,#N/A,TRUE,"Cover";#N/A,#N/A,TRUE,"Conts";#N/A,#N/A,TRUE,"VOS";#N/A,#N/A,TRUE,"Warrington";#N/A,#N/A,TRUE,"Widnes"}</definedName>
    <definedName name="qtyu" localSheetId="0" hidden="1">{#N/A,#N/A,TRUE,"Cover";#N/A,#N/A,TRUE,"Conts";#N/A,#N/A,TRUE,"VOS";#N/A,#N/A,TRUE,"Warrington";#N/A,#N/A,TRUE,"Widnes"}</definedName>
    <definedName name="qtyu" localSheetId="9"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7" hidden="1">{#N/A,#N/A,TRUE,"Cover";#N/A,#N/A,TRUE,"Conts";#N/A,#N/A,TRUE,"VOS";#N/A,#N/A,TRUE,"Warrington";#N/A,#N/A,TRUE,"Widnes"}</definedName>
    <definedName name="qtyyut" localSheetId="0" hidden="1">{#N/A,#N/A,TRUE,"Cover";#N/A,#N/A,TRUE,"Conts";#N/A,#N/A,TRUE,"VOS";#N/A,#N/A,TRUE,"Warrington";#N/A,#N/A,TRUE,"Widnes"}</definedName>
    <definedName name="qtyyut" localSheetId="9"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7" hidden="1">{#N/A,#N/A,TRUE,"Cover";#N/A,#N/A,TRUE,"Conts";#N/A,#N/A,TRUE,"VOS";#N/A,#N/A,TRUE,"Warrington";#N/A,#N/A,TRUE,"Widnes"}</definedName>
    <definedName name="qtyyyhh" localSheetId="0" hidden="1">{#N/A,#N/A,TRUE,"Cover";#N/A,#N/A,TRUE,"Conts";#N/A,#N/A,TRUE,"VOS";#N/A,#N/A,TRUE,"Warrington";#N/A,#N/A,TRUE,"Widnes"}</definedName>
    <definedName name="qtyyyhh" localSheetId="9"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UALIFICATION">#REF!</definedName>
    <definedName name="QUANTITY">#REF!,#REF!,#REF!,#REF!,#REF!,#REF!,#REF!</definedName>
    <definedName name="Quantity_PckB">#REF!</definedName>
    <definedName name="Quantity_PckC">#REF!</definedName>
    <definedName name="Quantity_PckD">#REF!</definedName>
    <definedName name="QUANTS">#REF!</definedName>
    <definedName name="QUARTS">#REF!</definedName>
    <definedName name="Quotation">#REF!</definedName>
    <definedName name="Quote">#REF!,#REF!</definedName>
    <definedName name="Quote_Cowi">#REF!</definedName>
    <definedName name="Quote_dapo">#REF!</definedName>
    <definedName name="Quote_Hal">#REF!</definedName>
    <definedName name="Quote_Hyd">#REF!</definedName>
    <definedName name="Quote_other">#REF!</definedName>
    <definedName name="qury" hidden="1">{"'Break down'!$A$4"}</definedName>
    <definedName name="QVQQVV" hidden="1">#REF!</definedName>
    <definedName name="qw">#REF!</definedName>
    <definedName name="qw_1" hidden="1">{#N/A,#N/A,TRUE,"Basic";#N/A,#N/A,TRUE,"EXT-TABLE";#N/A,#N/A,TRUE,"STEEL";#N/A,#N/A,TRUE,"INT-Table";#N/A,#N/A,TRUE,"STEEL";#N/A,#N/A,TRUE,"Door"}</definedName>
    <definedName name="qw_2" hidden="1">{#N/A,#N/A,TRUE,"Basic";#N/A,#N/A,TRUE,"EXT-TABLE";#N/A,#N/A,TRUE,"STEEL";#N/A,#N/A,TRUE,"INT-Table";#N/A,#N/A,TRUE,"STEEL";#N/A,#N/A,TRUE,"Door"}</definedName>
    <definedName name="qwas" hidden="1">{#N/A,#N/A,TRUE,"Cover";#N/A,#N/A,TRUE,"Conts";#N/A,#N/A,TRUE,"VOS";#N/A,#N/A,TRUE,"Warrington";#N/A,#N/A,TRUE,"Widnes"}</definedName>
    <definedName name="qwd" hidden="1">{"'장비'!$A$3:$M$12"}</definedName>
    <definedName name="QWE">#REF!</definedName>
    <definedName nam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21">#REF!</definedName>
    <definedName name="QWE_22">#REF!</definedName>
    <definedName name="QWE_23">#REF!</definedName>
    <definedName name="QWE_24">#REF!</definedName>
    <definedName name="QWE_25">#REF!</definedName>
    <definedName name="QWE_26">#REF!</definedName>
    <definedName name="qwed">"Page "&amp;IF(ISNA(MATCH(ROW(),RowAfterpgbrk,1)),1,MATCH(ROW(),RowAfterpgbrk,1)+1)&amp;" of " &amp; TotPageCount + 0*NOW()</definedName>
    <definedName name="qwee" hidden="1">{#N/A,#N/A,TRUE,"LOADCOVE";#N/A,#N/A,TRUE,"PAGE001";#N/A,#N/A,TRUE,"PAGE002";#N/A,#N/A,TRUE,"PAGE003";#N/A,#N/A,TRUE,"PAGE004";#N/A,#N/A,TRUE,"PAGE005";#N/A,#N/A,TRUE,"PAGE006";#N/A,#N/A,TRUE,"PAGE007";#N/A,#N/A,TRUE,"PAGE008";#N/A,#N/A,TRUE,"PAGE009";#N/A,#N/A,TRUE,"PAGE010";#N/A,#N/A,TRUE,"PAGE011";#N/A,#N/A,TRUE,"PAGE012";#N/A,#N/A,TRUE,"PAGE013"}</definedName>
    <definedName name="QWER"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QWERCDFGV" hidden="1">#REF!</definedName>
    <definedName name="qwerff">IF(ISNA(MATCH(ROW(),RowAfterpgbrk,1)),1,MATCH(ROW(),RowAfterpgbrk,1)+1)&lt;&gt;IF(ISNA(MATCH(ROW()+1,RowAfterpgbrk,1)),1,MATCH(ROW()+1,RowAfterpgbrk,1)+1)</definedName>
    <definedName name="QWERT" hidden="1">{#N/A,#N/A,FALSE,"CCTV"}</definedName>
    <definedName name="QWESDDC" hidden="1">#REF!</definedName>
    <definedName name="qwq" hidden="1">#REF!</definedName>
    <definedName name="QWQEWQE" hidden="1">{#N/A,#N/A,TRUE,"Basic";#N/A,#N/A,TRUE,"EXT-TABLE";#N/A,#N/A,TRUE,"STEEL";#N/A,#N/A,TRUE,"INT-Table";#N/A,#N/A,TRUE,"STEEL";#N/A,#N/A,TRUE,"Door"}</definedName>
    <definedName name="qwqq" hidden="1">{#N/A,#N/A,TRUE,"Cover";#N/A,#N/A,TRUE,"Conts";#N/A,#N/A,TRUE,"VOS";#N/A,#N/A,TRUE,"Warrington";#N/A,#N/A,TRUE,"Widnes"}</definedName>
    <definedName name="qwqqqqqqqqqqqqqqqqqqq" hidden="1">{#N/A,#N/A,FALSE,"MARCH"}</definedName>
    <definedName name="QWQWQ" hidden="1">{"'장비'!$A$3:$M$12"}</definedName>
    <definedName name="qws" hidden="1">#REF!</definedName>
    <definedName name="QWVM" hidden="1">{#N/A,#N/A,TRUE,"Cover";#N/A,#N/A,TRUE,"Conts";#N/A,#N/A,TRUE,"VOS";#N/A,#N/A,TRUE,"Warrington";#N/A,#N/A,TRUE,"Widnes"}</definedName>
    <definedName name="qxcn" hidden="1">{#N/A,#N/A,TRUE,"Cover";#N/A,#N/A,TRUE,"Conts";#N/A,#N/A,TRUE,"VOS";#N/A,#N/A,TRUE,"Warrington";#N/A,#N/A,TRUE,"Widnes"}</definedName>
    <definedName name="R.01">#REF!</definedName>
    <definedName name="R.01a">#REF!</definedName>
    <definedName name="R.01b">#REF!</definedName>
    <definedName name="R.02">#REF!</definedName>
    <definedName name="R.02a">#REF!</definedName>
    <definedName name="R.02b">#REF!</definedName>
    <definedName name="R.05">#REF!</definedName>
    <definedName name="R.06">#REF!</definedName>
    <definedName name="R.07">#REF!</definedName>
    <definedName name="R.08">#REF!</definedName>
    <definedName name="R.10">#REF!</definedName>
    <definedName name="R.11">#REF!</definedName>
    <definedName name="R_">#REF!</definedName>
    <definedName name="R_BTS">#REF!</definedName>
    <definedName name="R_DATA">#REF!</definedName>
    <definedName name="R_MC_PVC">#REF!</definedName>
    <definedName name="R_MC_XLPE">#REF!</definedName>
    <definedName name="R_SC_PVC">#REF!</definedName>
    <definedName name="ra">#REF!</definedName>
    <definedName name="rad" hidden="1">#REF!</definedName>
    <definedName name="radius">#REF!</definedName>
    <definedName name="Raman">#REF!</definedName>
    <definedName name="range">#REF!</definedName>
    <definedName name="range1">#REF!</definedName>
    <definedName name="RAPS">#REF!</definedName>
    <definedName name="rarewt" hidden="1">{#N/A,#N/A,FALSE,"CCTV"}</definedName>
    <definedName name="rarewt_1" hidden="1">{#N/A,#N/A,FALSE,"CCTV"}</definedName>
    <definedName name="rarewt_2" hidden="1">{#N/A,#N/A,FALSE,"CCTV"}</definedName>
    <definedName name="rasgg" localSheetId="7" hidden="1">{#N/A,#N/A,TRUE,"Cover";#N/A,#N/A,TRUE,"Conts";#N/A,#N/A,TRUE,"VOS";#N/A,#N/A,TRUE,"Warrington";#N/A,#N/A,TRUE,"Widnes"}</definedName>
    <definedName name="rasgg" localSheetId="0" hidden="1">{#N/A,#N/A,TRUE,"Cover";#N/A,#N/A,TRUE,"Conts";#N/A,#N/A,TRUE,"VOS";#N/A,#N/A,TRUE,"Warrington";#N/A,#N/A,TRUE,"Widnes"}</definedName>
    <definedName name="rasgg" localSheetId="9"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#REF!</definedName>
    <definedName name="Rate_21">#REF!</definedName>
    <definedName name="Rate_22">#REF!</definedName>
    <definedName name="Rate_23">#REF!</definedName>
    <definedName name="Rate_24">#REF!</definedName>
    <definedName name="Rate_25">#REF!</definedName>
    <definedName name="Rate_26">#REF!</definedName>
    <definedName name="Rate1">#REF!</definedName>
    <definedName name="RATES">#REF!,#REF!</definedName>
    <definedName name="Rates_CO">#REF!</definedName>
    <definedName name="RatesCode">#REF!</definedName>
    <definedName name="RatesConc">#REF!</definedName>
    <definedName name="RatesSpec">#REF!</definedName>
    <definedName name="RatesUnit">#REF!</definedName>
    <definedName name="RatesUnitPrice">#REF!</definedName>
    <definedName name="RATIO">#REF!</definedName>
    <definedName name="ravi" hidden="1">{#N/A,#N/A,TRUE,"Front";#N/A,#N/A,TRUE,"Simple Letter";#N/A,#N/A,TRUE,"Inside";#N/A,#N/A,TRUE,"Contents";#N/A,#N/A,TRUE,"Basis";#N/A,#N/A,TRUE,"Inclusions";#N/A,#N/A,TRUE,"Exclusions";#N/A,#N/A,TRUE,"Areas";#N/A,#N/A,TRUE,"Summary";#N/A,#N/A,TRUE,"Detail"}</definedName>
    <definedName name="RawAgencyPrice">#REF!</definedName>
    <definedName name="RBData">#REF!</definedName>
    <definedName name="rbw" hidden="1">{#N/A,#N/A,TRUE,"Cover";#N/A,#N/A,TRUE,"Conts";#N/A,#N/A,TRUE,"VOS";#N/A,#N/A,TRUE,"Warrington";#N/A,#N/A,TRUE,"Widnes"}</definedName>
    <definedName name="RC_">#REF!</definedName>
    <definedName name="RC__21">#REF!</definedName>
    <definedName name="RC__22">#REF!</definedName>
    <definedName name="RC__23">#REF!</definedName>
    <definedName name="RC__24">#REF!</definedName>
    <definedName name="RC__25">#REF!</definedName>
    <definedName name="RC__26">#REF!</definedName>
    <definedName name="Rc_Costs">#REF!</definedName>
    <definedName name="RC_Mhrs">#REF!</definedName>
    <definedName name="RCArea" hidden="1">#REF!</definedName>
    <definedName name="RCD">#REF!</definedName>
    <definedName name="rClient">#REF!</definedName>
    <definedName name="RCOMP_10000HP">#REF!</definedName>
    <definedName name="RCOMP_100HP">#REF!</definedName>
    <definedName name="RCOMP_12000HP">#REF!</definedName>
    <definedName name="RCOMP_1500HP">#REF!</definedName>
    <definedName name="RCOMP_2500HP">#REF!</definedName>
    <definedName name="RCOMP_4000HP">#REF!</definedName>
    <definedName name="RCOMP_400HP">#REF!</definedName>
    <definedName name="RCOMP_6000HP">#REF!</definedName>
    <definedName name="RCOMP_8000HP">#REF!</definedName>
    <definedName name="RCOMP_800HP">#REF!</definedName>
    <definedName name="RCOMP_A12000HP">#REF!</definedName>
    <definedName name="RcpPipes" localSheetId="9">#REF!</definedName>
    <definedName name="RcpPipes">#REF!</definedName>
    <definedName name="RcpPipes2" localSheetId="9">#REF!</definedName>
    <definedName name="RcpPipes2">#REF!</definedName>
    <definedName name="RCS">#REF!</definedName>
    <definedName name="rd">#REF!</definedName>
    <definedName name="rDate">#REF!</definedName>
    <definedName name="rdegsegrg" localSheetId="7" hidden="1">{#N/A,#N/A,TRUE,"Cover";#N/A,#N/A,TRUE,"Conts";#N/A,#N/A,TRUE,"VOS";#N/A,#N/A,TRUE,"Warrington";#N/A,#N/A,TRUE,"Widnes"}</definedName>
    <definedName name="rdegsegrg" localSheetId="0" hidden="1">{#N/A,#N/A,TRUE,"Cover";#N/A,#N/A,TRUE,"Conts";#N/A,#N/A,TRUE,"VOS";#N/A,#N/A,TRUE,"Warrington";#N/A,#N/A,TRUE,"Widnes"}</definedName>
    <definedName name="rdegsegrg" localSheetId="9"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Desc">#REF!</definedName>
    <definedName name="RDEW">#REF!</definedName>
    <definedName name="RDJN">#REF!</definedName>
    <definedName name="re">IF(ISNA(MATCH(ROW(),RowAfterpgbrk,1)),1,MATCH(ROW(),RowAfterpgbrk,1)+1)&lt;&gt;IF(ISNA(MATCH(ROW()+1,RowAfterpgbrk,1)),1,MATCH(ROW()+1,RowAfterpgbrk,1)+1)</definedName>
    <definedName name="RE_SIZE">#REF!</definedName>
    <definedName name="READ" hidden="1">FALSE</definedName>
    <definedName name="rebar">#REF!</definedName>
    <definedName name="rebarallow">#REF!</definedName>
    <definedName name="RebarQty">#N/A</definedName>
    <definedName name="RebarQty1">#N/A</definedName>
    <definedName name="ReCal2_Click">#REF!</definedName>
    <definedName name="Recaparchitectural">#REF!</definedName>
    <definedName name="Recapexternal">#REF!</definedName>
    <definedName name="Recappiles">#REF!</definedName>
    <definedName name="Recapstructural">#REF!</definedName>
    <definedName name="Recaptravellingcrane">#REF!</definedName>
    <definedName name="RECEPT">#REF!</definedName>
    <definedName name="Recom" hidden="1">{"'Break down'!$A$4"}</definedName>
    <definedName name="_xlnm.Recorder">#REF!</definedName>
    <definedName name="RECOUT">#N/A</definedName>
    <definedName name="RectangularChannelCalc" localSheetId="7">#REF!</definedName>
    <definedName name="RectangularChannelCalc" localSheetId="9">#REF!</definedName>
    <definedName name="RectangularChannelCalc">#REF!</definedName>
    <definedName name="RectChannelEartWRev2" localSheetId="7">#REF!</definedName>
    <definedName name="RectChannelEartWRev2" localSheetId="9">#REF!</definedName>
    <definedName name="RectChannelEartWRev2">#REF!</definedName>
    <definedName name="red">IF(ISNA(MATCH(ROW(),RowAfterpgbrk,1)),1,MATCH(ROW(),RowAfterpgbrk,1)+1)&lt;&gt;IF(ISNA(MATCH(ROW()+1,RowAfterpgbrk,1)),1,MATCH(ROW()+1,RowAfterpgbrk,1)+1)</definedName>
    <definedName name="Red.">#REF!</definedName>
    <definedName name="REDUCEDQUANTS" localSheetId="7">#REF!</definedName>
    <definedName name="REDUCEDQUANTS" localSheetId="3">#REF!</definedName>
    <definedName name="REDUCEDQUANTS" localSheetId="6">#REF!</definedName>
    <definedName name="REDUCEDQUANTS" localSheetId="9">#REF!</definedName>
    <definedName name="REDUCEDQUANTS" localSheetId="2">#REF!</definedName>
    <definedName name="REDUCEDQUANTS" localSheetId="5">#REF!</definedName>
    <definedName name="REDUCEDQUANTS" localSheetId="8">#REF!</definedName>
    <definedName name="REDUCEDQUANTS">#REF!</definedName>
    <definedName name="REDUCER_ALLOY20">#REF!</definedName>
    <definedName name="REDUCER_CHROME">#REF!</definedName>
    <definedName name="REDUCER_CS">#REF!</definedName>
    <definedName name="REDUCER_CSCL">#REF!</definedName>
    <definedName name="REDUCER_PVC">#REF!</definedName>
    <definedName name="REDUCER_RTR">#REF!</definedName>
    <definedName name="REDUCER_SS">#REF!</definedName>
    <definedName name="REDUCER_THRD">#REF!</definedName>
    <definedName name="ree" hidden="1">{#N/A,#N/A,FALSE,"CCTV"}</definedName>
    <definedName name="ree_1" hidden="1">{#N/A,#N/A,FALSE,"CCTV"}</definedName>
    <definedName name="ree_2" hidden="1">{#N/A,#N/A,FALSE,"CCTV"}</definedName>
    <definedName name="ref" hidden="1">{"'Break down'!$A$4"}</definedName>
    <definedName name="RefMWeGross">#REF!</definedName>
    <definedName name="RefPlant">#REF!</definedName>
    <definedName name="RefPlantBasis">#REF!</definedName>
    <definedName name="RefPlantDate">#REF!</definedName>
    <definedName name="RefPlantPPH">#REF!</definedName>
    <definedName name="REFRIGERATOR">#REF!</definedName>
    <definedName name="reg" hidden="1">{#N/A,#N/A,FALSE,"CCTV"}</definedName>
    <definedName name="reg_1" hidden="1">{#N/A,#N/A,FALSE,"CCTV"}</definedName>
    <definedName name="reg_2" hidden="1">{#N/A,#N/A,FALSE,"CCTV"}</definedName>
    <definedName name="rege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r" hidden="1">{#N/A,#N/A,TRUE,"Front";#N/A,#N/A,TRUE,"Simple Letter";#N/A,#N/A,TRUE,"Inside";#N/A,#N/A,TRUE,"Contents";#N/A,#N/A,TRUE,"Basis";#N/A,#N/A,TRUE,"Inclusions";#N/A,#N/A,TRUE,"Exclusions";#N/A,#N/A,TRUE,"Areas";#N/A,#N/A,TRUE,"Summary";#N/A,#N/A,TRUE,"Detail"}</definedName>
    <definedName name="region">#REF!</definedName>
    <definedName name="Regional_Expense_Factor">#REF!</definedName>
    <definedName name="reg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imb">#REF!</definedName>
    <definedName name="Reinforcement" localSheetId="9">#REF!</definedName>
    <definedName name="Reinforcement">#REF!</definedName>
    <definedName name="ReinforcementSteel">#REF!</definedName>
    <definedName name="ReinforcementSteel_21">#REF!</definedName>
    <definedName name="ReinforcementSteel_22">#REF!</definedName>
    <definedName name="ReinforcementSteel_23">#REF!</definedName>
    <definedName name="ReinforcementSteel_24">#REF!</definedName>
    <definedName name="ReinforcementSteel_25">#REF!</definedName>
    <definedName name="ReinforcementSteel_26">#REF!</definedName>
    <definedName name="REINFORCING">#REF!</definedName>
    <definedName name="Relocation_Allowance">#REF!</definedName>
    <definedName name="Remaining_districts">#REF!</definedName>
    <definedName name="Remeasures">#REF!</definedName>
    <definedName name="REMK">#N/A</definedName>
    <definedName name="Remote">#REF!</definedName>
    <definedName name="Remote1">#REF!</definedName>
    <definedName name="REMOVAL">#REF!</definedName>
    <definedName name="REN" hidden="1">{"'Break down'!$A$4"}</definedName>
    <definedName name="RENE">#REF!</definedName>
    <definedName name="RENTWRT">IF(ISNA(MATCH(ROW(),RowAfterpgbrk,1)),1,MATCH(ROW(),RowAfterpgbrk,1)+1)</definedName>
    <definedName name="report">#REF!</definedName>
    <definedName name="report2" hidden="1">{#N/A,#N/A,TRUE,"Front";#N/A,#N/A,TRUE,"Simple Letter";#N/A,#N/A,TRUE,"Inside";#N/A,#N/A,TRUE,"Contents";#N/A,#N/A,TRUE,"Basis";#N/A,#N/A,TRUE,"Inclusions";#N/A,#N/A,TRUE,"Exclusions";#N/A,#N/A,TRUE,"Areas";#N/A,#N/A,TRUE,"Summary";#N/A,#N/A,TRUE,"Detail"}</definedName>
    <definedName name="Reportingperiod1">#REF!</definedName>
    <definedName name="reportno">#REF!</definedName>
    <definedName name="reporttype">#REF!</definedName>
    <definedName name="reqgq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ui">#REF!</definedName>
    <definedName name="rer" localSheetId="7" hidden="1">{#N/A,#N/A,TRUE,"Cover";#N/A,#N/A,TRUE,"Conts";#N/A,#N/A,TRUE,"VOS";#N/A,#N/A,TRUE,"Warrington";#N/A,#N/A,TRUE,"Widnes"}</definedName>
    <definedName name="rer" localSheetId="0" hidden="1">{#N/A,#N/A,TRUE,"Cover";#N/A,#N/A,TRUE,"Conts";#N/A,#N/A,TRUE,"VOS";#N/A,#N/A,TRUE,"Warrington";#N/A,#N/A,TRUE,"Widnes"}</definedName>
    <definedName name="rer" localSheetId="9"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rererrerere" hidden="1">{#N/A,#N/A,FALSE,"Pro-forma claim";#N/A,#N/A,FALSE,"Summary sheet";#N/A,#N/A,FALSE,"SITE INSTRUCTIONS";#N/A,#N/A,FALSE,"DAY WORKS CIVILS";#N/A,#N/A,FALSE,"DAY WORKS STEEL"}</definedName>
    <definedName name="Reselects">#REF!</definedName>
    <definedName name="resi">#REF!</definedName>
    <definedName name="residential">#REF!</definedName>
    <definedName name="RESOLUTION">#N/A</definedName>
    <definedName name="Resources">#REF!</definedName>
    <definedName name="rEstimator">#REF!</definedName>
    <definedName name="results">#REF!</definedName>
    <definedName name="RET">#REF!</definedName>
    <definedName name="Retention_percentage">#REF!</definedName>
    <definedName name="Retention_percentage1">#REF!</definedName>
    <definedName name="Retention_period">#REF!</definedName>
    <definedName name="Retention_period1">#REF!</definedName>
    <definedName name="rett" hidden="1">{#N/A,#N/A,FALSE,"Chi tiÆt"}</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V">#REF!</definedName>
    <definedName name="rev.offer" hidden="1">{#N/A,#N/A,FALSE,"CCTV"}</definedName>
    <definedName name="Rev_No">#REF!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ampNote">#REF!</definedName>
    <definedName name="RevampNote1">#REF!</definedName>
    <definedName name="RevampNote2">#REF!</definedName>
    <definedName name="RevampNoteBlank">#REF!</definedName>
    <definedName name="RevDate">#REF!</definedName>
    <definedName name="RevTable">#REF!</definedName>
    <definedName name="rex" hidden="1">{"'장비'!$A$3:$M$12"}</definedName>
    <definedName name="RF">#REF!</definedName>
    <definedName name="RF_1" hidden="1">{#N/A,#N/A,FALSE,"CCTV"}</definedName>
    <definedName name="RF_2" hidden="1">{#N/A,#N/A,FALSE,"CCTV"}</definedName>
    <definedName name="rferg" hidden="1">{#N/A,#N/A,TRUE,"Front";#N/A,#N/A,TRUE,"Simple Letter";#N/A,#N/A,TRUE,"Inside";#N/A,#N/A,TRUE,"Contents";#N/A,#N/A,TRUE,"Basis";#N/A,#N/A,TRUE,"Inclusions";#N/A,#N/A,TRUE,"Exclusions";#N/A,#N/A,TRUE,"Areas";#N/A,#N/A,TRUE,"Summary";#N/A,#N/A,TRUE,"Detail"}</definedName>
    <definedName name="RFI">#REF!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q" hidden="1">#REF!</definedName>
    <definedName name="RFT_COL">170</definedName>
    <definedName name="RFT_CORE">90</definedName>
    <definedName name="RFT_FOOT">90</definedName>
    <definedName name="RFT_SLAB">120</definedName>
    <definedName name="RFT_SOG">6</definedName>
    <definedName name="RFT_STAIR">112</definedName>
    <definedName name="RFT_STEEL_SAL">11000</definedName>
    <definedName name="RFV">#REF!</definedName>
    <definedName name="RFV_1" hidden="1">{#N/A,#N/A,FALSE,"CCTV"}</definedName>
    <definedName name="RFV_2" hidden="1">{#N/A,#N/A,FALSE,"CCTV"}</definedName>
    <definedName name="rgeg" hidden="1">{#N/A,#N/A,TRUE,"Front";#N/A,#N/A,TRUE,"Simple Letter";#N/A,#N/A,TRUE,"Inside";#N/A,#N/A,TRUE,"Contents";#N/A,#N/A,TRUE,"Basis";#N/A,#N/A,TRUE,"Inclusions";#N/A,#N/A,TRUE,"Exclusions";#N/A,#N/A,TRUE,"Areas";#N/A,#N/A,TRUE,"Summary";#N/A,#N/A,TRUE,"Detail"}</definedName>
    <definedName name="rghberr" hidden="1">{#N/A,#N/A,FALSE,"Chi tiÆt"}</definedName>
    <definedName name="rghhythy" localSheetId="7" hidden="1">{#N/A,#N/A,TRUE,"Cover";#N/A,#N/A,TRUE,"Conts";#N/A,#N/A,TRUE,"VOS";#N/A,#N/A,TRUE,"Warrington";#N/A,#N/A,TRUE,"Widnes"}</definedName>
    <definedName name="rghhythy" localSheetId="0" hidden="1">{#N/A,#N/A,TRUE,"Cover";#N/A,#N/A,TRUE,"Conts";#N/A,#N/A,TRUE,"VOS";#N/A,#N/A,TRUE,"Warrington";#N/A,#N/A,TRUE,"Widnes"}</definedName>
    <definedName name="rghhythy" localSheetId="9"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IF(ISNA(MATCH(ROW(),RowAfterpgbrk,1)),1,MATCH(ROW(),RowAfterpgbrk,1)+1)&lt;&gt;IF(ISNA(MATCH(ROW()-1,RowAfterpgbrk,1)),1,MATCH(ROW()-1,RowAfterpgbrk,1)+1)</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sj" hidden="1">#REF!</definedName>
    <definedName name="rht">"Page "&amp;IF(ISNA(MATCH(ROW(),RowAfterpgbrk,1)),1,MATCH(ROW(),RowAfterpgbrk,1)+1)&amp;" of " &amp; TotPageCount + 0*NOW()</definedName>
    <definedName name="rhyuyi" localSheetId="7" hidden="1">{#N/A,#N/A,TRUE,"Cover";#N/A,#N/A,TRUE,"Conts";#N/A,#N/A,TRUE,"VOS";#N/A,#N/A,TRUE,"Warrington";#N/A,#N/A,TRUE,"Widnes"}</definedName>
    <definedName name="rhyuyi" localSheetId="0" hidden="1">{#N/A,#N/A,TRUE,"Cover";#N/A,#N/A,TRUE,"Conts";#N/A,#N/A,TRUE,"VOS";#N/A,#N/A,TRUE,"Warrington";#N/A,#N/A,TRUE,"Widnes"}</definedName>
    <definedName name="rhyuyi" localSheetId="9"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hidden="1">{"'Sheet1'!$L$16"}</definedName>
    <definedName name="rid_1" hidden="1">{"'Sheet1'!$L$16"}</definedName>
    <definedName name="rid_2" hidden="1">{"'Sheet1'!$L$16"}</definedName>
    <definedName name="Risk" hidden="1">{#N/A,#N/A,TRUE,"Cover";#N/A,#N/A,TRUE,"Conts";#N/A,#N/A,TRUE,"VOS";#N/A,#N/A,TRUE,"Warrington";#N/A,#N/A,TRUE,"Widnes"}</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Level">#REF!</definedName>
    <definedName name="RiskMinimizeOnStart">FALSE</definedName>
    <definedName name="RiskMonitorConvergence">FALSE</definedName>
    <definedName name="RiskMultipleCPUSupportEnabled" hidden="1">TRUE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StatFunctionsUpdateFreq">1</definedName>
    <definedName name="RiskSwapState" hidden="1">TRUE</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 hidden="1">FALSE</definedName>
    <definedName name="RITE" hidden="1">{#N/A,#N/A,FALSE,"CCTV"}</definedName>
    <definedName name="rjls" hidden="1">{#N/A,#N/A,TRUE,"Basic";#N/A,#N/A,TRUE,"EXT-TABLE";#N/A,#N/A,TRUE,"STEEL";#N/A,#N/A,TRUE,"INT-Table";#N/A,#N/A,TRUE,"STEEL";#N/A,#N/A,TRUE,"Door"}</definedName>
    <definedName name="RJYJYJYJYJ" hidden="1">#REF!</definedName>
    <definedName name="rkd" hidden="1">{#N/A,#N/A,FALSE,"CCTV"}</definedName>
    <definedName name="rkd_1" hidden="1">{#N/A,#N/A,FALSE,"CCTV"}</definedName>
    <definedName name="rkd_2" hidden="1">{#N/A,#N/A,FALSE,"CCTV"}</definedName>
    <definedName name="rkfk" hidden="1">{#N/A,#N/A,FALSE,"CCTV"}</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wjq2." hidden="1">{#N/A,#N/A,FALSE,"현장 NCR 분석";#N/A,#N/A,FALSE,"현장품질감사";#N/A,#N/A,FALSE,"현장품질감사"}</definedName>
    <definedName name="rl" hidden="1">{#N/A,#N/A,TRUE,"COVER";#N/A,#N/A,TRUE,"DETAILS";#N/A,#N/A,TRUE,"SUMMARY";#N/A,#N/A,TRUE,"EXP MON";#N/A,#N/A,TRUE,"APPENDIX A";#N/A,#N/A,TRUE,"APPENDIX B";#N/A,#N/A,TRUE,"APPENDIX C";#N/A,#N/A,TRUE,"APPENDIX D";#N/A,#N/A,TRUE,"APPENDIX E";#N/A,#N/A,TRUE,"APPENDIX F";#N/A,#N/A,TRUE,"APPENDIX G"}</definedName>
    <definedName name="rlch.ncr" hidden="1">{#N/A,#N/A,FALSE,"현장 NCR 분석";#N/A,#N/A,FALSE,"현장품질감사";#N/A,#N/A,FALSE,"현장품질감사"}</definedName>
    <definedName name="rLocation">#REF!</definedName>
    <definedName name="RLPS">#REF!</definedName>
    <definedName name="rlrl" hidden="1">{"'장비'!$A$3:$M$12"}</definedName>
    <definedName name="RNAO" hidden="1">{"'장비'!$A$3:$M$12"}</definedName>
    <definedName name="RNAO_1" hidden="1">{"'장비'!$A$3:$M$12"}</definedName>
    <definedName name="RNAO_2" hidden="1">{"'장비'!$A$3:$M$12"}</definedName>
    <definedName name="RNAO1" hidden="1">{"'장비'!$A$3:$M$12"}</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WH_1" hidden="1">{#N/A,#N/A,TRUE,"LOADCOVE";#N/A,#N/A,TRUE,"PAGE001";#N/A,#N/A,TRUE,"PAGE002";#N/A,#N/A,TRUE,"PAGE003";#N/A,#N/A,TRUE,"PAGE004";#N/A,#N/A,TRUE,"PAGE005";#N/A,#N/A,TRUE,"PAGE006";#N/A,#N/A,TRUE,"PAGE007";#N/A,#N/A,TRUE,"PAGE008";#N/A,#N/A,TRUE,"PAGE009";#N/A,#N/A,TRUE,"PAGE010";#N/A,#N/A,TRUE,"PAGE011";#N/A,#N/A,TRUE,"PAGE012";#N/A,#N/A,TRUE,"PAGE013"}</definedName>
    <definedName name="RNWH_2"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_리스" hidden="1">{"'장비'!$A$3:$M$12"}</definedName>
    <definedName name="ROAD_MARKINGS">#REF!</definedName>
    <definedName name="Road_Name" localSheetId="9">#REF!</definedName>
    <definedName name="Road_Name">#REF!</definedName>
    <definedName name="RoadElements" localSheetId="7">#REF!</definedName>
    <definedName name="RoadElements" localSheetId="9">#REF!</definedName>
    <definedName name="RoadElements">#REF!</definedName>
    <definedName name="ROADWAY_FIXT">#REF!</definedName>
    <definedName name="ROADWAY_UNCLASSIFIED">#REF!</definedName>
    <definedName name="Roadworks">#REF!</definedName>
    <definedName name="ROI">#REF!</definedName>
    <definedName name="ROOF">#REF!</definedName>
    <definedName name="ROOF_BEAM">#REF!</definedName>
    <definedName name="Roof_Water_proofing">#REF!</definedName>
    <definedName name="ror">#REF!</definedName>
    <definedName name="Ross" hidden="1">{#N/A,#N/A,TRUE,"COVER";#N/A,#N/A,TRUE,"DETAILS";#N/A,#N/A,TRUE,"SUMMARY";#N/A,#N/A,TRUE,"EXP MON";#N/A,#N/A,TRUE,"APPENDIX A";#N/A,#N/A,TRUE,"APPENDIX B";#N/A,#N/A,TRUE,"APPENDIX C";#N/A,#N/A,TRUE,"APPENDIX D";#N/A,#N/A,TRUE,"APPENDIX E";#N/A,#N/A,TRUE,"APPENDIX F";#N/A,#N/A,TRUE,"APPENDIX G"}</definedName>
    <definedName name="rou" hidden="1">{"'Break down'!$A$4"}</definedName>
    <definedName name="ROWS">#REF!</definedName>
    <definedName name="ROWSA">#REF!</definedName>
    <definedName name="ROY">#REF!</definedName>
    <definedName name="Royalty" hidden="1">{#N/A,#N/A,FALSE,"Sheet1"}</definedName>
    <definedName name="rpppp" hidden="1">{"'Break down'!$A$4"}</definedName>
    <definedName name="rProjectNo">#REF!</definedName>
    <definedName name="rq2rtyert" hidden="1">{#N/A,#N/A,TRUE,"Front";#N/A,#N/A,TRUE,"Simple Letter";#N/A,#N/A,TRUE,"Inside";#N/A,#N/A,TRUE,"Contents";#N/A,#N/A,TRUE,"Basis";#N/A,#N/A,TRUE,"Inclusions";#N/A,#N/A,TRUE,"Exclusions";#N/A,#N/A,TRUE,"Areas";#N/A,#N/A,TRUE,"Summary";#N/A,#N/A,TRUE,"Detail"}</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wer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tgg" hidden="1">{#N/A,#N/A,TRUE,"Front";#N/A,#N/A,TRUE,"Simple Letter";#N/A,#N/A,TRUE,"Inside";#N/A,#N/A,TRUE,"Contents";#N/A,#N/A,TRUE,"Basis";#N/A,#N/A,TRUE,"Inclusions";#N/A,#N/A,TRUE,"Exclusions";#N/A,#N/A,TRUE,"Areas";#N/A,#N/A,TRUE,"Summary";#N/A,#N/A,TRUE,"Detail"}</definedName>
    <definedName name="RR" localSheetId="7" hidden="1">{#N/A,#N/A,FALSE,"C3";#N/A,#N/A,FALSE,"D2-17";#N/A,#N/A,FALSE,"C2-17";#N/A,#N/A,FALSE,"C2-CIVIL";#N/A,#N/A,FALSE,"D1-C1 contract";#N/A,#N/A,FALSE,"D1-CIVIL";#N/A,#N/A,FALSE,"C1 hourly";#N/A,#N/A,FALSE,"C1 contract";#N/A,#N/A,FALSE,"D1-C1 hourly"}</definedName>
    <definedName name="RR" localSheetId="0" hidden="1">{#N/A,#N/A,FALSE,"C3";#N/A,#N/A,FALSE,"D2-17";#N/A,#N/A,FALSE,"C2-17";#N/A,#N/A,FALSE,"C2-CIVIL";#N/A,#N/A,FALSE,"D1-C1 contract";#N/A,#N/A,FALSE,"D1-CIVIL";#N/A,#N/A,FALSE,"C1 hourly";#N/A,#N/A,FALSE,"C1 contract";#N/A,#N/A,FALSE,"D1-C1 hourly"}</definedName>
    <definedName name="RR" localSheetId="9"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_1" hidden="1">{#N/A,#N/A,FALSE,"SumD";#N/A,#N/A,FALSE,"ElecD";#N/A,#N/A,FALSE,"MechD";#N/A,#N/A,FALSE,"GeotD";#N/A,#N/A,FALSE,"PrcsD";#N/A,#N/A,FALSE,"TunnD";#N/A,#N/A,FALSE,"CivlD";#N/A,#N/A,FALSE,"NtwkD";#N/A,#N/A,FALSE,"EstgD";#N/A,#N/A,FALSE,"PEngD"}</definedName>
    <definedName name="RR_2" hidden="1">{#N/A,#N/A,FALSE,"CCTV"}</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ERW_1" hidden="1">{#N/A,#N/A,FALSE,"CCTV"}</definedName>
    <definedName name="RRERW_2" hidden="1">{#N/A,#N/A,FALSE,"CCTV"}</definedName>
    <definedName name="rrr" localSheetId="7" hidden="1">{#N/A,#N/A,TRUE,"Cover";#N/A,#N/A,TRUE,"Conts";#N/A,#N/A,TRUE,"VOS";#N/A,#N/A,TRUE,"Warrington";#N/A,#N/A,TRUE,"Widnes"}</definedName>
    <definedName name="rrr" localSheetId="0" hidden="1">{#N/A,#N/A,TRUE,"Cover";#N/A,#N/A,TRUE,"Conts";#N/A,#N/A,TRUE,"VOS";#N/A,#N/A,TRUE,"Warrington";#N/A,#N/A,TRUE,"Widnes"}</definedName>
    <definedName name="rrr" localSheetId="9"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_1" hidden="1">{#N/A,#N/A,FALSE,"포장2"}</definedName>
    <definedName name="RRR_2" hidden="1">{#N/A,#N/A,FALSE,"포장2"}</definedName>
    <definedName name="rrrr" localSheetId="7" hidden="1">{#N/A,#N/A,TRUE,"Cover";#N/A,#N/A,TRUE,"Conts";#N/A,#N/A,TRUE,"VOS";#N/A,#N/A,TRUE,"Warrington";#N/A,#N/A,TRUE,"Widnes"}</definedName>
    <definedName name="rrrr" localSheetId="0" hidden="1">{#N/A,#N/A,TRUE,"Cover";#N/A,#N/A,TRUE,"Conts";#N/A,#N/A,TRUE,"VOS";#N/A,#N/A,TRUE,"Warrington";#N/A,#N/A,TRUE,"Widnes"}</definedName>
    <definedName name="rrrr" localSheetId="9"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localSheetId="7" hidden="1">{#N/A,#N/A,TRUE,"Cover";#N/A,#N/A,TRUE,"Conts";#N/A,#N/A,TRUE,"VOS";#N/A,#N/A,TRUE,"Warrington";#N/A,#N/A,TRUE,"Widnes"}</definedName>
    <definedName name="rrrrr" localSheetId="0" hidden="1">{#N/A,#N/A,TRUE,"Cover";#N/A,#N/A,TRUE,"Conts";#N/A,#N/A,TRUE,"VOS";#N/A,#N/A,TRUE,"Warrington";#N/A,#N/A,TRUE,"Widnes"}</definedName>
    <definedName name="rrrrr" localSheetId="9"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_1" hidden="1">{"'장비'!$A$3:$M$12"}</definedName>
    <definedName name="rrrrr_2" hidden="1">{"'장비'!$A$3:$M$12"}</definedName>
    <definedName name="rrrrrrr" localSheetId="7" hidden="1">{#N/A,#N/A,TRUE,"Cover";#N/A,#N/A,TRUE,"Conts";#N/A,#N/A,TRUE,"VOS";#N/A,#N/A,TRUE,"Warrington";#N/A,#N/A,TRUE,"Widnes"}</definedName>
    <definedName name="rrrrrrr" localSheetId="0" hidden="1">{#N/A,#N/A,TRUE,"Cover";#N/A,#N/A,TRUE,"Conts";#N/A,#N/A,TRUE,"VOS";#N/A,#N/A,TRUE,"Warrington";#N/A,#N/A,TRUE,"Widnes"}</definedName>
    <definedName name="rrrrrrr" localSheetId="9"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 hidden="1">{"'장비'!$A$3:$M$12"}</definedName>
    <definedName name="rrrrrrrr_1" hidden="1">{"'장비'!$A$3:$M$12"}</definedName>
    <definedName name="rrrrrrrr_2" hidden="1">{"'장비'!$A$3:$M$12"}</definedName>
    <definedName name="rrrrrrrrrr" localSheetId="7" hidden="1">{#N/A,#N/A,TRUE,"Cover";#N/A,#N/A,TRUE,"Conts";#N/A,#N/A,TRUE,"VOS";#N/A,#N/A,TRUE,"Warrington";#N/A,#N/A,TRUE,"Widnes"}</definedName>
    <definedName name="rrrrrrrrrr" localSheetId="0" hidden="1">{#N/A,#N/A,TRUE,"Cover";#N/A,#N/A,TRUE,"Conts";#N/A,#N/A,TRUE,"VOS";#N/A,#N/A,TRUE,"Warrington";#N/A,#N/A,TRUE,"Widnes"}</definedName>
    <definedName name="rrrrrrrrrr" localSheetId="9"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7" hidden="1">{#N/A,#N/A,TRUE,"Cover";#N/A,#N/A,TRUE,"Conts";#N/A,#N/A,TRUE,"VOS";#N/A,#N/A,TRUE,"Warrington";#N/A,#N/A,TRUE,"Widnes"}</definedName>
    <definedName name="rrttt" localSheetId="0" hidden="1">{#N/A,#N/A,TRUE,"Cover";#N/A,#N/A,TRUE,"Conts";#N/A,#N/A,TRUE,"VOS";#N/A,#N/A,TRUE,"Warrington";#N/A,#N/A,TRUE,"Widnes"}</definedName>
    <definedName name="rrttt" localSheetId="9"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 localSheetId="7" hidden="1">{#N/A,#N/A,TRUE,"Cover";#N/A,#N/A,TRUE,"Conts";#N/A,#N/A,TRUE,"VOS";#N/A,#N/A,TRUE,"Warrington";#N/A,#N/A,TRUE,"Widnes"}</definedName>
    <definedName name="rt" localSheetId="0" hidden="1">{#N/A,#N/A,TRUE,"Cover";#N/A,#N/A,TRUE,"Conts";#N/A,#N/A,TRUE,"VOS";#N/A,#N/A,TRUE,"Warrington";#N/A,#N/A,TRUE,"Widnes"}</definedName>
    <definedName name="rt" localSheetId="9"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g">"Page "&amp;IF(ISNA(MATCH(ROW(),RowAfterpgbrk,1)),1,MATCH(ROW(),RowAfterpgbrk,1)+1)&amp;" of " &amp; TotPageCount + 0*NOW()</definedName>
    <definedName name="rtgw">"Page "&amp;IF(ISNA(MATCH(ROW(),RowAfterpgbrk,1)),1,MATCH(ROW(),RowAfterpgbrk,1)+1)&amp;" of " &amp; TotPageCount + 0*NOW()</definedName>
    <definedName name="rthrt">IF(ISNA(MATCH(ROW(),RowAfterpgbrk,1)),1,MATCH(ROW(),RowAfterpgbrk,1)+1)</definedName>
    <definedName name="rthsrhs" localSheetId="7" hidden="1">{#N/A,#N/A,TRUE,"Cover";#N/A,#N/A,TRUE,"Conts";#N/A,#N/A,TRUE,"VOS";#N/A,#N/A,TRUE,"Warrington";#N/A,#N/A,TRUE,"Widnes"}</definedName>
    <definedName name="rthsrhs" localSheetId="0" hidden="1">{#N/A,#N/A,TRUE,"Cover";#N/A,#N/A,TRUE,"Conts";#N/A,#N/A,TRUE,"VOS";#N/A,#N/A,TRUE,"Warrington";#N/A,#N/A,TRUE,"Widnes"}</definedName>
    <definedName name="rthsrhs" localSheetId="9"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p" hidden="1">{"'Break down'!$A$4"}</definedName>
    <definedName name="rtpqwp" hidden="1">{"'Break down'!$A$4"}</definedName>
    <definedName name="rtr" hidden="1">{"'Break down'!$A$4"}</definedName>
    <definedName name="rt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GJHJ" localSheetId="7" hidden="1">{#N/A,#N/A,TRUE,"Cover";#N/A,#N/A,TRUE,"Conts";#N/A,#N/A,TRUE,"VOS";#N/A,#N/A,TRUE,"Warrington";#N/A,#N/A,TRUE,"Widnes"}</definedName>
    <definedName name="RTRGJHJ" localSheetId="0" hidden="1">{#N/A,#N/A,TRUE,"Cover";#N/A,#N/A,TRUE,"Conts";#N/A,#N/A,TRUE,"VOS";#N/A,#N/A,TRUE,"Warrington";#N/A,#N/A,TRUE,"Widnes"}</definedName>
    <definedName name="RTRGJHJ" localSheetId="9"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7" hidden="1">{#N/A,#N/A,TRUE,"Cover";#N/A,#N/A,TRUE,"Conts";#N/A,#N/A,TRUE,"VOS";#N/A,#N/A,TRUE,"Warrington";#N/A,#N/A,TRUE,"Widnes"}</definedName>
    <definedName name="rtryj" localSheetId="0" hidden="1">{#N/A,#N/A,TRUE,"Cover";#N/A,#N/A,TRUE,"Conts";#N/A,#N/A,TRUE,"VOS";#N/A,#N/A,TRUE,"Warrington";#N/A,#N/A,TRUE,"Widnes"}</definedName>
    <definedName name="rtryj" localSheetId="9"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SV">"Page "&amp;IF(ISNA(MATCH(ROW(),RowAfterpgbrk,1)),1,MATCH(ROW(),RowAfterpgbrk,1)+1)&amp;" of " &amp; TotPageCount + 0*NOW()</definedName>
    <definedName name="rtt" hidden="1">{#N/A,#N/A,FALSE,"2~8번"}</definedName>
    <definedName name="rttgssg" hidden="1">{#N/A,#N/A,TRUE,"Front";#N/A,#N/A,TRUE,"Simple Letter";#N/A,#N/A,TRUE,"Inside";#N/A,#N/A,TRUE,"Contents";#N/A,#N/A,TRUE,"Basis";#N/A,#N/A,TRUE,"Inclusions";#N/A,#N/A,TRUE,"Exclusions";#N/A,#N/A,TRUE,"Areas";#N/A,#N/A,TRUE,"Summary";#N/A,#N/A,TRUE,"Detail"}</definedName>
    <definedName name="rtued" hidden="1">{"'장비'!$A$3:$M$12"}</definedName>
    <definedName name="rturudu" localSheetId="7" hidden="1">{#N/A,#N/A,TRUE,"Cover";#N/A,#N/A,TRUE,"Conts";#N/A,#N/A,TRUE,"VOS";#N/A,#N/A,TRUE,"Warrington";#N/A,#N/A,TRUE,"Widnes"}</definedName>
    <definedName name="rturudu" localSheetId="0" hidden="1">{#N/A,#N/A,TRUE,"Cover";#N/A,#N/A,TRUE,"Conts";#N/A,#N/A,TRUE,"VOS";#N/A,#N/A,TRUE,"Warrington";#N/A,#N/A,TRUE,"Widnes"}</definedName>
    <definedName name="rturudu" localSheetId="9"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V">#REF!</definedName>
    <definedName name="RTVD">#REF!</definedName>
    <definedName name="rty" hidden="1">{#N/A,#N/A,FALSE,"II-2 POP.HH";#N/A,#N/A,FALSE,"II-3 AGE.DIST";#N/A,#N/A,FALSE,"II-4 HH.DIST";#N/A,#N/A,FALSE,"II-5 EMP.INDUS"}</definedName>
    <definedName name="RTYE" hidden="1">{"'장비'!$A$3:$M$12"}</definedName>
    <definedName name="RTYE_1" hidden="1">{"'장비'!$A$3:$M$12"}</definedName>
    <definedName name="RTYE_2" hidden="1">{"'장비'!$A$3:$M$12"}</definedName>
    <definedName name="rtysh" localSheetId="7" hidden="1">{#N/A,#N/A,TRUE,"Cover";#N/A,#N/A,TRUE,"Conts";#N/A,#N/A,TRUE,"VOS";#N/A,#N/A,TRUE,"Warrington";#N/A,#N/A,TRUE,"Widnes"}</definedName>
    <definedName name="rtysh" localSheetId="0" hidden="1">{#N/A,#N/A,TRUE,"Cover";#N/A,#N/A,TRUE,"Conts";#N/A,#N/A,TRUE,"VOS";#N/A,#N/A,TRUE,"Warrington";#N/A,#N/A,TRUE,"Widnes"}</definedName>
    <definedName name="rtysh" localSheetId="9"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tytry" hidden="1">{"'장비'!$A$3:$M$12"}</definedName>
    <definedName name="rtytry_1" hidden="1">{"'장비'!$A$3:$M$12"}</definedName>
    <definedName name="rtytry_2" hidden="1">{"'장비'!$A$3:$M$12"}</definedName>
    <definedName name="rtyujn" hidden="1">{#N/A,#N/A,TRUE,"Cover";#N/A,#N/A,TRUE,"Conts";#N/A,#N/A,TRUE,"VOS";#N/A,#N/A,TRUE,"Warrington";#N/A,#N/A,TRUE,"Widnes"}</definedName>
    <definedName name="Ru">#REF!</definedName>
    <definedName name="RUSWJR" hidden="1">{#N/A,#N/A,FALSE,"CCTV"}</definedName>
    <definedName name="RUSWJRSHEET" hidden="1">{#N/A,#N/A,FALSE,"CCTV"}</definedName>
    <definedName name="RUSWJRTJ" hidden="1">{#N/A,#N/A,FALSE,"CCTV"}</definedName>
    <definedName name="RVI" hidden="1">#REF!</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 hidden="1">{#N/A,#N/A,TRUE,"COVER";#N/A,#N/A,TRUE,"DETAILS";#N/A,#N/A,TRUE,"SUMMARY";#N/A,#N/A,TRUE,"EXP MON";#N/A,#N/A,TRUE,"APPENDIX A";#N/A,#N/A,TRUE,"APPENDIX B";#N/A,#N/A,TRUE,"APPENDIX C";#N/A,#N/A,TRUE,"APPENDIX D";#N/A,#N/A,TRUE,"APPENDIX E";#N/A,#N/A,TRUE,"APPENDIX F";#N/A,#N/A,TRUE,"APPENDIX G"}</definedName>
    <definedName name="rwehgawerh" hidden="1">{#N/A,#N/A,FALSE,"CCTV"}</definedName>
    <definedName name="rweq" hidden="1">{#N/A,#N/A,FALSE,"CCTV"}</definedName>
    <definedName name="rweq_1" hidden="1">{#N/A,#N/A,FALSE,"CCTV"}</definedName>
    <definedName name="rweq_2" hidden="1">{#N/A,#N/A,FALSE,"CCTV"}</definedName>
    <definedName name="rwer" hidden="1">#REF!</definedName>
    <definedName name="rWorkWeek">#REF!</definedName>
    <definedName name="rwt" localSheetId="7" hidden="1">{#N/A,#N/A,TRUE,"Cover";#N/A,#N/A,TRUE,"Conts";#N/A,#N/A,TRUE,"VOS";#N/A,#N/A,TRUE,"Warrington";#N/A,#N/A,TRUE,"Widnes"}</definedName>
    <definedName name="rwt" localSheetId="0" hidden="1">{#N/A,#N/A,TRUE,"Cover";#N/A,#N/A,TRUE,"Conts";#N/A,#N/A,TRUE,"VOS";#N/A,#N/A,TRUE,"Warrington";#N/A,#N/A,TRUE,"Widnes"}</definedName>
    <definedName name="rwt" localSheetId="9"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x">#REF!</definedName>
    <definedName name="rxr">#REF!</definedName>
    <definedName name="ryeru" localSheetId="7" hidden="1">{#N/A,#N/A,TRUE,"Cover";#N/A,#N/A,TRUE,"Conts";#N/A,#N/A,TRUE,"VOS";#N/A,#N/A,TRUE,"Warrington";#N/A,#N/A,TRUE,"Widnes"}</definedName>
    <definedName name="ryeru" localSheetId="0" hidden="1">{#N/A,#N/A,TRUE,"Cover";#N/A,#N/A,TRUE,"Conts";#N/A,#N/A,TRUE,"VOS";#N/A,#N/A,TRUE,"Warrington";#N/A,#N/A,TRUE,"Widnes"}</definedName>
    <definedName name="ryeru" localSheetId="9"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jujkg" hidden="1">{"'Break down'!$A$4"}</definedName>
    <definedName name="rysrtryftry" localSheetId="7" hidden="1">{#N/A,#N/A,TRUE,"Cover";#N/A,#N/A,TRUE,"Conts";#N/A,#N/A,TRUE,"VOS";#N/A,#N/A,TRUE,"Warrington";#N/A,#N/A,TRUE,"Widnes"}</definedName>
    <definedName name="rysrtryftry" localSheetId="0" hidden="1">{#N/A,#N/A,TRUE,"Cover";#N/A,#N/A,TRUE,"Conts";#N/A,#N/A,TRUE,"VOS";#N/A,#N/A,TRUE,"Warrington";#N/A,#N/A,TRUE,"Widnes"}</definedName>
    <definedName name="rysrtryftry" localSheetId="9"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Rz">#REF!</definedName>
    <definedName name="rzr">#REF!</definedName>
    <definedName name="S">#REF!</definedName>
    <definedName name="S.01">#REF!</definedName>
    <definedName name="S.02">#REF!</definedName>
    <definedName name="S.03">#REF!</definedName>
    <definedName name="S.04">#REF!</definedName>
    <definedName name="S.05">#REF!</definedName>
    <definedName name="S.06">#REF!</definedName>
    <definedName name="S.10">#REF!</definedName>
    <definedName name="S.11">#REF!</definedName>
    <definedName name="S.12">#REF!</definedName>
    <definedName name="S.13">#REF!</definedName>
    <definedName name="S_score">#REF!</definedName>
    <definedName name="S2L">#REF!</definedName>
    <definedName name="S807_WayBottom">#REF!</definedName>
    <definedName name="SA">#REF!</definedName>
    <definedName name="SAASDADASF">#REF!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IF(ISNA(MATCH(ROW(),RowAfterpgbrk,1)),1,MATCH(ROW(),RowAfterpgbrk,1)+1)&lt;&gt;IF(ISNA(MATCH(ROW()-1,RowAfterpgbrk,1)),1,MATCH(ROW()-1,RowAfterpgbrk,1)+1)</definedName>
    <definedName name="sadfa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dasf" hidden="1">#REF!</definedName>
    <definedName name="sadfsdfsdf" hidden="1">{0}</definedName>
    <definedName name="sadsad" hidden="1">#REF!</definedName>
    <definedName name="SAE" hidden="1">{#N/A,#N/A,FALSE,"골재소요량";#N/A,#N/A,FALSE,"골재소요량"}</definedName>
    <definedName name="safd" hidden="1">{#N/A,#N/A,FALSE,"MARCH"}</definedName>
    <definedName name="safEF" hidden="1">{#N/A,#N/A,FALSE,"MARCH"}</definedName>
    <definedName name="SAFETY_BARRIERS">#REF!</definedName>
    <definedName name="SAFSAFSAD" hidden="1">{#N/A,#N/A,FALSE,"속도"}</definedName>
    <definedName name="SAFSAFSAD_1" hidden="1">{#N/A,#N/A,FALSE,"속도"}</definedName>
    <definedName name="SAFSAFSAD_2" hidden="1">{#N/A,#N/A,FALSE,"속도"}</definedName>
    <definedName name="sal">#REF!</definedName>
    <definedName name="SALESPLAN">#REF!</definedName>
    <definedName name="SAM" hidden="1">{#N/A,#N/A,TRUE,"Basic";#N/A,#N/A,TRUE,"EXT-TABLE";#N/A,#N/A,TRUE,"STEEL";#N/A,#N/A,TRUE,"INT-Table";#N/A,#N/A,TRUE,"STEEL";#N/A,#N/A,TRUE,"Door"}</definedName>
    <definedName name="SAM_1" hidden="1">{#N/A,#N/A,TRUE,"Basic";#N/A,#N/A,TRUE,"EXT-TABLE";#N/A,#N/A,TRUE,"STEEL";#N/A,#N/A,TRUE,"INT-Table";#N/A,#N/A,TRUE,"STEEL";#N/A,#N/A,TRUE,"Door"}</definedName>
    <definedName name="SAM_2" hidden="1">{#N/A,#N/A,TRUE,"Basic";#N/A,#N/A,TRUE,"EXT-TABLE";#N/A,#N/A,TRUE,"STEEL";#N/A,#N/A,TRUE,"INT-Table";#N/A,#N/A,TRUE,"STEEL";#N/A,#N/A,TRUE,"Door"}</definedName>
    <definedName name="Sample">#REF!</definedName>
    <definedName name="sANAA">#REF!</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NITARY">#REF!</definedName>
    <definedName name="SANITARY__APPLIANCES">#REF!</definedName>
    <definedName name="sanjay" hidden="1">{#N/A,#N/A,FALSE,"TABLE"}</definedName>
    <definedName name="SAPBEXrevision" hidden="1">3</definedName>
    <definedName name="SAPBEXsysID" hidden="1">"B01"</definedName>
    <definedName name="SAPBEXwbID" hidden="1">"1OKLBDAAGJ3NPBUSNNGRFDKQH"</definedName>
    <definedName name="SAR">#REF!</definedName>
    <definedName name="sarea1">#REF!</definedName>
    <definedName name="sarea1_1">#N/A</definedName>
    <definedName name="sasa" hidden="1">{#N/A,#N/A,FALSE,"CCTV"}</definedName>
    <definedName name="sasa_1" hidden="1">{#N/A,#N/A,FALSE,"CCTV"}</definedName>
    <definedName name="sasa_2" hidden="1">{#N/A,#N/A,FALSE,"CCTV"}</definedName>
    <definedName name="SASA1" hidden="1">{#N/A,#N/A,FALSE,"CCTV"}</definedName>
    <definedName name="SASAAAA" hidden="1">{#N/A,#N/A,FALSE,"전체집계표";#N/A,#N/A,FALSE,"안벽30000";#N/A,#N/A,FALSE,"안벽20000";#N/A,#N/A,FALSE,"내호안";#N/A,#N/A,FALSE,"외호안";#N/A,#N/A,FALSE,"준설토A";#N/A,#N/A,FALSE,"준설토B";#N/A,#N/A,FALSE,"적출장"}</definedName>
    <definedName name="SASAAAA_1" hidden="1">{#N/A,#N/A,FALSE,"전체집계표";#N/A,#N/A,FALSE,"안벽30000";#N/A,#N/A,FALSE,"안벽20000";#N/A,#N/A,FALSE,"내호안";#N/A,#N/A,FALSE,"외호안";#N/A,#N/A,FALSE,"준설토A";#N/A,#N/A,FALSE,"준설토B";#N/A,#N/A,FALSE,"적출장"}</definedName>
    <definedName name="SASAAAA_2" hidden="1">{#N/A,#N/A,FALSE,"전체집계표";#N/A,#N/A,FALSE,"안벽30000";#N/A,#N/A,FALSE,"안벽20000";#N/A,#N/A,FALSE,"내호안";#N/A,#N/A,FALSE,"외호안";#N/A,#N/A,FALSE,"준설토A";#N/A,#N/A,FALSE,"준설토B";#N/A,#N/A,FALSE,"적출장"}</definedName>
    <definedName name="sat" hidden="1">{#N/A,#N/A,TRUE,"Front";#N/A,#N/A,TRUE,"Simple Letter";#N/A,#N/A,TRUE,"Inside";#N/A,#N/A,TRUE,"Contents";#N/A,#N/A,TRUE,"Basis";#N/A,#N/A,TRUE,"Inclusions";#N/A,#N/A,TRUE,"Exclusions";#N/A,#N/A,TRUE,"Areas";#N/A,#N/A,TRUE,"Summary";#N/A,#N/A,TRUE,"Detail"}</definedName>
    <definedName name="SAUNA_ROOMS">#REF!</definedName>
    <definedName name="SB">#REF!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_MAT_EQUIP">#REF!</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 hidden="1">{"'Break down'!$A$4"}</definedName>
    <definedName name="scaffolding" hidden="1">#REF!</definedName>
    <definedName name="SCALE_UP">#REF!</definedName>
    <definedName name="scarce" hidden="1">{#N/A,#N/A,FALSE,"Summary";#N/A,#N/A,FALSE,"3TJ";#N/A,#N/A,FALSE,"3TN";#N/A,#N/A,FALSE,"3TP";#N/A,#N/A,FALSE,"3SJ";#N/A,#N/A,FALSE,"3CJ";#N/A,#N/A,FALSE,"3CN";#N/A,#N/A,FALSE,"3CP";#N/A,#N/A,FALSE,"3A"}</definedName>
    <definedName name="scarce_1" hidden="1">{#N/A,#N/A,FALSE,"Summary";#N/A,#N/A,FALSE,"3TJ";#N/A,#N/A,FALSE,"3TN";#N/A,#N/A,FALSE,"3TP";#N/A,#N/A,FALSE,"3SJ";#N/A,#N/A,FALSE,"3CJ";#N/A,#N/A,FALSE,"3CN";#N/A,#N/A,FALSE,"3CP";#N/A,#N/A,FALSE,"3A"}</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f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B" hidden="1">#REF!</definedName>
    <definedName name="scdfff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r" hidden="1">#REF!</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f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en_change" hidden="1">#REF!,#REF!,#REF!,#REF!,#REF!</definedName>
    <definedName name="scen_date1" hidden="1">34379.7786921296</definedName>
    <definedName name="scen_name1" hidden="1">"SOLV 1"</definedName>
    <definedName name="scen_num" hidden="1">1</definedName>
    <definedName name="scen_result" hidden="1">#REF!</definedName>
    <definedName name="scen_user1" hidden="1">"JEAN-LOUIS TORRES"</definedName>
    <definedName name="scen_value1" hidden="1">{"0,0525";"0";"0";"20";"0";"0,025";"7"}</definedName>
    <definedName name="Sch">#REF!</definedName>
    <definedName name="SCH_FACE_SHEET">#REF!</definedName>
    <definedName name="SCHA">#REF!</definedName>
    <definedName name="SCHB">#REF!</definedName>
    <definedName name="SCHBEH">#REF!</definedName>
    <definedName name="schedule">#REF!</definedName>
    <definedName name="schedule.nos" hidden="1">#REF!</definedName>
    <definedName name="SCHEDULE_ALL">#REF!</definedName>
    <definedName name="schedulenr">#REF!</definedName>
    <definedName name="SCHEMEA">#REF!</definedName>
    <definedName name="SCHEMEB">#REF!</definedName>
    <definedName name="SCHEMEC">#REF!</definedName>
    <definedName name="SCHrs">#N/A</definedName>
    <definedName name="SCHrs1">#N/A</definedName>
    <definedName name="SCK">#REF!</definedName>
    <definedName name="SCREED" hidden="1">{#N/A,#N/A,TRUE,"Front";#N/A,#N/A,TRUE,"Simple Letter";#N/A,#N/A,TRUE,"Inside";#N/A,#N/A,TRUE,"Contents";#N/A,#N/A,TRUE,"Basis";#N/A,#N/A,TRUE,"Inclusions";#N/A,#N/A,TRUE,"Exclusions";#N/A,#N/A,TRUE,"Areas";#N/A,#N/A,TRUE,"Summary";#N/A,#N/A,TRUE,"Detail"}</definedName>
    <definedName name="scx" hidden="1">{"'Break down'!$A$4"}</definedName>
    <definedName name="SD" hidden="1">#REF!</definedName>
    <definedName name="sd_1" hidden="1">{#N/A,#N/A,FALSE,"SumG";#N/A,#N/A,FALSE,"ElecG";#N/A,#N/A,FALSE,"MechG";#N/A,#N/A,FALSE,"GeotG";#N/A,#N/A,FALSE,"PrcsG";#N/A,#N/A,FALSE,"TunnG";#N/A,#N/A,FALSE,"CivlG";#N/A,#N/A,FALSE,"NtwkG";#N/A,#N/A,FALSE,"EstgG";#N/A,#N/A,FALSE,"PEngG"}</definedName>
    <definedName name="sd_2" hidden="1">{"'Sheet1'!$L$16"}</definedName>
    <definedName name="SDAF" hidden="1">{#N/A,#N/A,FALSE,"CCTV"}</definedName>
    <definedName name="sdafa" hidden="1">{#N/A,#N/A,FALSE,"CCTV"}</definedName>
    <definedName name="sdafa_1" hidden="1">{#N/A,#N/A,FALSE,"CCTV"}</definedName>
    <definedName name="sdafa_2" hidden="1">{#N/A,#N/A,FALSE,"CCTV"}</definedName>
    <definedName name="sdafdsa" hidden="1">{#N/A,#N/A,TRUE,"Front";#N/A,#N/A,TRUE,"Simple Letter";#N/A,#N/A,TRUE,"Inside";#N/A,#N/A,TRUE,"Contents";#N/A,#N/A,TRUE,"Basis";#N/A,#N/A,TRUE,"Inclusions";#N/A,#N/A,TRUE,"Exclusions";#N/A,#N/A,TRUE,"Areas";#N/A,#N/A,TRUE,"Summary";#N/A,#N/A,TRUE,"Detail"}</definedName>
    <definedName name="sdasd">#REF!</definedName>
    <definedName name="sdc">"Page "&amp;IF(ISNA(MATCH(ROW(),RowAfterpgbrk,1)),1,MATCH(ROW(),RowAfterpgbrk,1)+1)&amp;" of " &amp; TotPageCount + 0*NOW()</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e">IF(ISNA(MATCH(ROW(),RowAfterpgbrk,1)),1,MATCH(ROW(),RowAfterpgbrk,1)+1)</definedName>
    <definedName name="sdc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_1" hidden="1">{#N/A,#N/A,FALSE,"운반시간"}</definedName>
    <definedName name="SDCFG\_2" hidden="1">{#N/A,#N/A,FALSE,"운반시간"}</definedName>
    <definedName name="sdcfgggrt" hidden="1">#REF!</definedName>
    <definedName name="sdcfvv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D" hidden="1">#REF!</definedName>
    <definedName name="SDDSD">#REF!</definedName>
    <definedName name="sde">#REF!</definedName>
    <definedName name="sdefegdeg" localSheetId="7" hidden="1">{#N/A,#N/A,TRUE,"Cover";#N/A,#N/A,TRUE,"Conts";#N/A,#N/A,TRUE,"VOS";#N/A,#N/A,TRUE,"Warrington";#N/A,#N/A,TRUE,"Widnes"}</definedName>
    <definedName name="sdefegdeg" localSheetId="0" hidden="1">{#N/A,#N/A,TRUE,"Cover";#N/A,#N/A,TRUE,"Conts";#N/A,#N/A,TRUE,"VOS";#N/A,#N/A,TRUE,"Warrington";#N/A,#N/A,TRUE,"Widnes"}</definedName>
    <definedName name="sdefegdeg" localSheetId="9"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el">#REF!</definedName>
    <definedName name="sderft" hidden="1">{"'INDICE'!$A$4:$I$27"}</definedName>
    <definedName name="sderftg" hidden="1">#REF!</definedName>
    <definedName name="sdf" localSheetId="7" hidden="1">{#N/A,#N/A,TRUE,"Cover";#N/A,#N/A,TRUE,"Conts";#N/A,#N/A,TRUE,"VOS";#N/A,#N/A,TRUE,"Warrington";#N/A,#N/A,TRUE,"Widnes"}</definedName>
    <definedName name="sdf" localSheetId="0" hidden="1">{#N/A,#N/A,TRUE,"Cover";#N/A,#N/A,TRUE,"Conts";#N/A,#N/A,TRUE,"VOS";#N/A,#N/A,TRUE,"Warrington";#N/A,#N/A,TRUE,"Widnes"}</definedName>
    <definedName name="sdf" localSheetId="9"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F_1" hidden="1">{#N/A,#N/A,FALSE,"혼합골재"}</definedName>
    <definedName name="SDF_2" hidden="1">{#N/A,#N/A,FALSE,"혼합골재"}</definedName>
    <definedName name="sdf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sddfds" hidden="1">#REF!</definedName>
    <definedName name="sdfasdf" hidden="1">{#N/A,#N/A,FALSE,"J-cladding";#N/A,#N/A,FALSE,"L-DT-Cladding";#N/A,#N/A,FALSE,"L-DF-Cladding";#N/A,#N/A,FALSE,"P-Cladding";#N/A,#N/A,FALSE,"N-Cladding";#N/A,#N/A,FALSE,"O-Cladding";#N/A,#N/A,FALSE,"G-Cladding"}</definedName>
    <definedName name="sdfdf" hidden="1">{"'장비'!$A$3:$M$12"}</definedName>
    <definedName name="sdfdf_1" hidden="1">{"'장비'!$A$3:$M$12"}</definedName>
    <definedName name="sdfdf_2" hidden="1">{"'장비'!$A$3:$M$12"}</definedName>
    <definedName name="sdfds" hidden="1">{#N/A,#N/A,TRUE,"Front";#N/A,#N/A,TRUE,"Simple Letter";#N/A,#N/A,TRUE,"Inside";#N/A,#N/A,TRUE,"Contents";#N/A,#N/A,TRUE,"Basis";#N/A,#N/A,TRUE,"Inclusions";#N/A,#N/A,TRUE,"Exclusions";#N/A,#N/A,TRUE,"Areas";#N/A,#N/A,TRUE,"Summary";#N/A,#N/A,TRUE,"Detail"}</definedName>
    <definedName name="sdfdsfsx" hidden="1">{#N/A,#N/A,FALSE,"CCTV"}</definedName>
    <definedName name="SDFF" hidden="1">{#N/A,#N/A,TRUE,"Cover";#N/A,#N/A,TRUE,"Conts";#N/A,#N/A,TRUE,"VOS";#N/A,#N/A,TRUE,"Warrington";#N/A,#N/A,TRUE,"Widnes"}</definedName>
    <definedName name="sdfg" hidden="1">#REF!</definedName>
    <definedName name="SDFGFH" hidden="1">{#N/A,#N/A,FALSE,"부대2"}</definedName>
    <definedName name="SDFGFH_1" hidden="1">{#N/A,#N/A,FALSE,"부대2"}</definedName>
    <definedName name="SDFGFH_2" hidden="1">{#N/A,#N/A,FALSE,"부대2"}</definedName>
    <definedName name="sdfgsdf"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FGTH" hidden="1">{#N/A,#N/A,TRUE,"Cover";#N/A,#N/A,TRUE,"Conts";#N/A,#N/A,TRUE,"VOS";#N/A,#N/A,TRUE,"Warrington";#N/A,#N/A,TRUE,"Widnes"}</definedName>
    <definedName name="sdfh" hidden="1">#REF!</definedName>
    <definedName name="SDFODF" hidden="1">{#N/A,#N/A,TRUE,"Front";#N/A,#N/A,TRUE,"Simple Letter";#N/A,#N/A,TRUE,"Inside";#N/A,#N/A,TRUE,"Contents";#N/A,#N/A,TRUE,"Basis";#N/A,#N/A,TRUE,"Inclusions";#N/A,#N/A,TRUE,"Exclusions";#N/A,#N/A,TRUE,"Areas";#N/A,#N/A,TRUE,"Summary";#N/A,#N/A,TRUE,"Detail"}</definedName>
    <definedName name="SDFRTG" hidden="1">{#N/A,#N/A,TRUE,"Cover";#N/A,#N/A,TRUE,"Conts";#N/A,#N/A,TRUE,"VOS";#N/A,#N/A,TRUE,"Warrington";#N/A,#N/A,TRUE,"Widnes"}</definedName>
    <definedName name="SDFSAFSADFS" hidden="1">{#N/A,#N/A,FALSE,"혼합골재"}</definedName>
    <definedName name="SDFSAFSADFS_1" hidden="1">{#N/A,#N/A,FALSE,"혼합골재"}</definedName>
    <definedName name="SDFSAFSADFS_2" hidden="1">{#N/A,#N/A,FALSE,"혼합골재"}</definedName>
    <definedName name="sdfsd" hidden="1">{#N/A,#N/A,TRUE,"Front";#N/A,#N/A,TRUE,"Simple Letter";#N/A,#N/A,TRUE,"Inside";#N/A,#N/A,TRUE,"Contents";#N/A,#N/A,TRUE,"Basis";#N/A,#N/A,TRUE,"Inclusions";#N/A,#N/A,TRUE,"Exclusions";#N/A,#N/A,TRUE,"Areas";#N/A,#N/A,TRUE,"Summary";#N/A,#N/A,TRUE,"Detail"}</definedName>
    <definedName name="sdfsdf" hidden="1">#REF!</definedName>
    <definedName name="SDFSDFAF" hidden="1">#REF!</definedName>
    <definedName name="sdfsdfsdf" hidden="1">#REF!</definedName>
    <definedName name="sdfsdfsdfsd" hidden="1">#REF!</definedName>
    <definedName name="sdfsf" hidden="1">{#N/A,#N/A,FALSE,"SumD";#N/A,#N/A,FALSE,"ElecD";#N/A,#N/A,FALSE,"MechD";#N/A,#N/A,FALSE,"GeotD";#N/A,#N/A,FALSE,"PrcsD";#N/A,#N/A,FALSE,"TunnD";#N/A,#N/A,FALSE,"CivlD";#N/A,#N/A,FALSE,"NtwkD";#N/A,#N/A,FALSE,"EstgD";#N/A,#N/A,FALSE,"PEngD"}</definedName>
    <definedName name="sdftgw" hidden="1">{#N/A,#N/A,TRUE,"Front";#N/A,#N/A,TRUE,"Simple Letter";#N/A,#N/A,TRUE,"Inside";#N/A,#N/A,TRUE,"Contents";#N/A,#N/A,TRUE,"Basis";#N/A,#N/A,TRUE,"Inclusions";#N/A,#N/A,TRUE,"Exclusions";#N/A,#N/A,TRUE,"Areas";#N/A,#N/A,TRUE,"Summary";#N/A,#N/A,TRUE,"Detail"}</definedName>
    <definedName name="sdfw">"Page "&amp;IF(ISNA(MATCH(ROW(),RowAfterpgbrk,1)),1,MATCH(ROW(),RowAfterpgbrk,1)+1)&amp;" of " &amp; TotPageCount + 0*NOW()</definedName>
    <definedName name="sdg" hidden="1">#REF!</definedName>
    <definedName name="SDGF">IF(ISNA(MATCH(ROW(),RowAfterpgbrk,1)),1,MATCH(ROW(),RowAfterpgbrk,1)+1)&lt;&gt;IF(ISNA(MATCH(ROW()-1,RowAfterpgbrk,1)),1,MATCH(ROW()-1,RowAfterpgbrk,1)+1)</definedName>
    <definedName name="SDGSDFHFDJDG" hidden="1">{#N/A,#N/A,FALSE,"속도"}</definedName>
    <definedName name="SDGSDFHFDJDG_1" hidden="1">{#N/A,#N/A,FALSE,"속도"}</definedName>
    <definedName name="SDGSDFHFDJDG_2" hidden="1">{#N/A,#N/A,FALSE,"속도"}</definedName>
    <definedName name="SDGSDGDHDFHGF" hidden="1">{#N/A,#N/A,FALSE,"운반시간"}</definedName>
    <definedName name="SDGSDGDHDFHGF_1" hidden="1">{#N/A,#N/A,FALSE,"운반시간"}</definedName>
    <definedName name="SDGSDGDHDFHGF_2" hidden="1">{#N/A,#N/A,FALSE,"운반시간"}</definedName>
    <definedName name="sdhydfyftuu" localSheetId="7" hidden="1">{#N/A,#N/A,TRUE,"Cover";#N/A,#N/A,TRUE,"Conts";#N/A,#N/A,TRUE,"VOS";#N/A,#N/A,TRUE,"Warrington";#N/A,#N/A,TRUE,"Widnes"}</definedName>
    <definedName name="sdhydfyftuu" localSheetId="0" hidden="1">{#N/A,#N/A,TRUE,"Cover";#N/A,#N/A,TRUE,"Conts";#N/A,#N/A,TRUE,"VOS";#N/A,#N/A,TRUE,"Warrington";#N/A,#N/A,TRUE,"Widnes"}</definedName>
    <definedName name="sdhydfyftuu" localSheetId="9"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S" hidden="1">{#N/A,#N/A,FALSE,"2~8번"}</definedName>
    <definedName name="sdsa" hidden="1">{#N/A,#N/A,TRUE,"Front";#N/A,#N/A,TRUE,"Simple Letter";#N/A,#N/A,TRUE,"Inside";#N/A,#N/A,TRUE,"Contents";#N/A,#N/A,TRUE,"Basis";#N/A,#N/A,TRUE,"Inclusions";#N/A,#N/A,TRUE,"Exclusions";#N/A,#N/A,TRUE,"Areas";#N/A,#N/A,TRUE,"Summary";#N/A,#N/A,TRUE,"Detail"}</definedName>
    <definedName name="SDSD" hidden="1">#REF!</definedName>
    <definedName name="SDSDS" hidden="1">#REF!</definedName>
    <definedName name="sdxc" hidden="1">{#N/A,#N/A,TRUE,"Cover";#N/A,#N/A,TRUE,"Conts";#N/A,#N/A,TRUE,"VOS";#N/A,#N/A,TRUE,"Warrington";#N/A,#N/A,TRUE,"Widnes"}</definedName>
    <definedName name="sdz" hidden="1">{#N/A,#N/A,FALSE,"SumG";#N/A,#N/A,FALSE,"ElecG";#N/A,#N/A,FALSE,"MechG";#N/A,#N/A,FALSE,"GeotG";#N/A,#N/A,FALSE,"PrcsG";#N/A,#N/A,FALSE,"TunnG";#N/A,#N/A,FALSE,"CivlG";#N/A,#N/A,FALSE,"NtwkG";#N/A,#N/A,FALSE,"EstgG";#N/A,#N/A,FALSE,"PEngG"}</definedName>
    <definedName name="se" hidden="1">#REF!</definedName>
    <definedName name="secondraw">IF(ISNA(MATCH(ROW(),RowAfterpgbrk,1)),1,MATCH(ROW(),RowAfterpgbrk,1)+1)&lt;&gt;IF(ISNA(MATCH(ROW()-1,RowAfterpgbrk,1)),1,MATCH(ROW()-1,RowAfterpgbrk,1)+1)</definedName>
    <definedName name="section1">#REF!</definedName>
    <definedName name="section10">#REF!</definedName>
    <definedName name="SECTION11">#REF!</definedName>
    <definedName name="section2">#REF!</definedName>
    <definedName name="section3">#REF!</definedName>
    <definedName name="section4">#REF!</definedName>
    <definedName name="section5">#REF!</definedName>
    <definedName name="section6a">#REF!</definedName>
    <definedName name="section6b">#REF!</definedName>
    <definedName name="section7a">#REF!</definedName>
    <definedName name="SECTION7B">#REF!</definedName>
    <definedName name="section7basic">#REF!</definedName>
    <definedName name="SECTION7C">#REF!</definedName>
    <definedName name="section8">#REF!</definedName>
    <definedName name="section9">#REF!</definedName>
    <definedName name="SECTY">#REF!</definedName>
    <definedName name="security" hidden="1">{#N/A,#N/A,TRUE,"Front";#N/A,#N/A,TRUE,"Simple Letter";#N/A,#N/A,TRUE,"Inside";#N/A,#N/A,TRUE,"Contents";#N/A,#N/A,TRUE,"Basis";#N/A,#N/A,TRUE,"Inclusions";#N/A,#N/A,TRUE,"Exclusions";#N/A,#N/A,TRUE,"Areas";#N/A,#N/A,TRUE,"Summary";#N/A,#N/A,TRUE,"Detail"}</definedName>
    <definedName name="sef" hidden="1">{#N/A,#N/A,TRUE,"COVER";#N/A,#N/A,TRUE,"DETAILS";#N/A,#N/A,TRUE,"SUMMARY";#N/A,#N/A,TRUE,"EXP MON";#N/A,#N/A,TRUE,"APPENDIX A";#N/A,#N/A,TRUE,"APPENDIX B";#N/A,#N/A,TRUE,"APPENDIX C";#N/A,#N/A,TRUE,"APPENDIX D";#N/A,#N/A,TRUE,"APPENDIX E";#N/A,#N/A,TRUE,"APPENDIX F";#N/A,#N/A,TRUE,"APPENDIX G"}</definedName>
    <definedName name="sefse" hidden="1">{"'장비'!$A$3:$M$12"}</definedName>
    <definedName name="sefse_1" hidden="1">{"'장비'!$A$3:$M$12"}</definedName>
    <definedName name="sefse_2" hidden="1">{"'장비'!$A$3:$M$12"}</definedName>
    <definedName name="segma">#REF!</definedName>
    <definedName name="Segment1">#REF!</definedName>
    <definedName name="Segment2">#REF!</definedName>
    <definedName name="Segment3">#REF!</definedName>
    <definedName name="Segment4">#REF!</definedName>
    <definedName name="Segment5">#REF!</definedName>
    <definedName name="segreg">"Page "&amp;IF(ISNA(MATCH(ROW(),RowAfterpgbrk,1)),1,MATCH(ROW(),RowAfterpgbrk,1)+1)&amp;" of " &amp; TotPageCount + 0*NOW()</definedName>
    <definedName name="sek">#REF!</definedName>
    <definedName name="Selling_Price">#REF!</definedName>
    <definedName name="sencount" hidden="1">1</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o" hidden="1">{#N/A,#N/A,TRUE,"Cover";#N/A,#N/A,TRUE,"Conts";#N/A,#N/A,TRUE,"VOS";#N/A,#N/A,TRUE,"Warrington";#N/A,#N/A,TRUE,"Widnes"}</definedName>
    <definedName name="SEP" hidden="1">{"'장비'!$A$3:$M$12"}</definedName>
    <definedName name="SEP_1" hidden="1">{"'장비'!$A$3:$M$12"}</definedName>
    <definedName name="SEP_2" hidden="1">{"'장비'!$A$3:$M$12"}</definedName>
    <definedName name="SEQU">#N/A</definedName>
    <definedName name="ser" hidden="1">{"'Break down'!$A$4"}</definedName>
    <definedName name="SERGG">"Page "&amp;IF(ISNA(MATCH(ROW(),RowAfterpgbrk,1)),1,MATCH(ROW(),RowAfterpgbrk,1)+1)&amp;" of " &amp; TotPageCount + 0*NOW()</definedName>
    <definedName name="sertter">IF(ISNA(MATCH(ROW(),RowAfterpgbrk,1)),1,MATCH(ROW(),RowAfterpgbrk,1)+1)&lt;&gt;IF(ISNA(MATCH(ROW()+1,RowAfterpgbrk,1)),1,MATCH(ROW()+1,RowAfterpgbrk,1)+1)</definedName>
    <definedName name="SERVICES__EQUIPMENT">#REF!</definedName>
    <definedName name="Services2" hidden="1">{#N/A,#N/A,FALSE,"Pricing";#N/A,#N/A,FALSE,"Summary";#N/A,#N/A,FALSE,"CompProd";#N/A,#N/A,FALSE,"CompJobhrs";#N/A,#N/A,FALSE,"Escalation";#N/A,#N/A,FALSE,"Contingency";#N/A,#N/A,FALSE,"GM";#N/A,#N/A,FALSE,"CompWage";#N/A,#N/A,FALSE,"costSum"}</definedName>
    <definedName name="Services2_1" hidden="1">{#N/A,#N/A,FALSE,"Pricing";#N/A,#N/A,FALSE,"Summary";#N/A,#N/A,FALSE,"CompProd";#N/A,#N/A,FALSE,"CompJobhrs";#N/A,#N/A,FALSE,"Escalation";#N/A,#N/A,FALSE,"Contingency";#N/A,#N/A,FALSE,"GM";#N/A,#N/A,FALSE,"CompWage";#N/A,#N/A,FALSE,"costSum"}</definedName>
    <definedName name="setdydy" localSheetId="7" hidden="1">{#N/A,#N/A,TRUE,"Cover";#N/A,#N/A,TRUE,"Conts";#N/A,#N/A,TRUE,"VOS";#N/A,#N/A,TRUE,"Warrington";#N/A,#N/A,TRUE,"Widnes"}</definedName>
    <definedName name="setdydy" localSheetId="0" hidden="1">{#N/A,#N/A,TRUE,"Cover";#N/A,#N/A,TRUE,"Conts";#N/A,#N/A,TRUE,"VOS";#N/A,#N/A,TRUE,"Warrington";#N/A,#N/A,TRUE,"Widnes"}</definedName>
    <definedName name="setdydy" localSheetId="9"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tSpec">#REF!</definedName>
    <definedName name="SETUP">#REF!</definedName>
    <definedName name="Sewage">#REF!</definedName>
    <definedName name="SEXP">#N/A</definedName>
    <definedName name="sf" hidden="1">{#N/A,#N/A,TRUE,"Cover";#N/A,#N/A,TRUE,"Conts";#N/A,#N/A,TRUE,"VOS";#N/A,#N/A,TRUE,"Warrington";#N/A,#N/A,TRUE,"Widnes"}</definedName>
    <definedName name="SFADGFA" hidden="1">{#N/A,#N/A,TRUE,"Basic";#N/A,#N/A,TRUE,"EXT-TABLE";#N/A,#N/A,TRUE,"STEEL";#N/A,#N/A,TRUE,"INT-Table";#N/A,#N/A,TRUE,"STEEL";#N/A,#N/A,TRUE,"Door"}</definedName>
    <definedName name="sfC">#REF!</definedName>
    <definedName name="sfds">#N/A</definedName>
    <definedName name="SFE">#REF!</definedName>
    <definedName name="SFFF" hidden="1">#REF!</definedName>
    <definedName name="sffff" hidden="1">{#N/A,#N/A,FALSE,"SumD";#N/A,#N/A,FALSE,"ElecD";#N/A,#N/A,FALSE,"MechD";#N/A,#N/A,FALSE,"GeotD";#N/A,#N/A,FALSE,"PrcsD";#N/A,#N/A,FALSE,"TunnD";#N/A,#N/A,FALSE,"CivlD";#N/A,#N/A,FALSE,"NtwkD";#N/A,#N/A,FALSE,"EstgD";#N/A,#N/A,FALSE,"PEngD"}</definedName>
    <definedName name="sffff_1" hidden="1">{#N/A,#N/A,FALSE,"SumD";#N/A,#N/A,FALSE,"ElecD";#N/A,#N/A,FALSE,"MechD";#N/A,#N/A,FALSE,"GeotD";#N/A,#N/A,FALSE,"PrcsD";#N/A,#N/A,FALSE,"TunnD";#N/A,#N/A,FALSE,"CivlD";#N/A,#N/A,FALSE,"NtwkD";#N/A,#N/A,FALSE,"EstgD";#N/A,#N/A,FALSE,"PEngD"}</definedName>
    <definedName name="SFFFFF" hidden="1">#REF!</definedName>
    <definedName name="sffffz" hidden="1">{#N/A,#N/A,FALSE,"SumD";#N/A,#N/A,FALSE,"ElecD";#N/A,#N/A,FALSE,"MechD";#N/A,#N/A,FALSE,"GeotD";#N/A,#N/A,FALSE,"PrcsD";#N/A,#N/A,FALSE,"TunnD";#N/A,#N/A,FALSE,"CivlD";#N/A,#N/A,FALSE,"NtwkD";#N/A,#N/A,FALSE,"EstgD";#N/A,#N/A,FALSE,"PEngD"}</definedName>
    <definedName name="sfhdfj" localSheetId="7" hidden="1">{#N/A,#N/A,TRUE,"Cover";#N/A,#N/A,TRUE,"Conts";#N/A,#N/A,TRUE,"VOS";#N/A,#N/A,TRUE,"Warrington";#N/A,#N/A,TRUE,"Widnes"}</definedName>
    <definedName name="sfhdfj" localSheetId="0" hidden="1">{#N/A,#N/A,TRUE,"Cover";#N/A,#N/A,TRUE,"Conts";#N/A,#N/A,TRUE,"VOS";#N/A,#N/A,TRUE,"Warrington";#N/A,#N/A,TRUE,"Widnes"}</definedName>
    <definedName name="sfhdfj" localSheetId="9"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M">#REF!</definedName>
    <definedName name="SFN">#REF!</definedName>
    <definedName name="sfr">#REF!</definedName>
    <definedName name="sfs" hidden="1">#REF!</definedName>
    <definedName name="SFSAF">#REF!</definedName>
    <definedName name="sfsd">#REF!</definedName>
    <definedName name="sfsfsdf" hidden="1">{"LKD",#N/A,FALSE,"표지"}</definedName>
    <definedName name="sfvdafv" hidden="1">{#N/A,#N/A,TRUE,"Front";#N/A,#N/A,TRUE,"Simple Letter";#N/A,#N/A,TRUE,"Inside";#N/A,#N/A,TRUE,"Contents";#N/A,#N/A,TRUE,"Basis";#N/A,#N/A,TRUE,"Inclusions";#N/A,#N/A,TRUE,"Exclusions";#N/A,#N/A,TRUE,"Areas";#N/A,#N/A,TRUE,"Summary";#N/A,#N/A,TRUE,"Detail"}</definedName>
    <definedName name="SGB" hidden="1">{#N/A,#N/A,FALSE,"OAS";#N/A,#N/A,FALSE,"OBG";#N/A,#N/A,FALSE,"OCZ";#N/A,#N/A,FALSE,"OFR";#N/A,#N/A,FALSE,"OGR";#N/A,#N/A,FALSE,"OGY";#N/A,#N/A,FALSE,"OHY ";#N/A,#N/A,FALSE,"OLX";#N/A,#N/A,FALSE,"ONL";#N/A,#N/A,FALSE,"OPO";#N/A,#N/A,FALSE,"OPL";#N/A,#N/A,FALSE,"OSK";#N/A,#N/A,FALSE,"OSP";#N/A,#N/A,FALSE,"OSZ";#N/A,#N/A,FALSE,"OTU";#N/A,#N/A,FALSE,"OUK"}</definedName>
    <definedName name="sgeo">#REF!</definedName>
    <definedName name="sgggggg" hidden="1">#REF!</definedName>
    <definedName name="sgsegegrt" localSheetId="7" hidden="1">{#N/A,#N/A,TRUE,"Cover";#N/A,#N/A,TRUE,"Conts";#N/A,#N/A,TRUE,"VOS";#N/A,#N/A,TRUE,"Warrington";#N/A,#N/A,TRUE,"Widnes"}</definedName>
    <definedName name="sgsegegrt" localSheetId="0" hidden="1">{#N/A,#N/A,TRUE,"Cover";#N/A,#N/A,TRUE,"Conts";#N/A,#N/A,TRUE,"VOS";#N/A,#N/A,TRUE,"Warrington";#N/A,#N/A,TRUE,"Widnes"}</definedName>
    <definedName name="sgsegegrt" localSheetId="9"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7" hidden="1">{#N/A,#N/A,TRUE,"Cover";#N/A,#N/A,TRUE,"Conts";#N/A,#N/A,TRUE,"VOS";#N/A,#N/A,TRUE,"Warrington";#N/A,#N/A,TRUE,"Widnes"}</definedName>
    <definedName name="sgsghju" localSheetId="0" hidden="1">{#N/A,#N/A,TRUE,"Cover";#N/A,#N/A,TRUE,"Conts";#N/A,#N/A,TRUE,"VOS";#N/A,#N/A,TRUE,"Warrington";#N/A,#N/A,TRUE,"Widnes"}</definedName>
    <definedName name="sgsghju" localSheetId="9"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7" hidden="1">{#N/A,#N/A,TRUE,"Cover";#N/A,#N/A,TRUE,"Conts";#N/A,#N/A,TRUE,"VOS";#N/A,#N/A,TRUE,"Warrington";#N/A,#N/A,TRUE,"Widnes"}</definedName>
    <definedName name="sgsgr" localSheetId="0" hidden="1">{#N/A,#N/A,TRUE,"Cover";#N/A,#N/A,TRUE,"Conts";#N/A,#N/A,TRUE,"VOS";#N/A,#N/A,TRUE,"Warrington";#N/A,#N/A,TRUE,"Widnes"}</definedName>
    <definedName name="sgsgr" localSheetId="9"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#REF!</definedName>
    <definedName name="shape.codes" hidden="1">#REF!</definedName>
    <definedName name="sheet" localSheetId="7" hidden="1">{#N/A,#N/A,TRUE,"Cover";#N/A,#N/A,TRUE,"Conts";#N/A,#N/A,TRUE,"VOS";#N/A,#N/A,TRUE,"Warrington";#N/A,#N/A,TRUE,"Widnes"}</definedName>
    <definedName name="sheet" localSheetId="0" hidden="1">{#N/A,#N/A,TRUE,"Cover";#N/A,#N/A,TRUE,"Conts";#N/A,#N/A,TRUE,"VOS";#N/A,#N/A,TRUE,"Warrington";#N/A,#N/A,TRUE,"Widnes"}</definedName>
    <definedName name="sheet" localSheetId="9" hidden="1">{#N/A,#N/A,TRUE,"Cover";#N/A,#N/A,TRUE,"Conts";#N/A,#N/A,TRUE,"VOS";#N/A,#N/A,TRUE,"Warrington";#N/A,#N/A,TRUE,"Widnes"}</definedName>
    <definedName name="sheet" localSheetId="8" hidden="1">{#N/A,#N/A,TRUE,"Cover";#N/A,#N/A,TRUE,"Conts";#N/A,#N/A,TRUE,"VOS";#N/A,#N/A,TRUE,"Warrington";#N/A,#N/A,TRUE,"Widnes"}</definedName>
    <definedName name="sheet" hidden="1">{#N/A,#N/A,TRUE,"Cover";#N/A,#N/A,TRUE,"Conts";#N/A,#N/A,TRUE,"VOS";#N/A,#N/A,TRUE,"Warrington";#N/A,#N/A,TRUE,"Widnes"}</definedName>
    <definedName name="sheet_1" hidden="1">{#N/A,#N/A,FALSE,"골재소요량";#N/A,#N/A,FALSE,"골재소요량"}</definedName>
    <definedName name="sheet_2" hidden="1">{#N/A,#N/A,FALSE,"골재소요량";#N/A,#N/A,FALSE,"골재소요량"}</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{#N/A,#N/A,FALSE,"SumD";#N/A,#N/A,FALSE,"ElecD";#N/A,#N/A,FALSE,"MechD";#N/A,#N/A,FALSE,"GeotD";#N/A,#N/A,FALSE,"PrcsD";#N/A,#N/A,FALSE,"TunnD";#N/A,#N/A,FALSE,"CivlD";#N/A,#N/A,FALSE,"NtwkD";#N/A,#N/A,FALSE,"EstgD";#N/A,#N/A,FALSE,"PEngD"}</definedName>
    <definedName name="SHEET3">#REF!</definedName>
    <definedName name="shell">#REF!</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LTER_2" hidden="1">{#N/A,#N/A,TRUE,"Basic";#N/A,#N/A,TRUE,"EXT-TABLE";#N/A,#N/A,TRUE,"STEEL";#N/A,#N/A,TRUE,"INT-Table";#N/A,#N/A,TRUE,"STEEL";#N/A,#N/A,TRUE,"Door"}</definedName>
    <definedName name="shipment">#REF!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ortDesc">#REF!</definedName>
    <definedName name="ShoulderEmb.">#REF!</definedName>
    <definedName name="ShoulderEmb._21">#REF!</definedName>
    <definedName name="ShoulderEmb._22">#REF!</definedName>
    <definedName name="ShoulderEmb._23">#REF!</definedName>
    <definedName name="ShoulderEmb._24">#REF!</definedName>
    <definedName name="ShoulderEmb._25">#REF!</definedName>
    <definedName name="ShoulderEmb._26">#REF!</definedName>
    <definedName name="ShoulderSubbase">#REF!</definedName>
    <definedName name="ShoulderSubbase_21">#REF!</definedName>
    <definedName name="ShoulderSubbase_22">#REF!</definedName>
    <definedName name="ShoulderSubbase_23">#REF!</definedName>
    <definedName name="ShoulderSubbase_24">#REF!</definedName>
    <definedName name="ShoulderSubbase_25">#REF!</definedName>
    <definedName name="ShoulderSubbase_26">#REF!</definedName>
    <definedName name="Show.Acct.Update.Warning" hidden="1">#REF!</definedName>
    <definedName name="Show.MDB.Update.Warning" hidden="1">#REF!</definedName>
    <definedName name="shs" hidden="1">{#N/A,#N/A,TRUE,"Cover";#N/A,#N/A,TRUE,"Conts";#N/A,#N/A,TRUE,"VOS";#N/A,#N/A,TRUE,"Warrington";#N/A,#N/A,TRUE,"Widnes"}</definedName>
    <definedName name="shshgtr" localSheetId="7" hidden="1">{#N/A,#N/A,TRUE,"Cover";#N/A,#N/A,TRUE,"Conts";#N/A,#N/A,TRUE,"VOS";#N/A,#N/A,TRUE,"Warrington";#N/A,#N/A,TRUE,"Widnes"}</definedName>
    <definedName name="shshgtr" localSheetId="0" hidden="1">{#N/A,#N/A,TRUE,"Cover";#N/A,#N/A,TRUE,"Conts";#N/A,#N/A,TRUE,"VOS";#N/A,#N/A,TRUE,"Warrington";#N/A,#N/A,TRUE,"Widnes"}</definedName>
    <definedName name="shshgtr" localSheetId="9"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HT">#REF!</definedName>
    <definedName name="shutt" hidden="1">#REF!</definedName>
    <definedName name="shuttering" hidden="1">{#N/A,#N/A,TRUE,"Front";#N/A,#N/A,TRUE,"Simple Letter";#N/A,#N/A,TRUE,"Inside";#N/A,#N/A,TRUE,"Contents";#N/A,#N/A,TRUE,"Basis";#N/A,#N/A,TRUE,"Inclusions";#N/A,#N/A,TRUE,"Exclusions";#N/A,#N/A,TRUE,"Areas";#N/A,#N/A,TRUE,"Summary";#N/A,#N/A,TRUE,"Detail"}</definedName>
    <definedName name="sidewalk">#REF!</definedName>
    <definedName name="sidewalk_1">#N/A</definedName>
    <definedName name="SIDEWALKS_CURVES">#REF!</definedName>
    <definedName name="Sidewalks_Work">#REF!</definedName>
    <definedName name="SIGCK1">#REF!</definedName>
    <definedName name="SIGCK2">#REF!</definedName>
    <definedName name="SIGN">#REF!</definedName>
    <definedName name="sigy">#REF!</definedName>
    <definedName name="SIGY1">#REF!</definedName>
    <definedName name="SIGY2">#REF!</definedName>
    <definedName name="sil">#REF!</definedName>
    <definedName name="sinchook">#REF!</definedName>
    <definedName name="sing_dollrs">#REF!</definedName>
    <definedName name="single_month">#REF!</definedName>
    <definedName name="SITA">#REF!</definedName>
    <definedName name="SITB">#REF!</definedName>
    <definedName name="SITC">#REF!</definedName>
    <definedName name="SITE">#REF!</definedName>
    <definedName name="site.ref" hidden="1">#REF!</definedName>
    <definedName name="SITE__WORKS">#REF!</definedName>
    <definedName name="Site_Clearance">#REF!</definedName>
    <definedName name="SiteArea">#REF!</definedName>
    <definedName name="SiteexRatio">#REF!</definedName>
    <definedName name="Sitetopographic">#REF!</definedName>
    <definedName name="SITEWORK" hidden="1">{#N/A,#N/A,TRUE,"Cover";#N/A,#N/A,TRUE,"Conts";#N/A,#N/A,TRUE,"VOS";#N/A,#N/A,TRUE,"Warrington";#N/A,#N/A,TRUE,"Widnes"}</definedName>
    <definedName name="SIXYRS_OF_PROJ">#REF!</definedName>
    <definedName name="size">#REF!</definedName>
    <definedName name="size_1">#N/A</definedName>
    <definedName name="SIZEC">#REF!</definedName>
    <definedName name="SizeNew">#REF!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SJJ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#REF!</definedName>
    <definedName name="ska" hidden="1">{#N/A,#N/A,TRUE,"Front";#N/A,#N/A,TRUE,"Simple Letter";#N/A,#N/A,TRUE,"Inside";#N/A,#N/A,TRUE,"Contents";#N/A,#N/A,TRUE,"Basis";#N/A,#N/A,TRUE,"Inclusions";#N/A,#N/A,TRUE,"Exclusions";#N/A,#N/A,TRUE,"Areas";#N/A,#N/A,TRUE,"Summary";#N/A,#N/A,TRUE,"Detail"}</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ew">#REF!</definedName>
    <definedName name="Skew_1">#N/A</definedName>
    <definedName name="Skey1" hidden="1">#REF!</definedName>
    <definedName name="Skey2" hidden="1">#REF!</definedName>
    <definedName name="SKI" hidden="1">#REF!</definedName>
    <definedName name="skirting">#REF!</definedName>
    <definedName name="skq" hidden="1">{#N/A,#N/A,TRUE,"Front";#N/A,#N/A,TRUE,"Simple Letter";#N/A,#N/A,TRUE,"Inside";#N/A,#N/A,TRUE,"Contents";#N/A,#N/A,TRUE,"Basis";#N/A,#N/A,TRUE,"Inclusions";#N/A,#N/A,TRUE,"Exclusions";#N/A,#N/A,TRUE,"Areas";#N/A,#N/A,TRUE,"Summary";#N/A,#N/A,TRUE,"Detail"}</definedName>
    <definedName name="SKYLIGHT">#REF!</definedName>
    <definedName name="SL" localSheetId="6">#REF!</definedName>
    <definedName name="SL">#REF!</definedName>
    <definedName name="SLAB">#N/A</definedName>
    <definedName name="Slabs">#REF!</definedName>
    <definedName name="slabt">#REF!</definedName>
    <definedName name="SLIDING">#REF!</definedName>
    <definedName name="SLOPE_PROTECTION">#REF!</definedName>
    <definedName name="sma" hidden="1">{"'Break down'!$A$4"}</definedName>
    <definedName name="SMAT">#N/A</definedName>
    <definedName name="SMAW_CUNI">#REF!</definedName>
    <definedName name="SMAW_SS">#REF!</definedName>
    <definedName name="SMHR">#N/A</definedName>
    <definedName name="smo" hidden="1">{"'Break down'!$A$4"}</definedName>
    <definedName name="SMOOTH_ON">#REF!</definedName>
    <definedName name="SMSD">#REF!</definedName>
    <definedName name="SMT_Expenses">1543094.04</definedName>
    <definedName name="SN" hidden="1">{"LKD",#N/A,FALSE,"표지"}</definedName>
    <definedName name="SN_Salary">#REF!</definedName>
    <definedName name="sncw">#REF!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#REF!</definedName>
    <definedName name="soasia" hidden="1">#REF!</definedName>
    <definedName name="sobha" hidden="1">{#N/A,#N/A,TRUE,"Front";#N/A,#N/A,TRUE,"Simple Letter";#N/A,#N/A,TRUE,"Inside";#N/A,#N/A,TRUE,"Contents";#N/A,#N/A,TRUE,"Basis";#N/A,#N/A,TRUE,"Inclusions";#N/A,#N/A,TRUE,"Exclusions";#N/A,#N/A,TRUE,"Areas";#N/A,#N/A,TRUE,"Summary";#N/A,#N/A,TRUE,"Detail"}</definedName>
    <definedName name="SOC">#REF!</definedName>
    <definedName name="SOCE">#REF!</definedName>
    <definedName name="SOCE1">#REF!</definedName>
    <definedName name="SOF_Alternative">#REF!</definedName>
    <definedName name="soffitl">#REF!</definedName>
    <definedName name="soffitl_1">#N/A</definedName>
    <definedName name="soil">#REF!</definedName>
    <definedName name="SOIL1">#REF!</definedName>
    <definedName name="SOIL2">#REF!</definedName>
    <definedName name="soilcapacity">#REF!</definedName>
    <definedName name="SOL">#REF!</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scl" hidden="1">2</definedName>
    <definedName name="solver_sho" hidden="1">1</definedName>
    <definedName name="solver_tim" hidden="1">100</definedName>
    <definedName name="solver_tmp" hidden="1">#REF!,#REF!</definedName>
    <definedName name="solver_tol" hidden="1">0.05</definedName>
    <definedName name="solver_typ" hidden="1">3</definedName>
    <definedName name="solver_val" hidden="1">22000000000</definedName>
    <definedName name="soo" hidden="1">#REF!</definedName>
    <definedName name="SOP" localSheetId="9">#REF!</definedName>
    <definedName name="SOP">#REF!</definedName>
    <definedName name="Sorry" hidden="1">#REF!</definedName>
    <definedName name="Sort" hidden="1">#REF!</definedName>
    <definedName name="SORT1" hidden="1">#REF!</definedName>
    <definedName name="Southern">#REF!</definedName>
    <definedName name="SOV">#REF!</definedName>
    <definedName name="SOW">#REF!</definedName>
    <definedName name="SozlesmeRsYenParitesi">#REF!</definedName>
    <definedName name="SozlesmeRsYenParitesi_21">#REF!</definedName>
    <definedName name="SozlesmeRsYenParitesi_22">#REF!</definedName>
    <definedName name="SozlesmeRsYenParitesi_23">#REF!</definedName>
    <definedName name="SozlesmeRsYenParitesi_24">#REF!</definedName>
    <definedName name="SozlesmeRsYenParitesi_25">#REF!</definedName>
    <definedName name="SozlesmeRsYenParitesi_26">#REF!</definedName>
    <definedName name="SozlesmeYenUSDParitesi">#REF!</definedName>
    <definedName name="SozlesmeYenUSDParitesi_21">#REF!</definedName>
    <definedName name="SozlesmeYenUSDParitesi_22">#REF!</definedName>
    <definedName name="SozlesmeYenUSDParitesi_23">#REF!</definedName>
    <definedName name="SozlesmeYenUSDParitesi_24">#REF!</definedName>
    <definedName name="SozlesmeYenUSDParitesi_25">#REF!</definedName>
    <definedName name="SozlesmeYenUSDParitesi_26">#REF!</definedName>
    <definedName name="sp_active_document_name">"NewDocument"</definedName>
    <definedName name="sp_active_phase">1</definedName>
    <definedName name="sp_building_sfc">0</definedName>
    <definedName name="sp_building_sfc_ph_1">0</definedName>
    <definedName name="sp_existing_building_sfc">0</definedName>
    <definedName name="sp_existing_building_sfc_ph_1">0</definedName>
    <definedName name="sp_G_n_3">0</definedName>
    <definedName name="sp_G_n_3_ph_1">0</definedName>
    <definedName name="sp_G_n_3_units">0</definedName>
    <definedName name="sp_G_n_3_units_ph_1">0</definedName>
    <definedName name="sp_hotel">0</definedName>
    <definedName name="sp_hotel_ph_1">0</definedName>
    <definedName name="sp_hotel_units">0</definedName>
    <definedName name="sp_hotel_units_ph_1">0</definedName>
    <definedName name="sp_lakes_ponds_sfc">0</definedName>
    <definedName name="sp_lakes_ponds_sfc_ph_1">0</definedName>
    <definedName name="sp_multifamily">0</definedName>
    <definedName name="sp_multifamily_ph_1">0</definedName>
    <definedName name="sp_multifamily_units">0</definedName>
    <definedName name="sp_multifamily_units_ph_1">0</definedName>
    <definedName name="sp_office">0</definedName>
    <definedName name="sp_office_ph_1">0</definedName>
    <definedName name="sp_office_units">0</definedName>
    <definedName name="sp_office_units_ph_1">0</definedName>
    <definedName name="sp_open_space_sfc">0</definedName>
    <definedName name="sp_open_space_sfc_ph_1">0</definedName>
    <definedName name="sp_programdarkviolet">0</definedName>
    <definedName name="sp_programdarkviolet_ph_1">0</definedName>
    <definedName name="sp_programdarkviolet_units">0</definedName>
    <definedName name="sp_programdarkviolet_units_ph_1">0</definedName>
    <definedName name="sp_programlightblue">0</definedName>
    <definedName name="sp_programlightblue_ph_1">0</definedName>
    <definedName name="sp_programlightblue_units">0</definedName>
    <definedName name="sp_programlightblue_units_ph_1">0</definedName>
    <definedName name="sp_r_n_d">0</definedName>
    <definedName name="sp_r_n_d_ph_1">0</definedName>
    <definedName name="sp_r_n_d_units">0</definedName>
    <definedName name="sp_r_n_d_units_ph_1">0</definedName>
    <definedName name="sp_residential">0</definedName>
    <definedName name="sp_residential_lot_sfc">0</definedName>
    <definedName name="sp_residential_lot_sfc_ph_1">0</definedName>
    <definedName name="sp_residential_ph_1">0</definedName>
    <definedName name="sp_residential_units">0</definedName>
    <definedName name="sp_residential_units_ph_1">0</definedName>
    <definedName name="sp_retail">0</definedName>
    <definedName name="sp_retail_ph_1">0</definedName>
    <definedName name="sp_retail_units">0</definedName>
    <definedName name="sp_retail_units_ph_1">0</definedName>
    <definedName name="sp_single_family">0</definedName>
    <definedName name="sp_single_family_ph_1">0</definedName>
    <definedName name="sp_single_family_units">0</definedName>
    <definedName name="sp_single_family_units_ph_1">0</definedName>
    <definedName name="sp_site_sfc">0</definedName>
    <definedName name="sp_site_sfc_ph_1">0</definedName>
    <definedName name="sp_structured_parking">0</definedName>
    <definedName name="sp_structured_parking_ph_1">0</definedName>
    <definedName name="sp_structured_parking_sfc">0</definedName>
    <definedName name="sp_structured_parking_sfc_ph_1">0</definedName>
    <definedName name="sp_structured_parking_units">0</definedName>
    <definedName name="sp_structured_parking_units_ph_1">0</definedName>
    <definedName name="sp_surface_parking">0</definedName>
    <definedName name="sp_surface_parking_ph_1">0</definedName>
    <definedName name="sp_surface_parking_sfc">0</definedName>
    <definedName name="sp_surface_parking_sfc_ph_1">0</definedName>
    <definedName name="sp_surface_parking_units">0</definedName>
    <definedName name="sp_surface_parking_units_ph_1">0</definedName>
    <definedName name="sp_townhomes">0</definedName>
    <definedName name="sp_townhomes_ph_1">0</definedName>
    <definedName name="sp_townhomes_units">0</definedName>
    <definedName name="sp_townhomes_units_ph_1">0</definedName>
    <definedName name="sp_townhouses">0</definedName>
    <definedName name="sp_townhouses_ph_1">0</definedName>
    <definedName name="sp_townhouses_units">0</definedName>
    <definedName name="sp_townhouses_units_ph_1">0</definedName>
    <definedName name="sp_unassigned">0</definedName>
    <definedName name="sp_unassigned_ph_1">0</definedName>
    <definedName name="sp_unassigned_sfc">2121604.49310928</definedName>
    <definedName name="sp_unassigned_sfc_ph_1">2121604.49310928</definedName>
    <definedName name="sp_unassigned_units">0</definedName>
    <definedName name="sp_unassigned_units_ph_1">0</definedName>
    <definedName name="sp_Villas">0</definedName>
    <definedName name="sp_Villas_ph_1">0</definedName>
    <definedName name="sp_Villas_units">0</definedName>
    <definedName name="sp_Villas_units_ph_1">0</definedName>
    <definedName name="spacing">#REF!</definedName>
    <definedName name="spacingL">#REF!</definedName>
    <definedName name="spe" hidden="1">{"'Break down'!$A$4"}</definedName>
    <definedName name="SPEA">#REF!</definedName>
    <definedName name="SPEB">#REF!</definedName>
    <definedName name="SPEC">#REF!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IAL__INSTALLATIONS">#REF!</definedName>
    <definedName name="Specializedtrainingschool">#REF!</definedName>
    <definedName name="SpecialPrice" hidden="1">#REF!</definedName>
    <definedName name="SpecSheet">#REF!</definedName>
    <definedName name="SpecSheetb">#REF!</definedName>
    <definedName name="SpecSht1">#REF!</definedName>
    <definedName name="SPECTACLE">#REF!</definedName>
    <definedName name="Speeds">#REF!</definedName>
    <definedName name="spgd.xls" hidden="1">{#N/A,#N/A,FALSE,"사업총괄";#N/A,#N/A,FALSE,"장비사업";#N/A,#N/A,FALSE,"철구사업";#N/A,#N/A,FALSE,"준설사업"}</definedName>
    <definedName name="spgd_1" hidden="1">{#N/A,#N/A,FALSE,"사업총괄";#N/A,#N/A,FALSE,"장비사업";#N/A,#N/A,FALSE,"철구사업";#N/A,#N/A,FALSE,"준설사업"}</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qFT">#REF!,#REF!,#REF!,#REF!,#REF!,#REF!,#REF!</definedName>
    <definedName name="sqMTR">#REF!,#REF!,#REF!,#REF!,#REF!,#REF!,#REF!</definedName>
    <definedName name="SR" hidden="1">#REF!</definedName>
    <definedName name="SRB" hidden="1">{"'Sheet1'!$A$4386:$N$4591"}</definedName>
    <definedName name="SRC">#REF!</definedName>
    <definedName name="SRC_21">#REF!</definedName>
    <definedName name="SRC_22">#REF!</definedName>
    <definedName name="SRC_23">#REF!</definedName>
    <definedName name="SRC_24">#REF!</definedName>
    <definedName name="SRC_25">#REF!</definedName>
    <definedName name="SRC_26">#REF!</definedName>
    <definedName name="srhrh" localSheetId="7" hidden="1">{#N/A,#N/A,TRUE,"Cover";#N/A,#N/A,TRUE,"Conts";#N/A,#N/A,TRUE,"VOS";#N/A,#N/A,TRUE,"Warrington";#N/A,#N/A,TRUE,"Widnes"}</definedName>
    <definedName name="srhrh" localSheetId="0" hidden="1">{#N/A,#N/A,TRUE,"Cover";#N/A,#N/A,TRUE,"Conts";#N/A,#N/A,TRUE,"VOS";#N/A,#N/A,TRUE,"Warrington";#N/A,#N/A,TRUE,"Widnes"}</definedName>
    <definedName name="srhrh" localSheetId="9"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7" hidden="1">{#N/A,#N/A,TRUE,"Cover";#N/A,#N/A,TRUE,"Conts";#N/A,#N/A,TRUE,"VOS";#N/A,#N/A,TRUE,"Warrington";#N/A,#N/A,TRUE,"Widnes"}</definedName>
    <definedName name="srsetrthgfh" localSheetId="0" hidden="1">{#N/A,#N/A,TRUE,"Cover";#N/A,#N/A,TRUE,"Conts";#N/A,#N/A,TRUE,"VOS";#N/A,#N/A,TRUE,"Warrington";#N/A,#N/A,TRUE,"Widnes"}</definedName>
    <definedName name="srsetrthgfh" localSheetId="9"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7" hidden="1">{#N/A,#N/A,TRUE,"Cover";#N/A,#N/A,TRUE,"Conts";#N/A,#N/A,TRUE,"VOS";#N/A,#N/A,TRUE,"Warrington";#N/A,#N/A,TRUE,"Widnes"}</definedName>
    <definedName name="srsretr" localSheetId="0" hidden="1">{#N/A,#N/A,TRUE,"Cover";#N/A,#N/A,TRUE,"Conts";#N/A,#N/A,TRUE,"VOS";#N/A,#N/A,TRUE,"Warrington";#N/A,#N/A,TRUE,"Widnes"}</definedName>
    <definedName name="srsretr" localSheetId="9"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THY">#REF!</definedName>
    <definedName name="srtthyrt" hidden="1">{#N/A,#N/A,TRUE,"Front";#N/A,#N/A,TRUE,"Simple Letter";#N/A,#N/A,TRUE,"Inside";#N/A,#N/A,TRUE,"Contents";#N/A,#N/A,TRUE,"Basis";#N/A,#N/A,TRUE,"Inclusions";#N/A,#N/A,TRUE,"Exclusions";#N/A,#N/A,TRUE,"Areas";#N/A,#N/A,TRUE,"Summary";#N/A,#N/A,TRUE,"Detail"}</definedName>
    <definedName name="srtugzsolu" hidden="1">{#N/A,#N/A,TRUE,"Cover";#N/A,#N/A,TRUE,"Conts";#N/A,#N/A,TRUE,"VOS";#N/A,#N/A,TRUE,"Warrington";#N/A,#N/A,TRUE,"Widnes"}</definedName>
    <definedName name="SRTYYY">#REF!</definedName>
    <definedName name="sryeysr" localSheetId="7" hidden="1">{#N/A,#N/A,TRUE,"Cover";#N/A,#N/A,TRUE,"Conts";#N/A,#N/A,TRUE,"VOS";#N/A,#N/A,TRUE,"Warrington";#N/A,#N/A,TRUE,"Widnes"}</definedName>
    <definedName name="sryeysr" localSheetId="0" hidden="1">{#N/A,#N/A,TRUE,"Cover";#N/A,#N/A,TRUE,"Conts";#N/A,#N/A,TRUE,"VOS";#N/A,#N/A,TRUE,"Warrington";#N/A,#N/A,TRUE,"Widnes"}</definedName>
    <definedName name="sryeysr" localSheetId="9"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 hidden="1">#N/A</definedName>
    <definedName name="SS_1" hidden="1">{#N/A,#N/A,FALSE,"SumD";#N/A,#N/A,FALSE,"ElecD";#N/A,#N/A,FALSE,"MechD";#N/A,#N/A,FALSE,"GeotD";#N/A,#N/A,FALSE,"PrcsD";#N/A,#N/A,FALSE,"TunnD";#N/A,#N/A,FALSE,"CivlD";#N/A,#N/A,FALSE,"NtwkD";#N/A,#N/A,FALSE,"EstgD";#N/A,#N/A,FALSE,"PEngD"}</definedName>
    <definedName name="SSCDD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dad" hidden="1">{#N/A,#N/A,TRUE,"Front";#N/A,#N/A,TRUE,"Simple Letter";#N/A,#N/A,TRUE,"Inside";#N/A,#N/A,TRUE,"Contents";#N/A,#N/A,TRUE,"Basis";#N/A,#N/A,TRUE,"Inclusions";#N/A,#N/A,TRUE,"Exclusions";#N/A,#N/A,TRUE,"Areas";#N/A,#N/A,TRUE,"Summary";#N/A,#N/A,TRUE,"Detail"}</definedName>
    <definedName name="ssdfsd"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SSec1MMax">#REF!</definedName>
    <definedName name="SSec1MMin">#REF!</definedName>
    <definedName name="SSL">#REF!</definedName>
    <definedName name="SSM">#REF!</definedName>
    <definedName name="Ssort" hidden="1">#REF!</definedName>
    <definedName name="SSS">#REF!</definedName>
    <definedName name="sss_1" hidden="1">{#N/A,#N/A,TRUE,"Basic";#N/A,#N/A,TRUE,"EXT-TABLE";#N/A,#N/A,TRUE,"STEEL";#N/A,#N/A,TRUE,"INT-Table";#N/A,#N/A,TRUE,"STEEL";#N/A,#N/A,TRUE,"Door"}</definedName>
    <definedName name="sss_2" hidden="1">{#N/A,#N/A,TRUE,"Basic";#N/A,#N/A,TRUE,"EXT-TABLE";#N/A,#N/A,TRUE,"STEEL";#N/A,#N/A,TRUE,"INT-Table";#N/A,#N/A,TRUE,"STEEL";#N/A,#N/A,TRUE,"Door"}</definedName>
    <definedName name="ssshhh" hidden="1">{#N/A,#N/A,FALSE,"SumG";#N/A,#N/A,FALSE,"ElecG";#N/A,#N/A,FALSE,"MechG";#N/A,#N/A,FALSE,"GeotG";#N/A,#N/A,FALSE,"PrcsG";#N/A,#N/A,FALSE,"TunnG";#N/A,#N/A,FALSE,"CivlG";#N/A,#N/A,FALSE,"NtwkG";#N/A,#N/A,FALSE,"EstgG";#N/A,#N/A,FALSE,"PEngG"}</definedName>
    <definedName name="ssshhh_1"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 hidden="1">#REF!</definedName>
    <definedName name="ssss_1" hidden="1">{#N/A,#N/A,TRUE,"Basic";#N/A,#N/A,TRUE,"EXT-TABLE";#N/A,#N/A,TRUE,"STEEL";#N/A,#N/A,TRUE,"INT-Table";#N/A,#N/A,TRUE,"STEEL";#N/A,#N/A,TRUE,"Door"}</definedName>
    <definedName name="ssss_2" hidden="1">{#N/A,#N/A,TRUE,"Basic";#N/A,#N/A,TRUE,"EXT-TABLE";#N/A,#N/A,TRUE,"STEEL";#N/A,#N/A,TRUE,"INT-Table";#N/A,#N/A,TRUE,"STEEL";#N/A,#N/A,TRUE,"Door"}</definedName>
    <definedName name="sssscda" hidden="1">#REF!</definedName>
    <definedName name="sssss">#REF!</definedName>
    <definedName name="sssss_1" hidden="1">{#N/A,#N/A,FALSE,"SumD";#N/A,#N/A,FALSE,"ElecD";#N/A,#N/A,FALSE,"MechD";#N/A,#N/A,FALSE,"GeotD";#N/A,#N/A,FALSE,"PrcsD";#N/A,#N/A,FALSE,"TunnD";#N/A,#N/A,FALSE,"CivlD";#N/A,#N/A,FALSE,"NtwkD";#N/A,#N/A,FALSE,"EstgD";#N/A,#N/A,FALSE,"PEngD"}</definedName>
    <definedName name="SSSSSS" hidden="1">#REF!</definedName>
    <definedName name="sssssss">#REF!</definedName>
    <definedName name="sssssssssss" hidden="1">{#N/A,#N/A,TRUE,"LOADCOVE";#N/A,#N/A,TRUE,"PAGE001";#N/A,#N/A,TRUE,"PAGE002";#N/A,#N/A,TRUE,"PAGE003";#N/A,#N/A,TRUE,"PAGE004";#N/A,#N/A,TRUE,"PAGE005";#N/A,#N/A,TRUE,"PAGE006";#N/A,#N/A,TRUE,"PAGE007";#N/A,#N/A,TRUE,"PAGE008";#N/A,#N/A,TRUE,"PAGE009";#N/A,#N/A,TRUE,"PAGE010";#N/A,#N/A,TRUE,"PAGE011";#N/A,#N/A,TRUE,"PAGE012";#N/A,#N/A,TRUE,"PAGE013"}</definedName>
    <definedName name="sssssssssssssssssssssssss" hidden="1">#REF!</definedName>
    <definedName name="sssssz" hidden="1">{#N/A,#N/A,FALSE,"SumD";#N/A,#N/A,FALSE,"ElecD";#N/A,#N/A,FALSE,"MechD";#N/A,#N/A,FALSE,"GeotD";#N/A,#N/A,FALSE,"PrcsD";#N/A,#N/A,FALSE,"TunnD";#N/A,#N/A,FALSE,"CivlD";#N/A,#N/A,FALSE,"NtwkD";#N/A,#N/A,FALSE,"EstgD";#N/A,#N/A,FALSE,"PEngD"}</definedName>
    <definedName name="SST">#REF!</definedName>
    <definedName name="SSTOHP">#REF!</definedName>
    <definedName name="SSWEWE" hidden="1">#REF!</definedName>
    <definedName name="ST">#REF!</definedName>
    <definedName name="STACK">#REF!</definedName>
    <definedName name="Stage">#REF!</definedName>
    <definedName name="Stage_2___Design_Development">#REF!</definedName>
    <definedName name="Stage_2___Schematic_Design">#REF!</definedName>
    <definedName name="Stage_2___Tender_Documents">#REF!</definedName>
    <definedName name="Stage_2___Working_Drawings">#REF!</definedName>
    <definedName name="STAIR" hidden="1">{"'장비'!$A$3:$M$12"}</definedName>
    <definedName name="staircase" hidden="1">{"T_Pole",#N/A,FALSE,"T-Pole"}</definedName>
    <definedName name="STAIRS">#REF!</definedName>
    <definedName name="start">#REF!</definedName>
    <definedName name="Start_date">#REF!</definedName>
    <definedName name="Start_date1">#REF!</definedName>
    <definedName name="Starter">#REF!</definedName>
    <definedName name="State">#REF!</definedName>
    <definedName name="STATUS">#REF!</definedName>
    <definedName name="steam_trap">#REF!</definedName>
    <definedName name="steel">#REF!</definedName>
    <definedName name="STEEL_BEAM">#REF!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size">#REF!</definedName>
    <definedName name="STEEL_WAGE">#REF!</definedName>
    <definedName name="stephenj" hidden="1">#REF!</definedName>
    <definedName name="steps" localSheetId="7" hidden="1">{#N/A,#N/A,FALSE,"C3";#N/A,#N/A,FALSE,"D2-17";#N/A,#N/A,FALSE,"C2-17";#N/A,#N/A,FALSE,"C2-CIVIL";#N/A,#N/A,FALSE,"D1-C1 contract";#N/A,#N/A,FALSE,"D1-CIVIL";#N/A,#N/A,FALSE,"C1 hourly";#N/A,#N/A,FALSE,"C1 contract";#N/A,#N/A,FALSE,"D1-C1 hourly"}</definedName>
    <definedName name="steps" localSheetId="0" hidden="1">{#N/A,#N/A,FALSE,"C3";#N/A,#N/A,FALSE,"D2-17";#N/A,#N/A,FALSE,"C2-17";#N/A,#N/A,FALSE,"C2-CIVIL";#N/A,#N/A,FALSE,"D1-C1 contract";#N/A,#N/A,FALSE,"D1-CIVIL";#N/A,#N/A,FALSE,"C1 hourly";#N/A,#N/A,FALSE,"C1 contract";#N/A,#N/A,FALSE,"D1-C1 hourly"}</definedName>
    <definedName name="steps" localSheetId="9"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NE" hidden="1">{#N/A,#N/A,FALSE,"ORGANISATION"}</definedName>
    <definedName name="stop" hidden="1">#REF!</definedName>
    <definedName name="stormwater_pipe_network" localSheetId="9">#REF!</definedName>
    <definedName name="stormwater_pipe_network">#REF!</definedName>
    <definedName name="Stormwaternetworks">#REF!</definedName>
    <definedName name="str">#REF!</definedName>
    <definedName name="Strategy">#REF!</definedName>
    <definedName name="streetlights">#REF!</definedName>
    <definedName name="stri1">#REF!</definedName>
    <definedName name="stri1_1">#N/A</definedName>
    <definedName name="stri2">#REF!</definedName>
    <definedName name="stri2_1">#N/A</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ure1">#REF!</definedName>
    <definedName name="structure3">#REF!</definedName>
    <definedName name="structure4">#REF!</definedName>
    <definedName name="structure5">#REF!</definedName>
    <definedName name="Structure6">#REF!</definedName>
    <definedName name="structure8">#REF!</definedName>
    <definedName name="structures" hidden="1">{#N/A,#N/A,FALSE,"SumD";#N/A,#N/A,FALSE,"ElecD";#N/A,#N/A,FALSE,"MechD";#N/A,#N/A,FALSE,"GeotD";#N/A,#N/A,FALSE,"PrcsD";#N/A,#N/A,FALSE,"TunnD";#N/A,#N/A,FALSE,"CivlD";#N/A,#N/A,FALSE,"NtwkD";#N/A,#N/A,FALSE,"EstgD";#N/A,#N/A,FALSE,"PEngD"}</definedName>
    <definedName name="structures_1" hidden="1">{#N/A,#N/A,FALSE,"SumD";#N/A,#N/A,FALSE,"ElecD";#N/A,#N/A,FALSE,"MechD";#N/A,#N/A,FALSE,"GeotD";#N/A,#N/A,FALSE,"PrcsD";#N/A,#N/A,FALSE,"TunnD";#N/A,#N/A,FALSE,"CivlD";#N/A,#N/A,FALSE,"NtwkD";#N/A,#N/A,FALSE,"EstgD";#N/A,#N/A,FALSE,"PEngD"}</definedName>
    <definedName name="stryt5u8h87" localSheetId="7" hidden="1">{#N/A,#N/A,TRUE,"Cover";#N/A,#N/A,TRUE,"Conts";#N/A,#N/A,TRUE,"VOS";#N/A,#N/A,TRUE,"Warrington";#N/A,#N/A,TRUE,"Widnes"}</definedName>
    <definedName name="stryt5u8h87" localSheetId="0" hidden="1">{#N/A,#N/A,TRUE,"Cover";#N/A,#N/A,TRUE,"Conts";#N/A,#N/A,TRUE,"VOS";#N/A,#N/A,TRUE,"Warrington";#N/A,#N/A,TRUE,"Widnes"}</definedName>
    <definedName name="stryt5u8h87" localSheetId="9"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#REF!</definedName>
    <definedName name="Su">#REF!</definedName>
    <definedName name="SUB">#REF!</definedName>
    <definedName name="Sub_amount">#REF!</definedName>
    <definedName name="Sub_Fac_old">#REF!</definedName>
    <definedName name="Subbase">#REF!</definedName>
    <definedName name="Subbase_21">#REF!</definedName>
    <definedName name="Subbase_22">#REF!</definedName>
    <definedName name="Subbase_23">#REF!</definedName>
    <definedName name="Subbase_24">#REF!</definedName>
    <definedName name="Subbase_25">#REF!</definedName>
    <definedName name="Subbase_26">#REF!</definedName>
    <definedName name="SUBCON">#REF!</definedName>
    <definedName name="SUBCONFORMATION">#REF!</definedName>
    <definedName name="Subcont_Selling">#REF!</definedName>
    <definedName name="SUBCONTRACT_MTRL_UNIT_COST">#REF!,#REF!,#REF!,#REF!,#REF!,#REF!,#REF!</definedName>
    <definedName name="SUBGRADE">#REF!</definedName>
    <definedName name="Subj">#REF!</definedName>
    <definedName name="subject">#REF!</definedName>
    <definedName name="SubjectProperty">#REF!</definedName>
    <definedName name="SubjectRooms">#REF!</definedName>
    <definedName name="Submission">#REF!</definedName>
    <definedName name="Submittal">#REF!</definedName>
    <definedName name="SUBSTRUCTIRE">#REF!</definedName>
    <definedName name="SUBTOTAL">#REF!</definedName>
    <definedName name="SUBTOTALS">#REF!</definedName>
    <definedName name="SUBTOTALS_12">"$#REF!.$M$8:$IV$8108"</definedName>
    <definedName name="SUBTOTALS_15">#REF!</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#REF!</definedName>
    <definedName name="sum">#REF!</definedName>
    <definedName name="sum_1" hidden="1">{#N/A,#N/A,TRUE,"Basic";#N/A,#N/A,TRUE,"EXT-TABLE";#N/A,#N/A,TRUE,"STEEL";#N/A,#N/A,TRUE,"INT-Table";#N/A,#N/A,TRUE,"STEEL";#N/A,#N/A,TRUE,"Door"}</definedName>
    <definedName name="sum_2" hidden="1">{#N/A,#N/A,TRUE,"Basic";#N/A,#N/A,TRUE,"EXT-TABLE";#N/A,#N/A,TRUE,"STEEL";#N/A,#N/A,TRUE,"INT-Table";#N/A,#N/A,TRUE,"STEEL";#N/A,#N/A,TRUE,"Door"}</definedName>
    <definedName name="SUM_DATA">#REF!</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6C">#REF!</definedName>
    <definedName name="sumGTR10">#REF!</definedName>
    <definedName name="SUMGTR16">#REF!</definedName>
    <definedName name="SUMGTR20">#REF!</definedName>
    <definedName name="SUMGTR25">#REF!</definedName>
    <definedName name="SUMGTR32">#REF!</definedName>
    <definedName name="SUMGTR40">#REF!</definedName>
    <definedName name="SUMGTR6">#REF!</definedName>
    <definedName name="SUMGTR8">#REF!</definedName>
    <definedName name="SUMGTT10">#REF!</definedName>
    <definedName name="SUMGTT12">#REF!</definedName>
    <definedName name="SUMGTT14">#REF!</definedName>
    <definedName name="SUMGTT16">#REF!</definedName>
    <definedName name="SUMGTT20">#REF!</definedName>
    <definedName name="SUMGTT25">#REF!</definedName>
    <definedName name="SUMGTT32">#REF!</definedName>
    <definedName name="SUMGTT40">#REF!</definedName>
    <definedName name="SUMGTT6">#REF!</definedName>
    <definedName name="SUMGTT8">#REF!</definedName>
    <definedName name="SUMHEADER">#REF!</definedName>
    <definedName name="summ" hidden="1">{#N/A,#N/A,TRUE,"Front";#N/A,#N/A,TRUE,"Simple Letter";#N/A,#N/A,TRUE,"Inside";#N/A,#N/A,TRUE,"Contents";#N/A,#N/A,TRUE,"Basis";#N/A,#N/A,TRUE,"Inclusions";#N/A,#N/A,TRUE,"Exclusions";#N/A,#N/A,TRUE,"Areas";#N/A,#N/A,TRUE,"Summary";#N/A,#N/A,TRUE,"Detail"}</definedName>
    <definedName name="summ1" hidden="1">{"'Break down'!$A$4"}</definedName>
    <definedName name="summariseddiff" hidden="1">{"'Break down'!$A$4"}</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A">#REF!</definedName>
    <definedName name="SummaryB">#REF!</definedName>
    <definedName name="Summarylist">#REF!</definedName>
    <definedName name="SumR10">#REF!</definedName>
    <definedName name="SUMR1094">#REF!</definedName>
    <definedName name="sumr10a">#REF!</definedName>
    <definedName name="SumR12">#REF!</definedName>
    <definedName name="SUMR1294">#REF!</definedName>
    <definedName name="sumr12a">#REF!</definedName>
    <definedName name="SumR16">#REF!</definedName>
    <definedName name="SUMR1694">#REF!</definedName>
    <definedName name="sumr16a">#REF!</definedName>
    <definedName name="SumR20">#REF!</definedName>
    <definedName name="SUMR2094">#REF!</definedName>
    <definedName name="sumr20a">#REF!</definedName>
    <definedName name="SumR25">#REF!</definedName>
    <definedName name="SUMR2594">#REF!</definedName>
    <definedName name="sumr25a">#REF!</definedName>
    <definedName name="SumR32">#REF!</definedName>
    <definedName name="SUMR3294">#REF!</definedName>
    <definedName name="sumr32a">#REF!</definedName>
    <definedName name="SumR40">#REF!</definedName>
    <definedName name="SUMR4094">#REF!</definedName>
    <definedName name="sumr40a">#REF!</definedName>
    <definedName name="SumR6">#REF!</definedName>
    <definedName name="SUMR694">#REF!</definedName>
    <definedName name="sumr6a">#REF!</definedName>
    <definedName name="SumR8">#REF!</definedName>
    <definedName name="SUMR894">#REF!</definedName>
    <definedName name="sumr8a">#REF!</definedName>
    <definedName name="SumT10">#REF!</definedName>
    <definedName name="SUMT1094">#REF!</definedName>
    <definedName name="sumt10a">#REF!</definedName>
    <definedName name="SumT12">#REF!</definedName>
    <definedName name="SUMT1294">#REF!</definedName>
    <definedName name="sumt12a">#REF!</definedName>
    <definedName name="SUMT14">#REF!</definedName>
    <definedName name="SumT16">#REF!</definedName>
    <definedName name="SUMT1694">#REF!</definedName>
    <definedName name="sumt16a">#REF!</definedName>
    <definedName name="SumT20">#REF!</definedName>
    <definedName name="SUMT2094">#REF!</definedName>
    <definedName name="sumt20a">#REF!</definedName>
    <definedName name="SumT25">#REF!</definedName>
    <definedName name="SUMT2594">#REF!</definedName>
    <definedName name="sumt25a">#REF!</definedName>
    <definedName name="SUMT28">#REF!</definedName>
    <definedName name="SUMT2894">#REF!</definedName>
    <definedName name="SumT32">#REF!</definedName>
    <definedName name="SUMT3294">#REF!</definedName>
    <definedName name="sumt32a">#REF!</definedName>
    <definedName name="SumT40">#REF!</definedName>
    <definedName name="SUMT4094">#REF!</definedName>
    <definedName name="sumt40a">#REF!</definedName>
    <definedName name="SumT6">#REF!</definedName>
    <definedName name="SUMT694">#REF!</definedName>
    <definedName name="sumt6a">#REF!</definedName>
    <definedName name="SumT8">#REF!</definedName>
    <definedName name="SUMT894">#REF!</definedName>
    <definedName name="sumt8a">#REF!</definedName>
    <definedName name="Sundriesarchitectural">#REF!</definedName>
    <definedName name="Sundriesexternal">#REF!</definedName>
    <definedName name="SundriesLift">#REF!</definedName>
    <definedName name="Sundriespiles">#REF!</definedName>
    <definedName name="Sundriesstructural">#REF!</definedName>
    <definedName name="Sundriestravellingcrane">#REF!</definedName>
    <definedName name="superstructurebeams">#REF!</definedName>
    <definedName name="SUPNAME">#REF!</definedName>
    <definedName name="Supp_Auth">#REF!</definedName>
    <definedName name="surarea2">#REF!</definedName>
    <definedName name="surarea2_1">#N/A</definedName>
    <definedName name="suresh" hidden="1">{#N/A,#N/A,TRUE,"Front";#N/A,#N/A,TRUE,"Simple Letter";#N/A,#N/A,TRUE,"Inside";#N/A,#N/A,TRUE,"Contents";#N/A,#N/A,TRUE,"Basis";#N/A,#N/A,TRUE,"Inclusions";#N/A,#N/A,TRUE,"Exclusions";#N/A,#N/A,TRUE,"Areas";#N/A,#N/A,TRUE,"Summary";#N/A,#N/A,TRUE,"Detail"}</definedName>
    <definedName name="SVF">#REF!</definedName>
    <definedName name="SVF_FLOW">#REF!</definedName>
    <definedName name="SVFFG" hidden="1">{#N/A,#N/A,TRUE,"Front";#N/A,#N/A,TRUE,"Simple Letter";#N/A,#N/A,TRUE,"Inside";#N/A,#N/A,TRUE,"Contents";#N/A,#N/A,TRUE,"Basis";#N/A,#N/A,TRUE,"Inclusions";#N/A,#N/A,TRUE,"Exclusions";#N/A,#N/A,TRUE,"Areas";#N/A,#N/A,TRUE,"Summary";#N/A,#N/A,TRUE,"Detail"}</definedName>
    <definedName name="sw" hidden="1">{"LTV Output",#N/A,FALSE,"Output";"DCR Output",#N/A,FALSE,"Output"}</definedName>
    <definedName name="SWE">#REF!</definedName>
    <definedName name="swi">#REF!</definedName>
    <definedName name="SWIMMING_POOL">#REF!</definedName>
    <definedName name="SWITCH">#REF!</definedName>
    <definedName name="SWL">#REF!</definedName>
    <definedName name="SWR">#REF!</definedName>
    <definedName name="swsdfa" localSheetId="7" hidden="1">{#N/A,#N/A,TRUE,"Cover";#N/A,#N/A,TRUE,"Conts";#N/A,#N/A,TRUE,"VOS";#N/A,#N/A,TRUE,"Warrington";#N/A,#N/A,TRUE,"Widnes"}</definedName>
    <definedName name="swsdfa" localSheetId="0" hidden="1">{#N/A,#N/A,TRUE,"Cover";#N/A,#N/A,TRUE,"Conts";#N/A,#N/A,TRUE,"VOS";#N/A,#N/A,TRUE,"Warrington";#N/A,#N/A,TRUE,"Widnes"}</definedName>
    <definedName name="swsdfa" localSheetId="9"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wvu.DETT.._.COSTI." hidden="1">#REF!</definedName>
    <definedName name="Swvu.RIEPIL.." hidden="1">#REF!</definedName>
    <definedName name="SWYD_DUCT_SIZE">#REF!</definedName>
    <definedName name="Swyd_Scope">#REF!</definedName>
    <definedName name="SWYD_TYPE">#REF!</definedName>
    <definedName name="SX" hidden="1">{#N/A,#N/A,FALSE,"CCTV"}</definedName>
    <definedName name="SY">#REF!</definedName>
    <definedName name="SYS">#REF!</definedName>
    <definedName name="sys_num">#REF!</definedName>
    <definedName name="SYSTEM">#REF!</definedName>
    <definedName name="syu" localSheetId="7" hidden="1">{#N/A,#N/A,TRUE,"Cover";#N/A,#N/A,TRUE,"Conts";#N/A,#N/A,TRUE,"VOS";#N/A,#N/A,TRUE,"Warrington";#N/A,#N/A,TRUE,"Widnes"}</definedName>
    <definedName name="syu" localSheetId="0" hidden="1">{#N/A,#N/A,TRUE,"Cover";#N/A,#N/A,TRUE,"Conts";#N/A,#N/A,TRUE,"VOS";#N/A,#N/A,TRUE,"Warrington";#N/A,#N/A,TRUE,"Widnes"}</definedName>
    <definedName name="syu" localSheetId="9"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Sz">#REF!</definedName>
    <definedName name="szxxx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#REF!</definedName>
    <definedName name="T.01">#REF!</definedName>
    <definedName name="T.02">#REF!</definedName>
    <definedName name="T.03">#REF!</definedName>
    <definedName name="T.04">#REF!</definedName>
    <definedName name="T1S">#REF!</definedName>
    <definedName name="T2S">#REF!</definedName>
    <definedName name="T3S">#REF!</definedName>
    <definedName name="t5454t" hidden="1">{#N/A,#N/A,TRUE,"Front";#N/A,#N/A,TRUE,"Simple Letter";#N/A,#N/A,TRUE,"Inside";#N/A,#N/A,TRUE,"Contents";#N/A,#N/A,TRUE,"Basis";#N/A,#N/A,TRUE,"Inclusions";#N/A,#N/A,TRUE,"Exclusions";#N/A,#N/A,TRUE,"Areas";#N/A,#N/A,TRUE,"Summary";#N/A,#N/A,TRUE,"Detail"}</definedName>
    <definedName name="TA" hidden="1">{#N/A,#N/A,FALSE,"CCTV"}</definedName>
    <definedName name="TA_1" hidden="1">{#N/A,#N/A,FALSE,"CCTV"}</definedName>
    <definedName name="TA_2" hidden="1">{#N/A,#N/A,FALSE,"CCTV"}</definedName>
    <definedName name="tabb">#REF!</definedName>
    <definedName name="Table">#REF!</definedName>
    <definedName name="Table_00">#REF!</definedName>
    <definedName name="Table_01">#REF!</definedName>
    <definedName name="Table_02">#REF!</definedName>
    <definedName name="Table_03">#REF!</definedName>
    <definedName name="Table1">#REF!</definedName>
    <definedName name="Table2">#REF!</definedName>
    <definedName name="Table3">#REF!</definedName>
    <definedName name="TABLE5KV">#REF!</definedName>
    <definedName name="TableSummary" hidden="1">#REF!</definedName>
    <definedName name="TABMM">#REF!</definedName>
    <definedName name="tabnl" hidden="1">{#N/A,#N/A,TRUE,"Cover";#N/A,#N/A,TRUE,"Calculations"}</definedName>
    <definedName name="tabtdp">#REF!</definedName>
    <definedName name="tabtdp_1">#N/A</definedName>
    <definedName name="TackCoat">#REF!</definedName>
    <definedName name="TackCoat_21">#REF!</definedName>
    <definedName name="TackCoat_22">#REF!</definedName>
    <definedName name="TackCoat_23">#REF!</definedName>
    <definedName name="TackCoat_24">#REF!</definedName>
    <definedName name="TackCoat_25">#REF!</definedName>
    <definedName name="TackCoat_26">#REF!</definedName>
    <definedName name="tagg">#REF!</definedName>
    <definedName name="tanjd" hidden="1">#REF!</definedName>
    <definedName name="TANK">#REF!</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RIFAS" hidden="1">#REF!</definedName>
    <definedName name="Task_1">#REF!</definedName>
    <definedName name="Task_2">#REF!</definedName>
    <definedName name="Task_3">#REF!</definedName>
    <definedName name="Taxes">#REF!</definedName>
    <definedName name="TaxInflation">#REF!</definedName>
    <definedName name="TaxRate">#REF!</definedName>
    <definedName name="TB">#REF!</definedName>
    <definedName name="TB_SK">#REF!</definedName>
    <definedName name="TB_SKM">#REF!</definedName>
    <definedName name="TB_ST">#REF!</definedName>
    <definedName name="TB_STM">#REF!</definedName>
    <definedName name="tbarri">#REF!</definedName>
    <definedName name="tbarri_1">#N/A</definedName>
    <definedName name="Tbc">#REF!</definedName>
    <definedName name="Tbc_1">#N/A</definedName>
    <definedName name="tbl_ProdInfo" hidden="1">#REF!</definedName>
    <definedName name="tcant">#REF!</definedName>
    <definedName name="tcant_1">#N/A</definedName>
    <definedName name="TCOST">#REF!</definedName>
    <definedName name="TCOSTB">#REF!</definedName>
    <definedName name="tcostbb">#REF!</definedName>
    <definedName name="tcpdp">#REF!</definedName>
    <definedName name="tcpdp_1">#N/A</definedName>
    <definedName name="TE">#REF!</definedName>
    <definedName name="Technicalbuilding">#REF!</definedName>
    <definedName name="TEE">#REF!</definedName>
    <definedName name="TEE_CSCL">#REF!</definedName>
    <definedName name="TEE_PVC">#REF!</definedName>
    <definedName name="TEE_RTR">#REF!</definedName>
    <definedName name="TEE_SS">#REF!</definedName>
    <definedName name="TEE_THRD">#REF!</definedName>
    <definedName name="teg" hidden="1">{#N/A,#N/A,TRUE,"Front";#N/A,#N/A,TRUE,"Simple Letter";#N/A,#N/A,TRUE,"Inside";#N/A,#N/A,TRUE,"Contents";#N/A,#N/A,TRUE,"Basis";#N/A,#N/A,TRUE,"Inclusions";#N/A,#N/A,TRUE,"Exclusions";#N/A,#N/A,TRUE,"Areas";#N/A,#N/A,TRUE,"Summary";#N/A,#N/A,TRUE,"Detail"}</definedName>
    <definedName name="TELE_CABLE">#REF!</definedName>
    <definedName name="TELE_CONDUIT">#REF!</definedName>
    <definedName name="TELE_EQUIP">#REF!</definedName>
    <definedName name="TEM">#REF!</definedName>
    <definedName name="TEMP" hidden="1">#REF!</definedName>
    <definedName name="temp_strainer">#REF!</definedName>
    <definedName name="temp1" hidden="1">{#N/A,#N/A,TRUE,"Front";#N/A,#N/A,TRUE,"Simple Letter";#N/A,#N/A,TRUE,"Inside";#N/A,#N/A,TRUE,"Contents";#N/A,#N/A,TRUE,"Basis";#N/A,#N/A,TRUE,"Inclusions";#N/A,#N/A,TRUE,"Exclusions";#N/A,#N/A,TRUE,"Areas";#N/A,#N/A,TRUE,"Summary";#N/A,#N/A,TRUE,"Detail"}</definedName>
    <definedName name="tempo" hidden="1">{"'Break down'!$A$4"}</definedName>
    <definedName name="TempRatio">#REF!</definedName>
    <definedName name="TENDER_SUMMARY">#REF!</definedName>
    <definedName name="tenderss">#REF!</definedName>
    <definedName name="TEQUIPMENT">#REF!</definedName>
    <definedName name="ter" hidden="1">#REF!</definedName>
    <definedName name="teri" hidden="1">{#N/A,#N/A,TRUE,"Basic";#N/A,#N/A,TRUE,"EXT-TABLE";#N/A,#N/A,TRUE,"STEEL";#N/A,#N/A,TRUE,"INT-Table";#N/A,#N/A,TRUE,"STEEL";#N/A,#N/A,TRUE,"Door"}</definedName>
    <definedName name="term">#REF!</definedName>
    <definedName name="TerminalCap">#REF!</definedName>
    <definedName name="Termite_Control">#REF!</definedName>
    <definedName name="TERMS_5KV">#REF!</definedName>
    <definedName name="TERMS_600V">#REF!</definedName>
    <definedName name="Terrain">#REF!</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#REF!</definedName>
    <definedName name="test_1" hidden="1">{#N/A,#N/A,FALSE,"Pricing";#N/A,#N/A,FALSE,"Summary";#N/A,#N/A,FALSE,"CompProd";#N/A,#N/A,FALSE,"CompJobhrs";#N/A,#N/A,FALSE,"Escalation";#N/A,#N/A,FALSE,"Contingency";#N/A,#N/A,FALSE,"GM";#N/A,#N/A,FALSE,"CompWage";#N/A,#N/A,FALSE,"costSum"}</definedName>
    <definedName name="test_2" hidden="1">{#N/A,#N/A,FALSE,"Aging Summary";#N/A,#N/A,FALSE,"Ratio Analysis";#N/A,#N/A,FALSE,"Test 120 Day Accts";#N/A,#N/A,FALSE,"Tickmarks"}</definedName>
    <definedName name="testing" hidden="1">#REF!</definedName>
    <definedName name="TETER" hidden="1">{#N/A,#N/A,TRUE,"Cover";#N/A,#N/A,TRUE,"Conts";#N/A,#N/A,TRUE,"VOS";#N/A,#N/A,TRUE,"Warrington";#N/A,#N/A,TRUE,"Widnes"}</definedName>
    <definedName name="TEWGDSGVDSFGVDSVGSD" hidden="1">{#N/A,#N/A,FALSE,"운반시간"}</definedName>
    <definedName name="TEWGDSGVDSFGVDSVGSD_1" hidden="1">{#N/A,#N/A,FALSE,"운반시간"}</definedName>
    <definedName name="TEWGDSGVDSFGVDSVGSD_2"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1">#REF!</definedName>
    <definedName name="TextRefCopyRangeCount" hidden="1">7</definedName>
    <definedName name="TFC">#REF!</definedName>
    <definedName name="TG" hidden="1">{#N/A,#N/A,FALSE,"CCTV"}</definedName>
    <definedName name="TG_1" hidden="1">{#N/A,#N/A,FALSE,"CCTV"}</definedName>
    <definedName name="TG_2" hidden="1">{#N/A,#N/A,FALSE,"CCTV"}</definedName>
    <definedName name="tgbv" hidden="1">{#N/A,#N/A,TRUE,"Cover";#N/A,#N/A,TRUE,"Conts";#N/A,#N/A,TRUE,"VOS";#N/A,#N/A,TRUE,"Warrington";#N/A,#N/A,TRUE,"Widnes"}</definedName>
    <definedName name="TGENERAL">#REF!</definedName>
    <definedName name="tghy" hidden="1">{"'Break down'!$A$4"}</definedName>
    <definedName name="tgp">#REF!</definedName>
    <definedName name="tguh" hidden="1">{#N/A,#N/A,TRUE,"LOADCOVE";#N/A,#N/A,TRUE,"PAGE001";#N/A,#N/A,TRUE,"PAGE002";#N/A,#N/A,TRUE,"PAGE003";#N/A,#N/A,TRUE,"PAGE004";#N/A,#N/A,TRUE,"PAGE005";#N/A,#N/A,TRUE,"PAGE006";#N/A,#N/A,TRUE,"PAGE007";#N/A,#N/A,TRUE,"PAGE008";#N/A,#N/A,TRUE,"PAGE009";#N/A,#N/A,TRUE,"PAGE010";#N/A,#N/A,TRUE,"PAGE011";#N/A,#N/A,TRUE,"PAGE012";#N/A,#N/A,TRUE,"PAGE013"}</definedName>
    <definedName name="thatpage">IF(ISNA(MATCH(ROW(),RowAfterpgbrk,1)),1,MATCH(ROW(),RowAfterpgbrk,1)+1)</definedName>
    <definedName name="THEA">#REF!</definedName>
    <definedName name="THEB">#REF!</definedName>
    <definedName name="THEC">#REF!</definedName>
    <definedName name="thikwing">#REF!</definedName>
    <definedName name="thikwing_1">#N/A</definedName>
    <definedName name="thirdraw">IF(ISNA(MATCH(ROW(),RowAfterpgbrk,1)),1,MATCH(ROW(),RowAfterpgbrk,1)+1)&lt;&gt;IF(ISNA(MATCH(ROW()-1,RowAfterpgbrk,1)),1,MATCH(ROW()-1,RowAfterpgbrk,1)+1)</definedName>
    <definedName name="ThirdRow">IF(ISNA(MATCH(ROW(),RowAfterpgbrk,1)),1,MATCH(ROW(),RowAfterpgbrk,1)+1)&lt;&gt;IF(ISNA(MATCH(ROW()+1,RowAfterpgbrk,1)),1,MATCH(ROW()+1,RowAfterpgbrk,1)+1)</definedName>
    <definedName name="ThisPage">IF(ISNA(MATCH(ROW(),RowAfterpgbrk,1)),1,MATCH(ROW(),RowAfterpgbrk,1)+1)</definedName>
    <definedName name="thk">#REF!</definedName>
    <definedName name="thrt" hidden="1">{#N/A,#N/A,TRUE,"Front";#N/A,#N/A,TRUE,"Simple Letter";#N/A,#N/A,TRUE,"Inside";#N/A,#N/A,TRUE,"Contents";#N/A,#N/A,TRUE,"Basis";#N/A,#N/A,TRUE,"Inclusions";#N/A,#N/A,TRUE,"Exclusions";#N/A,#N/A,TRUE,"Areas";#N/A,#N/A,TRUE,"Summary";#N/A,#N/A,TRUE,"Detail"}</definedName>
    <definedName name="thsrhtsrh">IF(ISNA(MATCH(ROW(),RowAfterpgbrk,1)),1,MATCH(ROW(),RowAfterpgbrk,1)+1)</definedName>
    <definedName name="THU">#REF!</definedName>
    <definedName name="thwghrt" localSheetId="7" hidden="1">{#N/A,#N/A,TRUE,"Cover";#N/A,#N/A,TRUE,"Conts";#N/A,#N/A,TRUE,"VOS";#N/A,#N/A,TRUE,"Warrington";#N/A,#N/A,TRUE,"Widnes"}</definedName>
    <definedName name="thwghrt" localSheetId="0" hidden="1">{#N/A,#N/A,TRUE,"Cover";#N/A,#N/A,TRUE,"Conts";#N/A,#N/A,TRUE,"VOS";#N/A,#N/A,TRUE,"Warrington";#N/A,#N/A,TRUE,"Widnes"}</definedName>
    <definedName name="thwghrt" localSheetId="9"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#REF!</definedName>
    <definedName name="Tick_Expat">#REF!</definedName>
    <definedName name="Tick_TCNHI">#REF!</definedName>
    <definedName name="Tick_TCNLI">#REF!</definedName>
    <definedName name="tidf" hidden="1">{"'Sheet1'!$L$16"}</definedName>
    <definedName name="tidf_1" hidden="1">{"'Sheet1'!$L$16"}</definedName>
    <definedName name="tidf_2" hidden="1">{"'Sheet1'!$L$16"}</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G_ALLOY20">#REF!</definedName>
    <definedName name="TIG_CHROME">#REF!</definedName>
    <definedName name="TIG_CS">#REF!</definedName>
    <definedName name="TIG_CUNI">#REF!</definedName>
    <definedName name="TIG_SMAW_ALLOY20">#REF!</definedName>
    <definedName name="TIG_SMAW_CHROME">#REF!</definedName>
    <definedName name="TIG_SMAW_CS">#REF!</definedName>
    <definedName name="TIG_SMAW_CUNI">#REF!</definedName>
    <definedName name="TIG_SMAW_SS">#REF!</definedName>
    <definedName name="TIG_SS">#REF!</definedName>
    <definedName name="Tile_1" hidden="1">{#N/A,#N/A,FALSE,"type1";#N/A,#N/A,FALSE,"지지력";#N/A,#N/A,FALSE,"PILE계산";#N/A,#N/A,FALSE,"PILE ";#N/A,#N/A,FALSE,"철근량";#N/A,#N/A,FALSE,"균열검토";#N/A,#N/A,FALSE,"날개벽";#N/A,#N/A,FALSE,"주철근조립도";#N/A,#N/A,FALSE,"교좌"}</definedName>
    <definedName name="Tile_2" hidden="1">{#N/A,#N/A,FALSE,"type1";#N/A,#N/A,FALSE,"지지력";#N/A,#N/A,FALSE,"PILE계산";#N/A,#N/A,FALSE,"PILE ";#N/A,#N/A,FALSE,"철근량";#N/A,#N/A,FALSE,"균열검토";#N/A,#N/A,FALSE,"날개벽";#N/A,#N/A,FALSE,"주철근조립도";#N/A,#N/A,FALSE,"교좌"}</definedName>
    <definedName name="TILING">#REF!</definedName>
    <definedName name="Time">#REF!</definedName>
    <definedName name="Time_per_district">#REF!</definedName>
    <definedName name="timeext" hidden="1">{#N/A,#N/A,FALSE,"TABLE"}</definedName>
    <definedName name="TIPAREA">#REF!</definedName>
    <definedName name="TITLE">#REF!</definedName>
    <definedName name="title1">#REF!</definedName>
    <definedName name="title2">#REF!</definedName>
    <definedName name="title2opt1">#REF!</definedName>
    <definedName name="title2opt2">#REF!</definedName>
    <definedName name="title3">#REF!</definedName>
    <definedName name="TITLES">#REF!</definedName>
    <definedName name="TITLES_A_HRS">#REF!</definedName>
    <definedName name="TITLES_PRINT">#REF!</definedName>
    <definedName name="tj">"Page "&amp;IF(ISNA(MATCH(ROW(),RowAfterpgbrk,1)),1,MATCH(ROW(),RowAfterpgbrk,1)+1)&amp;" of " &amp; TotPageCount + 0*NOW()</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k_20">0.25</definedName>
    <definedName name="tk_25">0.25</definedName>
    <definedName name="Tl">#REF!</definedName>
    <definedName name="Tl_1">#N/A</definedName>
    <definedName name="TLC_GenNotes">#REF!</definedName>
    <definedName name="TLC_Spec1a">#REF!</definedName>
    <definedName name="TLC_Spec1b">#REF!</definedName>
    <definedName name="TLC_SpecIndex">#REF!</definedName>
    <definedName name="TLS" hidden="1">{"LKD",#N/A,FALSE,"표지"}</definedName>
    <definedName name="tm" hidden="1">{"'Break down'!$A$4"}</definedName>
    <definedName name="TMISCE">#REF!</definedName>
    <definedName name="TMO">#REF!</definedName>
    <definedName name="tmp" hidden="1">{"'Break down'!$A$4"}</definedName>
    <definedName name="tnj" hidden="1">{"'Break down'!$A$4"}</definedName>
    <definedName name="TNNR" hidden="1">{#N/A,#N/A,FALSE,"이정표"}</definedName>
    <definedName name="TNNR_1" hidden="1">{#N/A,#N/A,FALSE,"이정표"}</definedName>
    <definedName name="TNNR_2" hidden="1">{#N/A,#N/A,FALSE,"이정표"}</definedName>
    <definedName name="tno" hidden="1">{"'Break down'!$A$4"}</definedName>
    <definedName name="To">#REF!</definedName>
    <definedName name="TOC">#REF!</definedName>
    <definedName name="tog">#REF!</definedName>
    <definedName name="TOILET_PARTITIONS">#REF!</definedName>
    <definedName name="TOL">#REF!</definedName>
    <definedName name="TOP_DIMS">#REF!</definedName>
    <definedName name="toparea1">#REF!</definedName>
    <definedName name="toparea1_1">#N/A</definedName>
    <definedName name="topas">#REF!</definedName>
    <definedName name="topdia">#REF!</definedName>
    <definedName name="topinterval">#REF!</definedName>
    <definedName name="topmax">#REF!</definedName>
    <definedName name="TOT_CV">#REF!</definedName>
    <definedName name="TOT_EXP_COND">#REF!</definedName>
    <definedName name="TOT_FIXTURES">#REF!</definedName>
    <definedName name="TOT_PVC_COND">#REF!</definedName>
    <definedName name="tot_sales_price">#REF!</definedName>
    <definedName name="Tot_sub_amount">#REF!</definedName>
    <definedName name="Total">#REF!</definedName>
    <definedName name="Total_Burden">#REF!</definedName>
    <definedName name="total_de">#REF!</definedName>
    <definedName name="TOTAL_DIRECTS">#REF!</definedName>
    <definedName name="total_graph">#REF!</definedName>
    <definedName name="total_h">#REF!</definedName>
    <definedName name="Total_hours">#REF!</definedName>
    <definedName name="TOTAL_INDIRECTS">#REF!</definedName>
    <definedName name="total_net_rent_for_cashflow" localSheetId="9">#REF!</definedName>
    <definedName name="total_net_rent_for_cashflow">#REF!</definedName>
    <definedName name="total_pack">#REF!</definedName>
    <definedName name="total_qty">#REF!</definedName>
    <definedName name="Total_Regional_Expenses">#REF!</definedName>
    <definedName name="total_schedule">#REF!</definedName>
    <definedName name="total1">#REF!</definedName>
    <definedName name="total2">#REF!</definedName>
    <definedName name="total3">#REF!</definedName>
    <definedName name="totalbudget">#REF!</definedName>
    <definedName name="TotalequipmentkW">#REF!</definedName>
    <definedName name="totalflats">#REF!</definedName>
    <definedName name="totalother">#REF!</definedName>
    <definedName name="TOTALS">#REF!</definedName>
    <definedName name="Townhouses" hidden="1">#REF!</definedName>
    <definedName name="tppp" hidden="1">{"'Break down'!$A$4"}</definedName>
    <definedName name="Trac">#REF!</definedName>
    <definedName name="TRADE">#REF!</definedName>
    <definedName name="TRADEM">#REF!</definedName>
    <definedName name="TRADEN">#REF!</definedName>
    <definedName name="TrafficSings">#REF!</definedName>
    <definedName name="TrafficSings_21">#REF!</definedName>
    <definedName name="TrafficSings_22">#REF!</definedName>
    <definedName name="TrafficSings_23">#REF!</definedName>
    <definedName name="TrafficSings_24">#REF!</definedName>
    <definedName name="TrafficSings_25">#REF!</definedName>
    <definedName name="TrafficSings_26">#REF!</definedName>
    <definedName name="TRANS">#REF!</definedName>
    <definedName name="TransactionCosts">#REF!</definedName>
    <definedName name="TransChanConc" localSheetId="7">#REF!</definedName>
    <definedName name="TransChanConc" localSheetId="9">#REF!</definedName>
    <definedName name="TransChanConc">#REF!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#REF!</definedName>
    <definedName name="TRANSFERS">#REF!</definedName>
    <definedName name="TransSched" localSheetId="7">#REF!</definedName>
    <definedName name="TransSched" localSheetId="9">#REF!</definedName>
    <definedName name="TransSched">#REF!</definedName>
    <definedName name="TrapChannelCalc" localSheetId="7">#REF!</definedName>
    <definedName name="TrapChannelCalc" localSheetId="9">#REF!</definedName>
    <definedName name="TrapChannelCalc">#REF!</definedName>
    <definedName name="Travellingcrane">#REF!</definedName>
    <definedName name="TRAY">#REF!</definedName>
    <definedName name="TRAY_PRICING">#REF!</definedName>
    <definedName name="TRAY_TYPE">#REF!</definedName>
    <definedName name="Tray_Width">IF(VLOOKUP(#REF!,TRAY_PRICING,2,FALSE)=0,0,VLOOKUP(#REF!,TRAY_PRICING,2,FALSE))</definedName>
    <definedName name="Tray1_Width">IF(VLOOKUP(#REF!,TRAY_PRICING,2,FALSE)=0,0,VLOOKUP(#REF!,TRAY_PRICING,2,FALSE))</definedName>
    <definedName name="TRAYSET">#REF!</definedName>
    <definedName name="TRAYTON">#REF!</definedName>
    <definedName name="trbnuomi" localSheetId="7" hidden="1">{#N/A,#N/A,TRUE,"Cover";#N/A,#N/A,TRUE,"Conts";#N/A,#N/A,TRUE,"VOS";#N/A,#N/A,TRUE,"Warrington";#N/A,#N/A,TRUE,"Widnes"}</definedName>
    <definedName name="trbnuomi" localSheetId="0" hidden="1">{#N/A,#N/A,TRUE,"Cover";#N/A,#N/A,TRUE,"Conts";#N/A,#N/A,TRUE,"VOS";#N/A,#N/A,TRUE,"Warrington";#N/A,#N/A,TRUE,"Widnes"}</definedName>
    <definedName name="trbnuomi" localSheetId="9"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CONCOVFRMH">#N/A</definedName>
    <definedName name="tre">#REF!</definedName>
    <definedName name="trefd">#REF!</definedName>
    <definedName name="TRENCHES">#REF!</definedName>
    <definedName name="tresd" hidden="1">{"'장비'!$A$3:$M$12"}</definedName>
    <definedName name="TRGG" hidden="1">{#N/A,#N/A,TRUE,"Front";#N/A,#N/A,TRUE,"Simple Letter";#N/A,#N/A,TRUE,"Inside";#N/A,#N/A,TRUE,"Contents";#N/A,#N/A,TRUE,"Basis";#N/A,#N/A,TRUE,"Inclusions";#N/A,#N/A,TRUE,"Exclusions";#N/A,#N/A,TRUE,"Areas";#N/A,#N/A,TRUE,"Summary";#N/A,#N/A,TRUE,"Detail"}</definedName>
    <definedName name="trgr" localSheetId="7" hidden="1">{#N/A,#N/A,TRUE,"Cover";#N/A,#N/A,TRUE,"Conts";#N/A,#N/A,TRUE,"VOS";#N/A,#N/A,TRUE,"Warrington";#N/A,#N/A,TRUE,"Widnes"}</definedName>
    <definedName name="trgr" localSheetId="0" hidden="1">{#N/A,#N/A,TRUE,"Cover";#N/A,#N/A,TRUE,"Conts";#N/A,#N/A,TRUE,"VOS";#N/A,#N/A,TRUE,"Warrington";#N/A,#N/A,TRUE,"Widnes"}</definedName>
    <definedName name="trgr" localSheetId="9"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7" hidden="1">{#N/A,#N/A,TRUE,"Cover";#N/A,#N/A,TRUE,"Conts";#N/A,#N/A,TRUE,"VOS";#N/A,#N/A,TRUE,"Warrington";#N/A,#N/A,TRUE,"Widnes"}</definedName>
    <definedName name="trhe" localSheetId="0" hidden="1">{#N/A,#N/A,TRUE,"Cover";#N/A,#N/A,TRUE,"Conts";#N/A,#N/A,TRUE,"VOS";#N/A,#N/A,TRUE,"Warrington";#N/A,#N/A,TRUE,"Widnes"}</definedName>
    <definedName name="trhe" localSheetId="9"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7" hidden="1">{#N/A,#N/A,TRUE,"Cover";#N/A,#N/A,TRUE,"Conts";#N/A,#N/A,TRUE,"VOS";#N/A,#N/A,TRUE,"Warrington";#N/A,#N/A,TRUE,"Widnes"}</definedName>
    <definedName name="trhsh" localSheetId="0" hidden="1">{#N/A,#N/A,TRUE,"Cover";#N/A,#N/A,TRUE,"Conts";#N/A,#N/A,TRUE,"VOS";#N/A,#N/A,TRUE,"Warrington";#N/A,#N/A,TRUE,"Widnes"}</definedName>
    <definedName name="trhsh" localSheetId="9"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7" hidden="1">{#N/A,#N/A,TRUE,"Cover";#N/A,#N/A,TRUE,"Conts";#N/A,#N/A,TRUE,"VOS";#N/A,#N/A,TRUE,"Warrington";#N/A,#N/A,TRUE,"Widnes"}</definedName>
    <definedName name="trhsw" localSheetId="0" hidden="1">{#N/A,#N/A,TRUE,"Cover";#N/A,#N/A,TRUE,"Conts";#N/A,#N/A,TRUE,"VOS";#N/A,#N/A,TRUE,"Warrington";#N/A,#N/A,TRUE,"Widnes"}</definedName>
    <definedName name="trhsw" localSheetId="9"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ows">#REF!</definedName>
    <definedName name="TRRR" hidden="1">{#N/A,#N/A,FALSE,"속도"}</definedName>
    <definedName name="TRRR_1" hidden="1">{#N/A,#N/A,FALSE,"속도"}</definedName>
    <definedName name="TRRR_2" hidden="1">{#N/A,#N/A,FALSE,"속도"}</definedName>
    <definedName name="trrryt" hidden="1">{#N/A,#N/A,TRUE,"Front";#N/A,#N/A,TRUE,"Simple Letter";#N/A,#N/A,TRUE,"Inside";#N/A,#N/A,TRUE,"Contents";#N/A,#N/A,TRUE,"Basis";#N/A,#N/A,TRUE,"Inclusions";#N/A,#N/A,TRUE,"Exclusions";#N/A,#N/A,TRUE,"Areas";#N/A,#N/A,TRUE,"Summary";#N/A,#N/A,TRUE,"Detail"}</definedName>
    <definedName name="trtrh">IF(ISNA(MATCH(ROW(),RowAfterpgbrk,1)),1,MATCH(ROW(),RowAfterpgbrk,1)+1)&lt;&gt;IF(ISNA(MATCH(ROW()+1,RowAfterpgbrk,1)),1,MATCH(ROW()+1,RowAfterpgbrk,1)+1)</definedName>
    <definedName name="TRTTR" hidden="1">{#N/A,#N/A,FALSE,"C_01 CASE 1";#N/A,#N/A,FALSE,"C_01 CASE 2"}</definedName>
    <definedName name="tru" hidden="1">{"'장비'!$A$3:$M$12"}</definedName>
    <definedName name="TRUNK">#REF!</definedName>
    <definedName name="trw" hidden="1">{#N/A,#N/A,FALSE,"CCTV"}</definedName>
    <definedName name="trw_1" hidden="1">{#N/A,#N/A,FALSE,"CCTV"}</definedName>
    <definedName name="trw_2" hidden="1">{#N/A,#N/A,FALSE,"CCTV"}</definedName>
    <definedName name="try" localSheetId="7">#REF!</definedName>
    <definedName name="try" localSheetId="3">#REF!</definedName>
    <definedName name="try" localSheetId="6">#REF!</definedName>
    <definedName name="try" localSheetId="9">#REF!</definedName>
    <definedName name="try" localSheetId="2">#REF!</definedName>
    <definedName name="try" localSheetId="5">#REF!</definedName>
    <definedName name="try" localSheetId="8">#REF!</definedName>
    <definedName name="try">#REF!</definedName>
    <definedName name="tryriutit7">#REF!</definedName>
    <definedName name="TS">#REF!</definedName>
    <definedName name="TSC">#REF!</definedName>
    <definedName name="TSCH">#REF!</definedName>
    <definedName name="TSD">#REF!</definedName>
    <definedName name="tsgdgsdgf" hidden="1">#REF!</definedName>
    <definedName name="tsidewlk">#REF!</definedName>
    <definedName name="tsidewlk_1">#N/A</definedName>
    <definedName name="TSK">#REF!</definedName>
    <definedName name="TSS">#REF!</definedName>
    <definedName name="TSUPPOT" hidden="1">{#N/A,#N/A,FALSE,"CCTV"}</definedName>
    <definedName name="TSUPPOT_1" hidden="1">{#N/A,#N/A,FALSE,"CCTV"}</definedName>
    <definedName name="TSUPPOT_2" hidden="1">{#N/A,#N/A,FALSE,"CCTV"}</definedName>
    <definedName name="tt">#REF!</definedName>
    <definedName name="TTT">#REF!</definedName>
    <definedName name="ttt_1" hidden="1">{"'장비'!$A$3:$M$12"}</definedName>
    <definedName name="ttt_2" hidden="1">{"'장비'!$A$3:$M$12"}</definedName>
    <definedName name="tttt" hidden="1">{#N/A,#N/A,TRUE,"Front";#N/A,#N/A,TRUE,"Simple Letter";#N/A,#N/A,TRUE,"Inside";#N/A,#N/A,TRUE,"Contents";#N/A,#N/A,TRUE,"Basis";#N/A,#N/A,TRUE,"Inclusions";#N/A,#N/A,TRUE,"Exclusions";#N/A,#N/A,TRUE,"Areas";#N/A,#N/A,TRUE,"Summary";#N/A,#N/A,TRUE,"Detail"}</definedName>
    <definedName name="TTTTRFS" hidden="1">{#N/A,#N/A,FALSE,"운반시간"}</definedName>
    <definedName name="TTTTRFS_1" hidden="1">{#N/A,#N/A,FALSE,"운반시간"}</definedName>
    <definedName name="TTTTRFS_2" hidden="1">{#N/A,#N/A,FALSE,"운반시간"}</definedName>
    <definedName name="tttttt" hidden="1">{#N/A,#N/A,FALSE,"OAS";#N/A,#N/A,FALSE,"OBG";#N/A,#N/A,FALSE,"OCZ";#N/A,#N/A,FALSE,"OFR";#N/A,#N/A,FALSE,"OGR";#N/A,#N/A,FALSE,"OGY";#N/A,#N/A,FALSE,"OHY ";#N/A,#N/A,FALSE,"OLX";#N/A,#N/A,FALSE,"ONL";#N/A,#N/A,FALSE,"OPO";#N/A,#N/A,FALSE,"OPL";#N/A,#N/A,FALSE,"OSK";#N/A,#N/A,FALSE,"OSP";#N/A,#N/A,FALSE,"OSZ";#N/A,#N/A,FALSE,"OTU";#N/A,#N/A,FALSE,"OUK"}</definedName>
    <definedName name="ttttttttt" hidden="1">{#N/A,#N/A,FALSE,"SumD";#N/A,#N/A,FALSE,"ElecD";#N/A,#N/A,FALSE,"MechD";#N/A,#N/A,FALSE,"GeotD";#N/A,#N/A,FALSE,"PrcsD";#N/A,#N/A,FALSE,"TunnD";#N/A,#N/A,FALSE,"CivlD";#N/A,#N/A,FALSE,"NtwkD";#N/A,#N/A,FALSE,"EstgD";#N/A,#N/A,FALSE,"PEngD"}</definedName>
    <definedName name="ttttttttttttttt" hidden="1">{#N/A,#N/A,FALSE,"SumG";#N/A,#N/A,FALSE,"ElecG";#N/A,#N/A,FALSE,"MechG";#N/A,#N/A,FALSE,"GeotG";#N/A,#N/A,FALSE,"PrcsG";#N/A,#N/A,FALSE,"TunnG";#N/A,#N/A,FALSE,"CivlG";#N/A,#N/A,FALSE,"NtwkG";#N/A,#N/A,FALSE,"EstgG";#N/A,#N/A,FALSE,"PEngG"}</definedName>
    <definedName name="ttttttttttttttttttttttt" hidden="1">{#N/A,#N/A,FALSE,"SumD";#N/A,#N/A,FALSE,"ElecD";#N/A,#N/A,FALSE,"MechD";#N/A,#N/A,FALSE,"GeotD";#N/A,#N/A,FALSE,"PrcsD";#N/A,#N/A,FALSE,"TunnD";#N/A,#N/A,FALSE,"CivlD";#N/A,#N/A,FALSE,"NtwkD";#N/A,#N/A,FALSE,"EstgD";#N/A,#N/A,FALSE,"PEngD"}</definedName>
    <definedName name="tu6u" hidden="1">{#N/A,#N/A,TRUE,"Front";#N/A,#N/A,TRUE,"Simple Letter";#N/A,#N/A,TRUE,"Inside";#N/A,#N/A,TRUE,"Contents";#N/A,#N/A,TRUE,"Basis";#N/A,#N/A,TRUE,"Inclusions";#N/A,#N/A,TRUE,"Exclusions";#N/A,#N/A,TRUE,"Areas";#N/A,#N/A,TRUE,"Summary";#N/A,#N/A,TRUE,"Detail"}</definedName>
    <definedName name="TUBE" hidden="1">{#N/A,#N/A,FALSE,"CCTV"}</definedName>
    <definedName name="TUBE_1" hidden="1">{#N/A,#N/A,FALSE,"CCTV"}</definedName>
    <definedName name="TUBE_2" hidden="1">{#N/A,#N/A,FALSE,"CCTV"}</definedName>
    <definedName name="tube_test_press1_12">#REF!</definedName>
    <definedName name="TUBED_INST">#REF!</definedName>
    <definedName name="TUBE계획">#REF!</definedName>
    <definedName name="tui" localSheetId="7" hidden="1">{#N/A,#N/A,TRUE,"Cover";#N/A,#N/A,TRUE,"Conts";#N/A,#N/A,TRUE,"VOS";#N/A,#N/A,TRUE,"Warrington";#N/A,#N/A,TRUE,"Widnes"}</definedName>
    <definedName name="tui" localSheetId="0" hidden="1">{#N/A,#N/A,TRUE,"Cover";#N/A,#N/A,TRUE,"Conts";#N/A,#N/A,TRUE,"VOS";#N/A,#N/A,TRUE,"Warrington";#N/A,#N/A,TRUE,"Widnes"}</definedName>
    <definedName name="tui" localSheetId="9"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op" hidden="1">{#N/A,#N/A,FALSE,"SUBS";#N/A,#N/A,FALSE,"SUPERS";#N/A,#N/A,FALSE,"FINISHES";#N/A,#N/A,FALSE,"FITTINGS";#N/A,#N/A,FALSE,"SERVICES";#N/A,#N/A,FALSE,"SITEWORKS"}</definedName>
    <definedName name="tuite" localSheetId="7" hidden="1">{#N/A,#N/A,TRUE,"Cover";#N/A,#N/A,TRUE,"Conts";#N/A,#N/A,TRUE,"VOS";#N/A,#N/A,TRUE,"Warrington";#N/A,#N/A,TRUE,"Widnes"}</definedName>
    <definedName name="tuite" localSheetId="0" hidden="1">{#N/A,#N/A,TRUE,"Cover";#N/A,#N/A,TRUE,"Conts";#N/A,#N/A,TRUE,"VOS";#N/A,#N/A,TRUE,"Warrington";#N/A,#N/A,TRUE,"Widnes"}</definedName>
    <definedName name="tuite" localSheetId="9"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URGUT" hidden="1">{"turbine",#N/A,FALSE,"Option"}</definedName>
    <definedName name="turgutac" hidden="1">{#N/A,#N/A,TRUE,"arnitower";#N/A,#N/A,TRUE,"arnigarage "}</definedName>
    <definedName name="Turk">#REF!</definedName>
    <definedName name="Turk_21">#REF!</definedName>
    <definedName name="Turk_22">#REF!</definedName>
    <definedName name="Turk_23">#REF!</definedName>
    <definedName name="Turk_24">#REF!</definedName>
    <definedName name="Turk_25">#REF!</definedName>
    <definedName name="Turk_26">#REF!</definedName>
    <definedName name="tuy" hidden="1">{"'장비'!$A$3:$M$12"}</definedName>
    <definedName name="TV" hidden="1">{#N/A,#N/A,FALSE,"CCTV"}</definedName>
    <definedName name="TV_1" hidden="1">{#N/A,#N/A,FALSE,"CCTV"}</definedName>
    <definedName name="TV_2" hidden="1">{#N/A,#N/A,FALSE,"CCTV"}</definedName>
    <definedName name="tvtyiuoujl" localSheetId="7" hidden="1">{#N/A,#N/A,TRUE,"Cover";#N/A,#N/A,TRUE,"Conts";#N/A,#N/A,TRUE,"VOS";#N/A,#N/A,TRUE,"Warrington";#N/A,#N/A,TRUE,"Widnes"}</definedName>
    <definedName name="tvtyiuoujl" localSheetId="0" hidden="1">{#N/A,#N/A,TRUE,"Cover";#N/A,#N/A,TRUE,"Conts";#N/A,#N/A,TRUE,"VOS";#N/A,#N/A,TRUE,"Warrington";#N/A,#N/A,TRUE,"Widnes"}</definedName>
    <definedName name="tvtyiuoujl" localSheetId="9"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W">#REF!</definedName>
    <definedName name="TWL">#REF!</definedName>
    <definedName name="TWR">#REF!</definedName>
    <definedName name="Tx">#REF!</definedName>
    <definedName name="ty" localSheetId="7" hidden="1">{#N/A,#N/A,TRUE,"Cover";#N/A,#N/A,TRUE,"Conts";#N/A,#N/A,TRUE,"VOS";#N/A,#N/A,TRUE,"Warrington";#N/A,#N/A,TRUE,"Widnes"}</definedName>
    <definedName name="ty" localSheetId="0" hidden="1">{#N/A,#N/A,TRUE,"Cover";#N/A,#N/A,TRUE,"Conts";#N/A,#N/A,TRUE,"VOS";#N/A,#N/A,TRUE,"Warrington";#N/A,#N/A,TRUE,"Widnes"}</definedName>
    <definedName name="ty" localSheetId="9"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_1" hidden="1">{#N/A,#N/A,TRUE,"Cover";#N/A,#N/A,TRUE,"Conts";#N/A,#N/A,TRUE,"VOS";#N/A,#N/A,TRUE,"Warrington";#N/A,#N/A,TRUE,"Widnes"}</definedName>
    <definedName name="tyeret" hidden="1">{#N/A,#N/A,TRUE,"Front";#N/A,#N/A,TRUE,"Simple Letter";#N/A,#N/A,TRUE,"Inside";#N/A,#N/A,TRUE,"Contents";#N/A,#N/A,TRUE,"Basis";#N/A,#N/A,TRUE,"Inclusions";#N/A,#N/A,TRUE,"Exclusions";#N/A,#N/A,TRUE,"Areas";#N/A,#N/A,TRUE,"Summary";#N/A,#N/A,TRUE,"Detail"}</definedName>
    <definedName name="tyiddui" hidden="1">{#N/A,#N/A,TRUE,"Front";#N/A,#N/A,TRUE,"Simple Letter";#N/A,#N/A,TRUE,"Inside";#N/A,#N/A,TRUE,"Contents";#N/A,#N/A,TRUE,"Basis";#N/A,#N/A,TRUE,"Inclusions";#N/A,#N/A,TRUE,"Exclusions";#N/A,#N/A,TRUE,"Areas";#N/A,#N/A,TRUE,"Summary";#N/A,#N/A,TRUE,"Detail"}</definedName>
    <definedName name="Type">#REF!</definedName>
    <definedName name="TypeOfFinish" localSheetId="9">#REF!</definedName>
    <definedName name="TypeOfFinish">#REF!</definedName>
    <definedName name="TypeOfPipes" localSheetId="9">#REF!</definedName>
    <definedName name="TypeOfPipes">#REF!</definedName>
    <definedName name="tyt" hidden="1">{#N/A,#N/A,TRUE,"Front";#N/A,#N/A,TRUE,"Simple Letter";#N/A,#N/A,TRUE,"Inside";#N/A,#N/A,TRUE,"Contents";#N/A,#N/A,TRUE,"Basis";#N/A,#N/A,TRUE,"Inclusions";#N/A,#N/A,TRUE,"Exclusions";#N/A,#N/A,TRUE,"Areas";#N/A,#N/A,TRUE,"Summary";#N/A,#N/A,TRUE,"Detail"}</definedName>
    <definedName name="tyt_1" hidden="1">{"'장비'!$A$3:$M$12"}</definedName>
    <definedName name="tyt_2" hidden="1">{"'장비'!$A$3:$M$12"}</definedName>
    <definedName name="tyu" hidden="1">{#N/A,#N/A,TRUE,"COVER";#N/A,#N/A,TRUE,"DETAILS";#N/A,#N/A,TRUE,"SUMMARY";#N/A,#N/A,TRUE,"EXP MON";#N/A,#N/A,TRUE,"APPENDIX A";#N/A,#N/A,TRUE,"APPENDIX B";#N/A,#N/A,TRUE,"APPENDIX C";#N/A,#N/A,TRUE,"APPENDIX D";#N/A,#N/A,TRUE,"APPENDIX E";#N/A,#N/A,TRUE,"APPENDIX F";#N/A,#N/A,TRUE,"APPENDIX G"}</definedName>
    <definedName name="tyui" hidden="1">{#N/A,#N/A,TRUE,"Cover";#N/A,#N/A,TRUE,"Conts";#N/A,#N/A,TRUE,"VOS";#N/A,#N/A,TRUE,"Warrington";#N/A,#N/A,TRUE,"Widnes"}</definedName>
    <definedName name="TYUIOPLK" hidden="1">{#N/A,#N/A,TRUE,"Cover";#N/A,#N/A,TRUE,"Conts";#N/A,#N/A,TRUE,"VOS";#N/A,#N/A,TRUE,"Warrington";#N/A,#N/A,TRUE,"Widnes"}</definedName>
    <definedName name="tyunhg" hidden="1">{#N/A,#N/A,TRUE,"Cover";#N/A,#N/A,TRUE,"Conts";#N/A,#N/A,TRUE,"VOS";#N/A,#N/A,TRUE,"Warrington";#N/A,#N/A,TRUE,"Widnes"}</definedName>
    <definedName name="tyutri" localSheetId="7" hidden="1">{#N/A,#N/A,TRUE,"Cover";#N/A,#N/A,TRUE,"Conts";#N/A,#N/A,TRUE,"VOS";#N/A,#N/A,TRUE,"Warrington";#N/A,#N/A,TRUE,"Widnes"}</definedName>
    <definedName name="tyutri" localSheetId="0" hidden="1">{#N/A,#N/A,TRUE,"Cover";#N/A,#N/A,TRUE,"Conts";#N/A,#N/A,TRUE,"VOS";#N/A,#N/A,TRUE,"Warrington";#N/A,#N/A,TRUE,"Widnes"}</definedName>
    <definedName name="tyutri" localSheetId="9"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tyyuy" hidden="1">{"'장비'!$A$3:$M$12"}</definedName>
    <definedName name="tyyuy_1" hidden="1">{"'장비'!$A$3:$M$12"}</definedName>
    <definedName name="tyyuy_2" hidden="1">{"'장비'!$A$3:$M$12"}</definedName>
    <definedName name="Tz">#REF!</definedName>
    <definedName name="u" localSheetId="7" hidden="1">{#N/A,#N/A,TRUE,"Cover";#N/A,#N/A,TRUE,"Conts";#N/A,#N/A,TRUE,"VOS";#N/A,#N/A,TRUE,"Warrington";#N/A,#N/A,TRUE,"Widnes"}</definedName>
    <definedName name="u" localSheetId="0" hidden="1">{#N/A,#N/A,TRUE,"Cover";#N/A,#N/A,TRUE,"Conts";#N/A,#N/A,TRUE,"VOS";#N/A,#N/A,TRUE,"Warrington";#N/A,#N/A,TRUE,"Widnes"}</definedName>
    <definedName name="u" localSheetId="9"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60">#REF!</definedName>
    <definedName name="U.S.D">#REF!</definedName>
    <definedName name="U_G">#REF!</definedName>
    <definedName name="U5YT"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A">#REF!</definedName>
    <definedName name="UAAAAA" hidden="1">{#N/A,#N/A,TRUE,"Basic";#N/A,#N/A,TRUE,"EXT-TABLE";#N/A,#N/A,TRUE,"STEEL";#N/A,#N/A,TRUE,"INT-Table";#N/A,#N/A,TRUE,"STEEL";#N/A,#N/A,TRUE,"Door"}</definedName>
    <definedName name="UAED">#REF!</definedName>
    <definedName name="UB" hidden="1">{#N/A,#N/A,FALSE,"CCTV"}</definedName>
    <definedName name="UB_1" hidden="1">{#N/A,#N/A,FALSE,"CCTV"}</definedName>
    <definedName name="UB_2" hidden="1">{#N/A,#N/A,FALSE,"CCTV"}</definedName>
    <definedName name="ubaid" hidden="1">{#N/A,#N/A,FALSE,"VCR"}</definedName>
    <definedName name="Ubaide" hidden="1">{#N/A,#N/A,FALSE,"VCR"}</definedName>
    <definedName name="uert" hidden="1">{#N/A,#N/A,TRUE,"Cover";#N/A,#N/A,TRUE,"Conts";#N/A,#N/A,TRUE,"VOS";#N/A,#N/A,TRUE,"Warrington";#N/A,#N/A,TRUE,"Widnes"}</definedName>
    <definedName name="uf" hidden="1">{#N/A,#N/A,TRUE,"LOADCOVE";#N/A,#N/A,TRUE,"PAGE001";#N/A,#N/A,TRUE,"PAGE002";#N/A,#N/A,TRUE,"PAGE003";#N/A,#N/A,TRUE,"PAGE004";#N/A,#N/A,TRUE,"PAGE005";#N/A,#N/A,TRUE,"PAGE006";#N/A,#N/A,TRUE,"PAGE007";#N/A,#N/A,TRUE,"PAGE008";#N/A,#N/A,TRUE,"PAGE009";#N/A,#N/A,TRUE,"PAGE010";#N/A,#N/A,TRUE,"PAGE011";#N/A,#N/A,TRUE,"PAGE012";#N/A,#N/A,TRUE,"PAGE013"}</definedName>
    <definedName name="uhhtrytrs" localSheetId="7" hidden="1">{#N/A,#N/A,TRUE,"Cover";#N/A,#N/A,TRUE,"Conts";#N/A,#N/A,TRUE,"VOS";#N/A,#N/A,TRUE,"Warrington";#N/A,#N/A,TRUE,"Widnes"}</definedName>
    <definedName name="uhhtrytrs" localSheetId="0" hidden="1">{#N/A,#N/A,TRUE,"Cover";#N/A,#N/A,TRUE,"Conts";#N/A,#N/A,TRUE,"VOS";#N/A,#N/A,TRUE,"Warrington";#N/A,#N/A,TRUE,"Widnes"}</definedName>
    <definedName name="uhhtrytrs" localSheetId="9"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hiuk" hidden="1">{"adj95mult",#N/A,FALSE,"COMPCO";"adj95est",#N/A,FALSE,"COMPCO"}</definedName>
    <definedName name="UHrs_Civil">IF(VLOOKUP(#REF!,PRICE_CIVIL,9,FALSE)=0,0,VLOOKUP(#REF!,PRICE_CIVIL,9,FALSE))</definedName>
    <definedName name="Uhrs_Cntl_Valves">ROUND(IF(VLOOKUP(#REF!,CNTL_VALVE_PRICE,12,FALSE)=0,0,VLOOKUP(#REF!,CNTL_VALVE_PRICE,12,FALSE)),2)</definedName>
    <definedName name="UHrs_Conduit">IF(VLOOKUP(#REF!,COND_PRICING,12,FALSE)=0,0,VLOOKUP(#REF!,COND_PRICING,12,FALSE))</definedName>
    <definedName name="Uhrs_DB">IF(VLOOKUP(#REF!,DB_PRICING,12,FALSE)=0,0,VLOOKUP(#REF!,DB_PRICING,12,FALSE))</definedName>
    <definedName name="UHrs_MV_Cable">IF(VLOOKUP(#REF!,CABLE_PRICING,10,FALSE)=0,0,VLOOKUP(#REF!,CABLE_PRICING,10,FALSE))</definedName>
    <definedName name="UHrs_Other">IF(VLOOKUP(#REF!,OTHER_PRICING,10,FALSE)=0,0,VLOOKUP(#REF!,OTHER_PRICING,10,FALSE))</definedName>
    <definedName name="UHrs_tray">IF(VLOOKUP(#REF!,TRAY_PRICING,14,FALSE)=0,0,VLOOKUP(#REF!,TRAY_PRICING,14,FALSE))</definedName>
    <definedName name="Uhrs1_Civil">IF(VLOOKUP(#REF!,PRICE_CIVIL,9,FALSE)=0,0,VLOOKUP(#REF!,PRICE_CIVIL,9,FALSE))</definedName>
    <definedName name="UHrs1_Conduit">IF(VLOOKUP(#REF!,COND_PRICING,10,FALSE)=0,0,VLOOKUP(#REF!,COND_PRICING,10,FALSE))</definedName>
    <definedName name="UHrs1_MV_Cable">IF(VLOOKUP(#REF!,CABLE_PRICING,10,FALSE)=0,0,VLOOKUP(#REF!,CABLE_PRICING,10,FALSE))</definedName>
    <definedName name="UHrs1_Other">IF(VLOOKUP(#REF!,OTHER_PRICING,10,FALSE)=0,0,VLOOKUP(#REF!,OTHER_PRICING,10,FALSE))</definedName>
    <definedName name="UHrs1_tray">IF(VLOOKUP(#REF!,TRAY_PRICING,12,FALSE)=0,0,VLOOKUP(#REF!,TRAY_PRICING,12,FALSE))</definedName>
    <definedName name="ui" localSheetId="7" hidden="1">{#N/A,#N/A,TRUE,"Cover";#N/A,#N/A,TRUE,"Conts";#N/A,#N/A,TRUE,"VOS";#N/A,#N/A,TRUE,"Warrington";#N/A,#N/A,TRUE,"Widnes"}</definedName>
    <definedName name="ui" localSheetId="0" hidden="1">{#N/A,#N/A,TRUE,"Cover";#N/A,#N/A,TRUE,"Conts";#N/A,#N/A,TRUE,"VOS";#N/A,#N/A,TRUE,"Warrington";#N/A,#N/A,TRUE,"Widnes"}</definedName>
    <definedName name="ui" localSheetId="9"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2Y4RF" hidden="1">{#N/A,#N/A,TRUE,"Front";#N/A,#N/A,TRUE,"Simple Letter";#N/A,#N/A,TRUE,"Inside";#N/A,#N/A,TRUE,"Contents";#N/A,#N/A,TRUE,"Basis";#N/A,#N/A,TRUE,"Inclusions";#N/A,#N/A,TRUE,"Exclusions";#N/A,#N/A,TRUE,"Areas";#N/A,#N/A,TRUE,"Summary";#N/A,#N/A,TRUE,"Detail"}</definedName>
    <definedName name="uic" hidden="1">{#N/A,#N/A,TRUE,"Cover";#N/A,#N/A,TRUE,"Conts";#N/A,#N/A,TRUE,"VOS";#N/A,#N/A,TRUE,"Warrington";#N/A,#N/A,TRUE,"Widnes"}</definedName>
    <definedName name="uih" localSheetId="7" hidden="1">{#N/A,#N/A,TRUE,"Cover";#N/A,#N/A,TRUE,"Conts";#N/A,#N/A,TRUE,"VOS";#N/A,#N/A,TRUE,"Warrington";#N/A,#N/A,TRUE,"Widnes"}</definedName>
    <definedName name="uih" localSheetId="0" hidden="1">{#N/A,#N/A,TRUE,"Cover";#N/A,#N/A,TRUE,"Conts";#N/A,#N/A,TRUE,"VOS";#N/A,#N/A,TRUE,"Warrington";#N/A,#N/A,TRUE,"Widnes"}</definedName>
    <definedName name="uih" localSheetId="9"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o" hidden="1">{#N/A,#N/A,TRUE,"Cover";#N/A,#N/A,TRUE,"Conts";#N/A,#N/A,TRUE,"VOS";#N/A,#N/A,TRUE,"Warrington";#N/A,#N/A,TRUE,"Widnes"}</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ioyu" hidden="1">{#N/A,#N/A,TRUE,"Cover";#N/A,#N/A,TRUE,"Conts";#N/A,#N/A,TRUE,"VOS";#N/A,#N/A,TRUE,"Warrington";#N/A,#N/A,TRUE,"Widnes"}</definedName>
    <definedName name="uit" localSheetId="7" hidden="1">{#N/A,#N/A,TRUE,"Cover";#N/A,#N/A,TRUE,"Conts";#N/A,#N/A,TRUE,"VOS";#N/A,#N/A,TRUE,"Warrington";#N/A,#N/A,TRUE,"Widnes"}</definedName>
    <definedName name="uit" localSheetId="0" hidden="1">{#N/A,#N/A,TRUE,"Cover";#N/A,#N/A,TRUE,"Conts";#N/A,#N/A,TRUE,"VOS";#N/A,#N/A,TRUE,"Warrington";#N/A,#N/A,TRUE,"Widnes"}</definedName>
    <definedName name="uit" localSheetId="9"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localSheetId="7" hidden="1">{#N/A,#N/A,TRUE,"Cover";#N/A,#N/A,TRUE,"Conts";#N/A,#N/A,TRUE,"VOS";#N/A,#N/A,TRUE,"Warrington";#N/A,#N/A,TRUE,"Widnes"}</definedName>
    <definedName name="uiuif" localSheetId="0" hidden="1">{#N/A,#N/A,TRUE,"Cover";#N/A,#N/A,TRUE,"Conts";#N/A,#N/A,TRUE,"VOS";#N/A,#N/A,TRUE,"Warrington";#N/A,#N/A,TRUE,"Widnes"}</definedName>
    <definedName name="uiuif" localSheetId="9"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7" hidden="1">{#N/A,#N/A,TRUE,"Cover";#N/A,#N/A,TRUE,"Conts";#N/A,#N/A,TRUE,"VOS";#N/A,#N/A,TRUE,"Warrington";#N/A,#N/A,TRUE,"Widnes"}</definedName>
    <definedName name="uiy" localSheetId="0" hidden="1">{#N/A,#N/A,TRUE,"Cover";#N/A,#N/A,TRUE,"Conts";#N/A,#N/A,TRUE,"VOS";#N/A,#N/A,TRUE,"Warrington";#N/A,#N/A,TRUE,"Widnes"}</definedName>
    <definedName name="uiy" localSheetId="9"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7" hidden="1">{#N/A,#N/A,TRUE,"Cover";#N/A,#N/A,TRUE,"Conts";#N/A,#N/A,TRUE,"VOS";#N/A,#N/A,TRUE,"Warrington";#N/A,#N/A,TRUE,"Widnes"}</definedName>
    <definedName name="uiyuitii" localSheetId="0" hidden="1">{#N/A,#N/A,TRUE,"Cover";#N/A,#N/A,TRUE,"Conts";#N/A,#N/A,TRUE,"VOS";#N/A,#N/A,TRUE,"Warrington";#N/A,#N/A,TRUE,"Widnes"}</definedName>
    <definedName name="uiyuitii" localSheetId="9"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hidden="1">{#N/A,#N/A,FALSE,"SumG";#N/A,#N/A,FALSE,"ElecG";#N/A,#N/A,FALSE,"MechG";#N/A,#N/A,FALSE,"GeotG";#N/A,#N/A,FALSE,"PrcsG";#N/A,#N/A,FALSE,"TunnG";#N/A,#N/A,FALSE,"CivlG";#N/A,#N/A,FALSE,"NtwkG";#N/A,#N/A,FALSE,"EstgG";#N/A,#N/A,FALSE,"PEngG"}</definedName>
    <definedName name="uj_1" hidden="1">{#N/A,#N/A,FALSE,"SumG";#N/A,#N/A,FALSE,"ElecG";#N/A,#N/A,FALSE,"MechG";#N/A,#N/A,FALSE,"GeotG";#N/A,#N/A,FALSE,"PrcsG";#N/A,#N/A,FALSE,"TunnG";#N/A,#N/A,FALSE,"CivlG";#N/A,#N/A,FALSE,"NtwkG";#N/A,#N/A,FALSE,"EstgG";#N/A,#N/A,FALSE,"PEngG"}</definedName>
    <definedName name="uji" hidden="1">{#N/A,#N/A,TRUE,"Cover";#N/A,#N/A,TRUE,"Conts";#N/A,#N/A,TRUE,"VOS";#N/A,#N/A,TRUE,"Warrington";#N/A,#N/A,TRUE,"Widnes"}</definedName>
    <definedName name="ujn" hidden="1">{#N/A,#N/A,TRUE,"Cover";#N/A,#N/A,TRUE,"Conts";#N/A,#N/A,TRUE,"VOS";#N/A,#N/A,TRUE,"Warrington";#N/A,#N/A,TRUE,"Widnes"}</definedName>
    <definedName name="ujnnmhnnn"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jz" hidden="1">{#N/A,#N/A,FALSE,"SumG";#N/A,#N/A,FALSE,"ElecG";#N/A,#N/A,FALSE,"MechG";#N/A,#N/A,FALSE,"GeotG";#N/A,#N/A,FALSE,"PrcsG";#N/A,#N/A,FALSE,"TunnG";#N/A,#N/A,FALSE,"CivlG";#N/A,#N/A,FALSE,"NtwkG";#N/A,#N/A,FALSE,"EstgG";#N/A,#N/A,FALSE,"PEngG"}</definedName>
    <definedName name="uk_in_uk">#REF!</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 hidden="1">{#N/A,#N/A,TRUE,"Cover";#N/A,#N/A,TRUE,"Conts";#N/A,#N/A,TRUE,"VOS";#N/A,#N/A,TRUE,"Warrington";#N/A,#N/A,TRUE,"Widnes"}</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D">#REF!</definedName>
    <definedName name="ulppuipui" localSheetId="7" hidden="1">{#N/A,#N/A,TRUE,"Cover";#N/A,#N/A,TRUE,"Conts";#N/A,#N/A,TRUE,"VOS";#N/A,#N/A,TRUE,"Warrington";#N/A,#N/A,TRUE,"Widnes"}</definedName>
    <definedName name="ulppuipui" localSheetId="0" hidden="1">{#N/A,#N/A,TRUE,"Cover";#N/A,#N/A,TRUE,"Conts";#N/A,#N/A,TRUE,"VOS";#N/A,#N/A,TRUE,"Warrington";#N/A,#N/A,TRUE,"Widnes"}</definedName>
    <definedName name="ulppuipui" localSheetId="9"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Matl_Civil">IF(VLOOKUP(#REF!,PRICE_CIVIL,7,FALSE)=0,0,VLOOKUP(#REF!,PRICE_CIVIL,7,FALSE))</definedName>
    <definedName name="UMatl_Cntl_Valves">ROUND(IF(VLOOKUP(#REF!,CNTL_VALVE_PRICE,10,FALSE)=0,0,VLOOKUP(#REF!,CNTL_VALVE_PRICE,10,FALSE)),-2)</definedName>
    <definedName name="UMatl_Conduit">IF(VLOOKUP(#REF!,COND_PRICING,11,FALSE)=0,0,VLOOKUP(#REF!,COND_PRICING,11,FALSE))</definedName>
    <definedName name="UMatl_DB">IF(VLOOKUP(#REF!,DB_PRICING,11,FALSE)=0,0,VLOOKUP(#REF!,DB_PRICING,11,FALSE))</definedName>
    <definedName name="UMatl_MV_Cable">IF(VLOOKUP(#REF!,CABLE_PRICING,9,FALSE)=0,0,VLOOKUP(#REF!,CABLE_PRICING,9,FALSE))</definedName>
    <definedName name="UMatl_Other">IF(VLOOKUP(#REF!,OTHER_PRICING,9,FALSE)=0,0,VLOOKUP(#REF!,OTHER_PRICING,9,FALSE))</definedName>
    <definedName name="UMatl_Tray">IF(VLOOKUP(#REF!,TRAY_PRICING,13,FALSE)=0,0,VLOOKUP(#REF!,TRAY_PRICING,13,FALSE))</definedName>
    <definedName name="UMatl1_Civil">IF(VLOOKUP(#REF!,PRICE_CIVIL,7,FALSE)=0,0,VLOOKUP(#REF!,PRICE_CIVIL,7,FALSE))</definedName>
    <definedName name="UMatl1_Conduit">IF(VLOOKUP(#REF!,COND_PRICING,9,FALSE)=0,0,VLOOKUP(#REF!,COND_PRICING,9,FALSE))</definedName>
    <definedName name="UMatl1_MV_Cable">IF(VLOOKUP(#REF!,CABLE_PRICING,9,FALSE)=0,0,VLOOKUP(#REF!,CABLE_PRICING,9,FALSE))</definedName>
    <definedName name="UMatl1_Other">IF(VLOOKUP(#REF!,OTHER_PRICING,9,FALSE)=0,0,VLOOKUP(#REF!,OTHER_PRICING,9,FALSE))</definedName>
    <definedName name="UMatl1_Tray">IF(VLOOKUP(#REF!,TRAY_PRICING,11,FALSE)=0,0,VLOOKUP(#REF!,TRAY_PRICING,11,FALSE))</definedName>
    <definedName name="UNCLASSIFIED">#REF!</definedName>
    <definedName name="undo" localSheetId="7" hidden="1">{#N/A,#N/A,TRUE,"Cover";#N/A,#N/A,TRUE,"Conts";#N/A,#N/A,TRUE,"VOS";#N/A,#N/A,TRUE,"Warrington";#N/A,#N/A,TRUE,"Widnes"}</definedName>
    <definedName name="undo" localSheetId="0" hidden="1">{#N/A,#N/A,TRUE,"Cover";#N/A,#N/A,TRUE,"Conts";#N/A,#N/A,TRUE,"VOS";#N/A,#N/A,TRUE,"Warrington";#N/A,#N/A,TRUE,"Widnes"}</definedName>
    <definedName name="undo" localSheetId="9"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g" hidden="1">{#N/A,#N/A,TRUE,"Cover";#N/A,#N/A,TRUE,"Conts";#N/A,#N/A,TRUE,"VOS";#N/A,#N/A,TRUE,"Warrington";#N/A,#N/A,TRUE,"Widnes"}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#REF!</definedName>
    <definedName name="UNION">#REF!</definedName>
    <definedName name="Unit">#REF!</definedName>
    <definedName name="UNIT1">#N/A</definedName>
    <definedName name="unitA">#REF!</definedName>
    <definedName name="unitB">#REF!</definedName>
    <definedName name="unite">#REF!</definedName>
    <definedName name="UnitName">#REF!</definedName>
    <definedName name="UnitRates" hidden="1">{#N/A,#N/A,FALSE,"SumD";#N/A,#N/A,FALSE,"ElecD";#N/A,#N/A,FALSE,"MechD";#N/A,#N/A,FALSE,"GeotD";#N/A,#N/A,FALSE,"PrcsD";#N/A,#N/A,FALSE,"TunnD";#N/A,#N/A,FALSE,"CivlD";#N/A,#N/A,FALSE,"NtwkD";#N/A,#N/A,FALSE,"EstgD";#N/A,#N/A,FALSE,"PEngD"}</definedName>
    <definedName name="UNITS">#REF!</definedName>
    <definedName name="UnitsList">#REF!</definedName>
    <definedName name="uolougouio" localSheetId="7" hidden="1">{#N/A,#N/A,TRUE,"Cover";#N/A,#N/A,TRUE,"Conts";#N/A,#N/A,TRUE,"VOS";#N/A,#N/A,TRUE,"Warrington";#N/A,#N/A,TRUE,"Widnes"}</definedName>
    <definedName name="uolougouio" localSheetId="0" hidden="1">{#N/A,#N/A,TRUE,"Cover";#N/A,#N/A,TRUE,"Conts";#N/A,#N/A,TRUE,"VOS";#N/A,#N/A,TRUE,"Warrington";#N/A,#N/A,TRUE,"Widnes"}</definedName>
    <definedName name="uolougouio" localSheetId="9"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OM">#REF!</definedName>
    <definedName name="upcov">#REF!</definedName>
    <definedName name="Uplift">#REF!</definedName>
    <definedName name="Upliftarchitectural">#REF!</definedName>
    <definedName name="Upliftcranes">#REF!</definedName>
    <definedName name="Upliftexternal">#REF!</definedName>
    <definedName name="Upliftlift">#REF!</definedName>
    <definedName name="Upliftpiles">#REF!</definedName>
    <definedName name="Upliftstructural">#REF!</definedName>
    <definedName name="upo" hidden="1">{"'Break down'!$A$4"}</definedName>
    <definedName name="upper">#REF!</definedName>
    <definedName name="UPPER_FLOORS">#REF!</definedName>
    <definedName name="uppipeabt">#REF!</definedName>
    <definedName name="uppipeabt_1">#N/A</definedName>
    <definedName name="uppipebox">#REF!</definedName>
    <definedName name="uppipebox_1">#N/A</definedName>
    <definedName name="urrt" hidden="1">{#N/A,#N/A,TRUE,"Cover";#N/A,#N/A,TRUE,"Conts";#N/A,#N/A,TRUE,"VOS";#N/A,#N/A,TRUE,"Warrington";#N/A,#N/A,TRUE,"Widnes"}</definedName>
    <definedName name="US_C_Civil">IF(VLOOKUP(#REF!,PRICE_CIVIL,8,FALSE)=0,0,VLOOKUP(#REF!,PRICE_CIVIL,8,FALSE))</definedName>
    <definedName name="US_C1_Civil">IF(VLOOKUP(#REF!,PRICE_CIVIL,8)=0,0,VLOOKUP(#REF!,PRICE_CIVIL,8))</definedName>
    <definedName name="USC_Cntl_Valves">ROUND(IF(VLOOKUP(#REF!,CNTL_VALVE_PRICE,11,FALSE)=0,0,VLOOKUP(#REF!,CNTL_VALVE_PRICE,11,FALSE)),0)</definedName>
    <definedName name="USC_Conduit">ROUND(IF(VLOOKUP(#REF!,COND_PRICING,19,FALSE)=0,0,VLOOKUP(#REF!,COND_PRICING,19,FALSE)),0)</definedName>
    <definedName name="USC_DB">ROUND(IF(VLOOKUP(#REF!,DB_PRICING,17,FALSE)=0,0,VLOOKUP(#REF!,DB_PRICING,17,FALSE)),0)</definedName>
    <definedName name="USC_MV_Cable">ROUND(IF(VLOOKUP(#REF!,CABLE_PRICING,15,FALSE)=0,0,VLOOKUP(#REF!,CABLE_PRICING,15,FALSE)),0)</definedName>
    <definedName name="USC_Other">ROUND(IF(VLOOKUP(#REF!,OTHER_PRICING,15,FALSE)=0,0,VLOOKUP(#REF!,OTHER_PRICING,15,FALSE)),0)</definedName>
    <definedName name="USC_Tray">ROUND(IF(VLOOKUP(#REF!,TRAY_PRICING,21,FALSE)=0,0,VLOOKUP(#REF!,TRAY_PRICING,21,FALSE)),0)</definedName>
    <definedName name="USC1_Conduit">ROUND(IF(VLOOKUP(#REF!,COND_PRICING,15,FALSE)=0,0,VLOOKUP(#REF!,COND_PRICING,15,FALSE)),0)</definedName>
    <definedName name="USC1_MV_Cable">ROUND(IF(VLOOKUP(#REF!,CABLE_PRICING,15,FALSE)=0,0,VLOOKUP(#REF!,CABLE_PRICING,15,FALSE)),0)</definedName>
    <definedName name="USC1_Other">ROUND(IF(VLOOKUP(#REF!,OTHER_PRICING,15,FALSE)=0,0,VLOOKUP(#REF!,OTHER_PRICING,15,FALSE)),0)</definedName>
    <definedName name="USC1_Tray">ROUND(IF(VLOOKUP(#REF!,TRAY_PRICING,17,FALSE)=0,0,VLOOKUP(#REF!,TRAY_PRICING,17,FALSE)),0)</definedName>
    <definedName name="USCHrs_Civil">IF(VLOOKUP(#REF!,PRICE_CIVIL,10,FALSE)=0,0,VLOOKUP(#REF!,PRICE_CIVIL,10,FALSE))</definedName>
    <definedName name="USChrs_Cntl_Valves">ROUND(IF(VLOOKUP(#REF!,CNTL_VALVE_PRICE,13,FALSE)=0,0,VLOOKUP(#REF!,CNTL_VALVE_PRICE,13,FALSE)),2)</definedName>
    <definedName name="USChrs_Conduit">IF(VLOOKUP(#REF!,COND_PRICING,18,FALSE)=0,0,VLOOKUP(#REF!,COND_PRICING,18,FALSE))</definedName>
    <definedName name="USChrs_DB">ROUND(IF(VLOOKUP(#REF!,DB_PRICING,18,FALSE)=0,0,VLOOKUP(#REF!,DB_PRICING,18,FALSE)),2)</definedName>
    <definedName name="USChrs_MV_Cable">IF(VLOOKUP(#REF!,CABLE_PRICING,16,FALSE)=0,0,VLOOKUP(#REF!,CABLE_PRICING,16,FALSE))</definedName>
    <definedName name="USChrs_Other">IF(VLOOKUP(#REF!,OTHER_PRICING,16,FALSE)=0,0,VLOOKUP(#REF!,OTHER_PRICING,16,FALSE))</definedName>
    <definedName name="USChrs_tray">IF(VLOOKUP(#REF!,TRAY_PRICING,20,FALSE)=0,0,VLOOKUP(#REF!,TRAY_PRICING,20,FALSE))</definedName>
    <definedName name="USChrs1_Civil">IF(VLOOKUP(#REF!,PRICE_CIVIL,10,FALSE)=0,0,VLOOKUP(#REF!,PRICE_CIVIL,10,FALSE))</definedName>
    <definedName name="USChrs1_Conduit">IF(VLOOKUP(#REF!,COND_PRICING,16,FALSE)=0,0,VLOOKUP(#REF!,COND_PRICING,16,FALSE))</definedName>
    <definedName name="USChrs1_MV_Cable">IF(VLOOKUP(#REF!,CABLE_PRICING,16,FALSE)=0,0,VLOOKUP(#REF!,CABLE_PRICING,16,FALSE))</definedName>
    <definedName name="USChrs1_Other">IF(VLOOKUP(#REF!,OTHER_PRICING,16,FALSE)=0,0,VLOOKUP(#REF!,OTHER_PRICING,16,FALSE))</definedName>
    <definedName name="USChrs1_tray">IF(VLOOKUP(#REF!,TRAY_PRICING,18,FALSE)=0,0,VLOOKUP(#REF!,TRAY_PRICING,18,FALSE))</definedName>
    <definedName name="USD">#REF!</definedName>
    <definedName name="USDRs">#REF!</definedName>
    <definedName name="USDRs_21">#REF!</definedName>
    <definedName name="USDRs_22">#REF!</definedName>
    <definedName name="USDRs_23">#REF!</definedName>
    <definedName name="USDRs_24">#REF!</definedName>
    <definedName name="USDRs_25">#REF!</definedName>
    <definedName name="USDRs_26">#REF!</definedName>
    <definedName name="USDYen">#REF!</definedName>
    <definedName name="USDYen_21">#REF!</definedName>
    <definedName name="USDYen_22">#REF!</definedName>
    <definedName name="USDYen_23">#REF!</definedName>
    <definedName name="USDYen_24">#REF!</definedName>
    <definedName name="USDYen_25">#REF!</definedName>
    <definedName name="USDYen_26">#REF!</definedName>
    <definedName name="USLE">#REF!</definedName>
    <definedName name="ut" hidden="1">{"'Sheet1'!$L$16"}</definedName>
    <definedName name="ut_1" hidden="1">{"'Sheet1'!$L$16"}</definedName>
    <definedName name="ut_2" hidden="1">{"'Sheet1'!$L$16"}</definedName>
    <definedName name="utb" hidden="1">{#N/A,#N/A,TRUE,"Cover";#N/A,#N/A,TRUE,"Conts";#N/A,#N/A,TRUE,"VOS";#N/A,#N/A,TRUE,"Warrington";#N/A,#N/A,TRUE,"Widnes"}</definedName>
    <definedName name="UTIL" hidden="1">{"MAN H.O.",#N/A,FALSE,"tabella"}</definedName>
    <definedName name="Utility_Effort_MB_LB">#REF!</definedName>
    <definedName name="Utillty_Reduction_Factor">#REF!</definedName>
    <definedName name="UTPI" hidden="1">{"'장비'!$A$3:$M$12"}</definedName>
    <definedName name="UTR" hidden="1">{"'장비'!$A$3:$M$12"}</definedName>
    <definedName name="UU">#REF!</definedName>
    <definedName name="UUIKH" hidden="1">{#N/A,#N/A,TRUE,"Cover";#N/A,#N/A,TRUE,"Conts";#N/A,#N/A,TRUE,"VOS";#N/A,#N/A,TRUE,"Warrington";#N/A,#N/A,TRUE,"Widnes"}</definedName>
    <definedName name="UUN">#N/A</definedName>
    <definedName name="uuo" hidden="1">{#N/A,#N/A,FALSE,"SumG";#N/A,#N/A,FALSE,"ElecG";#N/A,#N/A,FALSE,"MechG";#N/A,#N/A,FALSE,"GeotG";#N/A,#N/A,FALSE,"PrcsG";#N/A,#N/A,FALSE,"TunnG";#N/A,#N/A,FALSE,"CivlG";#N/A,#N/A,FALSE,"NtwkG";#N/A,#N/A,FALSE,"EstgG";#N/A,#N/A,FALSE,"PEngG"}</definedName>
    <definedName name="UUU" hidden="1">{#N/A,#N/A,FALSE,"CCTV"}</definedName>
    <definedName name="UUU_1" hidden="1">{#N/A,#N/A,FALSE,"CCTV"}</definedName>
    <definedName name="UUU_2" hidden="1">{#N/A,#N/A,FALSE,"CCTV"}</definedName>
    <definedName name="uuuu" hidden="1">{"'Break down'!$A$4"}</definedName>
    <definedName name="uuuuuu" hidden="1">{"'장비'!$A$3:$M$12"}</definedName>
    <definedName name="uuuuuu_1" hidden="1">{"'장비'!$A$3:$M$12"}</definedName>
    <definedName name="uuuuuu_2" hidden="1">{"'장비'!$A$3:$M$12"}</definedName>
    <definedName name="uuuyi" hidden="1">{"'Break down'!$A$4"}</definedName>
    <definedName name="UUYU" hidden="1">{#N/A,#N/A,FALSE,"SumD";#N/A,#N/A,FALSE,"ElecD";#N/A,#N/A,FALSE,"MechD";#N/A,#N/A,FALSE,"GeotD";#N/A,#N/A,FALSE,"PrcsD";#N/A,#N/A,FALSE,"TunnD";#N/A,#N/A,FALSE,"CivlD";#N/A,#N/A,FALSE,"NtwkD";#N/A,#N/A,FALSE,"EstgD";#N/A,#N/A,FALSE,"PEngD"}</definedName>
    <definedName name="uvw" hidden="1">{#N/A,#N/A,FALSE,"SumG";#N/A,#N/A,FALSE,"ElecG";#N/A,#N/A,FALSE,"MechG";#N/A,#N/A,FALSE,"GeotG";#N/A,#N/A,FALSE,"PrcsG";#N/A,#N/A,FALSE,"TunnG";#N/A,#N/A,FALSE,"CivlG";#N/A,#N/A,FALSE,"NtwkG";#N/A,#N/A,FALSE,"EstgG";#N/A,#N/A,FALSE,"PEngG"}</definedName>
    <definedName name="uwed" hidden="1">{#N/A,#N/A,TRUE,"Cover";#N/A,#N/A,TRUE,"Conts";#N/A,#N/A,TRUE,"VOS";#N/A,#N/A,TRUE,"Warrington";#N/A,#N/A,TRUE,"Widnes"}</definedName>
    <definedName name="uy" localSheetId="7" hidden="1">{#N/A,#N/A,TRUE,"Cover";#N/A,#N/A,TRUE,"Conts";#N/A,#N/A,TRUE,"VOS";#N/A,#N/A,TRUE,"Warrington";#N/A,#N/A,TRUE,"Widnes"}</definedName>
    <definedName name="uy" localSheetId="0" hidden="1">{#N/A,#N/A,TRUE,"Cover";#N/A,#N/A,TRUE,"Conts";#N/A,#N/A,TRUE,"VOS";#N/A,#N/A,TRUE,"Warrington";#N/A,#N/A,TRUE,"Widnes"}</definedName>
    <definedName name="uy" localSheetId="9"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uy_1" hidden="1">{"'장비'!$A$3:$M$12"}</definedName>
    <definedName name="uy_2" hidden="1">{"'장비'!$A$3:$M$12"}</definedName>
    <definedName name="uyedgnhgdf" hidden="1">#REF!</definedName>
    <definedName name="uyt" hidden="1">{#N/A,#N/A,TRUE,"Cover";#N/A,#N/A,TRUE,"Conts";#N/A,#N/A,TRUE,"VOS";#N/A,#N/A,TRUE,"Warrington";#N/A,#N/A,TRUE,"Widnes"}</definedName>
    <definedName name="uyuii" hidden="1">{#N/A,#N/A,TRUE,"Cover";#N/A,#N/A,TRUE,"Conts";#N/A,#N/A,TRUE,"VOS";#N/A,#N/A,TRUE,"Warrington";#N/A,#N/A,TRUE,"Widnes"}</definedName>
    <definedName name="uyuuyuy" hidden="1">{#N/A,#N/A,TRUE,"Cover";#N/A,#N/A,TRUE,"Conts";#N/A,#N/A,TRUE,"VOS";#N/A,#N/A,TRUE,"Warrington";#N/A,#N/A,TRUE,"Widnes"}</definedName>
    <definedName name="v" localSheetId="7" hidden="1">{#N/A,#N/A,TRUE,"Cover";#N/A,#N/A,TRUE,"Conts";#N/A,#N/A,TRUE,"VOS";#N/A,#N/A,TRUE,"Warrington";#N/A,#N/A,TRUE,"Widnes"}</definedName>
    <definedName name="v" localSheetId="0" hidden="1">{#N/A,#N/A,TRUE,"Cover";#N/A,#N/A,TRUE,"Conts";#N/A,#N/A,TRUE,"VOS";#N/A,#N/A,TRUE,"Warrington";#N/A,#N/A,TRUE,"Widnes"}</definedName>
    <definedName name="v" localSheetId="9"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_1" hidden="1">{#N/A,#N/A,TRUE,"Cover";#N/A,#N/A,TRUE,"Conts";#N/A,#N/A,TRUE,"VOS";#N/A,#N/A,TRUE,"Warrington";#N/A,#N/A,TRUE,"Widnes"}</definedName>
    <definedName name="V_Test" hidden="1">{"'Sheet1'!$L$16"}</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esco">#REF!</definedName>
    <definedName name="ValNo">#REF!</definedName>
    <definedName name="VALVE">#REF!</definedName>
    <definedName name="VALVE_PVC">#REF!</definedName>
    <definedName name="VALVE_RTR">#REF!</definedName>
    <definedName name="VALVE_SSBW">#REF!</definedName>
    <definedName name="VALVE_THRD">#REF!</definedName>
    <definedName name="Variation" hidden="1">{#N/A,#N/A,FALSE,"SumD";#N/A,#N/A,FALSE,"ElecD";#N/A,#N/A,FALSE,"MechD";#N/A,#N/A,FALSE,"GeotD";#N/A,#N/A,FALSE,"PrcsD";#N/A,#N/A,FALSE,"TunnD";#N/A,#N/A,FALSE,"CivlD";#N/A,#N/A,FALSE,"NtwkD";#N/A,#N/A,FALSE,"EstgD";#N/A,#N/A,FALSE,"PEngD"}</definedName>
    <definedName name="Variation_1" hidden="1">{#N/A,#N/A,FALSE,"SumD";#N/A,#N/A,FALSE,"ElecD";#N/A,#N/A,FALSE,"MechD";#N/A,#N/A,FALSE,"GeotD";#N/A,#N/A,FALSE,"PrcsD";#N/A,#N/A,FALSE,"TunnD";#N/A,#N/A,FALSE,"CivlD";#N/A,#N/A,FALSE,"NtwkD";#N/A,#N/A,FALSE,"EstgD";#N/A,#N/A,FALSE,"PEngD"}</definedName>
    <definedName name="Variations">#REF!</definedName>
    <definedName name="Various_00">#REF!</definedName>
    <definedName name="Various_01">#REF!</definedName>
    <definedName name="Various_02">#REF!</definedName>
    <definedName name="Various_03">#REF!</definedName>
    <definedName name="Vb">#REF!</definedName>
    <definedName name="VBG" hidden="1">{#N/A,#N/A,TRUE,"Cover";#N/A,#N/A,TRUE,"Conts";#N/A,#N/A,TRUE,"VOS";#N/A,#N/A,TRUE,"Warrington";#N/A,#N/A,TRUE,"Widnes"}</definedName>
    <definedName name="vbgt" hidden="1">{#N/A,#N/A,TRUE,"Cover";#N/A,#N/A,TRUE,"Conts";#N/A,#N/A,TRUE,"VOS";#N/A,#N/A,TRUE,"Warrington";#N/A,#N/A,TRUE,"Widnes"}</definedName>
    <definedName name="VBMKL" hidden="1">{#N/A,#N/A,TRUE,"Cover";#N/A,#N/A,TRUE,"Conts";#N/A,#N/A,TRUE,"VOS";#N/A,#N/A,TRUE,"Warrington";#N/A,#N/A,TRUE,"Widnes"}</definedName>
    <definedName name="vbn">"Page "&amp;IF(ISNA(MATCH(ROW(),RowAfterpgbrk,1)),1,MATCH(ROW(),RowAfterpgbrk,1)+1)&amp;" of " &amp; TotPageCount + 0*NOW()</definedName>
    <definedName name="vbnbxgfh" hidden="1">{#N/A,#N/A,TRUE,"LOADCOVE";#N/A,#N/A,TRUE,"PAGE001";#N/A,#N/A,TRUE,"PAGE002";#N/A,#N/A,TRUE,"PAGE003";#N/A,#N/A,TRUE,"PAGE004";#N/A,#N/A,TRUE,"PAGE005";#N/A,#N/A,TRUE,"PAGE006";#N/A,#N/A,TRUE,"PAGE007";#N/A,#N/A,TRUE,"PAGE008";#N/A,#N/A,TRUE,"PAGE009";#N/A,#N/A,TRUE,"PAGE010";#N/A,#N/A,TRUE,"PAGE011";#N/A,#N/A,TRUE,"PAGE012";#N/A,#N/A,TRUE,"PAGE013"}</definedName>
    <definedName name="vbnm">"Page "&amp;IF(ISNA(MATCH(ROW(),RowAfterpgbrk,1)),1,MATCH(ROW(),RowAfterpgbrk,1)+1)&amp;" of " &amp; TotPageCount + 0*NOW()</definedName>
    <definedName name="VBNMJK" hidden="1">{#N/A,#N/A,TRUE,"Cover";#N/A,#N/A,TRUE,"Conts";#N/A,#N/A,TRUE,"VOS";#N/A,#N/A,TRUE,"Warrington";#N/A,#N/A,TRUE,"Widnes"}</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 hidden="1">#REF!</definedName>
    <definedName name="VCAPA">#REF!</definedName>
    <definedName name="VCD">#REF!</definedName>
    <definedName name="vcf">IF(ISNA(MATCH(ROW(),RowAfterpgbrk,1)),1,MATCH(ROW(),RowAfterpgbrk,1)+1)</definedName>
    <definedName name="vcvv" hidden="1">{#N/A,#N/A,TRUE,"Front";#N/A,#N/A,TRUE,"Simple Letter";#N/A,#N/A,TRUE,"Inside";#N/A,#N/A,TRUE,"Contents";#N/A,#N/A,TRUE,"Basis";#N/A,#N/A,TRUE,"Inclusions";#N/A,#N/A,TRUE,"Exclusions";#N/A,#N/A,TRUE,"Areas";#N/A,#N/A,TRUE,"Summary";#N/A,#N/A,TRUE,"Detail"}</definedName>
    <definedName name="VE">#REF!</definedName>
    <definedName name="VEB">#REF!</definedName>
    <definedName name="VEE" hidden="1">#REF!</definedName>
    <definedName name="Vendor">#REF!</definedName>
    <definedName name="VENT" localSheetId="7" hidden="1">{#N/A,#N/A,TRUE,"Cover";#N/A,#N/A,TRUE,"Conts";#N/A,#N/A,TRUE,"VOS";#N/A,#N/A,TRUE,"Warrington";#N/A,#N/A,TRUE,"Widnes"}</definedName>
    <definedName name="VENT" localSheetId="0" hidden="1">{#N/A,#N/A,TRUE,"Cover";#N/A,#N/A,TRUE,"Conts";#N/A,#N/A,TRUE,"VOS";#N/A,#N/A,TRUE,"Warrington";#N/A,#N/A,TRUE,"Widnes"}</definedName>
    <definedName name="VENT" localSheetId="9"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R" hidden="1">#REF!</definedName>
    <definedName name="veras">#REF!</definedName>
    <definedName name="verdia">#REF!</definedName>
    <definedName name="vermax">#REF!</definedName>
    <definedName name="vernum">#REF!</definedName>
    <definedName name="verpile">#REF!</definedName>
    <definedName name="verpile_1">#N/A</definedName>
    <definedName name="VERT" hidden="1">#REF!</definedName>
    <definedName name="VerticalArea">#REF!</definedName>
    <definedName name="Vew">#REF!</definedName>
    <definedName name="vf" hidden="1">{"'Sheet1'!$L$16"}</definedName>
    <definedName name="vf_1" hidden="1">{"'Sheet1'!$L$16"}</definedName>
    <definedName name="vf_2" hidden="1">{"'Sheet1'!$L$16"}</definedName>
    <definedName name="VFD" hidden="1">{#N/A,#N/A,TRUE,"Cover";#N/A,#N/A,TRUE,"Conts";#N/A,#N/A,TRUE,"VOS";#N/A,#N/A,TRUE,"Warrington";#N/A,#N/A,TRUE,"Widnes"}</definedName>
    <definedName name="vfert">"Page "&amp;IF(ISNA(MATCH(ROW(),RowAfterpgbrk,1)),1,MATCH(ROW(),RowAfterpgbrk,1)+1)&amp;" of " &amp; TotPageCount + 0*NOW()</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sfs_2" hidden="1">{#N/A,#N/A,TRUE,"Basic";#N/A,#N/A,TRUE,"EXT-TABLE";#N/A,#N/A,TRUE,"STEEL";#N/A,#N/A,TRUE,"INT-Table";#N/A,#N/A,TRUE,"STEEL";#N/A,#N/A,TRUE,"Door"}</definedName>
    <definedName name="vffy" hidden="1">{#N/A,#N/A,TRUE,"Cover";#N/A,#N/A,TRUE,"Conts";#N/A,#N/A,TRUE,"VOS";#N/A,#N/A,TRUE,"Warrington";#N/A,#N/A,TRUE,"Widnes"}</definedName>
    <definedName name="VFRET" hidden="1">{#N/A,#N/A,TRUE,"Cover";#N/A,#N/A,TRUE,"Conts";#N/A,#N/A,TRUE,"VOS";#N/A,#N/A,TRUE,"Warrington";#N/A,#N/A,TRUE,"Widnes"}</definedName>
    <definedName name="vgbhju">IF(ISNA(MATCH(ROW(),RowAfterpgbrk,1)),1,MATCH(ROW(),RowAfterpgbrk,1)+1)</definedName>
    <definedName name="vhj" hidden="1">{#N/A,#N/A,FALSE,"III-1 Sum.Dem";#N/A,#N/A,FALSE,"III-2 RER.Dem.Pop";#N/A,#N/A,FALSE,"III-3 RER.Cap.Pop";#N/A,#N/A,FALSE,"III-4 RER.Dem.TCSS";#N/A,#N/A,FALSE,"III-5 RER.Cap.TCSS";#N/A,#N/A,FALSE,"III-6 Pow.Center.Dem";#N/A,#N/A,FALSE,"III-7 Off.Demand";#N/A,#N/A,FALSE,"III-8 Htl.Dem"}</definedName>
    <definedName name="VIEW">#REF!</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_1" hidden="1">{#N/A,#N/A,TRUE,"LOADCOVE";#N/A,#N/A,TRUE,"PAGE001";#N/A,#N/A,TRUE,"PAGE002";#N/A,#N/A,TRUE,"PAGE003";#N/A,#N/A,TRUE,"PAGE004";#N/A,#N/A,TRUE,"PAGE005";#N/A,#N/A,TRUE,"PAGE006";#N/A,#N/A,TRUE,"PAGE007";#N/A,#N/A,TRUE,"PAGE008";#N/A,#N/A,TRUE,"PAGE009";#N/A,#N/A,TRUE,"PAGE010";#N/A,#N/A,TRUE,"PAGE011";#N/A,#N/A,TRUE,"PAGE012";#N/A,#N/A,TRUE,"PAGE013"}</definedName>
    <definedName name="VISION_2"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ION시설투자_1" hidden="1">{#N/A,#N/A,TRUE,"LOADCOVE";#N/A,#N/A,TRUE,"PAGE001";#N/A,#N/A,TRUE,"PAGE002";#N/A,#N/A,TRUE,"PAGE003";#N/A,#N/A,TRUE,"PAGE004";#N/A,#N/A,TRUE,"PAGE005";#N/A,#N/A,TRUE,"PAGE006";#N/A,#N/A,TRUE,"PAGE007";#N/A,#N/A,TRUE,"PAGE008";#N/A,#N/A,TRUE,"PAGE009";#N/A,#N/A,TRUE,"PAGE010";#N/A,#N/A,TRUE,"PAGE011";#N/A,#N/A,TRUE,"PAGE012";#N/A,#N/A,TRUE,"PAGE013"}</definedName>
    <definedName name="VISION시설투자_2" hidden="1">{#N/A,#N/A,TRUE,"LOADCOVE";#N/A,#N/A,TRUE,"PAGE001";#N/A,#N/A,TRUE,"PAGE002";#N/A,#N/A,TRUE,"PAGE003";#N/A,#N/A,TRUE,"PAGE004";#N/A,#N/A,TRUE,"PAGE005";#N/A,#N/A,TRUE,"PAGE006";#N/A,#N/A,TRUE,"PAGE007";#N/A,#N/A,TRUE,"PAGE008";#N/A,#N/A,TRUE,"PAGE009";#N/A,#N/A,TRUE,"PAGE010";#N/A,#N/A,TRUE,"PAGE011";#N/A,#N/A,TRUE,"PAGE012";#N/A,#N/A,TRUE,"PAGE013"}</definedName>
    <definedName name="VISIT" hidden="1">{#N/A,#N/A,FALSE,"MAINTENANCE"}</definedName>
    <definedName name="vj" localSheetId="7" hidden="1">{#N/A,#N/A,TRUE,"Cover";#N/A,#N/A,TRUE,"Conts";#N/A,#N/A,TRUE,"VOS";#N/A,#N/A,TRUE,"Warrington";#N/A,#N/A,TRUE,"Widnes"}</definedName>
    <definedName name="vj" localSheetId="0" hidden="1">{#N/A,#N/A,TRUE,"Cover";#N/A,#N/A,TRUE,"Conts";#N/A,#N/A,TRUE,"VOS";#N/A,#N/A,TRUE,"Warrington";#N/A,#N/A,TRUE,"Widnes"}</definedName>
    <definedName name="vj" localSheetId="9"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LV_DESUP_HTRS">#REF!</definedName>
    <definedName name="Vmax">#REF!</definedName>
    <definedName name="vn" hidden="1">{"'Sheet1'!$L$16"}</definedName>
    <definedName name="vn_1" hidden="1">{"'Sheet1'!$L$16"}</definedName>
    <definedName name="vn_2" hidden="1">{"'Sheet1'!$L$16"}</definedName>
    <definedName name="VNM" hidden="1">{#N/A,#N/A,TRUE,"Cover";#N/A,#N/A,TRUE,"Conts";#N/A,#N/A,TRUE,"VOS";#N/A,#N/A,TRUE,"Warrington";#N/A,#N/A,TRUE,"Widnes"}</definedName>
    <definedName name="VO">#REF!</definedName>
    <definedName name="volred" localSheetId="6">#REF!</definedName>
    <definedName name="volred" localSheetId="9">#REF!</definedName>
    <definedName name="volred">#REF!</definedName>
    <definedName name="volume">#N/A</definedName>
    <definedName name="VOLUME_100mm_thk_blinding">#REF!</definedName>
    <definedName name="VOLUME_1600mm_thk_base_slab">#REF!</definedName>
    <definedName name="VOLUME_200mm_thick_cantilever_slab">#REF!</definedName>
    <definedName name="VOLUME_22KV_SWITCHGEAR_GR_651">#REF!</definedName>
    <definedName name="VOLUME_22KV_SWITCHGEAR_under_eqpt__GR_651">#REF!</definedName>
    <definedName name="VOLUME_22KV_SWITCHGEAR_under_walk__GR_651">#REF!</definedName>
    <definedName name="VOLUME_300mm_thk_base_slab">#REF!</definedName>
    <definedName name="VOLUME_300mm_thk_Susp._slab">#REF!</definedName>
    <definedName name="VOLUME_4mm_thk_below_ground_waterproofing">#REF!</definedName>
    <definedName name="VOLUME_4mm_thk_roof_covering_system">#REF!</definedName>
    <definedName name="VOLUME_500mm_thk_base_slab">#REF!</definedName>
    <definedName name="VOLUME_75mm_thk_blinding">#REF!</definedName>
    <definedName name="VOLUME_800mm_thk_base_slab">#REF!</definedName>
    <definedName name="VOLUME_AC_DC_GR_658">#REF!</definedName>
    <definedName name="VOLUME_Access_drive_rear">#REF!</definedName>
    <definedName name="VOLUME_Access_drive_rear_F.1">#REF!</definedName>
    <definedName name="VOLUME_Access_tunnel">#REF!</definedName>
    <definedName name="VOLUME_AGV_depot">#REF!</definedName>
    <definedName name="VOLUME_Air_filter_chamber">#REF!</definedName>
    <definedName name="VOLUME_Air_intake_trench">#REF!</definedName>
    <definedName name="VOLUME_AUX_1_GR_653">#REF!</definedName>
    <definedName name="VOLUME_AUX_2_GR_654">#REF!</definedName>
    <definedName name="VOLUME_BASEMENT_BS_651">#REF!</definedName>
    <definedName name="VOLUME_BATTERY_GR_659">#REF!</definedName>
    <definedName name="VOLUME_Below_ground_horizontal">#REF!</definedName>
    <definedName name="VOLUME_Below_tunnel_horizontal">#REF!</definedName>
    <definedName name="VOLUME_Blinding">#REF!</definedName>
    <definedName name="VOLUME_Break">#REF!</definedName>
    <definedName name="VOLUME_Break.F">#REF!</definedName>
    <definedName name="VOLUME_Break_room">#REF!</definedName>
    <definedName name="VOLUME_Break_room.1">#REF!</definedName>
    <definedName name="VOLUME_Cable_trench_slab_200mm_thk">#REF!</definedName>
    <definedName name="VOLUME_Comm">#REF!</definedName>
    <definedName name="VOLUME_COMMU.ROOM_GR_660">#REF!</definedName>
    <definedName name="VOLUME_Communication_room">#REF!</definedName>
    <definedName name="VOLUME_Control.1">#REF!</definedName>
    <definedName name="VOLUME_CONTROL_ROOM_GR_657">#REF!</definedName>
    <definedName name="VOLUME_Corridor">#REF!</definedName>
    <definedName name="VOLUME_Corridor.1">#REF!</definedName>
    <definedName name="VOLUME_Corridor.2">#REF!</definedName>
    <definedName name="VOLUME_Corridor.3">#REF!</definedName>
    <definedName name="VOLUME_Corridor.4">#REF!</definedName>
    <definedName name="VOLUME_CORRIDOR_GR_665">#REF!</definedName>
    <definedName name="VOLUME_CT___02">#REF!</definedName>
    <definedName name="VOLUME_Elec">#REF!</definedName>
    <definedName name="VOLUME_Elec.1">#REF!</definedName>
    <definedName name="VOLUME_Elec.2">#REF!</definedName>
    <definedName name="VOLUME_Electrical">#REF!</definedName>
    <definedName name="VOLUME_Electrical.1">#REF!</definedName>
    <definedName name="VOLUME_Electrical.f">#REF!</definedName>
    <definedName name="VOLUME_Electrical_room">#REF!</definedName>
    <definedName name="VOLUME_Elev._equip">#REF!</definedName>
    <definedName name="VOLUME_EP___01">#REF!</definedName>
    <definedName name="VOLUME_EP___02">#REF!</definedName>
    <definedName name="VOLUME_Epoxy_paint_anti_fungus">#REF!</definedName>
    <definedName name="VOLUME_Excation">#REF!</definedName>
    <definedName name="VOLUME_Exit_passageway">#REF!</definedName>
    <definedName name="VOLUME_Exit_passageway.1">#REF!</definedName>
    <definedName name="VOLUME_Exit_passageway.2">#REF!</definedName>
    <definedName name="VOLUME_Exit_passageway.F">#REF!</definedName>
    <definedName name="VOLUME_Exit_passageway_1">#REF!</definedName>
    <definedName name="VOLUME_Fair_faced_concrete">#REF!</definedName>
    <definedName name="VOLUME_False_Ceiling">#REF!</definedName>
    <definedName name="VOLUME_Fan_room">#REF!</definedName>
    <definedName name="VOLUME_Fan_room.2">#REF!</definedName>
    <definedName name="VOLUME_Female_toilet_shower.F">#REF!</definedName>
    <definedName name="VOLUME_FF_conc._w_epoxy_paint_anti_fungus">#REF!</definedName>
    <definedName name="VOLUME_Filters.RF">#REF!</definedName>
    <definedName name="VOLUME_FIRE_FIGHTING_GR_656">#REF!</definedName>
    <definedName name="VOLUME_Fire_riser">#REF!</definedName>
    <definedName name="VOLUME_Fire_riser.F">#REF!</definedName>
    <definedName name="VOLUME_FL_01_General_floor">#REF!</definedName>
    <definedName name="VOLUME_FL_01_Ramps">#REF!</definedName>
    <definedName name="VOLUME_FL_02_Traffic_islands___Raised_area">#REF!</definedName>
    <definedName name="VOLUME_FL_06_Ped._Walkways">#REF!</definedName>
    <definedName name="VOLUME_Footing_F1_400mm_high">#REF!</definedName>
    <definedName name="VOLUME_GENERATOR_1_GR_671">#REF!</definedName>
    <definedName name="VOLUME_GENERATOR_2_GR_672">#REF!</definedName>
    <definedName name="VOLUME_GIS_ROOM_GR_652">#REF!</definedName>
    <definedName name="VOLUME_GIS_ROOM_under_eqpt__GR_652">#REF!</definedName>
    <definedName name="VOLUME_GIS_ROOM_under_walkable__GR_652">#REF!</definedName>
    <definedName name="VOLUME_Grade_Slab_200mm_thk">#REF!</definedName>
    <definedName name="VOLUME_GUARD_ROOM_GR_666">#REF!</definedName>
    <definedName name="VOLUME_GUARD_WC_GR_669">#REF!</definedName>
    <definedName name="VOLUME_Hangar_11">#REF!</definedName>
    <definedName name="VOLUME_Hangar_12">#REF!</definedName>
    <definedName name="VOLUME_Imam_office">#REF!</definedName>
    <definedName name="VOLUME_Janitor">#REF!</definedName>
    <definedName name="VOLUME_Janitor.1">#REF!</definedName>
    <definedName name="VOLUME_Line_hangar_1">#REF!</definedName>
    <definedName name="VOLUME_Mech">#REF!</definedName>
    <definedName name="VOLUME_Mech.">#REF!</definedName>
    <definedName name="VOLUME_Mech.1">#REF!</definedName>
    <definedName name="VOLUME_Mech.2">#REF!</definedName>
    <definedName name="VOLUME_Mechanical">#REF!</definedName>
    <definedName name="VOLUME_Mechanical.1">#REF!</definedName>
    <definedName name="VOLUME_Mechanical.PH">#REF!</definedName>
    <definedName name="VOLUME_Mechanical.RF">#REF!</definedName>
    <definedName name="VOLUME_Mechanical_room">#REF!</definedName>
    <definedName name="VOLUME_MEDIUM_VOLTAGE_RM_GR_670">#REF!</definedName>
    <definedName name="VOLUME_Men_toilet_shower">#REF!</definedName>
    <definedName name="VOLUME_Men_toilet_shower.1">#REF!</definedName>
    <definedName name="VOLUME_Men_toilet_shower.F">#REF!</definedName>
    <definedName name="VOLUME_Mens_toilet">#REF!</definedName>
    <definedName name="VOLUME_Mens_toilet.F">#REF!</definedName>
    <definedName name="VOLUME_Office">#REF!</definedName>
    <definedName name="VOLUME_Office.1">#REF!</definedName>
    <definedName name="VOLUME_Office_1">#REF!</definedName>
    <definedName name="VOLUME_Office_2">#REF!</definedName>
    <definedName name="VOLUME_Office_3">#REF!</definedName>
    <definedName name="VOLUME_OFFICE_GR_663">#REF!</definedName>
    <definedName name="VOLUME_OFFICE_GR_664">#REF!</definedName>
    <definedName name="VOLUME_Offices">#REF!</definedName>
    <definedName name="VOLUME_OIL_PIT_B_655">#REF!</definedName>
    <definedName name="VOLUME_OIL_PIT_B_656">#REF!</definedName>
    <definedName name="VOLUME_OIL_PIT_BS_654">#REF!</definedName>
    <definedName name="VOLUME_Open_office">#REF!</definedName>
    <definedName name="VOLUME_OPen_office.1">#REF!</definedName>
    <definedName name="VOLUME_Open_office.F">#REF!</definedName>
    <definedName name="VOLUME_Paint_hangar_1">#REF!</definedName>
    <definedName name="VOLUME_Paint_hold.1">#REF!</definedName>
    <definedName name="VOLUME_Paint_mix">#REF!</definedName>
    <definedName name="VOLUME_Paint_mix.1">#REF!</definedName>
    <definedName name="VOLUME_Paint_shop">#REF!</definedName>
    <definedName name="VOLUME_Paint_shop.1">#REF!</definedName>
    <definedName name="VOLUME_Paint_store">#REF!</definedName>
    <definedName name="VOLUME_Painted_plaster">#REF!</definedName>
    <definedName name="VOLUME_PANTRY_GR_662">#REF!</definedName>
    <definedName name="VOLUME_Parts">#REF!</definedName>
    <definedName name="VOLUME_Parts.1">#REF!</definedName>
    <definedName name="VOLUME_Parts_">#REF!</definedName>
    <definedName name="VOLUME_Plaster_Anti_alkaline_paint">#REF!</definedName>
    <definedName name="VOLUME_Plot_Area">#REF!</definedName>
    <definedName name="VOLUME_Prayer_room">#REF!</definedName>
    <definedName name="VOLUME_PT___10">#REF!</definedName>
    <definedName name="VOLUME_RC_base">#REF!</definedName>
    <definedName name="VOLUME_Receiver_tanks">#REF!</definedName>
    <definedName name="VOLUME_Removal_of_top_soil">#REF!</definedName>
    <definedName name="VOLUME_Riser">#REF!</definedName>
    <definedName name="VOLUME_ROOF_RF_651">#REF!</definedName>
    <definedName name="VOLUME_ROOF_RF_652">#REF!</definedName>
    <definedName name="VOLUME_ROOF_RF_653">#REF!</definedName>
    <definedName name="VOLUME_ROOF_RF_654">#REF!</definedName>
    <definedName name="VOLUME_Roof_Slab_200mm_thick">#REF!</definedName>
    <definedName name="VOLUME_Roof_slab_250mm_thk">#REF!</definedName>
    <definedName name="VOLUME_Seat_storage.F1">#REF!</definedName>
    <definedName name="VOLUME_Seat_storage.F2">#REF!</definedName>
    <definedName name="VOLUME_SF_01_General_soffit">#REF!</definedName>
    <definedName name="VOLUME_Slab_S2_180mm_thick">#REF!</definedName>
    <definedName name="VOLUME_Slab_S3_200mm_thick">#REF!</definedName>
    <definedName name="VOLUME_Slab_S4_220mm_thick">#REF!</definedName>
    <definedName name="VOLUME_Slab_S5_250mm_thk">#REF!</definedName>
    <definedName name="VOLUME_Sloped_Roof_160mm_thick">#REF!</definedName>
    <definedName name="VOLUME_Smoking.1">#REF!</definedName>
    <definedName name="VOLUME_Smoking.2">#REF!</definedName>
    <definedName name="VOLUME_Smoking.F">#REF!</definedName>
    <definedName name="VOLUME_Stair">#REF!</definedName>
    <definedName name="VOLUME_Stair.1">#REF!</definedName>
    <definedName name="VOLUME_Stair_10">#REF!</definedName>
    <definedName name="VOLUME_Stair_11">#REF!</definedName>
    <definedName name="VOLUME_Stair_11A">#REF!</definedName>
    <definedName name="VOLUME_Stair_12">#REF!</definedName>
    <definedName name="VOLUME_Stair_12A">#REF!</definedName>
    <definedName name="VOLUME_Stair_12B">#REF!</definedName>
    <definedName name="VOLUME_Stair_13">#REF!</definedName>
    <definedName name="VOLUME_Stair_14">#REF!</definedName>
    <definedName name="VOLUME_STAIRCASE_ROOM_BS_668">#REF!</definedName>
    <definedName name="VOLUME_Storage.1">#REF!</definedName>
    <definedName name="VOLUME_Storage.F">#REF!</definedName>
    <definedName name="VOLUME_Storage.F1">#REF!</definedName>
    <definedName name="VOLUME_Storage.F2">#REF!</definedName>
    <definedName name="VOLUME_Storage.F3">#REF!</definedName>
    <definedName name="VOLUME_Storage_F">#REF!</definedName>
    <definedName name="VOLUME_STORE_GR_655">#REF!</definedName>
    <definedName name="VOLUME_Strip_footings_400mm_thk">#REF!</definedName>
    <definedName name="VOLUME_Strip_footings_500mm_thk">#REF!</definedName>
    <definedName name="VOLUME_Surface_Bed_S_120mm_thick">#REF!</definedName>
    <definedName name="VOLUME_Surface_Bed_S1_150mm_thick">#REF!</definedName>
    <definedName name="VOLUME_Surface_Bed_S5_250mm_thk">#REF!</definedName>
    <definedName name="VOLUME_Tech.">#REF!</definedName>
    <definedName name="VOLUME_Tech._library">#REF!</definedName>
    <definedName name="VOLUME_Tech.1">#REF!</definedName>
    <definedName name="VOLUME_Tech_library.1">#REF!</definedName>
    <definedName name="VOLUME_TL___01">#REF!</definedName>
    <definedName name="VOLUME_TL___04">#REF!</definedName>
    <definedName name="VOLUME_TL___09">#REF!</definedName>
    <definedName name="VOLUME_TL___10">#REF!</definedName>
    <definedName name="VOLUME_TL___11">#REF!</definedName>
    <definedName name="VOLUME_TOILETS_GR_661">#REF!</definedName>
    <definedName name="VOLUME_Tool_crib">#REF!</definedName>
    <definedName name="VOLUME_Tool_crib.1">#REF!</definedName>
    <definedName name="VOLUME_Tools">#REF!</definedName>
    <definedName name="VOLUME_Tools_CE_P">#REF!</definedName>
    <definedName name="VOLUME_Tools_CE_P.1">#REF!</definedName>
    <definedName name="VOLUME_Training.F">#REF!</definedName>
    <definedName name="VOLUME_Training_room">#REF!</definedName>
    <definedName name="VOLUME_Training_room.1">#REF!</definedName>
    <definedName name="VOLUME_TRENCH_BS_653">#REF!</definedName>
    <definedName name="VOLUME_TUNNEL_BS_652">#REF!</definedName>
    <definedName name="VOLUME_Type_E_Scratched_Finish">#REF!</definedName>
    <definedName name="VOLUME_Type_F_Smooth_finish">#REF!</definedName>
    <definedName name="VOLUME_Warming_kitchen">#REF!</definedName>
    <definedName name="VOLUME_Wash_hangar_2">#REF!</definedName>
    <definedName name="VOLUME_Womens_toilet">#REF!</definedName>
    <definedName name="VOLUME_Womens_toilet.F">#REF!</definedName>
    <definedName name="VOLUME_WORKSHOP_GR_667">#REF!</definedName>
    <definedName name="volumeh">#N/A</definedName>
    <definedName name="volww">#REF!</definedName>
    <definedName name="volww_1">#N/A</definedName>
    <definedName name="VOS">#REF!</definedName>
    <definedName name="Vot">#REF!</definedName>
    <definedName name="vow">#REF!</definedName>
    <definedName name="Vowt">#REF!</definedName>
    <definedName name="vqwt" hidden="1">{#N/A,#N/A,FALSE,"포장1";#N/A,#N/A,FALSE,"포장1"}</definedName>
    <definedName name="vr">#REF!</definedName>
    <definedName name="VRFApp1">#REF!</definedName>
    <definedName name="VRFbud1">#REF!</definedName>
    <definedName name="VRFclass1">#REF!</definedName>
    <definedName name="VRFcom1">#REF!</definedName>
    <definedName name="VRFdesc1">#REF!</definedName>
    <definedName name="VRFnum1">#REF!</definedName>
    <definedName name="VRFperiod1">#REF!</definedName>
    <definedName name="VRFtotal1">#REF!</definedName>
    <definedName name="VSD" hidden="1">{#N/A,#N/A,TRUE,"Cover";#N/A,#N/A,TRUE,"Conts";#N/A,#N/A,TRUE,"VOS";#N/A,#N/A,TRUE,"Warrington";#N/A,#N/A,TRUE,"Widnes"}</definedName>
    <definedName name="VSFFSDF" hidden="1">#REF!</definedName>
    <definedName name="Vts">#REF!</definedName>
    <definedName name="Vtsw">#REF!</definedName>
    <definedName name="Vtw">#REF!</definedName>
    <definedName name="Vtwt">#REF!</definedName>
    <definedName name="VUO" hidden="1">{#N/A,#N/A,FALSE,"SumD";#N/A,#N/A,FALSE,"ElecD";#N/A,#N/A,FALSE,"MechD";#N/A,#N/A,FALSE,"GeotD";#N/A,#N/A,FALSE,"PrcsD";#N/A,#N/A,FALSE,"TunnD";#N/A,#N/A,FALSE,"CivlD";#N/A,#N/A,FALSE,"NtwkD";#N/A,#N/A,FALSE,"EstgD";#N/A,#N/A,FALSE,"PEngD"}</definedName>
    <definedName name="VV">#REF!</definedName>
    <definedName name="vv_1" hidden="1">{#N/A,#N/A,FALSE,"SumD";#N/A,#N/A,FALSE,"ElecD";#N/A,#N/A,FALSE,"MechD";#N/A,#N/A,FALSE,"GeotD";#N/A,#N/A,FALSE,"PrcsD";#N/A,#N/A,FALSE,"TunnD";#N/A,#N/A,FALSE,"CivlD";#N/A,#N/A,FALSE,"NtwkD";#N/A,#N/A,FALSE,"EstgD";#N/A,#N/A,FALSE,"PEngD"}</definedName>
    <definedName name="VV_201TO250T">#REF!</definedName>
    <definedName name="VV_21TO30T">#REF!</definedName>
    <definedName name="VV_251TO300T">#REF!</definedName>
    <definedName name="VV_31TO40T">#REF!</definedName>
    <definedName name="VV_41TO60T">#REF!</definedName>
    <definedName name="VV_61TO100T">#REF!</definedName>
    <definedName name="VV_6TO10T">#REF!</definedName>
    <definedName name="VV_A300T">#REF!</definedName>
    <definedName name="vvvb"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vvvv" hidden="1">#REF!</definedName>
    <definedName name="VVXsv">#REF!</definedName>
    <definedName name="VX" hidden="1">#REF!</definedName>
    <definedName name="vxc" hidden="1">{#N/A,#N/A,TRUE,"LOADCOVE";#N/A,#N/A,TRUE,"PAGE001";#N/A,#N/A,TRUE,"PAGE002";#N/A,#N/A,TRUE,"PAGE003";#N/A,#N/A,TRUE,"PAGE004";#N/A,#N/A,TRUE,"PAGE005";#N/A,#N/A,TRUE,"PAGE006";#N/A,#N/A,TRUE,"PAGE007";#N/A,#N/A,TRUE,"PAGE008";#N/A,#N/A,TRUE,"PAGE009";#N/A,#N/A,TRUE,"PAGE010";#N/A,#N/A,TRUE,"PAGE011";#N/A,#N/A,TRUE,"PAGE012";#N/A,#N/A,TRUE,"PAGE013"}</definedName>
    <definedName name="vxckbmjklbgjnklgbmjh" hidden="1">#REF!</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V실적" hidden="1">{#N/A,#N/A,TRUE,"LOADCOVE";#N/A,#N/A,TRUE,"PAGE001";#N/A,#N/A,TRUE,"PAGE002";#N/A,#N/A,TRUE,"PAGE003";#N/A,#N/A,TRUE,"PAGE004";#N/A,#N/A,TRUE,"PAGE005";#N/A,#N/A,TRUE,"PAGE006";#N/A,#N/A,TRUE,"PAGE007";#N/A,#N/A,TRUE,"PAGE008";#N/A,#N/A,TRUE,"PAGE009";#N/A,#N/A,TRUE,"PAGE010";#N/A,#N/A,TRUE,"PAGE011";#N/A,#N/A,TRUE,"PAGE012";#N/A,#N/A,TRUE,"PAGE013"}</definedName>
    <definedName name="W">#REF!</definedName>
    <definedName name="W.10">#REF!</definedName>
    <definedName name="W.20">#REF!</definedName>
    <definedName name="W.30">#REF!</definedName>
    <definedName name="W.40">#REF!</definedName>
    <definedName name="W.50">#REF!</definedName>
    <definedName name="W.60">#REF!</definedName>
    <definedName name="W.61">#REF!</definedName>
    <definedName name="W.70">#REF!</definedName>
    <definedName name="W.71">#REF!</definedName>
    <definedName name="W.72">#REF!</definedName>
    <definedName name="W_1" hidden="1">{"'장비'!$A$3:$M$12"}</definedName>
    <definedName name="W_2" hidden="1">{"'장비'!$A$3:$M$12"}</definedName>
    <definedName name="W_I">#REF!</definedName>
    <definedName name="W1C">#REF!</definedName>
    <definedName name="W1L">#REF!</definedName>
    <definedName name="w26te" localSheetId="7" hidden="1">{#N/A,#N/A,TRUE,"Cover";#N/A,#N/A,TRUE,"Conts";#N/A,#N/A,TRUE,"VOS";#N/A,#N/A,TRUE,"Warrington";#N/A,#N/A,TRUE,"Widnes"}</definedName>
    <definedName name="w26te" localSheetId="0" hidden="1">{#N/A,#N/A,TRUE,"Cover";#N/A,#N/A,TRUE,"Conts";#N/A,#N/A,TRUE,"VOS";#N/A,#N/A,TRUE,"Warrington";#N/A,#N/A,TRUE,"Widnes"}</definedName>
    <definedName name="w26te" localSheetId="9"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7" hidden="1">{#N/A,#N/A,TRUE,"Cover";#N/A,#N/A,TRUE,"Conts";#N/A,#N/A,TRUE,"VOS";#N/A,#N/A,TRUE,"Warrington";#N/A,#N/A,TRUE,"Widnes"}</definedName>
    <definedName name="w6y" localSheetId="0" hidden="1">{#N/A,#N/A,TRUE,"Cover";#N/A,#N/A,TRUE,"Conts";#N/A,#N/A,TRUE,"VOS";#N/A,#N/A,TRUE,"Warrington";#N/A,#N/A,TRUE,"Widnes"}</definedName>
    <definedName name="w6y" localSheetId="9"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#REF!</definedName>
    <definedName name="WAASD" hidden="1">#REF!</definedName>
    <definedName name="waff" localSheetId="7" hidden="1">{#N/A,#N/A,TRUE,"Cover";#N/A,#N/A,TRUE,"Conts";#N/A,#N/A,TRUE,"VOS";#N/A,#N/A,TRUE,"Warrington";#N/A,#N/A,TRUE,"Widnes"}</definedName>
    <definedName name="waff" localSheetId="0" hidden="1">{#N/A,#N/A,TRUE,"Cover";#N/A,#N/A,TRUE,"Conts";#N/A,#N/A,TRUE,"VOS";#N/A,#N/A,TRUE,"Warrington";#N/A,#N/A,TRUE,"Widnes"}</definedName>
    <definedName name="waff" localSheetId="9"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ll">#REF!</definedName>
    <definedName name="WALL__FINISHES">#REF!</definedName>
    <definedName name="WALLAREA_1000mm_dia._GRP">#REF!</definedName>
    <definedName name="WALLAREA_100mm_thk_blinding">#REF!</definedName>
    <definedName name="WALLAREA_1300mm_high_upstand">#REF!</definedName>
    <definedName name="WALLAREA_1600mm_thk_base_slab">#REF!</definedName>
    <definedName name="WALLAREA_200mm_thick_cantilever_slab">#REF!</definedName>
    <definedName name="WALLAREA_20mm_Isolation_Joint">#REF!</definedName>
    <definedName name="WALLAREA_22KV_SWITCHGEAR_GR_651">#REF!</definedName>
    <definedName name="WALLAREA_22KV_SWITCHGEAR_under_eqpt__GR_651">#REF!</definedName>
    <definedName name="WALLAREA_22KV_SWITCHGEAR_under_walk__GR_651">#REF!</definedName>
    <definedName name="WALLAREA_300mm_thk_base_slab">#REF!</definedName>
    <definedName name="WALLAREA_300mm_thk_Susp._slab">#REF!</definedName>
    <definedName name="WALLAREA_4mm_thk_below_ground_waterproofing">#REF!</definedName>
    <definedName name="WALLAREA_4mm_thk_roof_covering_system">#REF!</definedName>
    <definedName name="WALLAREA_500mm_thk_base_slab">#REF!</definedName>
    <definedName name="WALLAREA_75mm_thk_blinding">#REF!</definedName>
    <definedName name="WALLAREA_800mm_thk_base_slab">#REF!</definedName>
    <definedName name="WALLAREA_AC_DC_GR_658">#REF!</definedName>
    <definedName name="WALLAREA_Access_drive_rear">#REF!</definedName>
    <definedName name="WALLAREA_Access_drive_rear_F.1">#REF!</definedName>
    <definedName name="WALLAREA_Access_tunnel">#REF!</definedName>
    <definedName name="WALLAREA_AGV_depot">#REF!</definedName>
    <definedName name="WALLAREA_Air_filter_chamber">#REF!</definedName>
    <definedName name="WALLAREA_Air_intake_trench">#REF!</definedName>
    <definedName name="WALLAREA_AUX_1_GR_653">#REF!</definedName>
    <definedName name="WALLAREA_AUX_2_GR_654">#REF!</definedName>
    <definedName name="WALLAREA_b10s1">#REF!</definedName>
    <definedName name="WALLAREA_b20s2">#REF!</definedName>
    <definedName name="WALLAREA_b30s2">#REF!</definedName>
    <definedName name="WALLAREA_b50s3">#REF!</definedName>
    <definedName name="WALLAREA_BASEMENT_BS_651">#REF!</definedName>
    <definedName name="WALLAREA_BATTERY_GR_659">#REF!</definedName>
    <definedName name="WALLAREA_Beam_B1_400X700_">#REF!</definedName>
    <definedName name="WALLAREA_Beam_B2_300X700_">#REF!</definedName>
    <definedName name="WALLAREA_Below_ground_horizontal">#REF!</definedName>
    <definedName name="WALLAREA_Below_tunnel_horizontal">#REF!</definedName>
    <definedName name="WALLAREA_Blinding">#REF!</definedName>
    <definedName name="WALLAREA_Break">#REF!</definedName>
    <definedName name="WALLAREA_Break.F">#REF!</definedName>
    <definedName name="WALLAREA_Break_room">#REF!</definedName>
    <definedName name="WALLAREA_Break_room.1">#REF!</definedName>
    <definedName name="WALLAREA_Cable_trench_slab_200mm_thk">#REF!</definedName>
    <definedName name="WALLAREA_Cable_trench_wall_800mm_high">#REF!</definedName>
    <definedName name="WALLAREA_Comm">#REF!</definedName>
    <definedName name="WALLAREA_COMMU.ROOM_GR_660">#REF!</definedName>
    <definedName name="WALLAREA_Communication_room">#REF!</definedName>
    <definedName name="WALLAREA_Control.1">#REF!</definedName>
    <definedName name="WALLAREA_CONTROL_ROOM_GR_657">#REF!</definedName>
    <definedName name="WALLAREA_Corridor">#REF!</definedName>
    <definedName name="WALLAREA_Corridor.1">#REF!</definedName>
    <definedName name="WALLAREA_Corridor.2">#REF!</definedName>
    <definedName name="WALLAREA_Corridor.3">#REF!</definedName>
    <definedName name="WALLAREA_Corridor.4">#REF!</definedName>
    <definedName name="WALLAREA_CORRIDOR_GR_665">#REF!</definedName>
    <definedName name="WALLAREA_CT___02">#REF!</definedName>
    <definedName name="WALLAREA_Duct_from_SS_to_Trench">#REF!</definedName>
    <definedName name="WALLAREA_Elec">#REF!</definedName>
    <definedName name="WALLAREA_Elec.1">#REF!</definedName>
    <definedName name="WALLAREA_Elec.2">#REF!</definedName>
    <definedName name="WALLAREA_Electrical">#REF!</definedName>
    <definedName name="WALLAREA_Electrical.1">#REF!</definedName>
    <definedName name="WALLAREA_Electrical.f">#REF!</definedName>
    <definedName name="WALLAREA_Electrical_room">#REF!</definedName>
    <definedName name="WALLAREA_Elev._equip">#REF!</definedName>
    <definedName name="WALLAREA_EP___01">#REF!</definedName>
    <definedName name="WALLAREA_EP___02">#REF!</definedName>
    <definedName name="WALLAREA_EP_01_S">#REF!</definedName>
    <definedName name="WALLAREA_EP_02_S">#REF!</definedName>
    <definedName name="WALLAREA_Epoxy_paint_anti_fungus">#REF!</definedName>
    <definedName name="WALLAREA_Excation">#REF!</definedName>
    <definedName name="WALLAREA_Exit_passageway">#REF!</definedName>
    <definedName name="WALLAREA_Exit_passageway.1">#REF!</definedName>
    <definedName name="WALLAREA_Exit_passageway.2">#REF!</definedName>
    <definedName name="WALLAREA_Exit_passageway.F">#REF!</definedName>
    <definedName name="WALLAREA_Exit_passageway_1">#REF!</definedName>
    <definedName name="WALLAREA_Fair_faced_concrete">#REF!</definedName>
    <definedName name="WALLAREA_False_Ceiling">#REF!</definedName>
    <definedName name="WALLAREA_Fan_room">#REF!</definedName>
    <definedName name="WALLAREA_Fan_room.2">#REF!</definedName>
    <definedName name="WALLAREA_Female_toilet_shower.F">#REF!</definedName>
    <definedName name="WALLAREA_Fencing">#REF!</definedName>
    <definedName name="WALLAREA_FF_conc._w_epoxy_paint_anti_fungus">#REF!</definedName>
    <definedName name="WALLAREA_Filters.RF">#REF!</definedName>
    <definedName name="WALLAREA_FIRE_FIGHTING_GR_656">#REF!</definedName>
    <definedName name="WALLAREA_Fire_riser">#REF!</definedName>
    <definedName name="WALLAREA_Fire_riser.F">#REF!</definedName>
    <definedName name="WALLAREA_FL_01_General_floor">#REF!</definedName>
    <definedName name="WALLAREA_FL_01_Ramps">#REF!</definedName>
    <definedName name="WALLAREA_FL_02_Traffic_islands___Raised_area">#REF!</definedName>
    <definedName name="WALLAREA_FL_03__Kerbs_3">#REF!</definedName>
    <definedName name="WALLAREA_FL_03_Raised_Kerbs">#REF!</definedName>
    <definedName name="WALLAREA_FL_05_Parking_line_100mm_thk">#REF!</definedName>
    <definedName name="WALLAREA_FL_05_Parking_line_280mm_thk">#REF!</definedName>
    <definedName name="WALLAREA_FL_05_Parking_line_390mm_thk">#REF!</definedName>
    <definedName name="WALLAREA_FL_05_Parking_line_530mm_thk">#REF!</definedName>
    <definedName name="WALLAREA_FL_06_Ped._Walkways">#REF!</definedName>
    <definedName name="WALLAREA_Footing_F1_400mm_high">#REF!</definedName>
    <definedName name="WALLAREA_GB1_300X750mm">#REF!</definedName>
    <definedName name="WALLAREA_GB2_400X750mm">#REF!</definedName>
    <definedName name="WALLAREA_GENERATOR_1_GR_671">#REF!</definedName>
    <definedName name="WALLAREA_GENERATOR_2_GR_672">#REF!</definedName>
    <definedName name="WALLAREA_GIS_ROOM_GR_652">#REF!</definedName>
    <definedName name="WALLAREA_GIS_ROOM_under_eqpt__GR_652">#REF!</definedName>
    <definedName name="WALLAREA_GIS_ROOM_under_walkable__GR_652">#REF!</definedName>
    <definedName name="WALLAREA_Grade_Slab_200mm_thk">#REF!</definedName>
    <definedName name="WALLAREA_Ground_Beam_GB1_350X500_">#REF!</definedName>
    <definedName name="WALLAREA_Ground_Beam_GB2_300X500_">#REF!</definedName>
    <definedName name="WALLAREA_GUARD_ROOM_GR_666">#REF!</definedName>
    <definedName name="WALLAREA_GUARD_WC_GR_669">#REF!</definedName>
    <definedName name="WALLAREA_Hangar_11">#REF!</definedName>
    <definedName name="WALLAREA_Hangar_12">#REF!</definedName>
    <definedName name="WALLAREA_Imam_office">#REF!</definedName>
    <definedName name="WALLAREA_Janitor">#REF!</definedName>
    <definedName name="WALLAREA_Janitor.1">#REF!</definedName>
    <definedName name="WALLAREA_L1_300X400">#REF!</definedName>
    <definedName name="WALLAREA_L1_300X500">#REF!</definedName>
    <definedName name="WALLAREA_L1_300X600">#REF!</definedName>
    <definedName name="WALLAREA_L4_300X400">#REF!</definedName>
    <definedName name="WALLAREA_L4_300X500">#REF!</definedName>
    <definedName name="WALLAREA_L4_300X600">#REF!</definedName>
    <definedName name="WALLAREA_L4_350X500">#REF!</definedName>
    <definedName name="WALLAREA_L4_500X500">#REF!</definedName>
    <definedName name="WALLAREA_L6_300X300">#REF!</definedName>
    <definedName name="WALLAREA_L6_300X500">#REF!</definedName>
    <definedName name="WALLAREA_Line_hangar_1">#REF!</definedName>
    <definedName name="WALLAREA_Mech">#REF!</definedName>
    <definedName name="WALLAREA_Mech.">#REF!</definedName>
    <definedName name="WALLAREA_Mech.1">#REF!</definedName>
    <definedName name="WALLAREA_Mech.2">#REF!</definedName>
    <definedName name="WALLAREA_Mechanical">#REF!</definedName>
    <definedName name="WALLAREA_Mechanical.1">#REF!</definedName>
    <definedName name="WALLAREA_Mechanical.PH">#REF!</definedName>
    <definedName name="WALLAREA_Mechanical.RF">#REF!</definedName>
    <definedName name="WALLAREA_Mechanical_room">#REF!</definedName>
    <definedName name="WALLAREA_MEDIUM_VOLTAGE_RM_GR_670">#REF!</definedName>
    <definedName name="WALLAREA_Men_toilet_shower">#REF!</definedName>
    <definedName name="WALLAREA_Men_toilet_shower.1">#REF!</definedName>
    <definedName name="WALLAREA_Men_toilet_shower.F">#REF!</definedName>
    <definedName name="WALLAREA_Mens_toilet">#REF!</definedName>
    <definedName name="WALLAREA_Mens_toilet.F">#REF!</definedName>
    <definedName name="WALLAREA_Office">#REF!</definedName>
    <definedName name="WALLAREA_Office.1">#REF!</definedName>
    <definedName name="WALLAREA_Office_1">#REF!</definedName>
    <definedName name="WALLAREA_Office_2">#REF!</definedName>
    <definedName name="WALLAREA_Office_3">#REF!</definedName>
    <definedName name="WALLAREA_OFFICE_GR_663">#REF!</definedName>
    <definedName name="WALLAREA_OFFICE_GR_664">#REF!</definedName>
    <definedName name="WALLAREA_Offices">#REF!</definedName>
    <definedName name="WALLAREA_OIL_PIT_B_655">#REF!</definedName>
    <definedName name="WALLAREA_OIL_PIT_B_656">#REF!</definedName>
    <definedName name="WALLAREA_OIL_PIT_BS_654">#REF!</definedName>
    <definedName name="WALLAREA_Open_office">#REF!</definedName>
    <definedName name="WALLAREA_OPen_office.1">#REF!</definedName>
    <definedName name="WALLAREA_Open_office.F">#REF!</definedName>
    <definedName name="WALLAREA_Paint_hangar_1">#REF!</definedName>
    <definedName name="WALLAREA_Paint_hold.1">#REF!</definedName>
    <definedName name="WALLAREA_Paint_mix">#REF!</definedName>
    <definedName name="WALLAREA_Paint_mix.1">#REF!</definedName>
    <definedName name="WALLAREA_Paint_shop">#REF!</definedName>
    <definedName name="WALLAREA_Paint_shop.1">#REF!</definedName>
    <definedName name="WALLAREA_Paint_store">#REF!</definedName>
    <definedName name="WALLAREA_Painted_plaster">#REF!</definedName>
    <definedName name="WALLAREA_PANTRY_GR_662">#REF!</definedName>
    <definedName name="WALLAREA_Parapet_at_transformer_room">#REF!</definedName>
    <definedName name="WALLAREA_Parts">#REF!</definedName>
    <definedName name="WALLAREA_Parts.1">#REF!</definedName>
    <definedName name="WALLAREA_Parts_">#REF!</definedName>
    <definedName name="WALLAREA_Plaster_Anti_alkaline_paint">#REF!</definedName>
    <definedName name="WALLAREA_Plot_Area">#REF!</definedName>
    <definedName name="WALLAREA_Prayer_room">#REF!</definedName>
    <definedName name="WALLAREA_PT___10">#REF!</definedName>
    <definedName name="WALLAREA_PT_01_S">#REF!</definedName>
    <definedName name="WALLAREA_RC_base">#REF!</definedName>
    <definedName name="WALLAREA_RC_Wall">#REF!</definedName>
    <definedName name="WALLAREA_RC_Wall_300W_3500H">#REF!</definedName>
    <definedName name="WALLAREA_RC_Wall_300W_867H">#REF!</definedName>
    <definedName name="WALLAREA_RC_Wall_400W_3500H">#REF!</definedName>
    <definedName name="WALLAREA_RC_Wall_400W_3700H">#REF!</definedName>
    <definedName name="WALLAREA_RC_Wall_500W_11670H">#REF!</definedName>
    <definedName name="WALLAREA_RC_Wall_500W_12770H">#REF!</definedName>
    <definedName name="WALLAREA_RC_Wall_600W_4000H">#REF!</definedName>
    <definedName name="WALLAREA_RC_Wall_600W_5000H">#REF!</definedName>
    <definedName name="WALLAREA_RC_Wall_800W_4800H">#REF!</definedName>
    <definedName name="WALLAREA_RC_Wall_800W_6500H">#REF!</definedName>
    <definedName name="WALLAREA_Receiver_tanks">#REF!</definedName>
    <definedName name="WALLAREA_Removal_of_top_soil">#REF!</definedName>
    <definedName name="WALLAREA_Riser">#REF!</definedName>
    <definedName name="WALLAREA_Roof_Beam_RB1_300X600_">#REF!</definedName>
    <definedName name="WALLAREA_Roof_beam_RB1_400X600_">#REF!</definedName>
    <definedName name="WALLAREA_Roof_Beam_RB2_300X600_">#REF!</definedName>
    <definedName name="WALLAREA_Roof_beam_RB2_400X600_">#REF!</definedName>
    <definedName name="WALLAREA_Roof_beam_RB3_300X600_">#REF!</definedName>
    <definedName name="WALLAREA_Roof_beam_RB4_200X400_">#REF!</definedName>
    <definedName name="WALLAREA_Roof_parapet_300mm_high">#REF!</definedName>
    <definedName name="WALLAREA_Roof_Parapet_500mm_high">#REF!</definedName>
    <definedName name="WALLAREA_ROOF_RF_651">#REF!</definedName>
    <definedName name="WALLAREA_ROOF_RF_652">#REF!</definedName>
    <definedName name="WALLAREA_ROOF_RF_653">#REF!</definedName>
    <definedName name="WALLAREA_ROOF_RF_654">#REF!</definedName>
    <definedName name="WALLAREA_Roof_Slab_200mm_thick">#REF!</definedName>
    <definedName name="WALLAREA_Roof_slab_250mm_thk">#REF!</definedName>
    <definedName name="WALLAREA_Seat_storage.F1">#REF!</definedName>
    <definedName name="WALLAREA_Seat_storage.F2">#REF!</definedName>
    <definedName name="WALLAREA_SF_01_General_soffit">#REF!</definedName>
    <definedName name="WALLAREA_Slab_S2_180mm_thick">#REF!</definedName>
    <definedName name="WALLAREA_Slab_S3_200mm_thick">#REF!</definedName>
    <definedName name="WALLAREA_Slab_S4_220mm_thick">#REF!</definedName>
    <definedName name="WALLAREA_Slab_S5_250mm_thk">#REF!</definedName>
    <definedName name="WALLAREA_Sloped_Roof_160mm_thick">#REF!</definedName>
    <definedName name="WALLAREA_Smoking.1">#REF!</definedName>
    <definedName name="WALLAREA_Smoking.2">#REF!</definedName>
    <definedName name="WALLAREA_Smoking.F">#REF!</definedName>
    <definedName name="WALLAREA_SS_B1_300X600_450mm_deep">#REF!</definedName>
    <definedName name="WALLAREA_SS_B1_300X700_450mm_deep">#REF!</definedName>
    <definedName name="WALLAREA_SS_B1_300X700_500mm_deep">#REF!</definedName>
    <definedName name="WALLAREA_SS_B1_300X700X520mm_deep">#REF!</definedName>
    <definedName name="WALLAREA_SS_B10_300X600_350mm_deep">#REF!</definedName>
    <definedName name="WALLAREA_SS_B10_300X700_450mm_deep">#REF!</definedName>
    <definedName name="WALLAREA_SS_B10_300X700_480mm_deep">#REF!</definedName>
    <definedName name="WALLAREA_SS_B10_350X700_450mm_deep">#REF!</definedName>
    <definedName name="WALLAREA_SS_B10_350X700_500mm_deep">#REF!</definedName>
    <definedName name="WALLAREA_SS_B11_300X700_450mm_deep">#REF!</definedName>
    <definedName name="WALLAREA_SS_B11_400X800_550mm_deep">#REF!</definedName>
    <definedName name="WALLAREA_SS_B12_200X600_380mm_deep">#REF!</definedName>
    <definedName name="WALLAREA_SS_B12_300X700">#REF!</definedName>
    <definedName name="WALLAREA_SS_B12_300X700_500mm_deep">#REF!</definedName>
    <definedName name="WALLAREA_SS_B12_300X700_520mm_deep">#REF!</definedName>
    <definedName name="WALLAREA_SS_B12_300X700_580mm_deep">#REF!</definedName>
    <definedName name="WALLAREA_SS_B13_300X700_480mm_deep">#REF!</definedName>
    <definedName name="WALLAREA_SS_B13_350X700_450mm_deep">#REF!</definedName>
    <definedName name="WALLAREA_SS_B14_300X700_450mm_deep">#REF!</definedName>
    <definedName name="WALLAREA_SS_B14_300X700_500mm_deep">#REF!</definedName>
    <definedName name="WALLAREA_SS_B15_300X700_450mm_deep">#REF!</definedName>
    <definedName name="WALLAREA_SS_B15_350X700_450mm_deep">#REF!</definedName>
    <definedName name="WALLAREA_SS_B15_350X700_500mm_deep">#REF!</definedName>
    <definedName name="WALLAREA_SS_B16_300X700">#REF!</definedName>
    <definedName name="WALLAREA_SS_B16_300X700_520mm_deep">#REF!</definedName>
    <definedName name="WALLAREA_SS_B16_350X700_500mm_deep">#REF!</definedName>
    <definedName name="WALLAREA_SS_B17_300X700">#REF!</definedName>
    <definedName name="WALLAREA_SS_B18_300X700_480mm_deep">#REF!</definedName>
    <definedName name="WALLAREA_SS_B18_300X700_500mm_deep">#REF!</definedName>
    <definedName name="WALLAREA_SS_B18300X700">#REF!</definedName>
    <definedName name="WALLAREA_SS_B19_300X700_450mm_deep">#REF!</definedName>
    <definedName name="WALLAREA_SS_B19_300X700_500mm_deep">#REF!</definedName>
    <definedName name="WALLAREA_SS_B2_400X800_550mm_deep">#REF!</definedName>
    <definedName name="WALLAREA_SS_B20_300X700_450mm_deep">#REF!</definedName>
    <definedName name="WALLAREA_SS_B20_300X700_520mm_deep">#REF!</definedName>
    <definedName name="WALLAREA_SS_B21_300X700_450mm_deep">#REF!</definedName>
    <definedName name="WALLAREA_SS_B22_300X700_450mm_deep">#REF!</definedName>
    <definedName name="WALLAREA_SS_B23_300X700_500mm_deep">#REF!</definedName>
    <definedName name="WALLAREA_SS_B24_300X700_500mm_deep">#REF!</definedName>
    <definedName name="WALLAREA_SS_B25_300X700_480mm_deep">#REF!</definedName>
    <definedName name="WALLAREA_SS_B26_300X500_340mm_deep">#REF!</definedName>
    <definedName name="WALLAREA_SS_B27_300X500_340___deep">#REF!</definedName>
    <definedName name="WALLAREA_SS_B28_500X1000_750mm_deep">#REF!</definedName>
    <definedName name="WALLAREA_SS_B29_500X1000_750mm_deep">#REF!</definedName>
    <definedName name="WALLAREA_SS_B3_400X700_480mm_deep">#REF!</definedName>
    <definedName name="WALLAREA_SS_B3_400X800_550mm_deep">#REF!</definedName>
    <definedName name="WALLAREA_SS_B30_500X1000_750mm_deep">#REF!</definedName>
    <definedName name="WALLAREA_SS_B31_500X1000_750mm_deep">#REF!</definedName>
    <definedName name="WALLAREA_SS_B4_300X700_520mm_deep">#REF!</definedName>
    <definedName name="WALLAREA_SS_B4_400X800_550mm_deep">#REF!</definedName>
    <definedName name="WALLAREA_SS_B5_400X800_550mm_deep">#REF!</definedName>
    <definedName name="WALLAREA_SS_B6_300X600_350mm_deep">#REF!</definedName>
    <definedName name="WALLAREA_SS_B6_300X700">#REF!</definedName>
    <definedName name="WALLAREA_SS_B6_300X700_520mm_deep">#REF!</definedName>
    <definedName name="WALLAREA_SS_B7_200X700_450mm_deep">#REF!</definedName>
    <definedName name="WALLAREA_SS_B8_400X800_550mm_deep">#REF!</definedName>
    <definedName name="WALLAREA_SS_B9_300X600_350mm_deep">#REF!</definedName>
    <definedName name="WALLAREA_SS_B9_300X700_450mm_deep">#REF!</definedName>
    <definedName name="WALLAREA_SS_B9_350X700_450mm_deep">#REF!</definedName>
    <definedName name="WALLAREA_SS_B9_350X700_500mm_deep">#REF!</definedName>
    <definedName name="WALLAREA_SS_CA1_300X700">#REF!</definedName>
    <definedName name="WALLAREA_Stair">#REF!</definedName>
    <definedName name="WALLAREA_Stair.1">#REF!</definedName>
    <definedName name="WALLAREA_Stair_10">#REF!</definedName>
    <definedName name="WALLAREA_Stair_11">#REF!</definedName>
    <definedName name="WALLAREA_Stair_11A">#REF!</definedName>
    <definedName name="WALLAREA_Stair_12">#REF!</definedName>
    <definedName name="WALLAREA_Stair_12A">#REF!</definedName>
    <definedName name="WALLAREA_Stair_12B">#REF!</definedName>
    <definedName name="WALLAREA_Stair_13">#REF!</definedName>
    <definedName name="WALLAREA_Stair_14">#REF!</definedName>
    <definedName name="WALLAREA_STAIRCASE_ROOM_BS_668">#REF!</definedName>
    <definedName name="WALLAREA_Storage.1">#REF!</definedName>
    <definedName name="WALLAREA_Storage.F">#REF!</definedName>
    <definedName name="WALLAREA_Storage.F1">#REF!</definedName>
    <definedName name="WALLAREA_Storage.F2">#REF!</definedName>
    <definedName name="WALLAREA_Storage.F3">#REF!</definedName>
    <definedName name="WALLAREA_Storage_F">#REF!</definedName>
    <definedName name="WALLAREA_STORE_GR_655">#REF!</definedName>
    <definedName name="WALLAREA_Strip_footings_400mm_thk">#REF!</definedName>
    <definedName name="WALLAREA_Strip_footings_500mm_thk">#REF!</definedName>
    <definedName name="WALLAREA_Sub_Str._RC_Wall_250mm_thk">#REF!</definedName>
    <definedName name="WALLAREA_Sub_str._RC_Wall_400mm_thk">#REF!</definedName>
    <definedName name="WALLAREA_Sub_Str._Trench_wall_250mm_thick">#REF!</definedName>
    <definedName name="WALLAREA_Sub_Str.RC_Wall_300mm_thk">#REF!</definedName>
    <definedName name="WALLAREA_Superstr._Basement_Wall_250mm_thick">#REF!</definedName>
    <definedName name="WALLAREA_Surface_Bed_S_120mm_thick">#REF!</definedName>
    <definedName name="WALLAREA_Surface_Bed_S1_150mm_thick">#REF!</definedName>
    <definedName name="WALLAREA_Surface_Bed_S5_250mm_thk">#REF!</definedName>
    <definedName name="WALLAREA_Tech.">#REF!</definedName>
    <definedName name="WALLAREA_Tech._library">#REF!</definedName>
    <definedName name="WALLAREA_Tech.1">#REF!</definedName>
    <definedName name="WALLAREA_Tech_library.1">#REF!</definedName>
    <definedName name="WALLAREA_TL___01">#REF!</definedName>
    <definedName name="WALLAREA_TL___04">#REF!</definedName>
    <definedName name="WALLAREA_TL___09">#REF!</definedName>
    <definedName name="WALLAREA_TL___10">#REF!</definedName>
    <definedName name="WALLAREA_TL___11">#REF!</definedName>
    <definedName name="WALLAREA_TL___12_S">#REF!</definedName>
    <definedName name="WALLAREA_TL_04_S">#REF!</definedName>
    <definedName name="WALLAREA_TL_09_S">#REF!</definedName>
    <definedName name="WALLAREA_TOILETS_GR_661">#REF!</definedName>
    <definedName name="WALLAREA_Tool_crib">#REF!</definedName>
    <definedName name="WALLAREA_Tool_crib.1">#REF!</definedName>
    <definedName name="WALLAREA_Tools">#REF!</definedName>
    <definedName name="WALLAREA_Tools_CE_P">#REF!</definedName>
    <definedName name="WALLAREA_Tools_CE_P.1">#REF!</definedName>
    <definedName name="WALLAREA_Training.F">#REF!</definedName>
    <definedName name="WALLAREA_Training_room">#REF!</definedName>
    <definedName name="WALLAREA_Training_room.1">#REF!</definedName>
    <definedName name="WALLAREA_TRENCH_BS_653">#REF!</definedName>
    <definedName name="WALLAREA_TUNNEL_BS_652">#REF!</definedName>
    <definedName name="WALLAREA_Type_E_Scratched_Finish">#REF!</definedName>
    <definedName name="WALLAREA_Type_F_Smooth_finish">#REF!</definedName>
    <definedName name="WALLAREA_Warming_kitchen">#REF!</definedName>
    <definedName name="WALLAREA_Wash_hangar_2">#REF!</definedName>
    <definedName name="WALLAREA_WL_01_General_walls">#REF!</definedName>
    <definedName name="WALLAREA_WL_01_Upstand">#REF!</definedName>
    <definedName name="WALLAREA_WL_02_Columns_and_Corners">#REF!</definedName>
    <definedName name="WALLAREA_Womens_toilet">#REF!</definedName>
    <definedName name="WALLAREA_Womens_toilet.F">#REF!</definedName>
    <definedName name="WALLAREA_WORKSHOP_GR_667">#REF!</definedName>
    <definedName name="wallh">#REF!</definedName>
    <definedName name="Walllining.1Length">#REF!</definedName>
    <definedName name="Walllining.2Length">#REF!</definedName>
    <definedName name="Walllining.3Length">#REF!</definedName>
    <definedName name="Walllining.4Length">#REF!</definedName>
    <definedName name="Walllining.5Length">#REF!</definedName>
    <definedName name="Walllining.6Length">#REF!</definedName>
    <definedName name="Walllining.7Length">#REF!</definedName>
    <definedName name="Walllining.8Length">#REF!</definedName>
    <definedName name="Walllining.9Length">#REF!</definedName>
    <definedName name="WALLS">#REF!</definedName>
    <definedName name="warergtrjyiu" localSheetId="7" hidden="1">{#N/A,#N/A,TRUE,"Cover";#N/A,#N/A,TRUE,"Conts";#N/A,#N/A,TRUE,"VOS";#N/A,#N/A,TRUE,"Warrington";#N/A,#N/A,TRUE,"Widnes"}</definedName>
    <definedName name="warergtrjyiu" localSheetId="0" hidden="1">{#N/A,#N/A,TRUE,"Cover";#N/A,#N/A,TRUE,"Conts";#N/A,#N/A,TRUE,"VOS";#N/A,#N/A,TRUE,"Warrington";#N/A,#N/A,TRUE,"Widnes"}</definedName>
    <definedName name="warergtrjyiu" localSheetId="9"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ste_1" hidden="1">{#N/A,#N/A,TRUE,"Basic";#N/A,#N/A,TRUE,"EXT-TABLE";#N/A,#N/A,TRUE,"STEEL";#N/A,#N/A,TRUE,"INT-Table";#N/A,#N/A,TRUE,"STEEL";#N/A,#N/A,TRUE,"Door"}</definedName>
    <definedName name="WASTE_FACTOR">#REF!</definedName>
    <definedName name="WasteWaterTeratmentHouse" hidden="1">{#N/A,#N/A,FALSE,"Sheet1"}</definedName>
    <definedName name="water">#REF!</definedName>
    <definedName name="WATER__INSTALLATIONS">#REF!</definedName>
    <definedName name="WATER_ANAL_SYS">#REF!</definedName>
    <definedName name="Water_Level" localSheetId="9">#REF!</definedName>
    <definedName name="Water_Level">#REF!</definedName>
    <definedName name="waterbh">#N/A</definedName>
    <definedName name="Waterfront">#REF!</definedName>
    <definedName name="WATERPROOFING">#REF!</definedName>
    <definedName name="Watersupply">#REF!</definedName>
    <definedName name="wawst" localSheetId="7" hidden="1">{#N/A,#N/A,TRUE,"Cover";#N/A,#N/A,TRUE,"Conts";#N/A,#N/A,TRUE,"VOS";#N/A,#N/A,TRUE,"Warrington";#N/A,#N/A,TRUE,"Widnes"}</definedName>
    <definedName name="wawst" localSheetId="0" hidden="1">{#N/A,#N/A,TRUE,"Cover";#N/A,#N/A,TRUE,"Conts";#N/A,#N/A,TRUE,"VOS";#N/A,#N/A,TRUE,"Warrington";#N/A,#N/A,TRUE,"Widnes"}</definedName>
    <definedName name="wawst" localSheetId="9"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B">#REF!</definedName>
    <definedName name="wbtrwe" hidden="1">{#N/A,#N/A,FALSE,"포장2"}</definedName>
    <definedName name="WC">#REF!</definedName>
    <definedName name="WCAP">#REF!</definedName>
    <definedName name="wcs">#REF!</definedName>
    <definedName name="WCV">#REF!</definedName>
    <definedName name="WCVD">#REF!</definedName>
    <definedName name="wdcqwe" hidden="1">{#N/A,#N/A,TRUE,"Front";#N/A,#N/A,TRUE,"Simple Letter";#N/A,#N/A,TRUE,"Inside";#N/A,#N/A,TRUE,"Contents";#N/A,#N/A,TRUE,"Basis";#N/A,#N/A,TRUE,"Inclusions";#N/A,#N/A,TRUE,"Exclusions";#N/A,#N/A,TRUE,"Areas";#N/A,#N/A,TRUE,"Summary";#N/A,#N/A,TRUE,"Detail"}</definedName>
    <definedName name="wde">#REF!</definedName>
    <definedName name="wdef">IF(ISNA(MATCH(ROW(),RowAfterpgbrk,1)),1,MATCH(ROW(),RowAfterpgbrk,1)+1)&lt;&gt;IF(ISNA(MATCH(ROW()-1,RowAfterpgbrk,1)),1,MATCH(ROW()-1,RowAfterpgbrk,1)+1)</definedName>
    <definedName name="WDMH">#REF!</definedName>
    <definedName name="WE">#REF!</definedName>
    <definedName name="WE_1" hidden="1">{#N/A,#N/A,FALSE,"CCTV"}</definedName>
    <definedName name="WE_2" hidden="1">{#N/A,#N/A,FALSE,"CCTV"}</definedName>
    <definedName name="WearingCourse">#REF!</definedName>
    <definedName name="WearingCourse_21">#REF!</definedName>
    <definedName name="WearingCourse_22">#REF!</definedName>
    <definedName name="WearingCourse_23">#REF!</definedName>
    <definedName name="WearingCourse_24">#REF!</definedName>
    <definedName name="WearingCourse_25">#REF!</definedName>
    <definedName name="WearingCourse_26">#REF!</definedName>
    <definedName name="WEE">#REF!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fwe" hidden="1">{#N/A,#N/A,TRUE,"Cover";#N/A,#N/A,TRUE,"Conts";#N/A,#N/A,TRUE,"VOS";#N/A,#N/A,TRUE,"Warrington";#N/A,#N/A,TRUE,"Widnes"}</definedName>
    <definedName name="weeks">#REF!</definedName>
    <definedName name="Weeks_Per_Month">4.33</definedName>
    <definedName name="wef" hidden="1">{#N/A,#N/A,TRUE,"Front";#N/A,#N/A,TRUE,"Simple Letter";#N/A,#N/A,TRUE,"Inside";#N/A,#N/A,TRUE,"Contents";#N/A,#N/A,TRUE,"Basis";#N/A,#N/A,TRUE,"Inclusions";#N/A,#N/A,TRUE,"Exclusions";#N/A,#N/A,TRUE,"Areas";#N/A,#N/A,TRUE,"Summary";#N/A,#N/A,TRUE,"Detail"}</definedName>
    <definedName name="wefew" hidden="1">{#N/A,#N/A,FALSE,"CCTV"}</definedName>
    <definedName name="wefew_1" hidden="1">{#N/A,#N/A,FALSE,"CCTV"}</definedName>
    <definedName name="wefew_2" hidden="1">{#N/A,#N/A,FALSE,"CCTV"}</definedName>
    <definedName name="wefq">"Page "&amp;IF(ISNA(MATCH(ROW(),RowAfterpgbrk,1)),1,MATCH(ROW(),RowAfterpgbrk,1)+1)&amp;" of " &amp; TotPageCount + 0*NOW()</definedName>
    <definedName name="wefwef">#REF!</definedName>
    <definedName name="wefwer" hidden="1">{#N/A,#N/A,TRUE,"Front";#N/A,#N/A,TRUE,"Simple Letter";#N/A,#N/A,TRUE,"Inside";#N/A,#N/A,TRUE,"Contents";#N/A,#N/A,TRUE,"Basis";#N/A,#N/A,TRUE,"Inclusions";#N/A,#N/A,TRUE,"Exclusions";#N/A,#N/A,TRUE,"Areas";#N/A,#N/A,TRUE,"Summary";#N/A,#N/A,TRUE,"Detail"}</definedName>
    <definedName name="wegWE" hidden="1">{#N/A,#N/A,TRUE,"Cover";#N/A,#N/A,TRUE,"Conts";#N/A,#N/A,TRUE,"VOS";#N/A,#N/A,TRUE,"Warrington";#N/A,#N/A,TRUE,"Widnes"}</definedName>
    <definedName name="wegWE_1" hidden="1">{#N/A,#N/A,TRUE,"Cover";#N/A,#N/A,TRUE,"Conts";#N/A,#N/A,TRUE,"VOS";#N/A,#N/A,TRUE,"Warrington";#N/A,#N/A,TRUE,"Widnes"}</definedName>
    <definedName name="wegywegt" localSheetId="7" hidden="1">{#N/A,#N/A,TRUE,"Cover";#N/A,#N/A,TRUE,"Conts";#N/A,#N/A,TRUE,"VOS";#N/A,#N/A,TRUE,"Warrington";#N/A,#N/A,TRUE,"Widnes"}</definedName>
    <definedName name="wegywegt" localSheetId="0" hidden="1">{#N/A,#N/A,TRUE,"Cover";#N/A,#N/A,TRUE,"Conts";#N/A,#N/A,TRUE,"VOS";#N/A,#N/A,TRUE,"Warrington";#N/A,#N/A,TRUE,"Widnes"}</definedName>
    <definedName name="wegywegt" localSheetId="9"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IGHT">#REF!</definedName>
    <definedName name="weight_1" hidden="1">{#N/A,#N/A,FALSE,"CCTV"}</definedName>
    <definedName name="weight_2" hidden="1">{#N/A,#N/A,FALSE,"CCTV"}</definedName>
    <definedName name="weki_9701.xls" hidden="1">#REF!</definedName>
    <definedName name="wekir9701.xls" hidden="1">#REF!</definedName>
    <definedName name="Wem">#REF!</definedName>
    <definedName name="weo" hidden="1">{"'Break down'!$A$4"}</definedName>
    <definedName name="weq" hidden="1">{#N/A,#N/A,FALSE,"SumD";#N/A,#N/A,FALSE,"ElecD";#N/A,#N/A,FALSE,"MechD";#N/A,#N/A,FALSE,"GeotD";#N/A,#N/A,FALSE,"PrcsD";#N/A,#N/A,FALSE,"TunnD";#N/A,#N/A,FALSE,"CivlD";#N/A,#N/A,FALSE,"NtwkD";#N/A,#N/A,FALSE,"EstgD";#N/A,#N/A,FALSE,"PEngD"}</definedName>
    <definedName name="weq_1" hidden="1">{#N/A,#N/A,FALSE,"SumD";#N/A,#N/A,FALSE,"ElecD";#N/A,#N/A,FALSE,"MechD";#N/A,#N/A,FALSE,"GeotD";#N/A,#N/A,FALSE,"PrcsD";#N/A,#N/A,FALSE,"TunnD";#N/A,#N/A,FALSE,"CivlD";#N/A,#N/A,FALSE,"NtwkD";#N/A,#N/A,FALSE,"EstgD";#N/A,#N/A,FALSE,"PEngD"}</definedName>
    <definedName name="weqdrwe">#REF!</definedName>
    <definedName name="weqr"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RQWEQW"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eqz" hidden="1">{#N/A,#N/A,FALSE,"SumD";#N/A,#N/A,FALSE,"ElecD";#N/A,#N/A,FALSE,"MechD";#N/A,#N/A,FALSE,"GeotD";#N/A,#N/A,FALSE,"PrcsD";#N/A,#N/A,FALSE,"TunnD";#N/A,#N/A,FALSE,"CivlD";#N/A,#N/A,FALSE,"NtwkD";#N/A,#N/A,FALSE,"EstgD";#N/A,#N/A,FALSE,"PEngD"}</definedName>
    <definedName name="wer" hidden="1">#REF!</definedName>
    <definedName name="werfg" hidden="1">{#N/A,#N/A,TRUE,"Cover";#N/A,#N/A,TRUE,"Conts";#N/A,#N/A,TRUE,"VOS";#N/A,#N/A,TRUE,"Warrington";#N/A,#N/A,TRUE,"Widnes"}</definedName>
    <definedName name="werqr" hidden="1">{#N/A,#N/A,TRUE,"Front";#N/A,#N/A,TRUE,"Simple Letter";#N/A,#N/A,TRUE,"Inside";#N/A,#N/A,TRUE,"Contents";#N/A,#N/A,TRUE,"Basis";#N/A,#N/A,TRUE,"Inclusions";#N/A,#N/A,TRUE,"Exclusions";#N/A,#N/A,TRUE,"Areas";#N/A,#N/A,TRUE,"Summary";#N/A,#N/A,TRUE,"Detail"}</definedName>
    <definedName name="WERR">IF(ISNA(MATCH(ROW(),RowAfterpgbrk,1)),1,MATCH(ROW(),RowAfterpgbrk,1)+1)&lt;&gt;IF(ISNA(MATCH(ROW()+1,RowAfterpgbrk,1)),1,MATCH(ROW()+1,RowAfterpgbrk,1)+1)</definedName>
    <definedName name="wert" localSheetId="7" hidden="1">{#N/A,#N/A,TRUE,"Cover";#N/A,#N/A,TRUE,"Conts";#N/A,#N/A,TRUE,"VOS";#N/A,#N/A,TRUE,"Warrington";#N/A,#N/A,TRUE,"Widnes"}</definedName>
    <definedName name="wert" localSheetId="0" hidden="1">{#N/A,#N/A,TRUE,"Cover";#N/A,#N/A,TRUE,"Conts";#N/A,#N/A,TRUE,"VOS";#N/A,#N/A,TRUE,"Warrington";#N/A,#N/A,TRUE,"Widnes"}</definedName>
    <definedName name="wert" localSheetId="9"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RTGH" hidden="1">{#N/A,#N/A,TRUE,"Cover";#N/A,#N/A,TRUE,"Conts";#N/A,#N/A,TRUE,"VOS";#N/A,#N/A,TRUE,"Warrington";#N/A,#N/A,TRUE,"Widnes"}</definedName>
    <definedName name="werttt" hidden="1">{"'Break down'!$A$4"}</definedName>
    <definedName name="wertwr" hidden="1">{#N/A,#N/A,TRUE,"Front";#N/A,#N/A,TRUE,"Simple Letter";#N/A,#N/A,TRUE,"Inside";#N/A,#N/A,TRUE,"Contents";#N/A,#N/A,TRUE,"Basis";#N/A,#N/A,TRUE,"Inclusions";#N/A,#N/A,TRUE,"Exclusions";#N/A,#N/A,TRUE,"Areas";#N/A,#N/A,TRUE,"Summary";#N/A,#N/A,TRUE,"Detail"}</definedName>
    <definedName name="wertyrty">"Page "&amp;IF(ISNA(MATCH(ROW(),RowAfterpgbrk,1)),1,MATCH(ROW(),RowAfterpgbrk,1)+1)&amp;" of " &amp; TotPageCount + 0*NOW()</definedName>
    <definedName name="weryew" hidden="1">{#N/A,#N/A,FALSE,"이정표"}</definedName>
    <definedName name="wet3w4" hidden="1">{#N/A,#N/A,FALSE,"혼합골재"}</definedName>
    <definedName name="wetjy" localSheetId="7" hidden="1">{#N/A,#N/A,TRUE,"Cover";#N/A,#N/A,TRUE,"Conts";#N/A,#N/A,TRUE,"VOS";#N/A,#N/A,TRUE,"Warrington";#N/A,#N/A,TRUE,"Widnes"}</definedName>
    <definedName name="wetjy" localSheetId="0" hidden="1">{#N/A,#N/A,TRUE,"Cover";#N/A,#N/A,TRUE,"Conts";#N/A,#N/A,TRUE,"VOS";#N/A,#N/A,TRUE,"Warrington";#N/A,#N/A,TRUE,"Widnes"}</definedName>
    <definedName name="wetjy" localSheetId="9"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we" hidden="1">{#N/A,#N/A,TRUE,"Cover";#N/A,#N/A,TRUE,"Conts";#N/A,#N/A,TRUE,"VOS";#N/A,#N/A,TRUE,"Warrington";#N/A,#N/A,TRUE,"Widnes"}</definedName>
    <definedName name="wetyrutu" localSheetId="7" hidden="1">{#N/A,#N/A,TRUE,"Cover";#N/A,#N/A,TRUE,"Conts";#N/A,#N/A,TRUE,"VOS";#N/A,#N/A,TRUE,"Warrington";#N/A,#N/A,TRUE,"Widnes"}</definedName>
    <definedName name="wetyrutu" localSheetId="0" hidden="1">{#N/A,#N/A,TRUE,"Cover";#N/A,#N/A,TRUE,"Conts";#N/A,#N/A,TRUE,"VOS";#N/A,#N/A,TRUE,"Warrington";#N/A,#N/A,TRUE,"Widnes"}</definedName>
    <definedName name="wetyrutu" localSheetId="9"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ewe" hidden="1">{#N/A,#N/A,TRUE,"Basic";#N/A,#N/A,TRUE,"EXT-TABLE";#N/A,#N/A,TRUE,"STEEL";#N/A,#N/A,TRUE,"INT-Table";#N/A,#N/A,TRUE,"STEEL";#N/A,#N/A,TRUE,"Door"}</definedName>
    <definedName name="Wf">#REF!</definedName>
    <definedName name="WFC" hidden="1">#REF!</definedName>
    <definedName name="Wfdn">#REF!</definedName>
    <definedName name="Wft">#REF!</definedName>
    <definedName name="wfwdfs">#REF!</definedName>
    <definedName name="wfwef">#REF!</definedName>
    <definedName name="wG">#REF!</definedName>
    <definedName name="WGEW" hidden="1">{#N/A,#N/A,TRUE,"Cover";#N/A,#N/A,TRUE,"Conts";#N/A,#N/A,TRUE,"VOS";#N/A,#N/A,TRUE,"Warrington";#N/A,#N/A,TRUE,"Widnes"}</definedName>
    <definedName name="WGEW_1" hidden="1">{#N/A,#N/A,TRUE,"Cover";#N/A,#N/A,TRUE,"Conts";#N/A,#N/A,TRUE,"VOS";#N/A,#N/A,TRUE,"Warrington";#N/A,#N/A,TRUE,"Widnes"}</definedName>
    <definedName name="wgWE" hidden="1">{#N/A,#N/A,TRUE,"Cover";#N/A,#N/A,TRUE,"Conts";#N/A,#N/A,TRUE,"VOS";#N/A,#N/A,TRUE,"Warrington";#N/A,#N/A,TRUE,"Widnes"}</definedName>
    <definedName name="wgWE_1" hidden="1">{#N/A,#N/A,TRUE,"Cover";#N/A,#N/A,TRUE,"Conts";#N/A,#N/A,TRUE,"VOS";#N/A,#N/A,TRUE,"Warrington";#N/A,#N/A,TRUE,"Widnes"}</definedName>
    <definedName name="WH">#REF!</definedName>
    <definedName name="whatever">#REF!</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y" hidden="1">{"ECA Qtrs C",#N/A,TRUE,"ECA_Qtrs_C";"ECA Qtrs D",#N/A,TRUE,"ECA_Qtrs_D";"ECA Qtrs F",#N/A,TRUE,"ECA_Qtrs_F";"ECA Qtrs G",#N/A,TRUE,"ECA_Qtrs_G";"ECA SisterApt",#N/A,TRUE,"ECA_SisterApt";"ECA Nurses",#N/A,TRUE,"ECA_NursesHostel"}</definedName>
    <definedName name="widabt">#REF!</definedName>
    <definedName name="widabt_1">#N/A</definedName>
    <definedName name="Width">#REF!</definedName>
    <definedName name="Width_1">#N/A</definedName>
    <definedName name="widwing">#REF!</definedName>
    <definedName name="widwing_1">#N/A</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#REF!</definedName>
    <definedName name="WINDOWS__AND__EXTERNAL__DOORS">#REF!</definedName>
    <definedName name="winds">#REF!</definedName>
    <definedName name="windspeed">#REF!</definedName>
    <definedName name="wirnww">#REF!</definedName>
    <definedName name="wjs" hidden="1">{#N/A,#N/A,FALSE,"CCTV"}</definedName>
    <definedName name="wjs_1" hidden="1">{"'장비'!$A$3:$M$12"}</definedName>
    <definedName name="wjs_2" hidden="1">{"'장비'!$A$3:$M$12"}</definedName>
    <definedName name="WL">#REF!</definedName>
    <definedName name="WLQ" hidden="1">{#N/A,#N/A,FALSE,"명세표"}</definedName>
    <definedName name="WLQ_1" hidden="1">{#N/A,#N/A,FALSE,"명세표"}</definedName>
    <definedName name="WLQ_2" hidden="1">{#N/A,#N/A,FALSE,"명세표"}</definedName>
    <definedName name="Wm">#REF!</definedName>
    <definedName name="wm.조골재1" hidden="1">{#N/A,#N/A,FALSE,"조골재"}</definedName>
    <definedName name="wmm">#REF!</definedName>
    <definedName name="WN">#REF!</definedName>
    <definedName name="Wo">#REF!</definedName>
    <definedName name="WOL">#REF!</definedName>
    <definedName name="WOO">#REF!</definedName>
    <definedName name="WOOA">#REF!</definedName>
    <definedName name="WOOB">#REF!</definedName>
    <definedName name="WOOC">#REF!</definedName>
    <definedName name="WOOD">#REF!</definedName>
    <definedName name="Wooden_Doors">#REF!</definedName>
    <definedName name="Woodenwork">#REF!</definedName>
    <definedName name="woogi" hidden="1">#REF!</definedName>
    <definedName name="woogi2" hidden="1">#REF!</definedName>
    <definedName name="Wop">#REF!</definedName>
    <definedName name="WorkDays">#REF!</definedName>
    <definedName name="WorkDays1">#REF!</definedName>
    <definedName name="Working_Hour_Per_Day">#REF!</definedName>
    <definedName name="workings">#REF!</definedName>
    <definedName name="workshop" hidden="1">{#N/A,#N/A,FALSE,"CCTV"}</definedName>
    <definedName name="WORKSHOP_1" hidden="1">{#N/A,#N/A,TRUE,"Basic";#N/A,#N/A,TRUE,"EXT-TABLE";#N/A,#N/A,TRUE,"STEEL";#N/A,#N/A,TRUE,"INT-Table";#N/A,#N/A,TRUE,"STEEL";#N/A,#N/A,TRUE,"Door"}</definedName>
    <definedName name="workshop_2" hidden="1">{#N/A,#N/A,FALSE,"CCTV"}</definedName>
    <definedName name="WORKSHT2">#REF!</definedName>
    <definedName name="WORKSHT3">#REF!</definedName>
    <definedName name="Worsley_Alumina_Expansion_Project___23747">#REF!</definedName>
    <definedName name="WP" localSheetId="7">#REF!</definedName>
    <definedName name="WP" localSheetId="6">#REF!</definedName>
    <definedName name="WP" localSheetId="9">#REF!</definedName>
    <definedName name="WP" localSheetId="2">#REF!</definedName>
    <definedName name="WP" localSheetId="5">#REF!</definedName>
    <definedName name="WP" localSheetId="8">#REF!</definedName>
    <definedName name="WP">#REF!</definedName>
    <definedName name="WP2CAL" hidden="1">#REF!</definedName>
    <definedName name="wqe" hidden="1">{#N/A,#N/A,TRUE,"Cover";#N/A,#N/A,TRUE,"Conts";#N/A,#N/A,TRUE,"VOS";#N/A,#N/A,TRUE,"Warrington";#N/A,#N/A,TRUE,"Widnes"}</definedName>
    <definedName name="wqer" localSheetId="7" hidden="1">{#N/A,#N/A,TRUE,"Cover";#N/A,#N/A,TRUE,"Conts";#N/A,#N/A,TRUE,"VOS";#N/A,#N/A,TRUE,"Warrington";#N/A,#N/A,TRUE,"Widnes"}</definedName>
    <definedName name="wqer" localSheetId="0" hidden="1">{#N/A,#N/A,TRUE,"Cover";#N/A,#N/A,TRUE,"Conts";#N/A,#N/A,TRUE,"VOS";#N/A,#N/A,TRUE,"Warrington";#N/A,#N/A,TRUE,"Widnes"}</definedName>
    <definedName name="wqer" localSheetId="9"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qwew" hidden="1">{"'장비'!$A$3:$M$12"}</definedName>
    <definedName name="WR" hidden="1">{#N/A,#N/A,FALSE,"CCTV"}</definedName>
    <definedName name="WR_1" hidden="1">{#N/A,#N/A,FALSE,"CCTV"}</definedName>
    <definedName name="WR_2" hidden="1">{#N/A,#N/A,FALSE,"CCTV"}</definedName>
    <definedName name="wrewerwer" hidden="1">{#N/A,#N/A,FALSE,"CCTV"}</definedName>
    <definedName name="wrewerwer_1" hidden="1">{#N/A,#N/A,FALSE,"CCTV"}</definedName>
    <definedName name="wrewerwer_2" hidden="1">{#N/A,#N/A,FALSE,"CCTV"}</definedName>
    <definedName name="WRITE" hidden="1">{#N/A,#N/A,FALSE,"CCTV"}</definedName>
    <definedName name="WRITE_1" hidden="1">{#N/A,#N/A,FALSE,"CCTV"}</definedName>
    <definedName name="WRITE_2" hidden="1">{#N/A,#N/A,FALSE,"CCTV"}</definedName>
    <definedName name="WRM" hidden="1">{#N/A,#N/A,FALSE,"CCTV"}</definedName>
    <definedName name="WRN" hidden="1">{#N/A,#N/A,FALSE,"CCTV"}</definedName>
    <definedName name="WRN." hidden="1">{#N/A,#N/A,FALSE,"전체집계표";#N/A,#N/A,FALSE,"안벽30000";#N/A,#N/A,FALSE,"안벽20000";#N/A,#N/A,FALSE,"내호안";#N/A,#N/A,FALSE,"외호안";#N/A,#N/A,FALSE,"준설토A";#N/A,#N/A,FALSE,"준설토B";#N/A,#N/A,FALSE,"적출장"}</definedName>
    <definedName name="WRN._1" hidden="1">{#N/A,#N/A,FALSE,"전체집계표";#N/A,#N/A,FALSE,"안벽30000";#N/A,#N/A,FALSE,"안벽20000";#N/A,#N/A,FALSE,"내호안";#N/A,#N/A,FALSE,"외호안";#N/A,#N/A,FALSE,"준설토A";#N/A,#N/A,FALSE,"준설토B";#N/A,#N/A,FALSE,"적출장"}</definedName>
    <definedName name="WRN._2" hidden="1">{#N/A,#N/A,FALSE,"전체집계표";#N/A,#N/A,FALSE,"안벽30000";#N/A,#N/A,FALSE,"안벽20000";#N/A,#N/A,FALSE,"내호안";#N/A,#N/A,FALSE,"외호안";#N/A,#N/A,FALSE,"준설토A";#N/A,#N/A,FALSE,"준설토B";#N/A,#N/A,FALSE,"적출장"}</definedName>
    <definedName name="wrn.111." hidden="1">{#N/A,#N/A,FALSE,"Sheet7"}</definedName>
    <definedName name="wrn.200SC27." hidden="1">{#N/A,#N/A,TRUE,"Cover";#N/A,#N/A,TRUE,"SurfCalcs";#N/A,#N/A,TRUE,"RCBund Ht"}</definedName>
    <definedName name="WRN.2번" hidden="1">{#N/A,#N/A,FALSE,"2~8번"}</definedName>
    <definedName name="wrn.2번." hidden="1">{#N/A,#N/A,FALSE,"2~8번"}</definedName>
    <definedName name="wrn.2번._1" hidden="1">{#N/A,#N/A,FALSE,"2~8번"}</definedName>
    <definedName name="wrn.2번._2" hidden="1">{#N/A,#N/A,FALSE,"2~8번"}</definedName>
    <definedName name="wrn.95기술개발실적보고." hidden="1">{#N/A,#N/A,TRUE,"목차";#N/A,#N/A,TRUE,"1.";#N/A,#N/A,TRUE,"2.";#N/A,#N/A,TRUE,"3.";#N/A,#N/A,TRUE,"4-1";#N/A,#N/A,TRUE,"-2";#N/A,#N/A,TRUE,"-3";#N/A,#N/A,TRUE,"-4";#N/A,#N/A,TRUE,"5-1";#N/A,#N/A,TRUE,"5-2";#N/A,#N/A,TRUE,"6-1";#N/A,#N/A,TRUE,"6-2";#N/A,#N/A,TRUE,"7-1";#N/A,#N/A,TRUE,"7-2";#N/A,#N/A,TRUE,"8.";#N/A,#N/A,TRUE,"9."}</definedName>
    <definedName name="wrn.96사업계획." hidden="1">{#N/A,#N/A,FALSE,"96자동차사 계획";#N/A,#N/A,FALSE,"96자동차사 계획"}</definedName>
    <definedName name="wrn.A." hidden="1">{#N/A,#N/A,FALSE,"Vessel1 1";#N/A,#N/A,FALSE,"Vessel1 2";#N/A,#N/A,FALSE,"Vessel1 3";#N/A,#N/A,FALSE,"Vessel1 4";#N/A,#N/A,FALSE,"Vessel1 5";#N/A,#N/A,FALSE,"Vessel1 6";#N/A,#N/A,FALSE,"Vessel1 7";#N/A,#N/A,FALSE,"Vessel1 8";#N/A,#N/A,FALSE,"Vessel1 9";#N/A,#N/A,FALSE,"Vessel1 10";#N/A,#N/A,FALSE,"Vessel1 11"}</definedName>
    <definedName name="wrn.AAA." hidden="1">{#N/A,#N/A,FALSE,"REK";#N/A,#N/A,FALSE,"Bq-ARS"}</definedName>
    <definedName name="wrn.Accountant." hidden="1">{"Accounts",#N/A,FALSE,"Subcontractor";"Accounts",#N/A,FALSE,"Supplier";"Accounts",#N/A,FALSE,"Statutory Authorities"}</definedName>
    <definedName name="wrn.Acquisition_matrix." hidden="1">{"Acq_matrix",#N/A,FALSE,"Acquisition Matrix"}</definedName>
    <definedName name="wrn.adj95." hidden="1">{"adj95mult",#N/A,FALSE,"COMPCO";"adj95est",#N/A,FALSE,"COMPCO"}</definedName>
    <definedName name="wrn.Aging._.and._.Trend._.Analysis."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ll." hidden="1">{#N/A,#N/A,FALSE,"Pricing";#N/A,#N/A,FALSE,"Summary";#N/A,#N/A,FALSE,"CompProd";#N/A,#N/A,FALSE,"CompJobhrs";#N/A,#N/A,FALSE,"Escalation";#N/A,#N/A,FALSE,"Contingency";#N/A,#N/A,FALSE,"GM";#N/A,#N/A,FALSE,"CompWage";#N/A,#N/A,FALSE,"costSum"}</definedName>
    <definedName name="wrn.All._.Inputs." localSheetId="7" hidden="1">{#N/A,#N/A,FALSE,"Primary";#N/A,#N/A,FALSE,"Secondary";#N/A,#N/A,FALSE,"Latent";#N/A,#N/A,FALSE,"Demand Inputs";#N/A,#N/A,FALSE,"Supply Addn";#N/A,#N/A,FALSE,"Mkt Pen"}</definedName>
    <definedName name="wrn.All._.Inputs." localSheetId="0" hidden="1">{#N/A,#N/A,FALSE,"Primary";#N/A,#N/A,FALSE,"Secondary";#N/A,#N/A,FALSE,"Latent";#N/A,#N/A,FALSE,"Demand Inputs";#N/A,#N/A,FALSE,"Supply Addn";#N/A,#N/A,FALSE,"Mkt Pen"}</definedName>
    <definedName name="wrn.All._.Inputs." localSheetId="9"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hidden="1">{#N/A,#N/A,FALSE,"Summary";#N/A,#N/A,FALSE,"3TJ";#N/A,#N/A,FALSE,"3TN";#N/A,#N/A,FALSE,"3TP";#N/A,#N/A,FALSE,"3SJ";#N/A,#N/A,FALSE,"3CJ";#N/A,#N/A,FALSE,"3CN";#N/A,#N/A,FALSE,"3CP";#N/A,#N/A,FALSE,"3A"}</definedName>
    <definedName name="wrn.all._.lines._1" hidden="1">{#N/A,#N/A,FALSE,"Summary";#N/A,#N/A,FALSE,"3TJ";#N/A,#N/A,FALSE,"3TN";#N/A,#N/A,FALSE,"3TP";#N/A,#N/A,FALSE,"3SJ";#N/A,#N/A,FALSE,"3CJ";#N/A,#N/A,FALSE,"3CN";#N/A,#N/A,FALSE,"3CP";#N/A,#N/A,FALSE,"3A"}</definedName>
    <definedName name="wrn.ALL._.REPORT." hidden="1">{"ALL",#N/A,FALSE,"31-SEC";"ALL",#N/A,FALSE,"32-SEC";"ALL",#N/A,FALSE,"33-SEC";#N/A,#N/A,FALSE,"34-SEC";#N/A,#N/A,FALSE,"35-SEC"}</definedName>
    <definedName name="wrn.all._1" hidden="1">{#N/A,#N/A,FALSE,"Pricing";#N/A,#N/A,FALSE,"Summary";#N/A,#N/A,FALSE,"CompProd";#N/A,#N/A,FALSE,"CompJobhrs";#N/A,#N/A,FALSE,"Escalation";#N/A,#N/A,FALSE,"Contingency";#N/A,#N/A,FALSE,"GM";#N/A,#N/A,FALSE,"CompWage";#N/A,#N/A,FALSE,"costSum"}</definedName>
    <definedName name="wrn.AQUIROR._.DCF." hidden="1">{"AQUIRORDCF",#N/A,FALSE,"Merger consequences";"Acquirorassns",#N/A,FALSE,"Merger consequences"}</definedName>
    <definedName name="wrn.Audit._.Measured._.Works." hidden="1">{#N/A,#N/A,FALSE,"Measured Works"}</definedName>
    <definedName name="wrn.Backup." hidden="1">{#N/A,#N/A,FALSE,"SUBS";#N/A,#N/A,FALSE,"SUPERS";#N/A,#N/A,FALSE,"FINISHES";#N/A,#N/A,FALSE,"FITTINGS";#N/A,#N/A,FALSE,"SERVICES";#N/A,#N/A,FALSE,"SITEWORKS"}</definedName>
    <definedName name="wrn.backup1" hidden="1">{#N/A,#N/A,FALSE,"SUBS";#N/A,#N/A,FALSE,"SUPERS";#N/A,#N/A,FALSE,"FINISHES";#N/A,#N/A,FALSE,"FITTINGS";#N/A,#N/A,FALSE,"SERVICES";#N/A,#N/A,FALSE,"SITEWORKS"}</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rbara._.Modular._.Indirects." hidden="1">{#N/A,#N/A,FALSE,"COVER";#N/A,#N/A,FALSE,"RECAP";#N/A,#N/A,FALSE,"SANTA BARBARA NONMANUAL";#N/A,#N/A,FALSE,"CEQUIP";#N/A,#N/A,FALSE,"WRATE";#N/A,#N/A,FALSE,"INDIRECT";#N/A,#N/A,FALSE,"TRAIN";#N/A,#N/A,FALSE,"MANLOADED SCHEDULE"}</definedName>
    <definedName name="wrn.Barbara._.Modular._.Indirects._1" hidden="1">{#N/A,#N/A,FALSE,"COVER";#N/A,#N/A,FALSE,"RECAP";#N/A,#N/A,FALSE,"SANTA BARBARA NONMANUAL";#N/A,#N/A,FALSE,"CEQUIP";#N/A,#N/A,FALSE,"WRATE";#N/A,#N/A,FALSE,"INDIRECT";#N/A,#N/A,FALSE,"TRAIN";#N/A,#N/A,FALSE,"MANLOADED SCHEDULE"}</definedName>
    <definedName name="wrn.BARCHART." hidden="1">{"View1",#N/A,FALSE,"Sheet1";"View2",#N/A,FALSE,"Sheet1";"View3",#N/A,FALSE,"Sheet1";"View4",#N/A,FALSE,"Sheet1"}</definedName>
    <definedName name="wrn.BaseYearDemand." localSheetId="7" hidden="1">{"Base Year Demand",#N/A,FALSE,"Demand-Base Year"}</definedName>
    <definedName name="wrn.BaseYearDemand." localSheetId="0" hidden="1">{"Base Year Demand",#N/A,FALSE,"Demand-Base Year"}</definedName>
    <definedName name="wrn.BaseYearDemand." localSheetId="9" hidden="1">{"Base Year Demand",#N/A,FALSE,"Demand-Base Year"}</definedName>
    <definedName name="wrn.BaseYearDemand." localSheetId="8" hidden="1">{"Base Year Demand",#N/A,FALSE,"Demand-Base Year"}</definedName>
    <definedName name="wrn.BaseYearDemand." hidden="1">{"Base Year Demand",#N/A,FALSE,"Demand-Base Year"}</definedName>
    <definedName name="wrn.bh." hidden="1">{#N/A,#N/A,FALSE,"TELEFON"}</definedName>
    <definedName name="wrn.bh1." hidden="1">{#N/A,#N/A,FALSE,"TELEFON"}</definedName>
    <definedName name="wrn.BIDSUM." hidden="1">{#N/A,#N/A,TRUE,"SUMMARY";#N/A,#N/A,TRUE,"ISBL";#N/A,#N/A,TRUE,"OSBL";#N/A,#N/A,TRUE,"OFFSITE";#N/A,#N/A,TRUE,"STEAM"}</definedName>
    <definedName name="wrn.Birdie." hidden="1">{#N/A,#N/A,FALSE,"Trans Summary";#N/A,#N/A,FALSE,"Proforma Five Yr";#N/A,#N/A,FALSE,"Occ and Rate"}</definedName>
    <definedName name="wrn.BM." hidden="1">{#N/A,#N/A,FALSE,"CCTV"}</definedName>
    <definedName name="wrn.BM._1" hidden="1">{#N/A,#N/A,TRUE,"Basic";#N/A,#N/A,TRUE,"EXT-TABLE";#N/A,#N/A,TRUE,"STEEL";#N/A,#N/A,TRUE,"INT-Table";#N/A,#N/A,TRUE,"STEEL";#N/A,#N/A,TRUE,"Door"}</definedName>
    <definedName name="wrn.BM._2" hidden="1">{#N/A,#N/A,FALSE,"CCTV"}</definedName>
    <definedName name="wrn.Both._.Outputs." localSheetId="7" hidden="1">{"LTV Output",#N/A,FALSE,"Output";"DCR Output",#N/A,FALSE,"Output"}</definedName>
    <definedName name="wrn.Both._.Outputs." localSheetId="0" hidden="1">{"LTV Output",#N/A,FALSE,"Output";"DCR Output",#N/A,FALSE,"Output"}</definedName>
    <definedName name="wrn.Both._.Outputs." localSheetId="9"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Breakdown_Install." hidden="1">{#N/A,#N/A,FALSE,"WNTS"}</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C_01." hidden="1">{#N/A,#N/A,FALSE,"C_01 CASE 1";#N/A,#N/A,FALSE,"C_01 CASE 2"}</definedName>
    <definedName name="wrn.Calulation._.Sheets." hidden="1">{#N/A,#N/A,FALSE,"cover";#N/A,#N/A,FALSE,"page_1";#N/A,#N/A,FALSE,"page_2";#N/A,#N/A,FALSE,"page_3";#N/A,#N/A,FALSE,"page_4"}</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hidden="1">{#N/A,#N/A,FALSE,"VCR"}</definedName>
    <definedName name="wrn.chi._.tiÆt." hidden="1">{#N/A,#N/A,FALSE,"Chi tiÆt"}</definedName>
    <definedName name="wrn.CHIEF._.REVIEW." hidden="1">{#N/A,#N/A,FALSE,"Q&amp;AE";#N/A,#N/A,FALSE,"Params";#N/A,#N/A,FALSE,"ReconE";#N/A,#N/A,FALSE,"CostCompE";#N/A,#N/A,FALSE,"SummaryE";#N/A,#N/A,FALSE,"Detail";#N/A,#N/A,FALSE,"PayItem"}</definedName>
    <definedName name="wrn.CHIEF._.REVIEW._1" hidden="1">{#N/A,#N/A,FALSE,"Q&amp;AE";#N/A,#N/A,FALSE,"Params";#N/A,#N/A,FALSE,"ReconE";#N/A,#N/A,FALSE,"CostCompE";#N/A,#N/A,FALSE,"SummaryE";#N/A,#N/A,FALSE,"Detail";#N/A,#N/A,FALSE,"PayItem"}</definedName>
    <definedName name="wrn.CIRCUITS." hidden="1">{"DBANK",#N/A,FALSE,"PriceE";"CKTS",#N/A,FALSE,"PriceE"}</definedName>
    <definedName name="wrn.CIRCUITS._1" hidden="1">{"DBANK",#N/A,FALSE,"PriceE";"CKTS",#N/A,FALSE,"PriceE"}</definedName>
    <definedName name="wrn.compco." hidden="1">{"page1",#N/A,FALSE,"BHCOMPC5";"page2",#N/A,FALSE,"BHCOMPC5";"page3",#N/A,FALSE,"BHCOMPC5";"page4",#N/A,FALSE,"BHCOMPC5"}</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cordia." hidden="1">{#N/A,#N/A,FALSE,"GW280NEW.XLS"}</definedName>
    <definedName name="wrn.cong." hidden="1">{#N/A,#N/A,FALSE,"Sheet1"}</definedName>
    <definedName name="wrn.Contract._.Sum." hidden="1">{"Contract Sums",#N/A,FALSE,"Subcontractor";"Contract Sums",#N/A,FALSE,"Supplier";"Contract Sums",#N/A,FALSE,"Statutory Authorities"}</definedName>
    <definedName name="wrn.Cost._.Plan._.Report." hidden="1">{"Summary",#N/A,TRUE,"Summary";"Cost Plan",#N/A,TRUE,"Cost Plan"}</definedName>
    <definedName name="wrn.Cost._.Report." hidden="1">{#N/A,#N/A,TRUE,"COVER";#N/A,#N/A,TRUE,"DETAILS";#N/A,#N/A,TRUE,"SUMMARY";#N/A,#N/A,TRUE,"EXP MON";#N/A,#N/A,TRUE,"APPENDIX A";#N/A,#N/A,TRUE,"APPENDIX B";#N/A,#N/A,TRUE,"APPENDIX C";#N/A,#N/A,TRUE,"APPENDIX D";#N/A,#N/A,TRUE,"APPENDIX E";#N/A,#N/A,TRUE,"APPENDIX F";#N/A,#N/A,TRUE,"APPENDIX G"}</definedName>
    <definedName name="wrn.Cost._.Summary." hidden="1">{"Cost Summary",#N/A,FALSE,"B";"Cost Detail 1",#N/A,FALSE,"C";"Cost Detail 2",#N/A,FALSE,"C"}</definedName>
    <definedName name="wrn.COST_SHEETS." hidden="1">{#N/A,#N/A,FALSE,"WBS 1.06";#N/A,#N/A,FALSE,"WBS 1.14";#N/A,#N/A,FALSE,"WBS 1.17";#N/A,#N/A,FALSE,"WBS 1.18"}</definedName>
    <definedName name="wrn.COST_SHEETS._1" hidden="1">{#N/A,#N/A,FALSE,"WBS 1.06";#N/A,#N/A,FALSE,"WBS 1.14";#N/A,#N/A,FALSE,"WBS 1.17";#N/A,#N/A,FALSE,"WBS 1.18"}</definedName>
    <definedName name="wrn.COSTOS." hidden="1">{#N/A,#N/A,FALSE,"REG";#N/A,#N/A,FALSE,"REM";#N/A,#N/A,FALSE,"REQ";#N/A,#N/A,FALSE,"EQP";#N/A,#N/A,FALSE,"RMAT";#N/A,#N/A,FALSE,"TU";#N/A,#N/A,FALSE,"IN";#N/A,#N/A,FALSE,"EL";#N/A,#N/A,FALSE,"CI";#N/A,#N/A,FALSE,"CON";#N/A,#N/A,FALSE,"EDI";#N/A,#N/A,FALSE,"ING"}</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DATA._.SHEETS." hidden="1">{"page1",#N/A,FALSE,"DATA SHEET";"page2",#N/A,FALSE,"DATA SHEET";"page3",#N/A,FALSE,"DATA SHEET"}</definedName>
    <definedName name="wrn.DCF." hidden="1">{"DCF1",#N/A,FALSE,"SIERRA DCF";"MATRIX1",#N/A,FALSE,"SIERRA DCF"}</definedName>
    <definedName name="wrn.DCF_Terminal_Value_qchm." hidden="1">{"qchm_dcf",#N/A,FALSE,"QCHMDCF2";"qchm_terminal",#N/A,FALSE,"QCHMDCF2"}</definedName>
    <definedName name="wrn.DCR._.Output." localSheetId="7" hidden="1">{"DCR Output",#N/A,FALSE,"Output"}</definedName>
    <definedName name="wrn.DCR._.Output." localSheetId="0" hidden="1">{"DCR Output",#N/A,FALSE,"Output"}</definedName>
    <definedName name="wrn.DCR._.Output." localSheetId="9" hidden="1">{"DCR Output",#N/A,FALSE,"Output"}</definedName>
    <definedName name="wrn.DCR._.Output." localSheetId="8" hidden="1">{"DCR Output",#N/A,FALSE,"Output"}</definedName>
    <definedName name="wrn.DCR._.Output." hidden="1">{"DCR Output",#N/A,FALSE,"Output"}</definedName>
    <definedName name="wrn.demand." hidden="1">{#N/A,#N/A,FALSE,"III-1 Sum.Dem";#N/A,#N/A,FALSE,"III-2 RER.Dem.Pop";#N/A,#N/A,FALSE,"III-3 RER.Cap.Pop";#N/A,#N/A,FALSE,"III-4 RER.Dem.TCSS";#N/A,#N/A,FALSE,"III-5 RER.Cap.TCSS";#N/A,#N/A,FALSE,"III-6 Pow.Center.Dem";#N/A,#N/A,FALSE,"III-7 Off.Demand";#N/A,#N/A,FALSE,"III-8 Htl.Dem"}</definedName>
    <definedName name="wrn.Demand._.Calcs." localSheetId="7" hidden="1">{#N/A,#N/A,FALSE,"Demand Calcs"}</definedName>
    <definedName name="wrn.Demand._.Calcs." localSheetId="0" hidden="1">{#N/A,#N/A,FALSE,"Demand Calcs"}</definedName>
    <definedName name="wrn.Demand._.Calcs." localSheetId="9" hidden="1">{#N/A,#N/A,FALSE,"Demand Calcs"}</definedName>
    <definedName name="wrn.Demand._.Calcs." localSheetId="8" hidden="1">{#N/A,#N/A,FALSE,"Demand Calcs"}</definedName>
    <definedName name="wrn.Demand._.Calcs." hidden="1">{#N/A,#N/A,FALSE,"Demand Calcs"}</definedName>
    <definedName name="wrn.Demand._.Inputs." localSheetId="7" hidden="1">{#N/A,#N/A,FALSE,"Demand Inputs"}</definedName>
    <definedName name="wrn.Demand._.Inputs." localSheetId="0" hidden="1">{#N/A,#N/A,FALSE,"Demand Inputs"}</definedName>
    <definedName name="wrn.Demand._.Inputs." localSheetId="9" hidden="1">{#N/A,#N/A,FALSE,"Demand Inputs"}</definedName>
    <definedName name="wrn.Demand._.Inputs." localSheetId="8" hidden="1">{#N/A,#N/A,FALSE,"Demand Inputs"}</definedName>
    <definedName name="wrn.Demand._.Inputs." hidden="1">{#N/A,#N/A,FALSE,"Demand Inputs"}</definedName>
    <definedName name="wrn.demographics." hidden="1">{#N/A,#N/A,FALSE,"pop.hh";#N/A,#N/A,FALSE,"age.dist";#N/A,#N/A,FALSE,"hh.income";#N/A,#N/A,FALSE,"hh.chars"}</definedName>
    <definedName name="wrn.Demos." hidden="1">{#N/A,#N/A,FALSE,"II-2 POP.HH";#N/A,#N/A,FALSE,"II-3 AGE.DIST";#N/A,#N/A,FALSE,"II-4 HH.DIST";#N/A,#N/A,FALSE,"II-5 EMP.INDUS"}</definedName>
    <definedName name="wrn.DIRLABR." hidden="1">{#N/A,#N/A,TRUE,"CS&amp;SS(AG)";#N/A,#N/A,TRUE,"CS(UG)";#N/A,#N/A,TRUE,"CSCL(UG)";#N/A,#N/A,TRUE,"KYNAR";#N/A,#N/A,TRUE,"ALLOY904";#N/A,#N/A,TRUE,"TITANIUM";#N/A,#N/A,TRUE,"STMTRACE"}</definedName>
    <definedName name="wrn.Economic._.Value._.Added._.Analysis." hidden="1">{"EVA",#N/A,FALSE,"EVA";"WACC",#N/A,FALSE,"WACC"}</definedName>
    <definedName name="wrn.ENTIRE." hidden="1">{#N/A,#N/A,FALSE,"Cover";#N/A,#N/A,FALSE,"Mech (Eng)";#N/A,#N/A,FALSE,"Mech2 (Eng)";#N/A,#N/A,FALSE,"Mech3 (Eng)";#N/A,#N/A,FALSE,"Mech4 (Eng)"}</definedName>
    <definedName name="wrn.Equipment._.List." hidden="1">{#N/A,#N/A,TRUE,"COVERSHEET";#N/A,#N/A,TRUE,"LEGEND";#N/A,#N/A,TRUE,"LIST"}</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air._.Share._.Calcs." localSheetId="7" hidden="1">{#N/A,#N/A,FALSE,"Fair Share"}</definedName>
    <definedName name="wrn.Fair._.Share._.Calcs." localSheetId="0" hidden="1">{#N/A,#N/A,FALSE,"Fair Share"}</definedName>
    <definedName name="wrn.Fair._.Share._.Calcs." localSheetId="9" hidden="1">{#N/A,#N/A,FALSE,"Fair Share"}</definedName>
    <definedName name="wrn.Fair._.Share._.Calcs." localSheetId="8" hidden="1">{#N/A,#N/A,FALSE,"Fair Share"}</definedName>
    <definedName name="wrn.Fair._.Share._.Calcs." hidden="1">{#N/A,#N/A,FALSE,"Fair Share"}</definedName>
    <definedName name="wrn.Figaro._.Valuation._.Summary." hidden="1">{#N/A,#N/A,TRUE,"Cover";#N/A,#N/A,TRUE,"Graphs BD";#N/A,#N/A,TRUE,"Matrix-BD";#N/A,#N/A,TRUE,"Matrix-BD (2)";#N/A,#N/A,TRUE,"Margin Matrix BD";#N/A,#N/A,TRUE,"P&amp;L BD";#N/A,#N/A,TRUE,"Financials BD"}</definedName>
    <definedName name="wrn.Final._.Account." hidden="1">{#N/A,#N/A,FALSE,"Header P";#N/A,#N/A,FALSE,"Summary";#N/A,#N/A,FALSE,"CONTRACT WORKS";#N/A,#N/A,FALSE,"Variations";#N/A,#N/A,FALSE,"Dwk"}</definedName>
    <definedName name="wrn.FINAL._.ACCOUNT._.ANALYSES." hidden="1">{#N/A,#N/A,FALSE,"Variations"}</definedName>
    <definedName name="wrn.FINAL._.ESTIMATE." hidden="1">{#N/A,#N/A,FALSE,"ProjInfo";#N/A,#N/A,FALSE,"Params";#N/A,#N/A,FALSE,"Q&amp;AE";#N/A,#N/A,FALSE,"CostCompE";#N/A,#N/A,FALSE,"SummaryE";#N/A,#N/A,FALSE,"PayItem";#N/A,#N/A,FALSE,"Detail";#N/A,#N/A,FALSE,"ReconE"}</definedName>
    <definedName name="wrn.FINAL._.ESTIMATE._1" hidden="1">{#N/A,#N/A,FALSE,"ProjInfo";#N/A,#N/A,FALSE,"Params";#N/A,#N/A,FALSE,"Q&amp;AE";#N/A,#N/A,FALSE,"CostCompE";#N/A,#N/A,FALSE,"SummaryE";#N/A,#N/A,FALSE,"PayItem";#N/A,#N/A,FALSE,"Detail";#N/A,#N/A,FALSE,"ReconE"}</definedName>
    <definedName name="wrn.Final._.Output." localSheetId="7" hidden="1">{#N/A,#N/A,FALSE,"Final Output"}</definedName>
    <definedName name="wrn.Final._.Output." localSheetId="0" hidden="1">{#N/A,#N/A,FALSE,"Final Output"}</definedName>
    <definedName name="wrn.Final._.Output." localSheetId="9" hidden="1">{#N/A,#N/A,FALSE,"Final Output"}</definedName>
    <definedName name="wrn.Final._.Output." localSheetId="8" hidden="1">{#N/A,#N/A,FALSE,"Final Output"}</definedName>
    <definedName name="wrn.Final._.Output." hidden="1">{#N/A,#N/A,FALSE,"Final Output"}</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Stats." hidden="1">{#N/A,#N/A,FALSE,"BS-lead";#N/A,#N/A,FALSE,"BS- cladding";#N/A,#N/A,FALSE,"BS-GRC";#N/A,#N/A,FALSE,"P&amp;L-Lead";#N/A,#N/A,FALSE,"P&amp;L-Cladding";#N/A,#N/A,FALSE,"P&amp;L-GRC"}</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ORM." hidden="1">{#N/A,#N/A,FALSE,"FORM A";#N/A,#N/A,FALSE,"FORM D";#N/A,#N/A,FALSE,"FORM E-1";#N/A,#N/A,FALSE,"FORM E-2";#N/A,#N/A,FALSE,"FORM F";#N/A,#N/A,FALSE,"FORM G";#N/A,#N/A,FALSE,"FORM H-1";#N/A,#N/A,FALSE,"FORM H-2";#N/A,#N/A,FALSE,"FORM H-3";#N/A,#N/A,FALSE,"FORM H-4";#N/A,#N/A,FALSE,"FORM H-5";#N/A,#N/A,FALSE,"FORM I";#N/A,#N/A,FALSE,"FORM J"}</definedName>
    <definedName name="wrn.Fuel._.oil._.option." hidden="1">{"FUEL OIL",#N/A,FALSE,"Option"}</definedName>
    <definedName name="wrn.Fuel._.oil._.option._1" hidden="1">{"FUEL OIL",#N/A,FALSE,"Option"}</definedName>
    <definedName name="wrn.full" hidden="1">{#N/A,#N/A,TRUE,"Front";#N/A,#N/A,TRUE,"Simple Letter";#N/A,#N/A,TRUE,"Inside";#N/A,#N/A,TRUE,"Contents";#N/A,#N/A,TRUE,"Basis";#N/A,#N/A,TRUE,"Inclusions";#N/A,#N/A,TRUE,"Exclusions";#N/A,#N/A,TRUE,"Areas";#N/A,#N/A,TRUE,"Summary";#N/A,#N/A,TRUE,"Detail"}</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w280." hidden="1">{#N/A,#N/A,FALSE,"GW280NEW.XLS"}</definedName>
    <definedName name="wrn.Harley._.House." hidden="1">{"HarleyHouse",#N/A,FALSE,"Elem Cost( New Bld) "}</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hidden="1">{#N/A,#N/A,FALSE,"Cover";#N/A,#N/A,FALSE,"Gas";#N/A,#N/A,FALSE,"Umsatz";#N/A,#N/A,FALSE,"Kosten";#N/A,#N/A,FALSE,"Capex Deprec";#N/A,#N/A,FALSE,"WC";#N/A,#N/A,FALSE,"Rückstellungen";#N/A,#N/A,FALSE,"Rente";#N/A,#N/A,FALSE,"EBITDA"}</definedName>
    <definedName name="wrn.INDIRCOS." hidden="1">{#N/A,#N/A,TRUE,"FIELDOFF";#N/A,#N/A,TRUE,"SCAFF";#N/A,#N/A,TRUE,"CONSTEQP";#N/A,#N/A,TRUE,"FUELUBE";#N/A,#N/A,TRUE,"CONSUME";#N/A,#N/A,TRUE,"FIELDEXP";#N/A,#N/A,TRUE,"MANPLAN";#N/A,#N/A,TRUE,"EQPLAN"}</definedName>
    <definedName name="wrn.Inputs." localSheetId="7" hidden="1">{#N/A,#N/A,FALSE,"Input"}</definedName>
    <definedName name="wrn.Inputs." localSheetId="0" hidden="1">{#N/A,#N/A,FALSE,"Input"}</definedName>
    <definedName name="wrn.Inputs." localSheetId="9" hidden="1">{#N/A,#N/A,FALSE,"Input"}</definedName>
    <definedName name="wrn.Inputs." localSheetId="8" hidden="1">{#N/A,#N/A,FALSE,"Input"}</definedName>
    <definedName name="wrn.Inputs." hidden="1">{#N/A,#N/A,FALSE,"Input"}</definedName>
    <definedName name="wrn.Installation." hidden="1">{#N/A,#N/A,FALSE,"WNTS"}</definedName>
    <definedName name="wrn.Interim._.Valuation." hidden="1">{"Valuation",#N/A,FALSE,"VALUATION";"Standard",#N/A,FALSE,"RETENTION STATEMENT";"Progress Chart",#N/A,FALSE,"PROGRESS GRAPH"}</definedName>
    <definedName name="wrn.Interior._.finishes." hidden="1">{"interior finishes",#N/A,FALSE,"DETAIL.XLS"}</definedName>
    <definedName name="wrn.jung." hidden="1">{#N/A,#N/A,FALSE,"자재비 (2)";#N/A,#N/A,FALSE,"공사비 (2)";#N/A,#N/A,FALSE,"설계외주비";#N/A,#N/A,FALSE,"노무비";#N/A,#N/A,FALSE,"기계장치비";#N/A,#N/A,FALSE,"경비"}</definedName>
    <definedName name="wrn.KKW." hidden="1">{#N/A,#N/A,FALSE,"Cover";#N/A,#N/A,FALSE,"KKW Sum";#N/A,#N/A,FALSE,"KKW Basisdaten";#N/A,#N/A,FALSE,"DEPRKKW";#N/A,#N/A,FALSE,"Krü";#N/A,#N/A,FALSE,"Bru";#N/A,#N/A,FALSE,"Bro";#N/A,#N/A,FALSE,"Sta"}</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Latent._.Demand._.Inputs." localSheetId="7" hidden="1">{#N/A,#N/A,FALSE,"Latent"}</definedName>
    <definedName name="wrn.Latent._.Demand._.Inputs." localSheetId="0" hidden="1">{#N/A,#N/A,FALSE,"Latent"}</definedName>
    <definedName name="wrn.Latent._.Demand._.Inputs." localSheetId="9" hidden="1">{#N/A,#N/A,FALSE,"Latent"}</definedName>
    <definedName name="wrn.Latent._.Demand._.Inputs." localSheetId="8" hidden="1">{#N/A,#N/A,FALSE,"Latent"}</definedName>
    <definedName name="wrn.Latent._.Demand._.Inputs." hidden="1">{#N/A,#N/A,FALSE,"Latent"}</definedName>
    <definedName name="wrn.LeadsAPL." hidden="1">{#N/A,#N/A,FALSE,"G-Lead";#N/A,#N/A,FALSE,"LT loans";#N/A,#N/A,FALSE,"Reserves";#N/A,#N/A,FALSE,"J-lead";#N/A,#N/A,FALSE,"L-DT-lead";#N/A,#N/A,FALSE,"L-DF-lead";#N/A,#N/A,FALSE,"M associate";#N/A,#N/A,FALSE,"M subsidiary";#N/A,#N/A,FALSE,"P-Lead";#N/A,#N/A,FALSE,"N-Lead";#N/A,#N/A,FALSE,"O-Lead";#N/A,#N/A,FALSE,"G-Lead"}</definedName>
    <definedName name="wrn.LeadsCladding." hidden="1">{#N/A,#N/A,FALSE,"J-cladding";#N/A,#N/A,FALSE,"L-DT-Cladding";#N/A,#N/A,FALSE,"L-DF-Cladding";#N/A,#N/A,FALSE,"P-Cladding";#N/A,#N/A,FALSE,"N-Cladding";#N/A,#N/A,FALSE,"O-Cladding";#N/A,#N/A,FALSE,"G-Cladding"}</definedName>
    <definedName name="wrn.LeadsGRC." hidden="1">{#N/A,#N/A,FALSE,"J-GRC";#N/A,#N/A,FALSE,"L-DT-GRC";#N/A,#N/A,FALSE,"L-DF-GRC";#N/A,#N/A,FALSE,"P-GRC";#N/A,#N/A,FALSE,"N-GRC";#N/A,#N/A,FALSE,"O-GRC";#N/A,#N/A,FALSE,"G-GRC"}</definedName>
    <definedName name="wrn.Legal."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tter."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ISTE_CONSO." hidden="1">{#N/A,#N/A,FALSE,"PageGarde";#N/A,#N/A,FALSE,"Notes";#N/A,#N/A,FALSE,"LCE"}</definedName>
    <definedName name="wrn.LOCAL._.CURRENCY." hidden="1">{#N/A,#N/A,FALSE,"OAS";#N/A,#N/A,FALSE,"OBG";#N/A,#N/A,FALSE,"OCZ";#N/A,#N/A,FALSE,"OFR";#N/A,#N/A,FALSE,"OGR";#N/A,#N/A,FALSE,"OGY";#N/A,#N/A,FALSE,"OHY ";#N/A,#N/A,FALSE,"OLX";#N/A,#N/A,FALSE,"ONL";#N/A,#N/A,FALSE,"OPO";#N/A,#N/A,FALSE,"OPL";#N/A,#N/A,FALSE,"OSK";#N/A,#N/A,FALSE,"OSP";#N/A,#N/A,FALSE,"OSZ";#N/A,#N/A,FALSE,"OTU";#N/A,#N/A,FALSE,"OUK"}</definedName>
    <definedName name="wrn.LOCAL._.CURRENCY1" hidden="1">{#N/A,#N/A,FALSE,"OAS";#N/A,#N/A,FALSE,"OBG";#N/A,#N/A,FALSE,"OCZ";#N/A,#N/A,FALSE,"OFR";#N/A,#N/A,FALSE,"OGR";#N/A,#N/A,FALSE,"OGY";#N/A,#N/A,FALSE,"OHY ";#N/A,#N/A,FALSE,"OLX";#N/A,#N/A,FALSE,"ONL";#N/A,#N/A,FALSE,"OPO";#N/A,#N/A,FALSE,"OPL";#N/A,#N/A,FALSE,"OSK";#N/A,#N/A,FALSE,"OSP";#N/A,#N/A,FALSE,"OSZ";#N/A,#N/A,FALSE,"OTU";#N/A,#N/A,FALSE,"OUK"}</definedName>
    <definedName name="wrn.LTV._.Output." localSheetId="7" hidden="1">{"LTV Output",#N/A,FALSE,"Output"}</definedName>
    <definedName name="wrn.LTV._.Output." localSheetId="0" hidden="1">{"LTV Output",#N/A,FALSE,"Output"}</definedName>
    <definedName name="wrn.LTV._.Output." localSheetId="9" hidden="1">{"LTV Output",#N/A,FALSE,"Output"}</definedName>
    <definedName name="wrn.LTV._.Output." localSheetId="8" hidden="1">{"LTV Output",#N/A,FALSE,"Output"}</definedName>
    <definedName name="wrn.LTV._.Output." hidden="1">{"LTV Output",#N/A,FALSE,"Output"}</definedName>
    <definedName name="wrn.MAINTENANCE." hidden="1">{#N/A,#N/A,FALSE,"MAINTENANCE"}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Forecast." hidden="1">{"SUMMARY FORECAST",#N/A,FALSE,"Summary";"SUMMARY FORECAST",#N/A,FALSE,"Manpower";"OVERHEAD FORECAST REPORT",#N/A,FALSE,"Manpower"}</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ission._.Bay._.Sheets." hidden="1">{#N/A,#N/A,FALSE,"General";#N/A,#N/A,FALSE,"Rooms";#N/A,#N/A,FALSE,"Undistributed";#N/A,#N/A,FALSE,"F&amp;B";#N/A,#N/A,FALSE,"NEW MODEL";#N/A,#N/A,FALSE,"P&amp;L I"}</definedName>
    <definedName name="wrn.Monthly._.Statement." hidden="1">{#N/A,#N/A,FALSE,"Tabelle2";#N/A,#N/A,FALSE,"Tabelle1"}</definedName>
    <definedName name="wrn.NON._.MANPOWER._.REPORT." hidden="1">{#N/A,#N/A,TRUE,"COVER";#N/A,#N/A,TRUE,"Report";"NON MPWR COST REPORT",#N/A,TRUE,"Non Manpower";"NON MPWR EARNED VALUE",#N/A,TRUE,"Non Manpower";"NON MANPOWER HISTOGRAM",#N/A,TRUE,"Non Manpower";"NON MANPOWER SCURVE",#N/A,TRUE,"Non Manpower"}</definedName>
    <definedName name="wrn.Occupancy._.Calcs." localSheetId="7" hidden="1">{#N/A,#N/A,FALSE,"Occ. Calcs"}</definedName>
    <definedName name="wrn.Occupancy._.Calcs." localSheetId="0" hidden="1">{#N/A,#N/A,FALSE,"Occ. Calcs"}</definedName>
    <definedName name="wrn.Occupancy._.Calcs." localSheetId="9" hidden="1">{#N/A,#N/A,FALSE,"Occ. Calcs"}</definedName>
    <definedName name="wrn.Occupancy._.Calcs." localSheetId="8" hidden="1">{#N/A,#N/A,FALSE,"Occ. Calcs"}</definedName>
    <definedName name="wrn.Occupancy._.Calcs." hidden="1">{#N/A,#N/A,FALSE,"Occ. Calcs"}</definedName>
    <definedName name="wrn.OCS._.REPORT." hidden="1">{#N/A,#N/A,FALSE,"Cover";#N/A,#N/A,FALSE,"Index";#N/A,#N/A,FALSE,"Spec";#N/A,#N/A,FALSE,"Breakdown";#N/A,#N/A,FALSE,"Cost Plan"}</definedName>
    <definedName name="wrn.ON_COSTS." hidden="1">{#N/A,#N/A,FALSE,"Summary";#N/A,#N/A,FALSE,"Plant";#N/A,#N/A,FALSE,"Staff";#N/A,#N/A,FALSE,"Prelim";#N/A,#N/A,FALSE,"Others"}</definedName>
    <definedName name="wrn.Ops._.Charlie._.Packet." hidden="1">{#N/A,#N/A,FALSE,"Proforma Five Yr";#N/A,#N/A,FALSE,"Occ and Rate";#N/A,#N/A,FALSE,"PF Input";#N/A,#N/A,FALSE,"Ops Summary";#N/A,#N/A,FALSE,"Hotcomps"}</definedName>
    <definedName name="wrn.ORGANISATION." hidden="1">{#N/A,#N/A,FALSE,"ORGANISATION"}</definedName>
    <definedName name="wrn.Others." hidden="1">{#N/A,#N/A,FALSE,"O-RDD";#N/A,#N/A,FALSE,"O-ODrs"}</definedName>
    <definedName name="wrn.OUTPUT." hidden="1">{"DCF","UPSIDE CASE",FALSE,"Sheet1";"DCF","BASE CASE",FALSE,"Sheet1";"DCF","DOWNSIDE CASE",FALSE,"Sheet1"}</definedName>
    <definedName name="wrn.Package." hidden="1">{#N/A,#N/A,FALSE,"Rationale";#N/A,#N/A,FALSE,"SUPPLY &amp; DEMAND";#N/A,#N/A,FALSE,"5 YR PROFORMA";#N/A,#N/A,FALSE,"INVESTMENT RETURNS SUMMARY";#N/A,#N/A,FALSE,"Executive Summary"}</definedName>
    <definedName name="wrn.Pad._.Fdn." hidden="1">{#N/A,#N/A,FALSE,"Pad fdn"}</definedName>
    <definedName name="wrn.Penetration." localSheetId="7" hidden="1">{#N/A,#N/A,FALSE,"Mkt Pen"}</definedName>
    <definedName name="wrn.Penetration." localSheetId="0" hidden="1">{#N/A,#N/A,FALSE,"Mkt Pen"}</definedName>
    <definedName name="wrn.Penetration." localSheetId="9" hidden="1">{#N/A,#N/A,FALSE,"Mkt Pen"}</definedName>
    <definedName name="wrn.Penetration." localSheetId="8" hidden="1">{#N/A,#N/A,FALSE,"Mkt Pen"}</definedName>
    <definedName name="wrn.Penetration." hidden="1">{#N/A,#N/A,FALSE,"Mkt Pen"}</definedName>
    <definedName name="wrn.perpackpg2."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r3sty." localSheetId="7" hidden="1">{#N/A,#N/A,FALSE,"intag";#N/A,#N/A,FALSE,"budg";#N/A,#N/A,FALSE,"samtl"}</definedName>
    <definedName name="wrn.pr3sty." localSheetId="0" hidden="1">{#N/A,#N/A,FALSE,"intag";#N/A,#N/A,FALSE,"budg";#N/A,#N/A,FALSE,"samtl"}</definedName>
    <definedName name="wrn.pr3sty." localSheetId="9"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7" hidden="1">{#N/A,#N/A,FALSE,"intag";#N/A,#N/A,FALSE,"budg";#N/A,#N/A,FALSE,"samtl"}</definedName>
    <definedName name="wrn.pr3sty.neu" localSheetId="0" hidden="1">{#N/A,#N/A,FALSE,"intag";#N/A,#N/A,FALSE,"budg";#N/A,#N/A,FALSE,"samtl"}</definedName>
    <definedName name="wrn.pr3sty.neu" localSheetId="9"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7" hidden="1">{#N/A,#N/A,FALSE,"Primary"}</definedName>
    <definedName name="wrn.Primary._.Competition." localSheetId="0" hidden="1">{#N/A,#N/A,FALSE,"Primary"}</definedName>
    <definedName name="wrn.Primary._.Competition." localSheetId="9" hidden="1">{#N/A,#N/A,FALSE,"Primary"}</definedName>
    <definedName name="wrn.Primary._.Competition." localSheetId="8" hidden="1">{#N/A,#N/A,FALSE,"Primary"}</definedName>
    <definedName name="wrn.Primary._.Competition." hidden="1">{#N/A,#N/A,FALSE,"Primary"}</definedName>
    <definedName name="wrn.Print._.Output." hidden="1">{#N/A,#N/A,FALSE,"OUTPUT SHEET "}</definedName>
    <definedName name="wrn.PRINT._.REPORT." hidden="1">{#N/A,#N/A,FALSE,"summary";#N/A,#N/A,FALSE,"preliminy";#N/A,#N/A,FALSE,"bill 3";#N/A,#N/A,FALSE,"bill 4"}</definedName>
    <definedName name="wrn.PrintAll." hidden="1">{#N/A,#N/A,FALSE,"Sheet1";#N/A,#N/A,FALSE,"Sheet2";#N/A,#N/A,FALSE,"Sheet3";#N/A,#N/A,FALSE,"Sheet4";#N/A,#N/A,FALSE,"Sheet5";#N/A,#N/A,FALSE,"Sheet6";#N/A,#N/A,FALSE,"Sheet7";#N/A,#N/A,FALSE,"Sheet8";#N/A,#N/A,FALSE,"Sheet9"}</definedName>
    <definedName name="wrn.PrintallD." hidden="1">{#N/A,#N/A,FALSE,"SumD";#N/A,#N/A,FALSE,"ElecD";#N/A,#N/A,FALSE,"MechD";#N/A,#N/A,FALSE,"GeotD";#N/A,#N/A,FALSE,"PrcsD";#N/A,#N/A,FALSE,"TunnD";#N/A,#N/A,FALSE,"CivlD";#N/A,#N/A,FALSE,"NtwkD";#N/A,#N/A,FALSE,"EstgD";#N/A,#N/A,FALSE,"PEngD"}</definedName>
    <definedName name="wrn.PrintallD._1"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allG._1" hidden="1">{#N/A,#N/A,FALSE,"SumG";#N/A,#N/A,FALSE,"ElecG";#N/A,#N/A,FALSE,"MechG";#N/A,#N/A,FALSE,"GeotG";#N/A,#N/A,FALSE,"PrcsG";#N/A,#N/A,FALSE,"TunnG";#N/A,#N/A,FALSE,"CivlG";#N/A,#N/A,FALSE,"NtwkG";#N/A,#N/A,FALSE,"EstgG";#N/A,#N/A,FALSE,"PEngG"}</definedName>
    <definedName name="wrn.printallz" hidden="1">{#N/A,#N/A,FALSE,"SumD";#N/A,#N/A,FALSE,"ElecD";#N/A,#N/A,FALSE,"MechD";#N/A,#N/A,FALSE,"GeotD";#N/A,#N/A,FALSE,"PrcsD";#N/A,#N/A,FALSE,"TunnD";#N/A,#N/A,FALSE,"CivlD";#N/A,#N/A,FALSE,"NtwkD";#N/A,#N/A,FALSE,"EstgD";#N/A,#N/A,FALSE,"PEngD"}</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ntallgz" hidden="1">{#N/A,#N/A,FALSE,"SumG";#N/A,#N/A,FALSE,"ElecG";#N/A,#N/A,FALSE,"MechG";#N/A,#N/A,FALSE,"GeotG";#N/A,#N/A,FALSE,"PrcsG";#N/A,#N/A,FALSE,"TunnG";#N/A,#N/A,FALSE,"CivlG";#N/A,#N/A,FALSE,"NtwkG";#N/A,#N/A,FALSE,"EstgG";#N/A,#N/A,FALSE,"PEngG"}</definedName>
    <definedName name="wrn.Procurement." hidden="1">{#N/A,#N/A,FALSE,"WNTS"}</definedName>
    <definedName name="wrn.Progress._.Account." hidden="1">{#N/A,#N/A,FALSE,"Variations"}</definedName>
    <definedName name="wrn.ratio." hidden="1">{#N/A,#N/A,FALSE,"JACKETS (1100 t) (1)"}</definedName>
    <definedName name="wrn.RC._.Tank._.Fdn." hidden="1">{#N/A,#N/A,TRUE,"Cover";#N/A,#N/A,TRUE,"Calculations"}</definedName>
    <definedName name="wrn.Redundant._.Equipment._.Option." hidden="1">{"pumps",#N/A,FALSE,"Option"}</definedName>
    <definedName name="wrn.Redundant._.Equipment._.Option._1" hidden="1">{"pumps",#N/A,FALSE,"Option"}</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tention._.Statement." hidden="1">{"Retention",#N/A,FALSE,"Subcontractor";"Retention",#N/A,FALSE,"Supplier";"Retention",#N/A,FALSE,"Statutory Authorities"}</definedName>
    <definedName name="wrn.Ride._.Estimate." hidden="1">{#N/A,#N/A,TRUE,"Cover Memo";"Ride Estimate",#N/A,TRUE,"Change Summary";"Ride Estimate",#N/A,TRUE,"Estimate Summary";"Ride Estimate",#N/A,TRUE,"Dept. Summary";"Ride Estimate",#N/A,TRUE,"DOW Detail"}</definedName>
    <definedName name="wrn.rtpl." hidden="1">{#N/A,#N/A,FALSE,"REK-S-TPL";#N/A,#N/A,FALSE,"REK-TPML";#N/A,#N/A,FALSE,"RAB-TEMPEL"}</definedName>
    <definedName name="wrn.ry." hidden="1">{#N/A,#N/A,FALSE,"REK";#N/A,#N/A,FALSE,"rab"}</definedName>
    <definedName name="wrn.SCHEDULE." hidden="1">{"SCHEDULE",#N/A,FALSE,"Fin_sched"}</definedName>
    <definedName name="wrn.Secondary._.Competition." localSheetId="7" hidden="1">{#N/A,#N/A,FALSE,"Secondary"}</definedName>
    <definedName name="wrn.Secondary._.Competition." localSheetId="0" hidden="1">{#N/A,#N/A,FALSE,"Secondary"}</definedName>
    <definedName name="wrn.Secondary._.Competition." localSheetId="9" hidden="1">{#N/A,#N/A,FALSE,"Secondary"}</definedName>
    <definedName name="wrn.Secondary._.Competition." localSheetId="8" hidden="1">{#N/A,#N/A,FALSE,"Secondary"}</definedName>
    <definedName name="wrn.Secondary._.Competition." hidden="1">{#N/A,#N/A,FALSE,"Secondary"}</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ITE._.NUMBERS._.1995." hidden="1">{#N/A,#N/A,FALSE,"SITE NUMBERS 1995"}</definedName>
    <definedName name="wrn.SITE._.NUMBERS._.1996." hidden="1">{#N/A,#N/A,FALSE,"SITE NUMBERS 1996"}</definedName>
    <definedName name="wrn.SRU._.CONDENSER." hidden="1">{#N/A,#N/A,FALSE,"HXSheet1";#N/A,#N/A,FALSE,"Sheet2";#N/A,#N/A,FALSE,"Sheet3";#N/A,#N/A,FALSE,"Sheet4"}</definedName>
    <definedName name="wrn.STAFFS." hidden="1">{#N/A,#N/A,FALSE,"TABLE"}</definedName>
    <definedName name="wrn.STAMPA._.TUTTO." localSheetId="7" hidden="1">{#N/A,#N/A,FALSE,"C3";#N/A,#N/A,FALSE,"D2-17";#N/A,#N/A,FALSE,"C2-17";#N/A,#N/A,FALSE,"C2-CIVIL";#N/A,#N/A,FALSE,"D1-C1 contract";#N/A,#N/A,FALSE,"D1-CIVIL";#N/A,#N/A,FALSE,"C1 hourly";#N/A,#N/A,FALSE,"C1 contract";#N/A,#N/A,FALSE,"D1-C1 hourly"}</definedName>
    <definedName name="wrn.STAMPA._.TUTTO." localSheetId="0" hidden="1">{#N/A,#N/A,FALSE,"C3";#N/A,#N/A,FALSE,"D2-17";#N/A,#N/A,FALSE,"C2-17";#N/A,#N/A,FALSE,"C2-CIVIL";#N/A,#N/A,FALSE,"D1-C1 contract";#N/A,#N/A,FALSE,"D1-CIVIL";#N/A,#N/A,FALSE,"C1 hourly";#N/A,#N/A,FALSE,"C1 contract";#N/A,#N/A,FALSE,"D1-C1 hourly"}</definedName>
    <definedName name="wrn.STAMPA._.TUTTO." localSheetId="9"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t._.Auths." hidden="1">{"Retention",#N/A,FALSE,"Statutory Authorities";"Contract Sums",#N/A,FALSE,"Statutory Authorities";"Accounts",#N/A,FALSE,"Statutory Authorities"}</definedName>
    <definedName name="wrn.STG._.BLDG._.ENCLOSURE." hidden="1">{"turbine",#N/A,FALSE,"Option"}</definedName>
    <definedName name="wrn.STG._.BLDG._.ENCLOSURE._1" hidden="1">{"turbine",#N/A,FALSE,"Option"}</definedName>
    <definedName name="wrn.struckgi." hidden="1">{#N/A,#N/A,TRUE,"arnitower";#N/A,#N/A,TRUE,"arnigarage "}</definedName>
    <definedName name="wrn.struckgi._1" hidden="1">{#N/A,#N/A,TRUE,"arnitower";#N/A,#N/A,TRUE,"arnigarage "}</definedName>
    <definedName name="wrn.Structural._.Frame." hidden="1">{"structural",#N/A,FALSE,"DETAIL.XLS"}</definedName>
    <definedName name="wrn.SUATINING." hidden="1">{#N/A,#N/A,FALSE,"SUSTAINING"}</definedName>
    <definedName name="wrn.Subbies." hidden="1">{"Retention",#N/A,FALSE,"Subcontractor";"Contract Sums",#N/A,FALSE,"Subcontractor";"Accounts",#N/A,FALSE,"Subcontractor"}</definedName>
    <definedName name="wrn.summary." hidden="1">{#N/A,#N/A,FALSE,"Summary information";#N/A,#N/A,FALSE,"BLANK"}</definedName>
    <definedName name="wrn.Summary._.West._.Anglia."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ppliers." hidden="1">{"Retention",#N/A,FALSE,"Supplier";"Contract Sums",#N/A,FALSE,"Supplier";"Accounts",#N/A,FALSE,"Supplier"}</definedName>
    <definedName name="wrn.Supply._.Additions." localSheetId="7" hidden="1">{#N/A,#N/A,FALSE,"Supply Addn"}</definedName>
    <definedName name="wrn.Supply._.Additions." localSheetId="0" hidden="1">{#N/A,#N/A,FALSE,"Supply Addn"}</definedName>
    <definedName name="wrn.Supply._.Additions." localSheetId="9" hidden="1">{#N/A,#N/A,FALSE,"Supply Addn"}</definedName>
    <definedName name="wrn.Supply._.Additions." localSheetId="8" hidden="1">{#N/A,#N/A,FALSE,"Supply Addn"}</definedName>
    <definedName name="wrn.Supply._.Additions." hidden="1">{#N/A,#N/A,FALSE,"Supply Addn"}</definedName>
    <definedName name="wrn.T_Pole." hidden="1">{"T_Pole",#N/A,FALSE,"T-Pole"}</definedName>
    <definedName name="wrn.TARGET._.DCF." hidden="1">{"targetdcf",#N/A,FALSE,"Merger consequences";"TARGETASSU",#N/A,FALSE,"Merger consequences";"TERMINAL VALUE",#N/A,FALSE,"Merger consequences"}</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rn.test." hidden="1">{#N/A,#N/A,TRUE,"Matrix-BD"}</definedName>
    <definedName name="wrn.test1." hidden="1">{#N/A,#N/A,FALSE,"명세표"}</definedName>
    <definedName name="wrn.test1._1" hidden="1">{#N/A,#N/A,FALSE,"명세표"}</definedName>
    <definedName name="wrn.test1._2" hidden="1">{#N/A,#N/A,FALSE,"명세표"}</definedName>
    <definedName name="wrn.TOTAL._.MAN._.H.O.." hidden="1">{"MAN H.O.",#N/A,FALSE,"tabella"}</definedName>
    <definedName name="wrn.valn." hidden="1">{#N/A,#N/A,TRUE,"valbd";#N/A,#N/A,TRUE,"Summy"}</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acc." hidden="1">{"Area1",#N/A,FALSE,"OREWACC";"Area2",#N/A,FALSE,"OREWACC"}</definedName>
    <definedName name="wrn.Warrington._.Widnes._.QS._.Costs." localSheetId="7" hidden="1">{#N/A,#N/A,TRUE,"Cover";#N/A,#N/A,TRUE,"Conts";#N/A,#N/A,TRUE,"VOS";#N/A,#N/A,TRUE,"Warrington";#N/A,#N/A,TRUE,"Widnes"}</definedName>
    <definedName name="wrn.Warrington._.Widnes._.QS._.Costs." localSheetId="0"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arrington._.Widnes._.QS._.Costs._1" hidden="1">{#N/A,#N/A,TRUE,"Cover";#N/A,#N/A,TRUE,"Conts";#N/A,#N/A,TRUE,"VOS";#N/A,#N/A,TRUE,"Warrington";#N/A,#N/A,TRUE,"Widnes"}</definedName>
    <definedName name="wrn.WHOUSE._.CT." hidden="1">{"WESTINGHOUSE",#N/A,FALSE,"Option"}</definedName>
    <definedName name="wrn.WHOUSE._.CT._1" hidden="1">{"WESTINGHOUSE",#N/A,FALSE,"Option"}</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x." hidden="1">{#N/A,#N/A,FALSE,"fax답변"}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골재소요량." hidden="1">{#N/A,#N/A,FALSE,"골재소요량";#N/A,#N/A,FALSE,"골재소요량"}</definedName>
    <definedName name="wrn.골재소요량._1" hidden="1">{#N/A,#N/A,FALSE,"골재소요량";#N/A,#N/A,FALSE,"골재소요량"}</definedName>
    <definedName name="wrn.골재소요량._2" hidden="1">{#N/A,#N/A,FALSE,"골재소요량";#N/A,#N/A,FALSE,"골재소요량"}</definedName>
    <definedName name="wrn.교대.">{#N/A,#N/A,FALSE,"type1";#N/A,#N/A,FALSE,"지지력";#N/A,#N/A,FALSE,"PILE계산";#N/A,#N/A,FALSE,"PILE ";#N/A,#N/A,FALSE,"철근량";#N/A,#N/A,FALSE,"균열검토";#N/A,#N/A,FALSE,"날개벽";#N/A,#N/A,FALSE,"주철근조립도";#N/A,#N/A,FALSE,"교좌"}</definedName>
    <definedName name="wrn.교대._1" hidden="1">{#N/A,#N/A,FALSE,"type1";#N/A,#N/A,FALSE,"지지력";#N/A,#N/A,FALSE,"PILE계산";#N/A,#N/A,FALSE,"PILE ";#N/A,#N/A,FALSE,"철근량";#N/A,#N/A,FALSE,"균열검토";#N/A,#N/A,FALSE,"날개벽";#N/A,#N/A,FALSE,"주철근조립도";#N/A,#N/A,FALSE,"교좌"}</definedName>
    <definedName name="wrn.교대._2" hidden="1">{#N/A,#N/A,FALSE,"type1";#N/A,#N/A,FALSE,"지지력";#N/A,#N/A,FALSE,"PILE계산";#N/A,#N/A,FALSE,"PILE ";#N/A,#N/A,FALSE,"철근량";#N/A,#N/A,FALSE,"균열검토";#N/A,#N/A,FALSE,"날개벽";#N/A,#N/A,FALSE,"주철근조립도";#N/A,#N/A,FALSE,"교좌"}</definedName>
    <definedName name="wrn.교육청." hidden="1">{#N/A,#N/A,FALSE,"전력간선"}</definedName>
    <definedName name="wrn.교육청.1" hidden="1">{#N/A,#N/A,FALSE,"전력간선"}</definedName>
    <definedName name="wrn.구조2." hidden="1">{#N/A,#N/A,FALSE,"구조2"}</definedName>
    <definedName name="wrn.구조2._1" hidden="1">{#N/A,#N/A,FALSE,"구조2"}</definedName>
    <definedName name="wrn.구조2._2" hidden="1">{#N/A,#N/A,FALSE,"구조2"}</definedName>
    <definedName name="wrn.단가표지." hidden="1">{#N/A,#N/A,FALSE,"단가표지"}</definedName>
    <definedName name="wrn.단가표지._1" hidden="1">{#N/A,#N/A,FALSE,"단가표지"}</definedName>
    <definedName name="wrn.단가표지._2" hidden="1">{#N/A,#N/A,FALSE,"단가표지"}</definedName>
    <definedName name="wrn.ㅂㅂㅂ." hidden="1">{#N/A,#N/A,TRUE,"보수내용"}</definedName>
    <definedName name="wrn.배수1." hidden="1">{#N/A,#N/A,FALSE,"배수1"}</definedName>
    <definedName name="wrn.배수1._1" hidden="1">{#N/A,#N/A,FALSE,"배수1"}</definedName>
    <definedName name="wrn.배수1._2" hidden="1">{#N/A,#N/A,FALSE,"배수1"}</definedName>
    <definedName name="wrn.배수2." hidden="1">{#N/A,#N/A,FALSE,"배수2"}</definedName>
    <definedName name="wrn.배수2._1" hidden="1">{#N/A,#N/A,FALSE,"배수2"}</definedName>
    <definedName name="wrn.배수2._2" hidden="1">{#N/A,#N/A,FALSE,"배수2"}</definedName>
    <definedName name="wrn.변경예산." hidden="1">{#VALUE!,#N/A,FALSE,0;#N/A,#N/A,FALSE,0;#N/A,#N/A,FALSE,0;#N/A,#N/A,FALSE,0}</definedName>
    <definedName name="wrn.부대1." hidden="1">{#N/A,#N/A,FALSE,"부대1"}</definedName>
    <definedName name="wrn.부대1._1" hidden="1">{#N/A,#N/A,FALSE,"부대1"}</definedName>
    <definedName name="wrn.부대1._2" hidden="1">{#N/A,#N/A,FALSE,"부대1"}</definedName>
    <definedName name="wrn.부대2." hidden="1">{#N/A,#N/A,FALSE,"부대2"}</definedName>
    <definedName name="wrn.부대2._1" hidden="1">{#N/A,#N/A,FALSE,"부대2"}</definedName>
    <definedName name="wrn.부대2._2" hidden="1">{#N/A,#N/A,FALSE,"부대2"}</definedName>
    <definedName name="wrn.부문손익." hidden="1">{#N/A,#N/A,FALSE,"매출이익"}</definedName>
    <definedName name="wrn.부서회의." hidden="1">{"LKD",#N/A,FALSE,"표지"}</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부하계획._1" hidden="1">{#N/A,#N/A,TRUE,"LOADCOVE";#N/A,#N/A,TRUE,"PAGE001";#N/A,#N/A,TRUE,"PAGE002";#N/A,#N/A,TRUE,"PAGE003";#N/A,#N/A,TRUE,"PAGE004";#N/A,#N/A,TRUE,"PAGE005";#N/A,#N/A,TRUE,"PAGE006";#N/A,#N/A,TRUE,"PAGE007";#N/A,#N/A,TRUE,"PAGE008";#N/A,#N/A,TRUE,"PAGE009";#N/A,#N/A,TRUE,"PAGE010";#N/A,#N/A,TRUE,"PAGE011";#N/A,#N/A,TRUE,"PAGE012";#N/A,#N/A,TRUE,"PAGE013"}</definedName>
    <definedName name="wrn.부하계획._2" hidden="1">{#N/A,#N/A,TRUE,"LOADCOVE";#N/A,#N/A,TRUE,"PAGE001";#N/A,#N/A,TRUE,"PAGE002";#N/A,#N/A,TRUE,"PAGE003";#N/A,#N/A,TRUE,"PAGE004";#N/A,#N/A,TRUE,"PAGE005";#N/A,#N/A,TRUE,"PAGE006";#N/A,#N/A,TRUE,"PAGE007";#N/A,#N/A,TRUE,"PAGE008";#N/A,#N/A,TRUE,"PAGE009";#N/A,#N/A,TRUE,"PAGE010";#N/A,#N/A,TRUE,"PAGE011";#N/A,#N/A,TRUE,"PAGE012";#N/A,#N/A,TRUE,"PAGE013"}</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속도._1" hidden="1">{#N/A,#N/A,FALSE,"속도"}</definedName>
    <definedName name="wrn.속도._2"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운반시간._2" hidden="1">{#N/A,#N/A,FALSE,"운반시간"}</definedName>
    <definedName name="wrn.이정표." hidden="1">{#N/A,#N/A,FALSE,"이정표"}</definedName>
    <definedName name="wrn.이정표._1" hidden="1">{#N/A,#N/A,FALSE,"이정표"}</definedName>
    <definedName name="wrn.이정표._2" hidden="1">{#N/A,#N/A,FALSE,"이정표"}</definedName>
    <definedName name="wrn.입적표." hidden="1">{#N/A,#N/A,FALSE,"전체집계표";#N/A,#N/A,FALSE,"안벽30000";#N/A,#N/A,FALSE,"안벽20000";#N/A,#N/A,FALSE,"내호안";#N/A,#N/A,FALSE,"외호안";#N/A,#N/A,FALSE,"준설토A";#N/A,#N/A,FALSE,"준설토B";#N/A,#N/A,FALSE,"적출장"}</definedName>
    <definedName name="wrn.입적표._1" hidden="1">{#N/A,#N/A,FALSE,"전체집계표";#N/A,#N/A,FALSE,"안벽30000";#N/A,#N/A,FALSE,"안벽20000";#N/A,#N/A,FALSE,"내호안";#N/A,#N/A,FALSE,"외호안";#N/A,#N/A,FALSE,"준설토A";#N/A,#N/A,FALSE,"준설토B";#N/A,#N/A,FALSE,"적출장"}</definedName>
    <definedName name="wrn.입적표._2" hidden="1">{#N/A,#N/A,FALSE,"전체집계표";#N/A,#N/A,FALSE,"안벽30000";#N/A,#N/A,FALSE,"안벽20000";#N/A,#N/A,FALSE,"내호안";#N/A,#N/A,FALSE,"외호안";#N/A,#N/A,FALSE,"준설토A";#N/A,#N/A,FALSE,"준설토B";#N/A,#N/A,FALSE,"적출장"}</definedName>
    <definedName name="wrn.조골재." hidden="1">{#N/A,#N/A,FALSE,"조골재"}</definedName>
    <definedName name="wrn.조골재._1" hidden="1">{#N/A,#N/A,FALSE,"조골재"}</definedName>
    <definedName name="wrn.조골재._2" hidden="1">{#N/A,#N/A,FALSE,"조골재"}</definedName>
    <definedName name="wrn.철골집계표._.5칸." hidden="1">{#N/A,#N/A,FALSE,"Sheet1"}</definedName>
    <definedName name="wrn.토공1." hidden="1">{#N/A,#N/A,FALSE,"구조1"}</definedName>
    <definedName name="wrn.토공1._1" hidden="1">{#N/A,#N/A,FALSE,"구조1"}</definedName>
    <definedName name="wrn.토공1._2" hidden="1">{#N/A,#N/A,FALSE,"구조1"}</definedName>
    <definedName name="wrn.토공2." hidden="1">{#N/A,#N/A,FALSE,"토공2"}</definedName>
    <definedName name="wrn.토공2._1" hidden="1">{#N/A,#N/A,FALSE,"토공2"}</definedName>
    <definedName name="wrn.토공2._2" hidden="1">{#N/A,#N/A,FALSE,"토공2"}</definedName>
    <definedName name="wrn.통신지." hidden="1">{#N/A,#N/A,FALSE,"기안지";#N/A,#N/A,FALSE,"통신지"}</definedName>
    <definedName name="wrn.포장1." hidden="1">{#N/A,#N/A,FALSE,"포장1";#N/A,#N/A,FALSE,"포장1"}</definedName>
    <definedName name="wrn.포장1._1" hidden="1">{#N/A,#N/A,FALSE,"포장1";#N/A,#N/A,FALSE,"포장1"}</definedName>
    <definedName name="wrn.포장1._2" hidden="1">{#N/A,#N/A,FALSE,"포장1";#N/A,#N/A,FALSE,"포장1"}</definedName>
    <definedName name="wrn.포장2." hidden="1">{#N/A,#N/A,FALSE,"포장2"}</definedName>
    <definedName name="wrn.포장2._1" hidden="1">{#N/A,#N/A,FALSE,"포장2"}</definedName>
    <definedName name="wrn.포장2._2" hidden="1">{#N/A,#N/A,FALSE,"포장2"}</definedName>
    <definedName name="wrn.표지목차." hidden="1">{#N/A,#N/A,FALSE,"표지목차"}</definedName>
    <definedName name="wrn.표지목차._1" hidden="1">{#N/A,#N/A,FALSE,"표지목차"}</definedName>
    <definedName name="wrn.표지목차._2" hidden="1">{#N/A,#N/A,FALSE,"표지목차"}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혼합골재._2" hidden="1">{#N/A,#N/A,FALSE,"혼합골재"}</definedName>
    <definedName name="wrn.회선임차현황." hidden="1">{#N/A,#N/A,FALSE,"회선임차현황"}</definedName>
    <definedName name="wrn_1" hidden="1">{#N/A,#N/A,FALSE,"전체집계표";#N/A,#N/A,FALSE,"안벽30000";#N/A,#N/A,FALSE,"안벽20000";#N/A,#N/A,FALSE,"내호안";#N/A,#N/A,FALSE,"외호안";#N/A,#N/A,FALSE,"준설토A";#N/A,#N/A,FALSE,"준설토B";#N/A,#N/A,FALSE,"적출장"}</definedName>
    <definedName name="wrn_2" hidden="1">{#N/A,#N/A,FALSE,"전체집계표";#N/A,#N/A,FALSE,"안벽30000";#N/A,#N/A,FALSE,"안벽20000";#N/A,#N/A,FALSE,"내호안";#N/A,#N/A,FALSE,"외호안";#N/A,#N/A,FALSE,"준설토A";#N/A,#N/A,FALSE,"준설토B";#N/A,#N/A,FALSE,"적출장"}</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x" hidden="1">{#N/A,#N/A,TRUE,"Front";#N/A,#N/A,TRUE,"Simple Letter";#N/A,#N/A,TRUE,"Inside";#N/A,#N/A,TRUE,"Contents";#N/A,#N/A,TRUE,"Basis";#N/A,#N/A,TRUE,"Inclusions";#N/A,#N/A,TRUE,"Exclusions";#N/A,#N/A,TRUE,"Areas";#N/A,#N/A,TRUE,"Summary";#N/A,#N/A,TRUE,"Detail"}</definedName>
    <definedName name="wroof">#REF!</definedName>
    <definedName name="wrrwerwrew" localSheetId="7" hidden="1">{#N/A,#N/A,TRUE,"Cover";#N/A,#N/A,TRUE,"Conts";#N/A,#N/A,TRUE,"VOS";#N/A,#N/A,TRUE,"Warrington";#N/A,#N/A,TRUE,"Widnes"}</definedName>
    <definedName name="wrrwerwrew" localSheetId="0" hidden="1">{#N/A,#N/A,TRUE,"Cover";#N/A,#N/A,TRUE,"Conts";#N/A,#N/A,TRUE,"VOS";#N/A,#N/A,TRUE,"Warrington";#N/A,#N/A,TRUE,"Widnes"}</definedName>
    <definedName name="wrrwerwrew" localSheetId="9"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S" hidden="1">{"'장비'!$A$3:$M$12"}</definedName>
    <definedName name="WRS_1" hidden="1">{"'장비'!$A$3:$M$12"}</definedName>
    <definedName name="WRS_2" hidden="1">{"'장비'!$A$3:$M$12"}</definedName>
    <definedName name="wrw" hidden="1">{"'Break down'!$A$4"}</definedName>
    <definedName name="wryuwyrututwys" localSheetId="7" hidden="1">{#N/A,#N/A,TRUE,"Cover";#N/A,#N/A,TRUE,"Conts";#N/A,#N/A,TRUE,"VOS";#N/A,#N/A,TRUE,"Warrington";#N/A,#N/A,TRUE,"Widnes"}</definedName>
    <definedName name="wryuwyrututwys" localSheetId="0" hidden="1">{#N/A,#N/A,TRUE,"Cover";#N/A,#N/A,TRUE,"Conts";#N/A,#N/A,TRUE,"VOS";#N/A,#N/A,TRUE,"Warrington";#N/A,#N/A,TRUE,"Widnes"}</definedName>
    <definedName name="wryuwyrututwys" localSheetId="9"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#REF!</definedName>
    <definedName name="wsd" localSheetId="6">#REF!</definedName>
    <definedName name="wsd">#REF!</definedName>
    <definedName name="wshell">#REF!</definedName>
    <definedName name="WSO">#REF!</definedName>
    <definedName name="wsq" hidden="1">#REF!</definedName>
    <definedName name="WSU">#REF!</definedName>
    <definedName name="WT" localSheetId="7" hidden="1">{#N/A,#N/A,TRUE,"Cover";#N/A,#N/A,TRUE,"Conts";#N/A,#N/A,TRUE,"VOS";#N/A,#N/A,TRUE,"Warrington";#N/A,#N/A,TRUE,"Widnes"}</definedName>
    <definedName name="WT" localSheetId="0" hidden="1">{#N/A,#N/A,TRUE,"Cover";#N/A,#N/A,TRUE,"Conts";#N/A,#N/A,TRUE,"VOS";#N/A,#N/A,TRUE,"Warrington";#N/A,#N/A,TRUE,"Widnes"}</definedName>
    <definedName name="WT" localSheetId="9"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bvw" hidden="1">{#N/A,#N/A,FALSE,"표지목차"}</definedName>
    <definedName name="Wte">#REF!</definedName>
    <definedName name="Wtest">#REF!</definedName>
    <definedName name="Wtest1">#REF!</definedName>
    <definedName name="Wtest2">#REF!</definedName>
    <definedName name="wtey" localSheetId="7" hidden="1">{#N/A,#N/A,TRUE,"Cover";#N/A,#N/A,TRUE,"Conts";#N/A,#N/A,TRUE,"VOS";#N/A,#N/A,TRUE,"Warrington";#N/A,#N/A,TRUE,"Widnes"}</definedName>
    <definedName name="wtey" localSheetId="0" hidden="1">{#N/A,#N/A,TRUE,"Cover";#N/A,#N/A,TRUE,"Conts";#N/A,#N/A,TRUE,"VOS";#N/A,#N/A,TRUE,"Warrington";#N/A,#N/A,TRUE,"Widnes"}</definedName>
    <definedName name="wtey" localSheetId="9"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ld">#REF!</definedName>
    <definedName name="WTOT">#REF!</definedName>
    <definedName name="Wtotal">#REF!</definedName>
    <definedName name="wtrwt" localSheetId="7" hidden="1">{#N/A,#N/A,TRUE,"Cover";#N/A,#N/A,TRUE,"Conts";#N/A,#N/A,TRUE,"VOS";#N/A,#N/A,TRUE,"Warrington";#N/A,#N/A,TRUE,"Widnes"}</definedName>
    <definedName name="wtrwt" localSheetId="0" hidden="1">{#N/A,#N/A,TRUE,"Cover";#N/A,#N/A,TRUE,"Conts";#N/A,#N/A,TRUE,"VOS";#N/A,#N/A,TRUE,"Warrington";#N/A,#N/A,TRUE,"Widnes"}</definedName>
    <definedName name="wtrwt" localSheetId="9"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7" hidden="1">{#N/A,#N/A,TRUE,"Cover";#N/A,#N/A,TRUE,"Conts";#N/A,#N/A,TRUE,"VOS";#N/A,#N/A,TRUE,"Warrington";#N/A,#N/A,TRUE,"Widnes"}</definedName>
    <definedName name="wtrywryt" localSheetId="0" hidden="1">{#N/A,#N/A,TRUE,"Cover";#N/A,#N/A,TRUE,"Conts";#N/A,#N/A,TRUE,"VOS";#N/A,#N/A,TRUE,"Warrington";#N/A,#N/A,TRUE,"Widnes"}</definedName>
    <definedName name="wtrywryt" localSheetId="9"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U">#REF!</definedName>
    <definedName name="wtwe" hidden="1">{#N/A,#N/A,FALSE,"구조1"}</definedName>
    <definedName name="wtwt" localSheetId="7" hidden="1">{#N/A,#N/A,TRUE,"Cover";#N/A,#N/A,TRUE,"Conts";#N/A,#N/A,TRUE,"VOS";#N/A,#N/A,TRUE,"Warrington";#N/A,#N/A,TRUE,"Widnes"}</definedName>
    <definedName name="wtwt" localSheetId="0" hidden="1">{#N/A,#N/A,TRUE,"Cover";#N/A,#N/A,TRUE,"Conts";#N/A,#N/A,TRUE,"VOS";#N/A,#N/A,TRUE,"Warrington";#N/A,#N/A,TRUE,"Widnes"}</definedName>
    <definedName name="wtwt" localSheetId="9"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7" hidden="1">{#N/A,#N/A,TRUE,"Cover";#N/A,#N/A,TRUE,"Conts";#N/A,#N/A,TRUE,"VOS";#N/A,#N/A,TRUE,"Warrington";#N/A,#N/A,TRUE,"Widnes"}</definedName>
    <definedName name="wtwy" localSheetId="0" hidden="1">{#N/A,#N/A,TRUE,"Cover";#N/A,#N/A,TRUE,"Conts";#N/A,#N/A,TRUE,"VOS";#N/A,#N/A,TRUE,"Warrington";#N/A,#N/A,TRUE,"Widnes"}</definedName>
    <definedName name="wtwy" localSheetId="9"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#REF!</definedName>
    <definedName name="ww_1" hidden="1">{#N/A,#N/A,FALSE,"CCTV"}</definedName>
    <definedName name="ww_2" hidden="1">{#N/A,#N/A,FALSE,"CCTV"}</definedName>
    <definedName name="wwr" hidden="1">{"'Break down'!$A$4"}</definedName>
    <definedName name="www" localSheetId="7" hidden="1">{#N/A,#N/A,TRUE,"Cover";#N/A,#N/A,TRUE,"Conts";#N/A,#N/A,TRUE,"VOS";#N/A,#N/A,TRUE,"Warrington";#N/A,#N/A,TRUE,"Widnes"}</definedName>
    <definedName name="www" localSheetId="0" hidden="1">{#N/A,#N/A,TRUE,"Cover";#N/A,#N/A,TRUE,"Conts";#N/A,#N/A,TRUE,"VOS";#N/A,#N/A,TRUE,"Warrington";#N/A,#N/A,TRUE,"Widnes"}</definedName>
    <definedName name="www" localSheetId="9"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_1" hidden="1">{#N/A,#N/A,FALSE,"CCTV"}</definedName>
    <definedName name="WWW_2" hidden="1">{#N/A,#N/A,FALSE,"CCTV"}</definedName>
    <definedName name="wwww">#REF!</definedName>
    <definedName name="wwww_1" hidden="1">{"'Sheet1'!$L$16"}</definedName>
    <definedName name="wwww_2" hidden="1">{"'Sheet1'!$L$16"}</definedName>
    <definedName name="wwwww" localSheetId="7" hidden="1">{#N/A,#N/A,TRUE,"Cover";#N/A,#N/A,TRUE,"Conts";#N/A,#N/A,TRUE,"VOS";#N/A,#N/A,TRUE,"Warrington";#N/A,#N/A,TRUE,"Widnes"}</definedName>
    <definedName name="wwwww" localSheetId="0" hidden="1">{#N/A,#N/A,TRUE,"Cover";#N/A,#N/A,TRUE,"Conts";#N/A,#N/A,TRUE,"VOS";#N/A,#N/A,TRUE,"Warrington";#N/A,#N/A,TRUE,"Widnes"}</definedName>
    <definedName name="wwwww" localSheetId="9"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#REF!</definedName>
    <definedName name="wwwwwwwwwwwwwwwwwwwww" hidden="1">#REF!</definedName>
    <definedName name="wy7u7y" localSheetId="7" hidden="1">{#N/A,#N/A,TRUE,"Cover";#N/A,#N/A,TRUE,"Conts";#N/A,#N/A,TRUE,"VOS";#N/A,#N/A,TRUE,"Warrington";#N/A,#N/A,TRUE,"Widnes"}</definedName>
    <definedName name="wy7u7y" localSheetId="0" hidden="1">{#N/A,#N/A,TRUE,"Cover";#N/A,#N/A,TRUE,"Conts";#N/A,#N/A,TRUE,"VOS";#N/A,#N/A,TRUE,"Warrington";#N/A,#N/A,TRUE,"Widnes"}</definedName>
    <definedName name="wy7u7y" localSheetId="9"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WZ" hidden="1">{#N/A,#N/A,FALSE,"CCTV"}</definedName>
    <definedName name="WZ_1" hidden="1">{#N/A,#N/A,FALSE,"CCTV"}</definedName>
    <definedName name="WZ_2" hidden="1">{#N/A,#N/A,FALSE,"CCTV"}</definedName>
    <definedName name="X">#REF!</definedName>
    <definedName name="X_1" hidden="1">{#N/A,#N/A,FALSE,"SumD";#N/A,#N/A,FALSE,"ElecD";#N/A,#N/A,FALSE,"MechD";#N/A,#N/A,FALSE,"GeotD";#N/A,#N/A,FALSE,"PrcsD";#N/A,#N/A,FALSE,"TunnD";#N/A,#N/A,FALSE,"CivlD";#N/A,#N/A,FALSE,"NtwkD";#N/A,#N/A,FALSE,"EstgD";#N/A,#N/A,FALSE,"PEngD"}</definedName>
    <definedName name="X_BTS">#REF!</definedName>
    <definedName name="X_MC_PVC">#REF!</definedName>
    <definedName name="X_MC_XLPE">#REF!</definedName>
    <definedName name="X_SC_PVC">#REF!</definedName>
    <definedName name="X48호선_1_구조물철거집계표_국도48__List">#REF!</definedName>
    <definedName name="XC" hidden="1">{#N/A,#N/A,FALSE,"CCTV"}</definedName>
    <definedName name="xc_1" hidden="1">{#N/A,#N/A,FALSE,"SumD";#N/A,#N/A,FALSE,"ElecD";#N/A,#N/A,FALSE,"MechD";#N/A,#N/A,FALSE,"GeotD";#N/A,#N/A,FALSE,"PrcsD";#N/A,#N/A,FALSE,"TunnD";#N/A,#N/A,FALSE,"CivlD";#N/A,#N/A,FALSE,"NtwkD";#N/A,#N/A,FALSE,"EstgD";#N/A,#N/A,FALSE,"PEngD"}</definedName>
    <definedName name="XC_2" hidden="1">{#N/A,#N/A,FALSE,"CCTV"}</definedName>
    <definedName name="xcv"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f">IF(ISNA(MATCH(ROW(),RowAfterpgbrk,1)),1,MATCH(ROW(),RowAfterpgbrk,1)+1)&lt;&gt;IF(ISNA(MATCH(ROW()+1,RowAfterpgbrk,1)),1,MATCH(ROW()+1,RowAfterpgbrk,1)+1)</definedName>
    <definedName name="xcz" hidden="1">{#N/A,#N/A,FALSE,"SumD";#N/A,#N/A,FALSE,"ElecD";#N/A,#N/A,FALSE,"MechD";#N/A,#N/A,FALSE,"GeotD";#N/A,#N/A,FALSE,"PrcsD";#N/A,#N/A,FALSE,"TunnD";#N/A,#N/A,FALSE,"CivlD";#N/A,#N/A,FALSE,"NtwkD";#N/A,#N/A,FALSE,"EstgD";#N/A,#N/A,FALSE,"PEngD"}</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ss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FASF" hidden="1">{#N/A,#N/A,TRUE,"Cover";#N/A,#N/A,TRUE,"Conts";#N/A,#N/A,TRUE,"VOS";#N/A,#N/A,TRUE,"Warrington";#N/A,#N/A,TRUE,"Widnes"}</definedName>
    <definedName name="xghf" hidden="1">{#N/A,#N/A,TRUE,"LOADCOVE";#N/A,#N/A,TRUE,"PAGE001";#N/A,#N/A,TRUE,"PAGE002";#N/A,#N/A,TRUE,"PAGE003";#N/A,#N/A,TRUE,"PAGE004";#N/A,#N/A,TRUE,"PAGE005";#N/A,#N/A,TRUE,"PAGE006";#N/A,#N/A,TRUE,"PAGE007";#N/A,#N/A,TRUE,"PAGE008";#N/A,#N/A,TRUE,"PAGE009";#N/A,#N/A,TRUE,"PAGE010";#N/A,#N/A,TRUE,"PAGE011";#N/A,#N/A,TRUE,"PAGE012";#N/A,#N/A,TRUE,"PAGE013"}</definedName>
    <definedName name="xh" hidden="1">{"'장비'!$A$3:$M$12"}</definedName>
    <definedName name="xhg" hidden="1">{#N/A,#N/A,TRUE,"LOADCOVE";#N/A,#N/A,TRUE,"PAGE001";#N/A,#N/A,TRUE,"PAGE002";#N/A,#N/A,TRUE,"PAGE003";#N/A,#N/A,TRUE,"PAGE004";#N/A,#N/A,TRUE,"PAGE005";#N/A,#N/A,TRUE,"PAGE006";#N/A,#N/A,TRUE,"PAGE007";#N/A,#N/A,TRUE,"PAGE008";#N/A,#N/A,TRUE,"PAGE009";#N/A,#N/A,TRUE,"PAGE010";#N/A,#N/A,TRUE,"PAGE011";#N/A,#N/A,TRUE,"PAGE012";#N/A,#N/A,TRUE,"PAGE013"}</definedName>
    <definedName name="xhrhd" hidden="1">{#N/A,#N/A,FALSE,"토공2"}</definedName>
    <definedName name="xin">IF(VLOOKUP(#REF!,PRICE_CIVIL,9,FALSE)=0,0,VLOOKUP(#REF!,PRICE_CIVIL,9,FALSE))</definedName>
    <definedName name="XLK" hidden="1">{"'Break down'!$A$4"}</definedName>
    <definedName name="xls" hidden="1">{#N/A,#N/A,FALSE,"SumD";#N/A,#N/A,FALSE,"ElecD";#N/A,#N/A,FALSE,"MechD";#N/A,#N/A,FALSE,"GeotD";#N/A,#N/A,FALSE,"PrcsD";#N/A,#N/A,FALSE,"TunnD";#N/A,#N/A,FALSE,"CivlD";#N/A,#N/A,FALSE,"NtwkD";#N/A,#N/A,FALSE,"EstgD";#N/A,#N/A,FALSE,"PEngD"}</definedName>
    <definedName name="xls." hidden="1">{"'Break down'!$A$4"}</definedName>
    <definedName name="xls1" hidden="1">{"'Break down'!$A$4"}</definedName>
    <definedName name="xls2" hidden="1">{"'Break down'!$A$4"}</definedName>
    <definedName name="XLSS" hidden="1">{"'Break down'!$A$4"}</definedName>
    <definedName name="xlst" hidden="1">{"'Break down'!$A$4"}</definedName>
    <definedName name="xmrrlwhrjs" hidden="1">{#N/A,#N/A,FALSE,"현장 NCR 분석";#N/A,#N/A,FALSE,"현장품질감사";#N/A,#N/A,FALSE,"현장품질감사"}</definedName>
    <definedName name="XMTRS">#REF!</definedName>
    <definedName name="xng" hidden="1">{#N/A,#N/A,TRUE,"LOADCOVE";#N/A,#N/A,TRUE,"PAGE001";#N/A,#N/A,TRUE,"PAGE002";#N/A,#N/A,TRUE,"PAGE003";#N/A,#N/A,TRUE,"PAGE004";#N/A,#N/A,TRUE,"PAGE005";#N/A,#N/A,TRUE,"PAGE006";#N/A,#N/A,TRUE,"PAGE007";#N/A,#N/A,TRUE,"PAGE008";#N/A,#N/A,TRUE,"PAGE009";#N/A,#N/A,TRUE,"PAGE010";#N/A,#N/A,TRUE,"PAGE011";#N/A,#N/A,TRUE,"PAGE012";#N/A,#N/A,TRUE,"PAGE013"}</definedName>
    <definedName name="Xrate">#REF!</definedName>
    <definedName name="XREF_COLUMN_1" hidden="1">#REF!</definedName>
    <definedName name="XREF_COLUMN_10" hidden="1">#REF!</definedName>
    <definedName name="XREF_COLUMN_2" hidden="1">#REF!</definedName>
    <definedName name="XREF_COLUMN_4" hidden="1">#REF!</definedName>
    <definedName name="XREF_COLUMN_5" hidden="1">#REF!</definedName>
    <definedName name="XREF_COLUMN_7" hidden="1">#REF!</definedName>
    <definedName name="XREF_COLUMN_8" hidden="1">#REF!</definedName>
    <definedName name="XRefActiveRow" hidden="1">#REF!</definedName>
    <definedName name="XRefColumnsCount" hidden="1">10</definedName>
    <definedName name="XRefCopy1" hidden="1">#REF!</definedName>
    <definedName name="XRefCopy1Row" hidden="1">#REF!</definedName>
    <definedName name="XRefCopy2" hidden="1">#REF!</definedName>
    <definedName name="XRefCopy3" hidden="1">#REF!</definedName>
    <definedName name="XRefCopy4" hidden="1">#REF!</definedName>
    <definedName name="XRefCopy5" hidden="1">#REF!</definedName>
    <definedName name="XRefCopy6Row" hidden="1">#REF!</definedName>
    <definedName name="XRefCopy7Row" hidden="1">#REF!</definedName>
    <definedName name="XRefCopyRangeCount" hidden="1">12</definedName>
    <definedName name="XRefPaste1" hidden="1">#REF!</definedName>
    <definedName name="XRefPaste1Row" hidden="1">#REF!</definedName>
    <definedName name="XRefPaste4" hidden="1">#REF!</definedName>
    <definedName name="XRefPaste4Row" hidden="1">#REF!</definedName>
    <definedName name="XRefPaste5" hidden="1">#REF!</definedName>
    <definedName name="XRefPaste5Row" hidden="1">#REF!</definedName>
    <definedName name="XRefPaste8" hidden="1">#REF!</definedName>
    <definedName name="XRefPaste8Row" hidden="1">#REF!</definedName>
    <definedName name="XRefPaste9" hidden="1">#REF!</definedName>
    <definedName name="XRefPasteRangeCount" hidden="1">9</definedName>
    <definedName name="xsxx" hidden="1">{#N/A,#N/A,TRUE,"LOADCOVE";#N/A,#N/A,TRUE,"PAGE001";#N/A,#N/A,TRUE,"PAGE002";#N/A,#N/A,TRUE,"PAGE003";#N/A,#N/A,TRUE,"PAGE004";#N/A,#N/A,TRUE,"PAGE005";#N/A,#N/A,TRUE,"PAGE006";#N/A,#N/A,TRUE,"PAGE007";#N/A,#N/A,TRUE,"PAGE008";#N/A,#N/A,TRUE,"PAGE009";#N/A,#N/A,TRUE,"PAGE010";#N/A,#N/A,TRUE,"PAGE011";#N/A,#N/A,TRUE,"PAGE012";#N/A,#N/A,TRUE,"PAGE013"}</definedName>
    <definedName name="xV" hidden="1">{#N/A,#N/A,TRUE,"Front";#N/A,#N/A,TRUE,"Simple Letter";#N/A,#N/A,TRUE,"Inside";#N/A,#N/A,TRUE,"Contents";#N/A,#N/A,TRUE,"Basis";#N/A,#N/A,TRUE,"Inclusions";#N/A,#N/A,TRUE,"Exclusions";#N/A,#N/A,TRUE,"Areas";#N/A,#N/A,TRUE,"Summary";#N/A,#N/A,TRUE,"Detail"}</definedName>
    <definedName name="XWALL_XWALL" localSheetId="9">#REF!</definedName>
    <definedName name="XWALL_XWALL">#REF!</definedName>
    <definedName name="xx" hidden="1">{"'Break down'!$A$4"}</definedName>
    <definedName name="xx_1" hidden="1">{#N/A,#N/A,FALSE,"SumD";#N/A,#N/A,FALSE,"ElecD";#N/A,#N/A,FALSE,"MechD";#N/A,#N/A,FALSE,"GeotD";#N/A,#N/A,FALSE,"PrcsD";#N/A,#N/A,FALSE,"TunnD";#N/A,#N/A,FALSE,"CivlD";#N/A,#N/A,FALSE,"NtwkD";#N/A,#N/A,FALSE,"EstgD";#N/A,#N/A,FALSE,"PEngD"}</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a_1" hidden="1">{#N/A,#N/A,TRUE,"LOADCOVE";#N/A,#N/A,TRUE,"PAGE001";#N/A,#N/A,TRUE,"PAGE002";#N/A,#N/A,TRUE,"PAGE003";#N/A,#N/A,TRUE,"PAGE004";#N/A,#N/A,TRUE,"PAGE005";#N/A,#N/A,TRUE,"PAGE006";#N/A,#N/A,TRUE,"PAGE007";#N/A,#N/A,TRUE,"PAGE008";#N/A,#N/A,TRUE,"PAGE009";#N/A,#N/A,TRUE,"PAGE010";#N/A,#N/A,TRUE,"PAGE011";#N/A,#N/A,TRUE,"PAGE012";#N/A,#N/A,TRUE,"PAGE013"}</definedName>
    <definedName name="xxa_2" hidden="1">{#N/A,#N/A,TRUE,"LOADCOVE";#N/A,#N/A,TRUE,"PAGE001";#N/A,#N/A,TRUE,"PAGE002";#N/A,#N/A,TRUE,"PAGE003";#N/A,#N/A,TRUE,"PAGE004";#N/A,#N/A,TRUE,"PAGE005";#N/A,#N/A,TRUE,"PAGE006";#N/A,#N/A,TRUE,"PAGE007";#N/A,#N/A,TRUE,"PAGE008";#N/A,#N/A,TRUE,"PAGE009";#N/A,#N/A,TRUE,"PAGE010";#N/A,#N/A,TRUE,"PAGE011";#N/A,#N/A,TRUE,"PAGE012";#N/A,#N/A,TRUE,"PAGE013"}</definedName>
    <definedName name="xxx">#REF!</definedName>
    <definedName name="XXXX">#REF!</definedName>
    <definedName name="XXXXXX" hidden="1">#REF!</definedName>
    <definedName name="xxxxxxx" hidden="1">{#N/A,#N/A,FALSE,"MARCH"}</definedName>
    <definedName name="xxxxxxxx" hidden="1">{#N/A,#N/A,FALSE,"SumG";#N/A,#N/A,FALSE,"ElecG";#N/A,#N/A,FALSE,"MechG";#N/A,#N/A,FALSE,"GeotG";#N/A,#N/A,FALSE,"PrcsG";#N/A,#N/A,FALSE,"TunnG";#N/A,#N/A,FALSE,"CivlG";#N/A,#N/A,FALSE,"NtwkG";#N/A,#N/A,FALSE,"EstgG";#N/A,#N/A,FALSE,"PEngG"}</definedName>
    <definedName name="xxxxxxxxxxxx" hidden="1">{#N/A,#N/A,FALSE,"SumD";#N/A,#N/A,FALSE,"ElecD";#N/A,#N/A,FALSE,"MechD";#N/A,#N/A,FALSE,"GeotD";#N/A,#N/A,FALSE,"PrcsD";#N/A,#N/A,FALSE,"TunnD";#N/A,#N/A,FALSE,"CivlD";#N/A,#N/A,FALSE,"NtwkD";#N/A,#N/A,FALSE,"EstgD";#N/A,#N/A,FALSE,"PEngD"}</definedName>
    <definedName name="xxxxxxxxxxxxxxx" hidden="1">{#N/A,#N/A,FALSE,"SumG";#N/A,#N/A,FALSE,"ElecG";#N/A,#N/A,FALSE,"MechG";#N/A,#N/A,FALSE,"GeotG";#N/A,#N/A,FALSE,"PrcsG";#N/A,#N/A,FALSE,"TunnG";#N/A,#N/A,FALSE,"CivlG";#N/A,#N/A,FALSE,"NtwkG";#N/A,#N/A,FALSE,"EstgG";#N/A,#N/A,FALSE,"PEngG"}</definedName>
    <definedName name="xxxxxxxxxxxxxxxxxxxxx" hidden="1">{#N/A,#N/A,FALSE,"SumG";#N/A,#N/A,FALSE,"ElecG";#N/A,#N/A,FALSE,"MechG";#N/A,#N/A,FALSE,"GeotG";#N/A,#N/A,FALSE,"PrcsG";#N/A,#N/A,FALSE,"TunnG";#N/A,#N/A,FALSE,"CivlG";#N/A,#N/A,FALSE,"NtwkG";#N/A,#N/A,FALSE,"EstgG";#N/A,#N/A,FALSE,"PEngG"}</definedName>
    <definedName name="xxxxxxxxxxxxxxxxxxxxxxxxxxxxxxxx">#REF!</definedName>
    <definedName name="xxz" hidden="1">{#N/A,#N/A,FALSE,"SumD";#N/A,#N/A,FALSE,"ElecD";#N/A,#N/A,FALSE,"MechD";#N/A,#N/A,FALSE,"GeotD";#N/A,#N/A,FALSE,"PrcsD";#N/A,#N/A,FALSE,"TunnD";#N/A,#N/A,FALSE,"CivlD";#N/A,#N/A,FALSE,"NtwkD";#N/A,#N/A,FALSE,"EstgD";#N/A,#N/A,FALSE,"PEngD"}</definedName>
    <definedName name="xyy" localSheetId="9">#REF!</definedName>
    <definedName name="xyy">#REF!</definedName>
    <definedName name="xyz" hidden="1">{"'Break down'!$A$4"}</definedName>
    <definedName name="xz">#REF!</definedName>
    <definedName name="Y">#REF!</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AHU">#REF!</definedName>
    <definedName name="yandudes">#REF!</definedName>
    <definedName name="YARD">#REF!</definedName>
    <definedName name="YARD_INS">IF(#REF!="INS",VLOOKUP(#REF!,InsY,HLOOKUP(#REF!,YARD,2)+1,FALSE),0)</definedName>
    <definedName name="YARD_LAB">(VLOOKUP(#REF!,YARDLAB,HLOOKUP(#REF!,YARD,2),FALSE)+(VLOOKUP(#REF!,YARDLAB,HLOOKUP(#REF!,YARD,2)+1,FALSE)-VLOOKUP(#REF!,YARDLAB,HLOOKUP(#REF!,YARD,2),FALSE))*(#REF!-HLOOKUP(#REF!,YARD,1))/(HLOOKUP(#REF!+2,YARD,1)-HLOOKUP(#REF!,YARD,1)))</definedName>
    <definedName name="YARD_MAT">VLOOKUP(#REF!,YARDMAT,HLOOKUP(#REF!,YARD,2)+1,FALSE)+(VLOOKUP(#REF!,YARDMAT,HLOOKUP(#REF!,YARD,2)+1+1,FALSE)-VLOOKUP(#REF!,YARDMAT,HLOOKUP(#REF!,YARD,2)+1,FALSE))*(#REF!-HLOOKUP(#REF!,YARD,1))/(HLOOKUP(#REF!+2,YARD,1)-HLOOKUP(#REF!,YARD,1))</definedName>
    <definedName name="YARDLAB">#REF!</definedName>
    <definedName name="YARDMAT">#REF!</definedName>
    <definedName name="yayuk" hidden="1">#REF!</definedName>
    <definedName name="Year">#REF!</definedName>
    <definedName name="YearSplit">#REF!</definedName>
    <definedName name="YearsToStabilizeFX">#REF!</definedName>
    <definedName name="YEN">#REF!</definedName>
    <definedName name="yes" hidden="1">{#N/A,#N/A,TRUE,"Front";#N/A,#N/A,TRUE,"Simple Letter";#N/A,#N/A,TRUE,"Inside";#N/A,#N/A,TRUE,"Contents";#N/A,#N/A,TRUE,"Basis";#N/A,#N/A,TRUE,"Inclusions";#N/A,#N/A,TRUE,"Exclusions";#N/A,#N/A,TRUE,"Areas";#N/A,#N/A,TRUE,"Summary";#N/A,#N/A,TRUE,"Detail"}</definedName>
    <definedName name="YFCU">#REF!</definedName>
    <definedName name="yfeng" hidden="1">{#N/A,#N/A,TRUE,"SUMMARY";#N/A,#N/A,TRUE,"ISBL";#N/A,#N/A,TRUE,"OSBL";#N/A,#N/A,TRUE,"OFFSITE";#N/A,#N/A,TRUE,"STEAM"}</definedName>
    <definedName name="yffg">#REF!</definedName>
    <definedName name="yfu" hidden="1">{#N/A,#N/A,TRUE,"LOADCOVE";#N/A,#N/A,TRUE,"PAGE001";#N/A,#N/A,TRUE,"PAGE002";#N/A,#N/A,TRUE,"PAGE003";#N/A,#N/A,TRUE,"PAGE004";#N/A,#N/A,TRUE,"PAGE005";#N/A,#N/A,TRUE,"PAGE006";#N/A,#N/A,TRUE,"PAGE007";#N/A,#N/A,TRUE,"PAGE008";#N/A,#N/A,TRUE,"PAGE009";#N/A,#N/A,TRUE,"PAGE010";#N/A,#N/A,TRUE,"PAGE011";#N/A,#N/A,TRUE,"PAGE012";#N/A,#N/A,TRUE,"PAGE013"}</definedName>
    <definedName name="yg" hidden="1">{"'장비'!$A$3:$M$12"}</definedName>
    <definedName name="yg542hg" hidden="1">#REF!</definedName>
    <definedName name="yh" hidden="1">{#N/A,#N/A,TRUE,"LOADCOVE";#N/A,#N/A,TRUE,"PAGE001";#N/A,#N/A,TRUE,"PAGE002";#N/A,#N/A,TRUE,"PAGE003";#N/A,#N/A,TRUE,"PAGE004";#N/A,#N/A,TRUE,"PAGE005";#N/A,#N/A,TRUE,"PAGE006";#N/A,#N/A,TRUE,"PAGE007";#N/A,#N/A,TRUE,"PAGE008";#N/A,#N/A,TRUE,"PAGE009";#N/A,#N/A,TRUE,"PAGE010";#N/A,#N/A,TRUE,"PAGE011";#N/A,#N/A,TRUE,"PAGE012";#N/A,#N/A,TRUE,"PAGE013"}</definedName>
    <definedName name="yhrsh" localSheetId="7" hidden="1">{#N/A,#N/A,TRUE,"Cover";#N/A,#N/A,TRUE,"Conts";#N/A,#N/A,TRUE,"VOS";#N/A,#N/A,TRUE,"Warrington";#N/A,#N/A,TRUE,"Widnes"}</definedName>
    <definedName name="yhrsh" localSheetId="0" hidden="1">{#N/A,#N/A,TRUE,"Cover";#N/A,#N/A,TRUE,"Conts";#N/A,#N/A,TRUE,"VOS";#N/A,#N/A,TRUE,"Warrington";#N/A,#N/A,TRUE,"Widnes"}</definedName>
    <definedName name="yhrsh" localSheetId="9"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i" hidden="1">{"'Sheet1'!$L$16"}</definedName>
    <definedName name="yi_1" hidden="1">{"'Sheet1'!$L$16"}</definedName>
    <definedName name="yi_2" hidden="1">{"'Sheet1'!$L$16"}</definedName>
    <definedName name="ying" hidden="1">{#N/A,#N/A,TRUE,"FIELDOFF";#N/A,#N/A,TRUE,"SCAFF";#N/A,#N/A,TRUE,"CONSTEQP";#N/A,#N/A,TRUE,"FUELUBE";#N/A,#N/A,TRUE,"CONSUME";#N/A,#N/A,TRUE,"FIELDEXP";#N/A,#N/A,TRUE,"MANPLAN";#N/A,#N/A,TRUE,"EQPLAN"}</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khljkdggzsf" localSheetId="7" hidden="1">{#N/A,#N/A,TRUE,"Cover";#N/A,#N/A,TRUE,"Conts";#N/A,#N/A,TRUE,"VOS";#N/A,#N/A,TRUE,"Warrington";#N/A,#N/A,TRUE,"Widnes"}</definedName>
    <definedName name="ykhljkdggzsf" localSheetId="0" hidden="1">{#N/A,#N/A,TRUE,"Cover";#N/A,#N/A,TRUE,"Conts";#N/A,#N/A,TRUE,"VOS";#N/A,#N/A,TRUE,"Warrington";#N/A,#N/A,TRUE,"Widnes"}</definedName>
    <definedName name="ykhljkdggzsf" localSheetId="9"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7" hidden="1">{#N/A,#N/A,TRUE,"Cover";#N/A,#N/A,TRUE,"Conts";#N/A,#N/A,TRUE,"VOS";#N/A,#N/A,TRUE,"Warrington";#N/A,#N/A,TRUE,"Widnes"}</definedName>
    <definedName name="ykkllylulf" localSheetId="0" hidden="1">{#N/A,#N/A,TRUE,"Cover";#N/A,#N/A,TRUE,"Conts";#N/A,#N/A,TRUE,"VOS";#N/A,#N/A,TRUE,"Warrington";#N/A,#N/A,TRUE,"Widnes"}</definedName>
    <definedName name="ykkllylulf" localSheetId="9"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nkim" hidden="1">{#N/A,#N/A,TRUE,"Basic";#N/A,#N/A,TRUE,"EXT-TABLE";#N/A,#N/A,TRUE,"STEEL";#N/A,#N/A,TRUE,"INT-Table";#N/A,#N/A,TRUE,"STEEL";#N/A,#N/A,TRUE,"Door"}</definedName>
    <definedName name="ynkim_1" hidden="1">{#N/A,#N/A,TRUE,"Basic";#N/A,#N/A,TRUE,"EXT-TABLE";#N/A,#N/A,TRUE,"STEEL";#N/A,#N/A,TRUE,"INT-Table";#N/A,#N/A,TRUE,"STEEL";#N/A,#N/A,TRUE,"Door"}</definedName>
    <definedName name="ynkim_2" hidden="1">{#N/A,#N/A,TRUE,"Basic";#N/A,#N/A,TRUE,"EXT-TABLE";#N/A,#N/A,TRUE,"STEEL";#N/A,#N/A,TRUE,"INT-Table";#N/A,#N/A,TRUE,"STEEL";#N/A,#N/A,TRUE,"Door"}</definedName>
    <definedName name="yrdtytyt" hidden="1">{#N/A,#N/A,FALSE,"CCTV"}</definedName>
    <definedName name="yrdtytyt_1" hidden="1">{#N/A,#N/A,FALSE,"CCTV"}</definedName>
    <definedName name="yrdtytyt_2" hidden="1">{#N/A,#N/A,FALSE,"CCTV"}</definedName>
    <definedName name="yrtyet" localSheetId="7" hidden="1">{#N/A,#N/A,TRUE,"Cover";#N/A,#N/A,TRUE,"Conts";#N/A,#N/A,TRUE,"VOS";#N/A,#N/A,TRUE,"Warrington";#N/A,#N/A,TRUE,"Widnes"}</definedName>
    <definedName name="yrtyet" localSheetId="0" hidden="1">{#N/A,#N/A,TRUE,"Cover";#N/A,#N/A,TRUE,"Conts";#N/A,#N/A,TRUE,"VOS";#N/A,#N/A,TRUE,"Warrington";#N/A,#N/A,TRUE,"Widnes"}</definedName>
    <definedName name="yrtyet" localSheetId="9"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7" hidden="1">{#N/A,#N/A,TRUE,"Cover";#N/A,#N/A,TRUE,"Conts";#N/A,#N/A,TRUE,"VOS";#N/A,#N/A,TRUE,"Warrington";#N/A,#N/A,TRUE,"Widnes"}</definedName>
    <definedName name="yry" localSheetId="0" hidden="1">{#N/A,#N/A,TRUE,"Cover";#N/A,#N/A,TRUE,"Conts";#N/A,#N/A,TRUE,"VOS";#N/A,#N/A,TRUE,"Warrington";#N/A,#N/A,TRUE,"Widnes"}</definedName>
    <definedName name="yry" localSheetId="9"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ryy" hidden="1">{#N/A,#N/A,TRUE,"Front";#N/A,#N/A,TRUE,"Simple Letter";#N/A,#N/A,TRUE,"Inside";#N/A,#N/A,TRUE,"Contents";#N/A,#N/A,TRUE,"Basis";#N/A,#N/A,TRUE,"Inclusions";#N/A,#N/A,TRUE,"Exclusions";#N/A,#N/A,TRUE,"Areas";#N/A,#N/A,TRUE,"Summary";#N/A,#N/A,TRUE,"Detail"}</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 localSheetId="7" hidden="1">{#N/A,#N/A,TRUE,"Cover";#N/A,#N/A,TRUE,"Conts";#N/A,#N/A,TRUE,"VOS";#N/A,#N/A,TRUE,"Warrington";#N/A,#N/A,TRUE,"Widnes"}</definedName>
    <definedName name="yt" localSheetId="0" hidden="1">{#N/A,#N/A,TRUE,"Cover";#N/A,#N/A,TRUE,"Conts";#N/A,#N/A,TRUE,"VOS";#N/A,#N/A,TRUE,"Warrington";#N/A,#N/A,TRUE,"Widnes"}</definedName>
    <definedName name="yt" localSheetId="9"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eeeee" hidden="1">{#N/A,#N/A,TRUE,"Cover";#N/A,#N/A,TRUE,"Conts";#N/A,#N/A,TRUE,"VOS";#N/A,#N/A,TRUE,"Warrington";#N/A,#N/A,TRUE,"Widnes"}</definedName>
    <definedName name="ytjtyjre" localSheetId="7" hidden="1">{#N/A,#N/A,TRUE,"Cover";#N/A,#N/A,TRUE,"Conts";#N/A,#N/A,TRUE,"VOS";#N/A,#N/A,TRUE,"Warrington";#N/A,#N/A,TRUE,"Widnes"}</definedName>
    <definedName name="ytjtyjre" localSheetId="0" hidden="1">{#N/A,#N/A,TRUE,"Cover";#N/A,#N/A,TRUE,"Conts";#N/A,#N/A,TRUE,"VOS";#N/A,#N/A,TRUE,"Warrington";#N/A,#N/A,TRUE,"Widnes"}</definedName>
    <definedName name="ytjtyjre" localSheetId="9"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NYN" hidden="1">{#N/A,#N/A,TRUE,"LOADCOVE";#N/A,#N/A,TRUE,"PAGE001";#N/A,#N/A,TRUE,"PAGE002";#N/A,#N/A,TRUE,"PAGE003";#N/A,#N/A,TRUE,"PAGE004";#N/A,#N/A,TRUE,"PAGE005";#N/A,#N/A,TRUE,"PAGE006";#N/A,#N/A,TRUE,"PAGE007";#N/A,#N/A,TRUE,"PAGE008";#N/A,#N/A,TRUE,"PAGE009";#N/A,#N/A,TRUE,"PAGE010";#N/A,#N/A,TRUE,"PAGE011";#N/A,#N/A,TRUE,"PAGE012";#N/A,#N/A,TRUE,"PAGE013"}</definedName>
    <definedName name="ytr" hidden="1">{"'Break down'!$A$4"}</definedName>
    <definedName name="ytuloioio" localSheetId="7" hidden="1">{#N/A,#N/A,TRUE,"Cover";#N/A,#N/A,TRUE,"Conts";#N/A,#N/A,TRUE,"VOS";#N/A,#N/A,TRUE,"Warrington";#N/A,#N/A,TRUE,"Widnes"}</definedName>
    <definedName name="ytuloioio" localSheetId="0" hidden="1">{#N/A,#N/A,TRUE,"Cover";#N/A,#N/A,TRUE,"Conts";#N/A,#N/A,TRUE,"VOS";#N/A,#N/A,TRUE,"Warrington";#N/A,#N/A,TRUE,"Widnes"}</definedName>
    <definedName name="ytuloioio" localSheetId="9"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TYTY" hidden="1">{#N/A,#N/A,TRUE,"Cover";#N/A,#N/A,TRUE,"Conts";#N/A,#N/A,TRUE,"VOS";#N/A,#N/A,TRUE,"Warrington";#N/A,#N/A,TRUE,"Widnes"}</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hi">"Page "&amp;IF(ISNA(MATCH(ROW(),RowAfterpgbrk,1)),1,MATCH(ROW(),RowAfterpgbrk,1)+1)&amp;" of " &amp; TotPageCount + 0*NOW()</definedName>
    <definedName name="yui" hidden="1">{#N/A,#N/A,TRUE,"COVER";#N/A,#N/A,TRUE,"DETAILS";#N/A,#N/A,TRUE,"SUMMARY";#N/A,#N/A,TRUE,"EXP MON";#N/A,#N/A,TRUE,"APPENDIX A";#N/A,#N/A,TRUE,"APPENDIX B";#N/A,#N/A,TRUE,"APPENDIX C";#N/A,#N/A,TRUE,"APPENDIX D";#N/A,#N/A,TRUE,"APPENDIX E";#N/A,#N/A,TRUE,"APPENDIX F";#N/A,#N/A,TRUE,"APPENDIX G"}</definedName>
    <definedName name="yuj" hidden="1">{#N/A,#N/A,TRUE,"Cover";#N/A,#N/A,TRUE,"Conts";#N/A,#N/A,TRUE,"VOS";#N/A,#N/A,TRUE,"Warrington";#N/A,#N/A,TRUE,"Widnes"}</definedName>
    <definedName name="yuk">IF(ISNA(MATCH(ROW(),RowAfterpgbrk,1)),1,MATCH(ROW(),RowAfterpgbrk,1)+1)&lt;&gt;IF(ISNA(MATCH(ROW()-1,RowAfterpgbrk,1)),1,MATCH(ROW()-1,RowAfterpgbrk,1)+1)</definedName>
    <definedName name="yup" hidden="1">{"'Break down'!$A$4"}</definedName>
    <definedName name="yuti7i78o" localSheetId="7" hidden="1">{#N/A,#N/A,TRUE,"Cover";#N/A,#N/A,TRUE,"Conts";#N/A,#N/A,TRUE,"VOS";#N/A,#N/A,TRUE,"Warrington";#N/A,#N/A,TRUE,"Widnes"}</definedName>
    <definedName name="yuti7i78o" localSheetId="0" hidden="1">{#N/A,#N/A,TRUE,"Cover";#N/A,#N/A,TRUE,"Conts";#N/A,#N/A,TRUE,"VOS";#N/A,#N/A,TRUE,"Warrington";#N/A,#N/A,TRUE,"Widnes"}</definedName>
    <definedName name="yuti7i78o" localSheetId="9"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uyu" hidden="1">{"'장비'!$A$3:$M$12"}</definedName>
    <definedName name="yuyu_1" hidden="1">{"'장비'!$A$3:$M$12"}</definedName>
    <definedName name="yuyu_2" hidden="1">{"'장비'!$A$3:$M$12"}</definedName>
    <definedName name="yuyuyu" hidden="1">{"'장비'!$A$3:$M$12"}</definedName>
    <definedName name="yuyuyu_1" hidden="1">{"'장비'!$A$3:$M$12"}</definedName>
    <definedName name="yuyuyu_2" hidden="1">{"'장비'!$A$3:$M$12"}</definedName>
    <definedName name="yy" hidden="1">{"LKD",#N/A,FALSE,"표지"}</definedName>
    <definedName name="yy_1" hidden="1">{"'장비'!$A$3:$M$12"}</definedName>
    <definedName name="yy_2" hidden="1">{"'장비'!$A$3:$M$12"}</definedName>
    <definedName name="yyy" localSheetId="7" hidden="1">{#N/A,#N/A,TRUE,"Cover";#N/A,#N/A,TRUE,"Conts";#N/A,#N/A,TRUE,"VOS";#N/A,#N/A,TRUE,"Warrington";#N/A,#N/A,TRUE,"Widnes"}</definedName>
    <definedName name="yyy" localSheetId="0" hidden="1">{#N/A,#N/A,TRUE,"Cover";#N/A,#N/A,TRUE,"Conts";#N/A,#N/A,TRUE,"VOS";#N/A,#N/A,TRUE,"Warrington";#N/A,#N/A,TRUE,"Widnes"}</definedName>
    <definedName name="yyy" localSheetId="9"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yyyy" hidden="1">{#N/A,#N/A,TRUE,"Front";#N/A,#N/A,TRUE,"Simple Letter";#N/A,#N/A,TRUE,"Inside";#N/A,#N/A,TRUE,"Contents";#N/A,#N/A,TRUE,"Basis";#N/A,#N/A,TRUE,"Inclusions";#N/A,#N/A,TRUE,"Exclusions";#N/A,#N/A,TRUE,"Areas";#N/A,#N/A,TRUE,"Summary";#N/A,#N/A,TRUE,"Detail"}</definedName>
    <definedName name="YYYYY" hidden="1">#REF!</definedName>
    <definedName name="yyyyy_1" hidden="1">{"'장비'!$A$3:$M$12"}</definedName>
    <definedName name="yyyyy_2" hidden="1">{"'장비'!$A$3:$M$12"}</definedName>
    <definedName name="yyyyyy" hidden="1">{#N/A,#N/A,TRUE,"Front";#N/A,#N/A,TRUE,"Simple Letter";#N/A,#N/A,TRUE,"Inside";#N/A,#N/A,TRUE,"Contents";#N/A,#N/A,TRUE,"Basis";#N/A,#N/A,TRUE,"Inclusions";#N/A,#N/A,TRUE,"Exclusions";#N/A,#N/A,TRUE,"Areas";#N/A,#N/A,TRUE,"Summary";#N/A,#N/A,TRUE,"Detail"}</definedName>
    <definedName name="yyyyyyy" hidden="1">{#N/A,#N/A,TRUE,"LOADCOVE";#N/A,#N/A,TRUE,"PAGE001";#N/A,#N/A,TRUE,"PAGE002";#N/A,#N/A,TRUE,"PAGE003";#N/A,#N/A,TRUE,"PAGE004";#N/A,#N/A,TRUE,"PAGE005";#N/A,#N/A,TRUE,"PAGE006";#N/A,#N/A,TRUE,"PAGE007";#N/A,#N/A,TRUE,"PAGE008";#N/A,#N/A,TRUE,"PAGE009";#N/A,#N/A,TRUE,"PAGE010";#N/A,#N/A,TRUE,"PAGE011";#N/A,#N/A,TRUE,"PAGE012";#N/A,#N/A,TRUE,"PAGE013"}</definedName>
    <definedName name="yyyyyyyyyy"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hidden="1">{#N/A,#N/A,FALSE,"SumD";#N/A,#N/A,FALSE,"ElecD";#N/A,#N/A,FALSE,"MechD";#N/A,#N/A,FALSE,"GeotD";#N/A,#N/A,FALSE,"PrcsD";#N/A,#N/A,FALSE,"TunnD";#N/A,#N/A,FALSE,"CivlD";#N/A,#N/A,FALSE,"NtwkD";#N/A,#N/A,FALSE,"EstgD";#N/A,#N/A,FALSE,"PEngD"}</definedName>
    <definedName name="yyyyyyyyyyyyyyyyyyyyyyyy" hidden="1">{#N/A,#N/A,FALSE,"SumG";#N/A,#N/A,FALSE,"ElecG";#N/A,#N/A,FALSE,"MechG";#N/A,#N/A,FALSE,"GeotG";#N/A,#N/A,FALSE,"PrcsG";#N/A,#N/A,FALSE,"TunnG";#N/A,#N/A,FALSE,"CivlG";#N/A,#N/A,FALSE,"NtwkG";#N/A,#N/A,FALSE,"EstgG";#N/A,#N/A,FALSE,"PEngG"}</definedName>
    <definedName name="Z">#REF!</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E5612F1_1C5C_4147_BE42_908BDE0B1405_.wvu.FilterData" localSheetId="7" hidden="1">#N/A</definedName>
    <definedName name="Z_0E5612F1_1C5C_4147_BE42_908BDE0B1405_.wvu.FilterData" localSheetId="0" hidden="1">#REF!</definedName>
    <definedName name="Z_0E5612F1_1C5C_4147_BE42_908BDE0B1405_.wvu.FilterData" localSheetId="9" hidden="1">#REF!</definedName>
    <definedName name="Z_0E5612F1_1C5C_4147_BE42_908BDE0B1405_.wvu.FilterData" hidden="1">#REF!</definedName>
    <definedName name="Z_0E5612F1_1C5C_4147_BE42_908BDE0B1405_.wvu.PrintTitles" localSheetId="7" hidden="1">#N/A</definedName>
    <definedName name="Z_0E5612F1_1C5C_4147_BE42_908BDE0B1405_.wvu.PrintTitles" localSheetId="0" hidden="1">#REF!</definedName>
    <definedName name="Z_0E5612F1_1C5C_4147_BE42_908BDE0B1405_.wvu.PrintTitles" localSheetId="9" hidden="1">#REF!</definedName>
    <definedName name="Z_0E5612F1_1C5C_4147_BE42_908BDE0B1405_.wvu.PrintTitles" hidden="1">#REF!</definedName>
    <definedName name="Z_0E6C0679_0029_4781_B169_1A8C8DABFBF8_.wvu.Cols_18">#REF!</definedName>
    <definedName name="Z_0E6C0679_0029_4781_B169_1A8C8DABFBF8_.wvu.Cols_5">#REF!</definedName>
    <definedName name="Z_47329C3B_8871_11D7_A7B1_0080AD73CC9D_.wvu.FilterData" hidden="1">#REF!</definedName>
    <definedName name="Z_47329C3B_8871_11D7_A7B1_0080AD73CC9D_.wvu.PrintArea" hidden="1">#REF!</definedName>
    <definedName name="Z_4887C7E8_C2BA_4F8F_A1B2_D26CA05EE10E_.wvu.Cols_18">#REF!</definedName>
    <definedName name="Z_4887C7E8_C2BA_4F8F_A1B2_D26CA05EE10E_.wvu.Cols_5">#REF!</definedName>
    <definedName name="Z_4887C7E8_C2BA_4F8F_A1B2_D26CA05EE10E_.wvu.PrintArea_3">#REF!</definedName>
    <definedName name="Z_67879F2D_A365_4C5F_ACA2_06A222DC585F_.wvu.FilterData" hidden="1">#REF!</definedName>
    <definedName name="Z_69C7EDC4_4654_4BA1_A322_7C3E72B6E417_.wvu.Cols">(#REF!,#REF!)</definedName>
    <definedName name="Z_69CB8650_B747_4FE4_8403_241F756CCB38_.wvu.Cols">(#REF!,#REF!)</definedName>
    <definedName name="Z_69F49408_E8AA_4C55_9DD5_1B87E94DC7AF_.wvu.Cols">(#REF!,#REF!)</definedName>
    <definedName name="Z_69F49408_E8AA_4C55_9DD5_1B87E94DC7AF_.wvu.Cols_1">(#REF!,#REF!)</definedName>
    <definedName name="Z_69F49408_E8AA_4C55_9DD5_1B87E94DC7AF_.wvu.Cols_10">(#REF!,#REF!)</definedName>
    <definedName name="Z_69F49408_E8AA_4C55_9DD5_1B87E94DC7AF_.wvu.Cols_11">(#REF!,#REF!)</definedName>
    <definedName name="Z_69F49408_E8AA_4C55_9DD5_1B87E94DC7AF_.wvu.Cols_12">(#REF!,#REF!)</definedName>
    <definedName name="Z_69F49408_E8AA_4C55_9DD5_1B87E94DC7AF_.wvu.Cols_2">(#REF!,#REF!)</definedName>
    <definedName name="Z_69F49408_E8AA_4C55_9DD5_1B87E94DC7AF_.wvu.Cols_3">(#REF!,#REF!)</definedName>
    <definedName name="Z_69F49408_E8AA_4C55_9DD5_1B87E94DC7AF_.wvu.Cols_4">(#REF!,#REF!)</definedName>
    <definedName name="Z_69F49408_E8AA_4C55_9DD5_1B87E94DC7AF_.wvu.Cols_5">(#REF!,#REF!)</definedName>
    <definedName name="Z_69F49408_E8AA_4C55_9DD5_1B87E94DC7AF_.wvu.Cols_6">(#REF!,#REF!)</definedName>
    <definedName name="Z_69F49408_E8AA_4C55_9DD5_1B87E94DC7AF_.wvu.Cols_7">(#REF!,#REF!)</definedName>
    <definedName name="Z_69F49408_E8AA_4C55_9DD5_1B87E94DC7AF_.wvu.Cols_8">(#REF!,#REF!)</definedName>
    <definedName name="Z_69F49408_E8AA_4C55_9DD5_1B87E94DC7AF_.wvu.Cols_9">(#REF!,#REF!)</definedName>
    <definedName name="Z_6CDCF69B_5AF1_4147_8314_DDC51BBAE13A_.wvu.FilterData" hidden="1">#REF!</definedName>
    <definedName name="Z_893D3CDD_E6EC_4FBE_9F4B_7C063AADDAA3_.wvu.FilterData" localSheetId="7" hidden="1">#N/A</definedName>
    <definedName name="Z_893D3CDD_E6EC_4FBE_9F4B_7C063AADDAA3_.wvu.FilterData" localSheetId="0" hidden="1">#REF!</definedName>
    <definedName name="Z_893D3CDD_E6EC_4FBE_9F4B_7C063AADDAA3_.wvu.FilterData" localSheetId="9" hidden="1">#REF!</definedName>
    <definedName name="Z_893D3CDD_E6EC_4FBE_9F4B_7C063AADDAA3_.wvu.FilterData" hidden="1">#REF!</definedName>
    <definedName name="Z_893D3CDD_E6EC_4FBE_9F4B_7C063AADDAA3_.wvu.PrintTitles" localSheetId="7" hidden="1">#N/A</definedName>
    <definedName name="Z_893D3CDD_E6EC_4FBE_9F4B_7C063AADDAA3_.wvu.PrintTitles" localSheetId="0" hidden="1">#REF!</definedName>
    <definedName name="Z_893D3CDD_E6EC_4FBE_9F4B_7C063AADDAA3_.wvu.PrintTitles" localSheetId="8" hidden="1">#REF!</definedName>
    <definedName name="Z_893D3CDD_E6EC_4FBE_9F4B_7C063AADDAA3_.wvu.PrintTitles" hidden="1">#REF!</definedName>
    <definedName name="Z_893D3CDD_E6EC_4FBE_9F4B_7C063AADDAA3_.wvu.Rows" localSheetId="7" hidden="1">#N/A</definedName>
    <definedName name="Z_893D3CDD_E6EC_4FBE_9F4B_7C063AADDAA3_.wvu.Rows" localSheetId="0" hidden="1">#REF!</definedName>
    <definedName name="Z_893D3CDD_E6EC_4FBE_9F4B_7C063AADDAA3_.wvu.Rows" localSheetId="8" hidden="1">#REF!</definedName>
    <definedName name="Z_893D3CDD_E6EC_4FBE_9F4B_7C063AADDAA3_.wvu.Rows" hidden="1">#REF!</definedName>
    <definedName name="Z_8A657B5B_2367_4B9A_B6DF_437ACE718F0F_.wvu.Cols">(#REF!,#REF!)</definedName>
    <definedName name="Z_8FCC9949_BB10_48DD_835F_9D6E68B3AE12_.wvu.PrintTitles" hidden="1">#REF!</definedName>
    <definedName name="Z_911FCEE4_2CBF_4A90_9E55_ED72CBEECF9A_.wvu.FilterData" localSheetId="7" hidden="1">#N/A</definedName>
    <definedName name="Z_911FCEE4_2CBF_4A90_9E55_ED72CBEECF9A_.wvu.FilterData" localSheetId="0" hidden="1">#REF!</definedName>
    <definedName name="Z_911FCEE4_2CBF_4A90_9E55_ED72CBEECF9A_.wvu.FilterData" localSheetId="8" hidden="1">#REF!</definedName>
    <definedName name="Z_911FCEE4_2CBF_4A90_9E55_ED72CBEECF9A_.wvu.FilterData" hidden="1">#REF!</definedName>
    <definedName name="Z_97AF8B62_D04D_48F2_A853_93998C7922D6_.wvu.FilterData" hidden="1">#REF!</definedName>
    <definedName name="Z_9F278A40_BF82_4E3D_9E8B_F7A34E58042E_.wvu.FilterData" hidden="1">#REF!</definedName>
    <definedName name="Z_A0818C95_8CE7_452F_A1FC_D931F06FF641_.wvu.PrintArea" hidden="1">#REF!</definedName>
    <definedName name="Z_A0818C95_8CE7_452F_A1FC_D931F06FF641_.wvu.Rows" hidden="1">#REF!,#REF!</definedName>
    <definedName name="Z_B3255642_8A6B_11D5_916F_005004920FCB_.wvu.PrintTitles" hidden="1">#REF!</definedName>
    <definedName name="Z_C021B1C7_1530_4257_9AB9_7BCB87E5EDB9_.wvu.PrintTitles" hidden="1">#REF!</definedName>
    <definedName name="Z_C4987C22_A4BC_4088_8093_02A2E532FBED_.wvu.FilterData" localSheetId="7" hidden="1">#N/A</definedName>
    <definedName name="Z_C4987C22_A4BC_4088_8093_02A2E532FBED_.wvu.FilterData" localSheetId="0" hidden="1">#REF!</definedName>
    <definedName name="Z_C4987C22_A4BC_4088_8093_02A2E532FBED_.wvu.FilterData" localSheetId="8" hidden="1">#REF!</definedName>
    <definedName name="Z_C4987C22_A4BC_4088_8093_02A2E532FBED_.wvu.FilterData" hidden="1">#REF!</definedName>
    <definedName name="Z_C4987C22_A4BC_4088_8093_02A2E532FBED_.wvu.PrintTitles" localSheetId="7" hidden="1">#N/A</definedName>
    <definedName name="Z_C4987C22_A4BC_4088_8093_02A2E532FBED_.wvu.PrintTitles" localSheetId="0" hidden="1">#REF!</definedName>
    <definedName name="Z_C4987C22_A4BC_4088_8093_02A2E532FBED_.wvu.PrintTitles" localSheetId="8" hidden="1">#REF!</definedName>
    <definedName name="Z_C4987C22_A4BC_4088_8093_02A2E532FBED_.wvu.PrintTitles" hidden="1">#REF!</definedName>
    <definedName name="Z_C5F07B99_5B9B_4D7E_8E51_7715CFFC23CA_.wvu.Rows" hidden="1">#REF!,#REF!,#REF!,#REF!,#REF!,#REF!,#REF!,#REF!,#REF!,#REF!,#REF!,#REF!,#REF!,#REF!,#REF!,#REF!</definedName>
    <definedName name="Z_CC59586C_277A_4B31_AB4B_EDCE8E2B9707_.wvu.FilterData" localSheetId="3" hidden="1">P.1!$A$11:$F$53</definedName>
    <definedName name="Z_CC59586C_277A_4B31_AB4B_EDCE8E2B9707_.wvu.FilterData" localSheetId="6" hidden="1">P.2!#REF!</definedName>
    <definedName name="Z_CC59586C_277A_4B31_AB4B_EDCE8E2B9707_.wvu.PrintArea" localSheetId="3" hidden="1">P.1!$A$1:$H$601</definedName>
    <definedName name="Z_CC59586C_277A_4B31_AB4B_EDCE8E2B9707_.wvu.PrintArea" localSheetId="6" hidden="1">P.2!$A$1:$H$632</definedName>
    <definedName name="Z_CC59586C_277A_4B31_AB4B_EDCE8E2B9707_.wvu.PrintTitles" localSheetId="3" hidden="1">P.1!$1:$5</definedName>
    <definedName name="Z_CC59586C_277A_4B31_AB4B_EDCE8E2B9707_.wvu.PrintTitles" localSheetId="6" hidden="1">P.2!$1:$5</definedName>
    <definedName name="Z_CC59586C_277A_4B31_AB4B_EDCE8E2B9707_.wvu.Rows" localSheetId="3" hidden="1">P.1!#REF!</definedName>
    <definedName name="Z_CC59586C_277A_4B31_AB4B_EDCE8E2B9707_.wvu.Rows" localSheetId="6" hidden="1">P.2!#REF!</definedName>
    <definedName name="Z_E571E582_44C4_467A_9514_F539692DA651_.wvu.Cols">(#REF!,#REF!)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_F8A287BF_980C_4986_B08C_54EAB9AA17CB_.wvu.FilterData" localSheetId="7" hidden="1">#N/A</definedName>
    <definedName name="Z_F8A287BF_980C_4986_B08C_54EAB9AA17CB_.wvu.FilterData" localSheetId="0" hidden="1">#REF!</definedName>
    <definedName name="Z_F8A287BF_980C_4986_B08C_54EAB9AA17CB_.wvu.FilterData" localSheetId="8" hidden="1">#REF!</definedName>
    <definedName name="Z_F8A287BF_980C_4986_B08C_54EAB9AA17CB_.wvu.FilterData" hidden="1">#REF!</definedName>
    <definedName name="Z_F8A287BF_980C_4986_B08C_54EAB9AA17CB_.wvu.PrintTitles" localSheetId="7" hidden="1">#N/A</definedName>
    <definedName name="Z_F8A287BF_980C_4986_B08C_54EAB9AA17CB_.wvu.PrintTitles" localSheetId="0" hidden="1">#REF!</definedName>
    <definedName name="Z_F8A287BF_980C_4986_B08C_54EAB9AA17CB_.wvu.PrintTitles" localSheetId="8" hidden="1">#REF!</definedName>
    <definedName name="Z_F8A287BF_980C_4986_B08C_54EAB9AA17CB_.wvu.PrintTitles" hidden="1">#REF!</definedName>
    <definedName name="za">#REF!</definedName>
    <definedName name="zaed" localSheetId="7" hidden="1">{#N/A,#N/A,TRUE,"Cover";#N/A,#N/A,TRUE,"Conts";#N/A,#N/A,TRUE,"VOS";#N/A,#N/A,TRUE,"Warrington";#N/A,#N/A,TRUE,"Widnes"}</definedName>
    <definedName name="zaed" localSheetId="0" hidden="1">{#N/A,#N/A,TRUE,"Cover";#N/A,#N/A,TRUE,"Conts";#N/A,#N/A,TRUE,"VOS";#N/A,#N/A,TRUE,"Warrington";#N/A,#N/A,TRUE,"Widnes"}</definedName>
    <definedName name="zaed" localSheetId="9"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as" hidden="1">#REF!</definedName>
    <definedName name="zasdx" hidden="1">{#N/A,#N/A,TRUE,"Cover";#N/A,#N/A,TRUE,"Conts";#N/A,#N/A,TRUE,"VOS";#N/A,#N/A,TRUE,"Warrington";#N/A,#N/A,TRUE,"Widnes"}</definedName>
    <definedName name="ZBDZBDFB" localSheetId="7" hidden="1">{#N/A,#N/A,TRUE,"Cover";#N/A,#N/A,TRUE,"Conts";#N/A,#N/A,TRUE,"VOS";#N/A,#N/A,TRUE,"Warrington";#N/A,#N/A,TRUE,"Widnes"}</definedName>
    <definedName name="ZBDZBDFB" localSheetId="0" hidden="1">{#N/A,#N/A,TRUE,"Cover";#N/A,#N/A,TRUE,"Conts";#N/A,#N/A,TRUE,"VOS";#N/A,#N/A,TRUE,"Warrington";#N/A,#N/A,TRUE,"Widnes"}</definedName>
    <definedName name="ZBDZBDFB" localSheetId="9"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c" hidden="1">#REF!</definedName>
    <definedName name="ze">#REF!</definedName>
    <definedName name="zhdrt" hidden="1">{"'Break down'!$A$4"}</definedName>
    <definedName name="zhguz" hidden="1">{"DCF","UPSIDE CASE",FALSE,"Sheet1";"DCF","BASE CASE",FALSE,"Sheet1";"DCF","DOWNSIDE CASE",FALSE,"Sheet1"}</definedName>
    <definedName name="zio" hidden="1">{#N/A,#N/A,TRUE,"Cover";#N/A,#N/A,TRUE,"Conts";#N/A,#N/A,TRUE,"VOS";#N/A,#N/A,TRUE,"Warrington";#N/A,#N/A,TRUE,"Widnes"}</definedName>
    <definedName name="Zip">#REF!</definedName>
    <definedName name="zndgtt" hidden="1">{"'Break down'!$A$4"}</definedName>
    <definedName name="znm" hidden="1">{#N/A,#N/A,TRUE,"Cover";#N/A,#N/A,TRUE,"Conts";#N/A,#N/A,TRUE,"VOS";#N/A,#N/A,TRUE,"Warrington";#N/A,#N/A,TRUE,"Widnes"}</definedName>
    <definedName name="ZONE">#REF!</definedName>
    <definedName name="Zp">#REF!</definedName>
    <definedName name="Zpp">#REF!</definedName>
    <definedName name="ZPPX">#REF!</definedName>
    <definedName name="ZPPY">#REF!</definedName>
    <definedName name="ZPPZ">#REF!</definedName>
    <definedName name="zpr">#REF!</definedName>
    <definedName name="zse" hidden="1">{#N/A,#N/A,FALSE,"SumG";#N/A,#N/A,FALSE,"ElecG";#N/A,#N/A,FALSE,"MechG";#N/A,#N/A,FALSE,"GeotG";#N/A,#N/A,FALSE,"PrcsG";#N/A,#N/A,FALSE,"TunnG";#N/A,#N/A,FALSE,"CivlG";#N/A,#N/A,FALSE,"NtwkG";#N/A,#N/A,FALSE,"EstgG";#N/A,#N/A,FALSE,"PEngG"}</definedName>
    <definedName name="zse_1"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sxc" hidden="1">{#N/A,#N/A,TRUE,"Cover";#N/A,#N/A,TRUE,"Conts";#N/A,#N/A,TRUE,"VOS";#N/A,#N/A,TRUE,"Warrington";#N/A,#N/A,TRUE,"Widnes"}</definedName>
    <definedName name="zv">IF(ISNA(MATCH(ROW(),RowAfterpgbrk,1)),1,MATCH(ROW(),RowAfterpgbrk,1)+1)</definedName>
    <definedName name="zwe" hidden="1">{#N/A,#N/A,TRUE,"Cover";#N/A,#N/A,TRUE,"Conts";#N/A,#N/A,TRUE,"VOS";#N/A,#N/A,TRUE,"Warrington";#N/A,#N/A,TRUE,"Widnes"}</definedName>
    <definedName name="zx" hidden="1">{"'장비'!$A$3:$M$12"}</definedName>
    <definedName name="ZXC">#REF!</definedName>
    <definedName name="ZXCC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V" hidden="1">{#N/A,#N/A,FALSE,"CCTV"}</definedName>
    <definedName name="zxdvzdv" localSheetId="7" hidden="1">{#N/A,#N/A,TRUE,"Cover";#N/A,#N/A,TRUE,"Conts";#N/A,#N/A,TRUE,"VOS";#N/A,#N/A,TRUE,"Warrington";#N/A,#N/A,TRUE,"Widnes"}</definedName>
    <definedName name="zxdvzdv" localSheetId="0" hidden="1">{#N/A,#N/A,TRUE,"Cover";#N/A,#N/A,TRUE,"Conts";#N/A,#N/A,TRUE,"VOS";#N/A,#N/A,TRUE,"Warrington";#N/A,#N/A,TRUE,"Widnes"}</definedName>
    <definedName name="zxdvzdv" localSheetId="9"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XF" hidden="1">{#N/A,#N/A,FALSE,"III-1 Sum.Dem";#N/A,#N/A,FALSE,"III-2 RER.Dem.Pop";#N/A,#N/A,FALSE,"III-3 RER.Cap.Pop";#N/A,#N/A,FALSE,"III-4 RER.Dem.TCSS";#N/A,#N/A,FALSE,"III-5 RER.Cap.TCSS";#N/A,#N/A,FALSE,"III-6 Pow.Center.Dem";#N/A,#N/A,FALSE,"III-7 Off.Demand";#N/A,#N/A,FALSE,"III-8 Htl.Dem"}</definedName>
    <definedName name="zxv" hidden="1">{#N/A,#N/A,TRUE,"Cover";#N/A,#N/A,TRUE,"Conts";#N/A,#N/A,TRUE,"VOS";#N/A,#N/A,TRUE,"Warrington";#N/A,#N/A,TRUE,"Widnes"}</definedName>
    <definedName name="zxxxx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Z" hidden="1">{#N/A,#N/A,FALSE,"SumD";#N/A,#N/A,FALSE,"ElecD";#N/A,#N/A,FALSE,"MechD";#N/A,#N/A,FALSE,"GeotD";#N/A,#N/A,FALSE,"PrcsD";#N/A,#N/A,FALSE,"TunnD";#N/A,#N/A,FALSE,"CivlD";#N/A,#N/A,FALSE,"NtwkD";#N/A,#N/A,FALSE,"EstgD";#N/A,#N/A,FALSE,"PEngD"}</definedName>
    <definedName name="Zy">#REF!</definedName>
    <definedName name="zz" hidden="1">{#N/A,#N/A,FALSE,"SUBS";#N/A,#N/A,FALSE,"SUPERS";#N/A,#N/A,FALSE,"FINISHES";#N/A,#N/A,FALSE,"FITTINGS";#N/A,#N/A,FALSE,"SERVICES";#N/A,#N/A,FALSE,"SITEWORKS"}</definedName>
    <definedName name="zz_1" hidden="1">{#N/A,#N/A,FALSE,"SumD";#N/A,#N/A,FALSE,"ElecD";#N/A,#N/A,FALSE,"MechD";#N/A,#N/A,FALSE,"GeotD";#N/A,#N/A,FALSE,"PrcsD";#N/A,#N/A,FALSE,"TunnD";#N/A,#N/A,FALSE,"CivlD";#N/A,#N/A,FALSE,"NtwkD";#N/A,#N/A,FALSE,"EstgD";#N/A,#N/A,FALSE,"PEngD"}</definedName>
    <definedName name="zzxx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 localSheetId="7" hidden="1">{#N/A,#N/A,TRUE,"Cover";#N/A,#N/A,TRUE,"Conts";#N/A,#N/A,TRUE,"VOS";#N/A,#N/A,TRUE,"Warrington";#N/A,#N/A,TRUE,"Widnes"}</definedName>
    <definedName name="zzz" localSheetId="0" hidden="1">{#N/A,#N/A,TRUE,"Cover";#N/A,#N/A,TRUE,"Conts";#N/A,#N/A,TRUE,"VOS";#N/A,#N/A,TRUE,"Warrington";#N/A,#N/A,TRUE,"Widnes"}</definedName>
    <definedName name="zzz" localSheetId="9"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zzz_1" hidden="1">{#N/A,#N/A,TRUE,"Basic";#N/A,#N/A,TRUE,"EXT-TABLE";#N/A,#N/A,TRUE,"STEEL";#N/A,#N/A,TRUE,"INT-Table";#N/A,#N/A,TRUE,"STEEL";#N/A,#N/A,TRUE,"Door"}</definedName>
    <definedName name="zzz_2" hidden="1">{#N/A,#N/A,TRUE,"Basic";#N/A,#N/A,TRUE,"EXT-TABLE";#N/A,#N/A,TRUE,"STEEL";#N/A,#N/A,TRUE,"INT-Table";#N/A,#N/A,TRUE,"STEEL";#N/A,#N/A,TRUE,"Door"}</definedName>
    <definedName name="zzz1" hidden="1">#REF!</definedName>
    <definedName name="zzzz">#REF!</definedName>
    <definedName name="zzzzq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 hidden="1">{#N/A,#N/A,FALSE,"OAS";#N/A,#N/A,FALSE,"OBG";#N/A,#N/A,FALSE,"OCZ";#N/A,#N/A,FALSE,"OFR";#N/A,#N/A,FALSE,"OGR";#N/A,#N/A,FALSE,"OGY";#N/A,#N/A,FALSE,"OHY ";#N/A,#N/A,FALSE,"OLX";#N/A,#N/A,FALSE,"ONL";#N/A,#N/A,FALSE,"OPO";#N/A,#N/A,FALSE,"OPL";#N/A,#N/A,FALSE,"OSK";#N/A,#N/A,FALSE,"OSP";#N/A,#N/A,FALSE,"OSZ";#N/A,#N/A,FALSE,"OTU";#N/A,#N/A,FALSE,"OUK"}</definedName>
    <definedName name="zzzzzz" hidden="1">{#N/A,#N/A,TRUE,"COVER";#N/A,#N/A,TRUE,"DETAILS";#N/A,#N/A,TRUE,"SUMMARY";#N/A,#N/A,TRUE,"EXP MON";#N/A,#N/A,TRUE,"APPENDIX A";#N/A,#N/A,TRUE,"APPENDIX B";#N/A,#N/A,TRUE,"APPENDIX C";#N/A,#N/A,TRUE,"APPENDIX D";#N/A,#N/A,TRUE,"APPENDIX E";#N/A,#N/A,TRUE,"APPENDIX F";#N/A,#N/A,TRUE,"APPENDIX G"}</definedName>
    <definedName name="zzzzzzz" hidden="1">{#N/A,#N/A,FALSE,"ORGANISATION"}</definedName>
    <definedName name="zzzzzzzz" hidden="1">{#N/A,#N/A,FALSE,"SITE NUMBERS 1995"}</definedName>
    <definedName name="zzzzzzzzz" hidden="1">{#N/A,#N/A,FALSE,"SITE NUMBERS 1996"}</definedName>
    <definedName name="zzzzzzzzzz" hidden="1">{#N/A,#N/A,FALSE,"SUSTAINING"}</definedName>
    <definedName name="zzzzzzzzzzz" hidden="1">{#N/A,#N/A,FALSE,"ORGANISATION"}</definedName>
    <definedName name="zzzzzzzzzzzzzzzz" hidden="1">{#N/A,#N/A,FALSE,"단가표지"}</definedName>
    <definedName name="zzzzzzzzzzzzzzzzzzzzzzzzzzzzzzzzz">#REF!</definedName>
    <definedName name="γc">#REF!</definedName>
    <definedName name="γs">#REF!</definedName>
    <definedName name="τv">#REF!</definedName>
    <definedName name="ءء">#REF!</definedName>
    <definedName name="ا7">#REF!</definedName>
    <definedName name="ابيض.سفاجا2سم">#REF!</definedName>
    <definedName name="إجمالى.سعر.الخامات">#REF!</definedName>
    <definedName name="إجمالى.سعر.خامات">#REF!</definedName>
    <definedName name="اجمالى.مصنعيات">#REF!</definedName>
    <definedName name="اجمالى.معدات">#REF!</definedName>
    <definedName name="إجمالى.مقاولى.باطن">#REF!</definedName>
    <definedName name="احمر.غردقة2سم">#REF!</definedName>
    <definedName name="اختبارات.تربة">#REF!</definedName>
    <definedName name="اختباركثافة">#REF!</definedName>
    <definedName name="اخضر.تينوس2سم">#REF!</definedName>
    <definedName name="أخضر.هندى2سم">#REF!</definedName>
    <definedName name="أديبوند">#REF!</definedName>
    <definedName name="أرضيات.مرتفعة">#REF!</definedName>
    <definedName name="إستانلس.ستيل">#REF!</definedName>
    <definedName name="اسقف.شرائح">#REF!</definedName>
    <definedName name="أسقف.مضادة.للبكتريا">#REF!</definedName>
    <definedName name="أسمنت.أبيض">#REF!</definedName>
    <definedName name="أسمنت.عادى">#REF!</definedName>
    <definedName name="اسمنت.عادي">#REF!</definedName>
    <definedName name="اضافات.بياض">#REF!</definedName>
    <definedName name="إضافات.منع.تسرب.مياه">#REF!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مبنى_الرئيسي">#REF!</definedName>
    <definedName name="الموقع_العام">#REF!</definedName>
    <definedName name="إنترلوك">#REF!</definedName>
    <definedName name="انسو.فليم4مم">#REF!</definedName>
    <definedName name="إيجازول.سيكا">#REF!</definedName>
    <definedName name="ب19">#REF!</definedName>
    <definedName name="باك.فلر">#REF!</definedName>
    <definedName name="باكر.رود20مم">#REF!</definedName>
    <definedName name="بامب">#REF!</definedName>
    <definedName name="بب">#REF!</definedName>
    <definedName name="بردورة.عجالي">#REF!</definedName>
    <definedName name="بردورة.متوسطة.حمراء">#REF!</definedName>
    <definedName name="بردورة50\30\8">#REF!</definedName>
    <definedName name="برلاتو2سم">#REF!</definedName>
    <definedName name="بسكويت">#REF!</definedName>
    <definedName name="بكر.رود">#REF!</definedName>
    <definedName name="بلاط.أسطح">#REF!</definedName>
    <definedName name="بلاط.موزايكو20\20">#REF!</definedName>
    <definedName name="بور40\40">#REF!</definedName>
    <definedName name="بورتورو2سم">#REF!</definedName>
    <definedName name="بورسلين.لامع">#REF!</definedName>
    <definedName name="بورسلين.مط">#REF!</definedName>
    <definedName name="بورسلين.واجهات">#REF!</definedName>
    <definedName name="بولسترين.ازرق">#REF!</definedName>
    <definedName name="بولى.ايثيلين300">#REF!</definedName>
    <definedName name="بولىايثيلين250">#REF!</definedName>
    <definedName name="بولىإيثيلين300">#REF!</definedName>
    <definedName name="بيتومين.بارد">#REF!</definedName>
    <definedName name="بيتومين.ساخن">#REF!</definedName>
    <definedName name="بيرلايت">#REF!</definedName>
    <definedName name="تحليل">#REF!</definedName>
    <definedName name="تحليل_الدهانات_للسور_المبانى">#REF!</definedName>
    <definedName name="تحليل_لبياض_السور_المبانى">#REF!</definedName>
    <definedName name="تشوين.مبانى.م2">#REF!</definedName>
    <definedName name="تشوين.مبانى.م3">#REF!</definedName>
    <definedName name="تورش.سيل4مم">#REF!</definedName>
    <definedName name="تورشسيل4مم">#REF!</definedName>
    <definedName name="ثث">#REF!</definedName>
    <definedName name="ج.أحمر.أسوان2سم">#REF!</definedName>
    <definedName name="ج.أحمر.أسوان4سم">#REF!</definedName>
    <definedName name="جاك.همر">#REF!</definedName>
    <definedName name="جبس">#REF!</definedName>
    <definedName name="جج">#REF!</definedName>
    <definedName name="جر.اسود.اسوان2سم">#REF!</definedName>
    <definedName name="جرانيت.ابيض.سفاجا2سم">#REF!</definedName>
    <definedName name="جرانيت.ابيض.سفاجا4سم">#REF!</definedName>
    <definedName name="جلالة2سم">#REF!</definedName>
    <definedName name="جلالة4سم">#REF!</definedName>
    <definedName name="ح.خ.م.أ">#REF!</definedName>
    <definedName name="ح.خ.م.أ15">#REF!</definedName>
    <definedName name="ح.خ.م.أسقف">#REF!</definedName>
    <definedName name="ح.خ.م.أعمدة">#REF!</definedName>
    <definedName name="ح.خ.م.ح">#REF!</definedName>
    <definedName name="ح.خ.م.سلالم">#REF!</definedName>
    <definedName name="حجر.هاشمى">#REF!</definedName>
    <definedName name="حديد.تسليح">#REF!</definedName>
    <definedName name="خ.بازلتية.300">#REF!</definedName>
    <definedName name="خ.ع.150.مقاوم">#REF!</definedName>
    <definedName name="خ.ع.180">#REF!</definedName>
    <definedName name="خ.ع.250.مقاوم">#REF!</definedName>
    <definedName name="خ.ع180">#REF!</definedName>
    <definedName name="خ.ع180كجم\سم2">#REF!</definedName>
    <definedName name="خ.ع250">#REF!</definedName>
    <definedName name="خ.ع300كجم\سم2">#REF!</definedName>
    <definedName name="خ.عادية.300">#REF!</definedName>
    <definedName name="خ.م.مقاوم">#REF!</definedName>
    <definedName name="خ.م150">#REF!</definedName>
    <definedName name="خ.م275">#REF!</definedName>
    <definedName name="خ.م300">#REF!</definedName>
    <definedName name="خ.م350">#REF!</definedName>
    <definedName name="خرسانة.180">#REF!</definedName>
    <definedName name="خرسانة.300">#REF!</definedName>
    <definedName name="خرسانة.بازلتية300">#REF!</definedName>
    <definedName name="خشب.موسكى">#REF!</definedName>
    <definedName name="دد">#REF!</definedName>
    <definedName name="دكاكة">#REF!</definedName>
    <definedName name="دهان.إيبوكسى">#REF!</definedName>
    <definedName name="رمل.بياض">#REF!</definedName>
    <definedName name="رمل.خرسانة">#REF!</definedName>
    <definedName name="رمل.ردم">#REF!</definedName>
    <definedName name="زلط.ردم">#REF!</definedName>
    <definedName name="زلط.مخصوص">#REF!</definedName>
    <definedName name="زوايا.نهاية.بياض">#REF!</definedName>
    <definedName name="سث">#REF!</definedName>
    <definedName name="سربجنتى2سم">#REF!</definedName>
    <definedName name="سس">#REF!</definedName>
    <definedName name="سعر">#REF!</definedName>
    <definedName name="سعر2">#REF!</definedName>
    <definedName name="سقالات">#REF!</definedName>
    <definedName name="سلك.رباط">#REF!</definedName>
    <definedName name="سلك.شبك">#REF!</definedName>
    <definedName name="سلك10سم">#REF!</definedName>
    <definedName name="سلك20سم">#REF!</definedName>
    <definedName name="سن2">#REF!</definedName>
    <definedName name="سنة">#REF!</definedName>
    <definedName name="سنة2">#REF!</definedName>
    <definedName name="سيراميك.جايل">#REF!</definedName>
    <definedName name="سيراميك.كليوباترا20\30">#REF!</definedName>
    <definedName name="سيراميك.واجهات">#REF!</definedName>
    <definedName name="سيراميك\20\20">#REF!</definedName>
    <definedName name="سيراميك20\20">#REF!</definedName>
    <definedName name="سيراميك30\30">#REF!</definedName>
    <definedName name="سيراميك40">#REF!</definedName>
    <definedName name="سيراميك40\40">#REF!</definedName>
    <definedName name="سيكا.برايمر3">#REF!</definedName>
    <definedName name="سيكا.فلكس1ايه">#REF!</definedName>
    <definedName name="سيكا.فلور261">#REF!</definedName>
    <definedName name="سيكابرايمر94">#REF!</definedName>
    <definedName name="سيكاجارد">#REF!</definedName>
    <definedName name="سيكاديور">#REF!</definedName>
    <definedName name="سيكافلور261">#REF!</definedName>
    <definedName name="سيكافلور94">#REF!</definedName>
    <definedName name="شطف40\40">#REF!</definedName>
    <definedName name="ص.خ.ع.10">#REF!</definedName>
    <definedName name="ص.خ.ع.15">#REF!</definedName>
    <definedName name="ص.خ.ع.أ.ش">#REF!</definedName>
    <definedName name="ص.خ.م.أ">#REF!</definedName>
    <definedName name="ص.خ.م.أسقف">#REF!</definedName>
    <definedName name="ص.خ.م.أعمدة">#REF!</definedName>
    <definedName name="ص.خ.م.ح">#REF!</definedName>
    <definedName name="ص.خ.م.سلالم">#REF!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صلايب">#REF!</definedName>
    <definedName name="صوف.صخرى">#REF!</definedName>
    <definedName name="ضض">#REF!</definedName>
    <definedName name="طبقةعازلة4مم">#REF!</definedName>
    <definedName name="طط">#REF!</definedName>
    <definedName name="طفلى.مثقب25\12\6">#REF!</definedName>
    <definedName name="طفلى.مصمت25\12\6">#REF!</definedName>
    <definedName name="طوب.أسمنتى.مصمت">#REF!</definedName>
    <definedName name="طوب.زجاجى">#REF!</definedName>
    <definedName name="طوب.زجاجى.ابيض">#REF!</definedName>
    <definedName name="طوب.زجاجي10">#REF!</definedName>
    <definedName name="طوب.مفرغ20\25\40">#REF!</definedName>
    <definedName name="طوب.مفرغ20\40\12">#REF!</definedName>
    <definedName name="ظظ">#REF!</definedName>
    <definedName name="ظل">#REF!</definedName>
    <definedName name="ظهر.حية.ستانلس">#REF!</definedName>
    <definedName name="ظهر.حية.ستانلستيل">#REF!</definedName>
    <definedName name="ع.خ.خ.م.أعمدة">#REF!</definedName>
    <definedName name="ع.خ.خ.م.سلالم">#REF!</definedName>
    <definedName name="ع.خشبية">#REF!</definedName>
    <definedName name="ع2">#REF!</definedName>
    <definedName name="عدة.أعمدة">#REF!</definedName>
    <definedName name="عدة.خشبية">#REF!</definedName>
    <definedName name="عمالة">#REF!</definedName>
    <definedName name="غفقف" hidden="1">{#N/A,#N/A,TRUE,"Cover";#N/A,#N/A,TRUE,"Conts";#N/A,#N/A,TRUE,"VOS";#N/A,#N/A,TRUE,"Warrington";#N/A,#N/A,TRUE,"Widnes"}</definedName>
    <definedName name="ف2">#REF!</definedName>
    <definedName name="فف">#REF!</definedName>
    <definedName name="ففقف" hidden="1">{#N/A,#N/A,TRUE,"Cover";#N/A,#N/A,TRUE,"Conts";#N/A,#N/A,TRUE,"VOS";#N/A,#N/A,TRUE,"Warrington";#N/A,#N/A,TRUE,"Widnes"}</definedName>
    <definedName name="فلتو.حسنة">#REF!</definedName>
    <definedName name="فلتو.حسنة.قائمة">#REF!</definedName>
    <definedName name="فوم">#REF!</definedName>
    <definedName name="فوم.ابيض">#REF!</definedName>
    <definedName name="فينيل.أنتىستاتيك">#REF!</definedName>
    <definedName name="فينيل.مستورد2مم">#REF!</definedName>
    <definedName name="قطع.بلاستيك">#REF!</definedName>
    <definedName name="كانة20\4">#REF!</definedName>
    <definedName name="كسر.طوب">#REF!</definedName>
    <definedName name="كلبسات">#REF!</definedName>
    <definedName name="كور">#REF!</definedName>
    <definedName name="كونتر.22مم">#REF!</definedName>
    <definedName name="كونتر22مم">#REF!</definedName>
    <definedName name="كونتر3مم">#REF!</definedName>
    <definedName name="لف">#REF!</definedName>
    <definedName name="لودر">#REF!</definedName>
    <definedName name="م.بياض.تخشين">#REF!</definedName>
    <definedName name="م.ت.فوم">#REF!</definedName>
    <definedName name="م.ع.1.1">#REF!</definedName>
    <definedName name="م.ع.2.3">#REF!</definedName>
    <definedName name="م.ع.و.ب.س">#REF!</definedName>
    <definedName name="م.ل.أ.2">#REF!</definedName>
    <definedName name="م.مبانى.حرارى.واجهات">#REF!</definedName>
    <definedName name="م.مبانى.م2">#REF!</definedName>
    <definedName name="م.مبانى.م3">#REF!</definedName>
    <definedName name="مادة.سقية">#REF!</definedName>
    <definedName name="مادة.منع.النفاذية">#REF!</definedName>
    <definedName name="ماكينة.غلق">#REF!</definedName>
    <definedName name="مباني_الخدمات">#REF!</definedName>
    <definedName name="مبض">#REF!</definedName>
    <definedName name="مسامير.بورمة">#REF!</definedName>
    <definedName name="مسمار.بورمة">#REF!</definedName>
    <definedName name="مصربريك.40\20\25">#REF!</definedName>
    <definedName name="مصلد">#REF!</definedName>
    <definedName name="مقصات">#REF!</definedName>
    <definedName name="مم">#REF!</definedName>
    <definedName name="منع.نفاذية.المياة">#REF!</definedName>
    <definedName name="مونة.ذاتية">#REF!</definedName>
    <definedName name="مونة.ذاتية.التسوية">#REF!</definedName>
    <definedName name="مياة.معالجة">#REF!</definedName>
    <definedName name="مياه">#REF!</definedName>
    <definedName name="ن.خ.ع.أ.ش">#REF!</definedName>
    <definedName name="ن.خ.م.أ">#REF!</definedName>
    <definedName name="ن.خ.م.أسقف">#REF!</definedName>
    <definedName name="ن.خ.م.أعمدة">#REF!</definedName>
    <definedName name="ن.خ.م.ح">#REF!</definedName>
    <definedName name="ن.خ.م.سلالم">#REF!</definedName>
    <definedName name="هراس">#REF!</definedName>
    <definedName name="هزاز.خ">#REF!</definedName>
    <definedName name="هزاز.خرسانة">#REF!</definedName>
    <definedName name="هواية.ألومنيوم">#REF!</definedName>
    <definedName name="وزرة.فينيل.مستورد">#REF!</definedName>
    <definedName name="ووتر.ستوب">#REF!</definedName>
    <definedName name="ؤرء">#REF!</definedName>
    <definedName name="ؤؤ">#REF!</definedName>
    <definedName name="ㄱ">#REF!</definedName>
    <definedName name="ㄱㄱ" hidden="1">{#N/A,#N/A,FALSE,"명세표"}</definedName>
    <definedName name="ㄱㄱ_1" hidden="1">{#N/A,#N/A,FALSE,"명세표"}</definedName>
    <definedName name="ㄱㄱ_2" hidden="1">{#N/A,#N/A,FALSE,"명세표"}</definedName>
    <definedName name="ㄱㄷㄱㄷㄱㄱㅎㄺㄷ" hidden="1">{"'장비'!$A$3:$M$12"}</definedName>
    <definedName name="ㄱㄷㄱㄷㄱㄱㅎㄺㄷ_1" hidden="1">{"'장비'!$A$3:$M$12"}</definedName>
    <definedName name="ㄱㄷㄱㄷㄱㄱㅎㄺㄷ_2" hidden="1">{"'장비'!$A$3:$M$12"}</definedName>
    <definedName name="ㄱㄷㄷㄱ" hidden="1">{#N/A,#N/A,FALSE,"구조2"}</definedName>
    <definedName name="ㄱㄹㅇㄷ" hidden="1">#REF!</definedName>
    <definedName name="ㄱㅁㄴ" hidden="1">{#N/A,#N/A,FALSE,"토공2"}</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미_2" hidden="1">{#N/A,#N/A,TRUE,"Basic";#N/A,#N/A,TRUE,"EXT-TABLE";#N/A,#N/A,TRUE,"STEEL";#N/A,#N/A,TRUE,"INT-Table";#N/A,#N/A,TRUE,"STEEL";#N/A,#N/A,TRUE,"Door"}</definedName>
    <definedName name="ㄱㅂ" hidden="1">{#N/A,#N/A,TRUE,"LOADCOVE";#N/A,#N/A,TRUE,"PAGE001";#N/A,#N/A,TRUE,"PAGE002";#N/A,#N/A,TRUE,"PAGE003";#N/A,#N/A,TRUE,"PAGE004";#N/A,#N/A,TRUE,"PAGE005";#N/A,#N/A,TRUE,"PAGE006";#N/A,#N/A,TRUE,"PAGE007";#N/A,#N/A,TRUE,"PAGE008";#N/A,#N/A,TRUE,"PAGE009";#N/A,#N/A,TRUE,"PAGE010";#N/A,#N/A,TRUE,"PAGE011";#N/A,#N/A,TRUE,"PAGE012";#N/A,#N/A,TRUE,"PAGE013"}</definedName>
    <definedName name="ㄱㅎ" hidden="1">{#N/A,#N/A,TRUE,"LOADCOVE";#N/A,#N/A,TRUE,"PAGE001";#N/A,#N/A,TRUE,"PAGE002";#N/A,#N/A,TRUE,"PAGE003";#N/A,#N/A,TRUE,"PAGE004";#N/A,#N/A,TRUE,"PAGE005";#N/A,#N/A,TRUE,"PAGE006";#N/A,#N/A,TRUE,"PAGE007";#N/A,#N/A,TRUE,"PAGE008";#N/A,#N/A,TRUE,"PAGE009";#N/A,#N/A,TRUE,"PAGE010";#N/A,#N/A,TRUE,"PAGE011";#N/A,#N/A,TRUE,"PAGE012";#N/A,#N/A,TRUE,"PAGE013"}</definedName>
    <definedName name="ㄱㅎㄹ" hidden="1">{#N/A,#N/A,TRUE,"LOADCOVE";#N/A,#N/A,TRUE,"PAGE001";#N/A,#N/A,TRUE,"PAGE002";#N/A,#N/A,TRUE,"PAGE003";#N/A,#N/A,TRUE,"PAGE004";#N/A,#N/A,TRUE,"PAGE005";#N/A,#N/A,TRUE,"PAGE006";#N/A,#N/A,TRUE,"PAGE007";#N/A,#N/A,TRUE,"PAGE008";#N/A,#N/A,TRUE,"PAGE009";#N/A,#N/A,TRUE,"PAGE010";#N/A,#N/A,TRUE,"PAGE011";#N/A,#N/A,TRUE,"PAGE012";#N/A,#N/A,TRUE,"PAGE013"}</definedName>
    <definedName name="가">#REF!</definedName>
    <definedName name="가나다" hidden="1">#REF!</definedName>
    <definedName name="가도" hidden="1">#REF!</definedName>
    <definedName name="가드휀스현황">#REF!</definedName>
    <definedName name="간접경비" hidden="1">#REF!</definedName>
    <definedName name="간접비" hidden="1">{#N/A,#N/A,FALSE,"현장 NCR 분석";#N/A,#N/A,FALSE,"현장품질감사";#N/A,#N/A,FALSE,"현장품질감사"}</definedName>
    <definedName name="간접비.ncr" hidden="1">{#N/A,#N/A,FALSE,"현장 NCR 분석";#N/A,#N/A,FALSE,"현장품질감사";#N/A,#N/A,FALSE,"현장품질감사"}</definedName>
    <definedName name="감" hidden="1">{#N/A,#N/A,TRUE,"Basic";#N/A,#N/A,TRUE,"EXT-TABLE";#N/A,#N/A,TRUE,"STEEL";#N/A,#N/A,TRUE,"INT-Table";#N/A,#N/A,TRUE,"STEEL";#N/A,#N/A,TRUE,"Door"}</definedName>
    <definedName name="감_1" hidden="1">{#N/A,#N/A,TRUE,"Basic";#N/A,#N/A,TRUE,"EXT-TABLE";#N/A,#N/A,TRUE,"STEEL";#N/A,#N/A,TRUE,"INT-Table";#N/A,#N/A,TRUE,"STEEL";#N/A,#N/A,TRUE,"Door"}</definedName>
    <definedName name="감리단" hidden="1">{#N/A,#N/A,FALSE,"현장 NCR 분석";#N/A,#N/A,FALSE,"현장품질감사";#N/A,#N/A,FALSE,"현장품질감사"}</definedName>
    <definedName name="강경욱" hidden="1">{#N/A,#N/A,FALSE,"골재소요량";#N/A,#N/A,FALSE,"골재소요량"}</definedName>
    <definedName name="강병일" hidden="1">{"LKD",#N/A,FALSE,"표지"}</definedName>
    <definedName name="강은성" hidden="1">{#N/A,#N/A,TRUE,"Basic";#N/A,#N/A,TRUE,"EXT-TABLE";#N/A,#N/A,TRUE,"STEEL";#N/A,#N/A,TRUE,"INT-Table";#N/A,#N/A,TRUE,"STEEL";#N/A,#N/A,TRUE,"Door"}</definedName>
    <definedName name="강재" hidden="1">{#N/A,#N/A,FALSE,"혼합골재"}</definedName>
    <definedName name="강재_1" hidden="1">{#N/A,#N/A,FALSE,"혼합골재"}</definedName>
    <definedName name="강재_2" hidden="1">{#N/A,#N/A,FALSE,"혼합골재"}</definedName>
    <definedName name="개산분_토목" hidden="1">{#N/A,#N/A,FALSE,"혼합골재"}</definedName>
    <definedName name="개선" hidden="1">{#N/A,#N/A,TRUE,"LOADCOVE";#N/A,#N/A,TRUE,"PAGE001";#N/A,#N/A,TRUE,"PAGE002";#N/A,#N/A,TRUE,"PAGE003";#N/A,#N/A,TRUE,"PAGE004";#N/A,#N/A,TRUE,"PAGE005";#N/A,#N/A,TRUE,"PAGE006";#N/A,#N/A,TRUE,"PAGE007";#N/A,#N/A,TRUE,"PAGE008";#N/A,#N/A,TRUE,"PAGE009";#N/A,#N/A,TRUE,"PAGE010";#N/A,#N/A,TRUE,"PAGE011";#N/A,#N/A,TRUE,"PAGE012";#N/A,#N/A,TRUE,"PAGE013"}</definedName>
    <definedName name="개수">#REF!</definedName>
    <definedName name="갸" hidden="1">{#N/A,#N/A,FALSE,"포장1";#N/A,#N/A,FALSE,"포장1"}</definedName>
    <definedName name="거" hidden="1">{#N/A,#N/A,FALSE,"포장2"}</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설기계새로움" hidden="1">{#VALUE!,#N/A,FALSE,0;#N/A,#N/A,FALSE,0;#N/A,#N/A,FALSE,0;#N/A,#N/A,FALSE,0}</definedName>
    <definedName name="건축">#REF!</definedName>
    <definedName name="것" hidden="1">{#N/A,#N/A,FALSE,"골재소요량";#N/A,#N/A,FALSE,"골재소요량"}</definedName>
    <definedName name="것_1" hidden="1">{#N/A,#N/A,FALSE,"골재소요량";#N/A,#N/A,FALSE,"골재소요량"}</definedName>
    <definedName name="것_2"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겉표지_2" hidden="1">{#N/A,#N/A,TRUE,"Basic";#N/A,#N/A,TRUE,"EXT-TABLE";#N/A,#N/A,TRUE,"STEEL";#N/A,#N/A,TRUE,"INT-Table";#N/A,#N/A,TRUE,"STEEL";#N/A,#N/A,TRUE,"Door"}</definedName>
    <definedName name="게" hidden="1">{#N/A,#N/A,FALSE,"혼합골재"}</definedName>
    <definedName name="겡오" hidden="1">{#N/A,#N/A,FALSE,"CCTV"}</definedName>
    <definedName name="겡오_1" hidden="1">{#N/A,#N/A,FALSE,"CCTV"}</definedName>
    <definedName name="겡오_2" hidden="1">{#N/A,#N/A,FALSE,"CCTV"}</definedName>
    <definedName name="견저조건" hidden="1">{#N/A,#N/A,FALSE,"CCTV"}</definedName>
    <definedName name="견적" hidden="1">{#N/A,#N/A,FALSE,"CCTV"}</definedName>
    <definedName name="견적_1" hidden="1">{#N/A,#N/A,FALSE,"CCTV"}</definedName>
    <definedName name="견적_2" hidden="1">{#N/A,#N/A,FALSE,"CCTV"}</definedName>
    <definedName name="견적2" hidden="1">{#N/A,#N/A,FALSE,"CCTV"}</definedName>
    <definedName name="견적2_1" hidden="1">{#N/A,#N/A,FALSE,"CCTV"}</definedName>
    <definedName name="견적2_2" hidden="1">{#N/A,#N/A,FALSE,"CCTV"}</definedName>
    <definedName name="견적SHEET" hidden="1">{#N/A,#N/A,FALSE,"CCTV"}</definedName>
    <definedName name="견적SHEET_1" hidden="1">{#N/A,#N/A,FALSE,"CCTV"}</definedName>
    <definedName name="견적SHEET_2"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내역" hidden="1">{"'OVEN시방 '!$A$1:$C$11"}</definedName>
    <definedName name="견적서" hidden="1">{#N/A,#N/A,FALSE,"구조2"}</definedName>
    <definedName name="견적조건" hidden="1">#REF!</definedName>
    <definedName name="견적조건8" hidden="1">{#N/A,#N/A,FALSE,"CCTV"}</definedName>
    <definedName name="견적조건8_1" hidden="1">{#N/A,#N/A,FALSE,"CCTV"}</definedName>
    <definedName name="견적조건8_2" hidden="1">{#N/A,#N/A,FALSE,"CCTV"}</definedName>
    <definedName name="견적품의서" hidden="1">{"'장비'!$A$3:$M$12"}</definedName>
    <definedName name="견적품의서_1" hidden="1">{"'장비'!$A$3:$M$12"}</definedName>
    <definedName name="견적품의서_2" hidden="1">{"'장비'!$A$3:$M$12"}</definedName>
    <definedName name="견적품의서1" hidden="1">{"'장비'!$A$3:$M$12"}</definedName>
    <definedName name="경비1" hidden="1">#REF!</definedName>
    <definedName name="경비2차분" hidden="1">{"'장비'!$A$3:$M$12"}</definedName>
    <definedName name="경비2차분_1" hidden="1">{"'장비'!$A$3:$M$12"}</definedName>
    <definedName name="경비2차분_2" hidden="1">{"'장비'!$A$3:$M$12"}</definedName>
    <definedName name="경쟁사_네트워크" hidden="1">{#N/A,#N/A,FALSE,"회선임차현황"}</definedName>
    <definedName name="계" hidden="1">#REF!</definedName>
    <definedName name="계약고햔황2" hidden="1">#REF!</definedName>
    <definedName name="계약고현황2" hidden="1">#REF!</definedName>
    <definedName name="계장공사" hidden="1">{#N/A,#N/A,FALSE,"CCTV"}</definedName>
    <definedName name="계장공사_1" hidden="1">{#N/A,#N/A,FALSE,"CCTV"}</definedName>
    <definedName name="계장공사_2" hidden="1">{#N/A,#N/A,FALSE,"CCTV"}</definedName>
    <definedName name="계전2" hidden="1">#REF!</definedName>
    <definedName name="계획" hidden="1">{#N/A,#N/A,FALSE,"TABLE"}</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실적A_1" hidden="1">{#N/A,#N/A,TRUE,"LOADCOVE";#N/A,#N/A,TRUE,"PAGE001";#N/A,#N/A,TRUE,"PAGE002";#N/A,#N/A,TRUE,"PAGE003";#N/A,#N/A,TRUE,"PAGE004";#N/A,#N/A,TRUE,"PAGE005";#N/A,#N/A,TRUE,"PAGE006";#N/A,#N/A,TRUE,"PAGE007";#N/A,#N/A,TRUE,"PAGE008";#N/A,#N/A,TRUE,"PAGE009";#N/A,#N/A,TRUE,"PAGE010";#N/A,#N/A,TRUE,"PAGE011";#N/A,#N/A,TRUE,"PAGE012";#N/A,#N/A,TRUE,"PAGE013"}</definedName>
    <definedName name="계획.실적A_2" hidden="1">{#N/A,#N/A,TRUE,"LOADCOVE";#N/A,#N/A,TRUE,"PAGE001";#N/A,#N/A,TRUE,"PAGE002";#N/A,#N/A,TRUE,"PAGE003";#N/A,#N/A,TRUE,"PAGE004";#N/A,#N/A,TRUE,"PAGE005";#N/A,#N/A,TRUE,"PAGE006";#N/A,#N/A,TRUE,"PAGE007";#N/A,#N/A,TRUE,"PAGE008";#N/A,#N/A,TRUE,"PAGE009";#N/A,#N/A,TRUE,"PAGE010";#N/A,#N/A,TRUE,"PAGE011";#N/A,#N/A,TRUE,"PAGE012";#N/A,#N/A,TRUE,"PAGE013"}</definedName>
    <definedName name="계획4" hidden="1">{#N/A,#N/A,TRUE,"LOADCOVE";#N/A,#N/A,TRUE,"PAGE001";#N/A,#N/A,TRUE,"PAGE002";#N/A,#N/A,TRUE,"PAGE003";#N/A,#N/A,TRUE,"PAGE004";#N/A,#N/A,TRUE,"PAGE005";#N/A,#N/A,TRUE,"PAGE006";#N/A,#N/A,TRUE,"PAGE007";#N/A,#N/A,TRUE,"PAGE008";#N/A,#N/A,TRUE,"PAGE009";#N/A,#N/A,TRUE,"PAGE010";#N/A,#N/A,TRUE,"PAGE011";#N/A,#N/A,TRUE,"PAGE012";#N/A,#N/A,TRUE,"PAGE013"}</definedName>
    <definedName name="계획대실적2" hidden="1">{#N/A,#N/A,TRUE,"LOADCOVE";#N/A,#N/A,TRUE,"PAGE001";#N/A,#N/A,TRUE,"PAGE002";#N/A,#N/A,TRUE,"PAGE003";#N/A,#N/A,TRUE,"PAGE004";#N/A,#N/A,TRUE,"PAGE005";#N/A,#N/A,TRUE,"PAGE006";#N/A,#N/A,TRUE,"PAGE007";#N/A,#N/A,TRUE,"PAGE008";#N/A,#N/A,TRUE,"PAGE009";#N/A,#N/A,TRUE,"PAGE010";#N/A,#N/A,TRUE,"PAGE011";#N/A,#N/A,TRUE,"PAGE012";#N/A,#N/A,TRUE,"PAGE013"}</definedName>
    <definedName name="계획대실적3" hidden="1">{#N/A,#N/A,TRUE,"LOADCOVE";#N/A,#N/A,TRUE,"PAGE001";#N/A,#N/A,TRUE,"PAGE002";#N/A,#N/A,TRUE,"PAGE003";#N/A,#N/A,TRUE,"PAGE004";#N/A,#N/A,TRUE,"PAGE005";#N/A,#N/A,TRUE,"PAGE006";#N/A,#N/A,TRUE,"PAGE007";#N/A,#N/A,TRUE,"PAGE008";#N/A,#N/A,TRUE,"PAGE009";#N/A,#N/A,TRUE,"PAGE010";#N/A,#N/A,TRUE,"PAGE011";#N/A,#N/A,TRUE,"PAGE012";#N/A,#N/A,TRUE,"PAGE013"}</definedName>
    <definedName name="계획대실적5" hidden="1">{#N/A,#N/A,TRUE,"LOADCOVE";#N/A,#N/A,TRUE,"PAGE001";#N/A,#N/A,TRUE,"PAGE002";#N/A,#N/A,TRUE,"PAGE003";#N/A,#N/A,TRUE,"PAGE004";#N/A,#N/A,TRUE,"PAGE005";#N/A,#N/A,TRUE,"PAGE006";#N/A,#N/A,TRUE,"PAGE007";#N/A,#N/A,TRUE,"PAGE008";#N/A,#N/A,TRUE,"PAGE009";#N/A,#N/A,TRUE,"PAGE010";#N/A,#N/A,TRUE,"PAGE011";#N/A,#N/A,TRUE,"PAGE012";#N/A,#N/A,TRUE,"PAGE013"}</definedName>
    <definedName name="계획대실적6" hidden="1">{#N/A,#N/A,TRUE,"LOADCOVE";#N/A,#N/A,TRUE,"PAGE001";#N/A,#N/A,TRUE,"PAGE002";#N/A,#N/A,TRUE,"PAGE003";#N/A,#N/A,TRUE,"PAGE004";#N/A,#N/A,TRUE,"PAGE005";#N/A,#N/A,TRUE,"PAGE006";#N/A,#N/A,TRUE,"PAGE007";#N/A,#N/A,TRUE,"PAGE008";#N/A,#N/A,TRUE,"PAGE009";#N/A,#N/A,TRUE,"PAGE010";#N/A,#N/A,TRUE,"PAGE011";#N/A,#N/A,TRUE,"PAGE012";#N/A,#N/A,TRUE,"PAGE013"}</definedName>
    <definedName name="계획총괄" hidden="1">{#N/A,#N/A,FALSE,"96자동차사 계획";#N/A,#N/A,FALSE,"96자동차사 계획"}</definedName>
    <definedName name="고문" hidden="1">{#N/A,#N/A,FALSE,"현장 NCR 분석";#N/A,#N/A,FALSE,"현장품질감사";#N/A,#N/A,FALSE,"현장품질감사"}</definedName>
    <definedName name="고문2" hidden="1">{#N/A,#N/A,FALSE,"현장 NCR 분석";#N/A,#N/A,FALSE,"현장품질감사";#N/A,#N/A,FALSE,"현장품질감사"}</definedName>
    <definedName name="고민수" hidden="1">{"LKD",#N/A,FALSE,"표지"}</definedName>
    <definedName name="골재" hidden="1">{#N/A,#N/A,FALSE,"골재소요량";#N/A,#N/A,FALSE,"골재소요량"}</definedName>
    <definedName name="곱">#REF!</definedName>
    <definedName name="곱곱">#REF!</definedName>
    <definedName name="공기구2"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구3_1" hidden="1">{#N/A,#N/A,TRUE,"LOADCOVE";#N/A,#N/A,TRUE,"PAGE001";#N/A,#N/A,TRUE,"PAGE002";#N/A,#N/A,TRUE,"PAGE003";#N/A,#N/A,TRUE,"PAGE004";#N/A,#N/A,TRUE,"PAGE005";#N/A,#N/A,TRUE,"PAGE006";#N/A,#N/A,TRUE,"PAGE007";#N/A,#N/A,TRUE,"PAGE008";#N/A,#N/A,TRUE,"PAGE009";#N/A,#N/A,TRUE,"PAGE010";#N/A,#N/A,TRUE,"PAGE011";#N/A,#N/A,TRUE,"PAGE012";#N/A,#N/A,TRUE,"PAGE013"}</definedName>
    <definedName name="공기구3_2" hidden="1">{#N/A,#N/A,TRUE,"LOADCOVE";#N/A,#N/A,TRUE,"PAGE001";#N/A,#N/A,TRUE,"PAGE002";#N/A,#N/A,TRUE,"PAGE003";#N/A,#N/A,TRUE,"PAGE004";#N/A,#N/A,TRUE,"PAGE005";#N/A,#N/A,TRUE,"PAGE006";#N/A,#N/A,TRUE,"PAGE007";#N/A,#N/A,TRUE,"PAGE008";#N/A,#N/A,TRUE,"PAGE009";#N/A,#N/A,TRUE,"PAGE010";#N/A,#N/A,TRUE,"PAGE011";#N/A,#N/A,TRUE,"PAGE012";#N/A,#N/A,TRUE,"PAGE013"}</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공사개요" hidden="1">{#N/A,#N/A,TRUE,"LOADCOVE";#N/A,#N/A,TRUE,"PAGE001";#N/A,#N/A,TRUE,"PAGE002";#N/A,#N/A,TRUE,"PAGE003";#N/A,#N/A,TRUE,"PAGE004";#N/A,#N/A,TRUE,"PAGE005";#N/A,#N/A,TRUE,"PAGE006";#N/A,#N/A,TRUE,"PAGE007";#N/A,#N/A,TRUE,"PAGE008";#N/A,#N/A,TRUE,"PAGE009";#N/A,#N/A,TRUE,"PAGE010";#N/A,#N/A,TRUE,"PAGE011";#N/A,#N/A,TRUE,"PAGE012";#N/A,#N/A,TRUE,"PAGE013"}</definedName>
    <definedName name="공장동" hidden="1">#REF!</definedName>
    <definedName name="공정표" hidden="1">{#N/A,#N/A,FALSE,"현장 NCR 분석";#N/A,#N/A,FALSE,"현장품질감사";#N/A,#N/A,FALSE,"현장품질감사"}</definedName>
    <definedName name="공종">#REF!</definedName>
    <definedName name="관리비" hidden="1">#REF!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hidden="1">{#N/A,#N/A,FALSE,"배수1"}</definedName>
    <definedName name="교대펄근집계_1" hidden="1">{#N/A,#N/A,FALSE,"배수1"}</definedName>
    <definedName name="교대펄근집계_2" hidden="1">{#N/A,#N/A,FALSE,"배수1"}</definedName>
    <definedName name="교육" hidden="1">{#N/A,#N/A,FALSE,"전력간선"}</definedName>
    <definedName name="교통" hidden="1">#REF!</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3조_1" hidden="1">{#N/A,#N/A,TRUE,"LOADCOVE";#N/A,#N/A,TRUE,"PAGE001";#N/A,#N/A,TRUE,"PAGE002";#N/A,#N/A,TRUE,"PAGE003";#N/A,#N/A,TRUE,"PAGE004";#N/A,#N/A,TRUE,"PAGE005";#N/A,#N/A,TRUE,"PAGE006";#N/A,#N/A,TRUE,"PAGE007";#N/A,#N/A,TRUE,"PAGE008";#N/A,#N/A,TRUE,"PAGE009";#N/A,#N/A,TRUE,"PAGE010";#N/A,#N/A,TRUE,"PAGE011";#N/A,#N/A,TRUE,"PAGE012";#N/A,#N/A,TRUE,"PAGE013"}</definedName>
    <definedName name="구3조_2" hidden="1">{#N/A,#N/A,TRUE,"LOADCOVE";#N/A,#N/A,TRUE,"PAGE001";#N/A,#N/A,TRUE,"PAGE002";#N/A,#N/A,TRUE,"PAGE003";#N/A,#N/A,TRUE,"PAGE004";#N/A,#N/A,TRUE,"PAGE005";#N/A,#N/A,TRUE,"PAGE006";#N/A,#N/A,TRUE,"PAGE007";#N/A,#N/A,TRUE,"PAGE008";#N/A,#N/A,TRUE,"PAGE009";#N/A,#N/A,TRUE,"PAGE010";#N/A,#N/A,TRUE,"PAGE011";#N/A,#N/A,TRUE,"PAGE012";#N/A,#N/A,TRUE,"PAGE013"}</definedName>
    <definedName name="구분">#REF!</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_1" hidden="1">{#N/A,#N/A,TRUE,"LOADCOVE";#N/A,#N/A,TRUE,"PAGE001";#N/A,#N/A,TRUE,"PAGE002";#N/A,#N/A,TRUE,"PAGE003";#N/A,#N/A,TRUE,"PAGE004";#N/A,#N/A,TRUE,"PAGE005";#N/A,#N/A,TRUE,"PAGE006";#N/A,#N/A,TRUE,"PAGE007";#N/A,#N/A,TRUE,"PAGE008";#N/A,#N/A,TRUE,"PAGE009";#N/A,#N/A,TRUE,"PAGE010";#N/A,#N/A,TRUE,"PAGE011";#N/A,#N/A,TRUE,"PAGE012";#N/A,#N/A,TRUE,"PAGE013"}</definedName>
    <definedName name="구조_2" hidden="1">{#N/A,#N/A,TRUE,"LOADCOVE";#N/A,#N/A,TRUE,"PAGE001";#N/A,#N/A,TRUE,"PAGE002";#N/A,#N/A,TRUE,"PAGE003";#N/A,#N/A,TRUE,"PAGE004";#N/A,#N/A,TRUE,"PAGE005";#N/A,#N/A,TRUE,"PAGE006";#N/A,#N/A,TRUE,"PAGE007";#N/A,#N/A,TRUE,"PAGE008";#N/A,#N/A,TRUE,"PAGE009";#N/A,#N/A,TRUE,"PAGE010";#N/A,#N/A,TRUE,"PAGE011";#N/A,#N/A,TRUE,"PAGE012";#N/A,#N/A,TRUE,"PAGE013"}</definedName>
    <definedName name="구조1" hidden="1">{#N/A,#N/A,FALSE,"부대1"}</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3_1" hidden="1">{#N/A,#N/A,TRUE,"LOADCOVE";#N/A,#N/A,TRUE,"PAGE001";#N/A,#N/A,TRUE,"PAGE002";#N/A,#N/A,TRUE,"PAGE003";#N/A,#N/A,TRUE,"PAGE004";#N/A,#N/A,TRUE,"PAGE005";#N/A,#N/A,TRUE,"PAGE006";#N/A,#N/A,TRUE,"PAGE007";#N/A,#N/A,TRUE,"PAGE008";#N/A,#N/A,TRUE,"PAGE009";#N/A,#N/A,TRUE,"PAGE010";#N/A,#N/A,TRUE,"PAGE011";#N/A,#N/A,TRUE,"PAGE012";#N/A,#N/A,TRUE,"PAGE013"}</definedName>
    <definedName name="구조3_2"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LOAD_1" hidden="1">{#N/A,#N/A,TRUE,"LOADCOVE";#N/A,#N/A,TRUE,"PAGE001";#N/A,#N/A,TRUE,"PAGE002";#N/A,#N/A,TRUE,"PAGE003";#N/A,#N/A,TRUE,"PAGE004";#N/A,#N/A,TRUE,"PAGE005";#N/A,#N/A,TRUE,"PAGE006";#N/A,#N/A,TRUE,"PAGE007";#N/A,#N/A,TRUE,"PAGE008";#N/A,#N/A,TRUE,"PAGE009";#N/A,#N/A,TRUE,"PAGE010";#N/A,#N/A,TRUE,"PAGE011";#N/A,#N/A,TRUE,"PAGE012";#N/A,#N/A,TRUE,"PAGE013"}</definedName>
    <definedName name="구조LOAD_2" hidden="1">{#N/A,#N/A,TRUE,"LOADCOVE";#N/A,#N/A,TRUE,"PAGE001";#N/A,#N/A,TRUE,"PAGE002";#N/A,#N/A,TRUE,"PAGE003";#N/A,#N/A,TRUE,"PAGE004";#N/A,#N/A,TRUE,"PAGE005";#N/A,#N/A,TRUE,"PAGE006";#N/A,#N/A,TRUE,"PAGE007";#N/A,#N/A,TRUE,"PAGE008";#N/A,#N/A,TRUE,"PAGE009";#N/A,#N/A,TRUE,"PAGE010";#N/A,#N/A,TRUE,"PAGE011";#N/A,#N/A,TRUE,"PAGE012";#N/A,#N/A,TRUE,"PAGE013"}</definedName>
    <definedName name="구조물" hidden="1">{#N/A,#N/A,FALSE,"속도"}</definedName>
    <definedName name="구조물공" hidden="1">{#N/A,#N/A,FALSE,"이정표"}</definedName>
    <definedName name="구조물공사" hidden="1">{#N/A,#N/A,TRUE,"토적및재료집계";#N/A,#N/A,TRUE,"토적및재료집계";#N/A,#N/A,TRUE,"단위량"}</definedName>
    <definedName name="국내" hidden="1">#REF!</definedName>
    <definedName name="권">#REF!</definedName>
    <definedName name="권권">#REF!</definedName>
    <definedName name="규격">#REF!</definedName>
    <definedName name="금액비교" hidden="1">{#N/A,#N/A,TRUE,"Basic";#N/A,#N/A,TRUE,"EXT-TABLE";#N/A,#N/A,TRUE,"STEEL";#N/A,#N/A,TRUE,"INT-Table";#N/A,#N/A,TRUE,"STEEL";#N/A,#N/A,TRUE,"Door"}</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_1" hidden="1">{#N/A,#N/A,TRUE,"LOADCOVE";#N/A,#N/A,TRUE,"PAGE001";#N/A,#N/A,TRUE,"PAGE002";#N/A,#N/A,TRUE,"PAGE003";#N/A,#N/A,TRUE,"PAGE004";#N/A,#N/A,TRUE,"PAGE005";#N/A,#N/A,TRUE,"PAGE006";#N/A,#N/A,TRUE,"PAGE007";#N/A,#N/A,TRUE,"PAGE008";#N/A,#N/A,TRUE,"PAGE009";#N/A,#N/A,TRUE,"PAGE010";#N/A,#N/A,TRUE,"PAGE011";#N/A,#N/A,TRUE,"PAGE012";#N/A,#N/A,TRUE,"PAGE013"}</definedName>
    <definedName name="기_2" hidden="1">{#N/A,#N/A,TRUE,"LOADCOVE";#N/A,#N/A,TRUE,"PAGE001";#N/A,#N/A,TRUE,"PAGE002";#N/A,#N/A,TRUE,"PAGE003";#N/A,#N/A,TRUE,"PAGE004";#N/A,#N/A,TRUE,"PAGE005";#N/A,#N/A,TRUE,"PAGE006";#N/A,#N/A,TRUE,"PAGE007";#N/A,#N/A,TRUE,"PAGE008";#N/A,#N/A,TRUE,"PAGE009";#N/A,#N/A,TRUE,"PAGE010";#N/A,#N/A,TRUE,"PAGE011";#N/A,#N/A,TRUE,"PAGE012";#N/A,#N/A,TRUE,"PAGE013"}</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080102" hidden="1">{#N/A,#N/A,FALSE,"현장 NCR 분석";#N/A,#N/A,FALSE,"현장품질감사";#N/A,#N/A,FALSE,"현장품질감사"}</definedName>
    <definedName name="기능합리화" hidden="1">{#N/A,#N/A,FALSE,"96자동차사 계획";#N/A,#N/A,FALSE,"96자동차사 계획"}</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선표_1" hidden="1">{#N/A,#N/A,TRUE,"LOADCOVE";#N/A,#N/A,TRUE,"PAGE001";#N/A,#N/A,TRUE,"PAGE002";#N/A,#N/A,TRUE,"PAGE003";#N/A,#N/A,TRUE,"PAGE004";#N/A,#N/A,TRUE,"PAGE005";#N/A,#N/A,TRUE,"PAGE006";#N/A,#N/A,TRUE,"PAGE007";#N/A,#N/A,TRUE,"PAGE008";#N/A,#N/A,TRUE,"PAGE009";#N/A,#N/A,TRUE,"PAGE010";#N/A,#N/A,TRUE,"PAGE011";#N/A,#N/A,TRUE,"PAGE012";#N/A,#N/A,TRUE,"PAGE013"}</definedName>
    <definedName name="기본선표_2" hidden="1">{#N/A,#N/A,TRUE,"LOADCOVE";#N/A,#N/A,TRUE,"PAGE001";#N/A,#N/A,TRUE,"PAGE002";#N/A,#N/A,TRUE,"PAGE003";#N/A,#N/A,TRUE,"PAGE004";#N/A,#N/A,TRUE,"PAGE005";#N/A,#N/A,TRUE,"PAGE006";#N/A,#N/A,TRUE,"PAGE007";#N/A,#N/A,TRUE,"PAGE008";#N/A,#N/A,TRUE,"PAGE009";#N/A,#N/A,TRUE,"PAGE010";#N/A,#N/A,TRUE,"PAGE011";#N/A,#N/A,TRUE,"PAGE012";#N/A,#N/A,TRUE,"PAGE013"}</definedName>
    <definedName name="기성3" hidden="1">{#N/A,#N/A,FALSE,"CCTV"}</definedName>
    <definedName name="기안" hidden="1">{#N/A,#N/A,FALSE,"CCTV"}</definedName>
    <definedName name="기안지" hidden="1">{#N/A,#N/A,FALSE,"CCTV"}</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도로상태" hidden="1">{#N/A,#N/A,FALSE,"혼합골재"}</definedName>
    <definedName name="기초" hidden="1">{#N/A,#N/A,FALSE,"현장 NCR 분석";#N/A,#N/A,FALSE,"현장품질감사";#N/A,#N/A,FALSE,"현장품질감사"}</definedName>
    <definedName name="기초.ㄷㄷ" hidden="1">{#N/A,#N/A,FALSE,"현장 NCR 분석";#N/A,#N/A,FALSE,"현장품질감사";#N/A,#N/A,FALSE,"현장품질감사"}</definedName>
    <definedName name="기초처리.xls" hidden="1">{#N/A,#N/A,FALSE,"현장 NCR 분석";#N/A,#N/A,FALSE,"현장품질감사";#N/A,#N/A,FALSE,"현장품질감사"}</definedName>
    <definedName name="기초처리2" hidden="1">{#N/A,#N/A,FALSE,"현장 NCR 분석";#N/A,#N/A,FALSE,"현장품질감사";#N/A,#N/A,FALSE,"현장품질감사"}</definedName>
    <definedName name="기타">#REF!</definedName>
    <definedName name="김" hidden="1">{#N/A,#N/A,TRUE,"Basic";#N/A,#N/A,TRUE,"EXT-TABLE";#N/A,#N/A,TRUE,"STEEL";#N/A,#N/A,TRUE,"INT-Table";#N/A,#N/A,TRUE,"STEEL";#N/A,#N/A,TRUE,"Door"}</definedName>
    <definedName name="김_1" hidden="1">{#N/A,#N/A,TRUE,"Basic";#N/A,#N/A,TRUE,"EXT-TABLE";#N/A,#N/A,TRUE,"STEEL";#N/A,#N/A,TRUE,"INT-Table";#N/A,#N/A,TRUE,"STEEL";#N/A,#N/A,TRUE,"Door"}</definedName>
    <definedName name="김_2" hidden="1">{#N/A,#N/A,FALSE,"명세표"}</definedName>
    <definedName name="김1" hidden="1">{#N/A,#N/A,TRUE,"Basic";#N/A,#N/A,TRUE,"EXT-TABLE";#N/A,#N/A,TRUE,"STEEL";#N/A,#N/A,TRUE,"INT-Table";#N/A,#N/A,TRUE,"STEEL";#N/A,#N/A,TRUE,"Door"}</definedName>
    <definedName name="김1_1" hidden="1">{#N/A,#N/A,TRUE,"Basic";#N/A,#N/A,TRUE,"EXT-TABLE";#N/A,#N/A,TRUE,"STEEL";#N/A,#N/A,TRUE,"INT-Table";#N/A,#N/A,TRUE,"STEEL";#N/A,#N/A,TRUE,"Door"}</definedName>
    <definedName name="김1_2"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3_2" hidden="1">{#N/A,#N/A,TRUE,"Basic";#N/A,#N/A,TRUE,"EXT-TABLE";#N/A,#N/A,TRUE,"STEEL";#N/A,#N/A,TRUE,"INT-Table";#N/A,#N/A,TRUE,"STEEL";#N/A,#N/A,TRUE,"Door"}</definedName>
    <definedName name="김남" hidden="1">{#N/A,#N/A,TRUE,"LOADCOVE";#N/A,#N/A,TRUE,"PAGE001";#N/A,#N/A,TRUE,"PAGE002";#N/A,#N/A,TRUE,"PAGE003";#N/A,#N/A,TRUE,"PAGE004";#N/A,#N/A,TRUE,"PAGE005";#N/A,#N/A,TRUE,"PAGE006";#N/A,#N/A,TRUE,"PAGE007";#N/A,#N/A,TRUE,"PAGE008";#N/A,#N/A,TRUE,"PAGE009";#N/A,#N/A,TRUE,"PAGE010";#N/A,#N/A,TRUE,"PAGE011";#N/A,#N/A,TRUE,"PAGE012";#N/A,#N/A,TRUE,"PAGE013"}</definedName>
    <definedName name="김명준" hidden="1">{"LKD",#N/A,FALSE,"표지"}</definedName>
    <definedName name="김백식" hidden="1">{"LKD",#N/A,FALSE,"표지"}</definedName>
    <definedName name="김병철" hidden="1">{"LKD",#N/A,FALSE,"표지"}</definedName>
    <definedName name="김병철1" hidden="1">{"LKD",#N/A,FALSE,"표지"}</definedName>
    <definedName name="김상원" hidden="1">{#N/A,#N/A,FALSE,"골재소요량";#N/A,#N/A,FALSE,"골재소요량"}</definedName>
    <definedName name="김성룡" hidden="1">#REF!</definedName>
    <definedName name="김용식">#REF!</definedName>
    <definedName name="김은철" hidden="1">{#N/A,#N/A,FALSE,"예상손익";#N/A,#N/A,FALSE,"관리분석";#N/A,#N/A,FALSE,"장비분석";#N/A,#N/A,FALSE,"준설분석";#N/A,#N/A,FALSE,"철구분석"}</definedName>
    <definedName name="김재홍" hidden="1">{"LKD",#N/A,FALSE,"표지"}</definedName>
    <definedName name="김지호" hidden="1">{"LKD",#N/A,FALSE,"표지"}</definedName>
    <definedName name="ㄳ" hidden="1">{#N/A,#N/A,FALSE,"단가표지"}</definedName>
    <definedName name="ㄳㅍㄹ" hidden="1">{#N/A,#N/A,FALSE,"회선임차현황"}</definedName>
    <definedName name="ㄴ">#REF!</definedName>
    <definedName name="ㄴ_1" hidden="1">{"'장비'!$A$3:$M$12"}</definedName>
    <definedName name="ㄴ_2" hidden="1">{"'장비'!$A$3:$M$12"}</definedName>
    <definedName name="ㄴ300">#REF!</definedName>
    <definedName name="ㄴㄴ" hidden="1">{"LKD",#N/A,FALSE,"표지"}</definedName>
    <definedName name="ㄴㄴ_1" hidden="1">{#N/A,#N/A,FALSE,"CCTV"}</definedName>
    <definedName name="ㄴㄴ_2" hidden="1">{#N/A,#N/A,FALSE,"CCTV"}</definedName>
    <definedName name="ㄴㄴㄴㄴ" hidden="1">{#N/A,#N/A,FALSE,"배수1"}</definedName>
    <definedName name="ㄴㄴㄴㄴㄴ" hidden="1">#REF!</definedName>
    <definedName name="ㄴㄷㄹ" hidden="1">{#N/A,#N/A,FALSE,"Sheet1"}</definedName>
    <definedName name="ㄴㄹ" hidden="1">{#N/A,#N/A,FALSE,"2~8번"}</definedName>
    <definedName name="ㄴㄹㄴㄹ" hidden="1">{#N/A,#N/A,FALSE,"혼합골재"}</definedName>
    <definedName name="ㄴㄹㄴㄹ_1" hidden="1">{#N/A,#N/A,FALSE,"혼합골재"}</definedName>
    <definedName name="ㄴㄹㄴㄹ_2" hidden="1">{#N/A,#N/A,FALSE,"혼합골재"}</definedName>
    <definedName name="ㄴㄹㅇㄹㅇ" hidden="1">{#N/A,#N/A,FALSE,"2~8번"}</definedName>
    <definedName name="ㄴㄹㅇㄹㅇ_1" hidden="1">{#N/A,#N/A,FALSE,"2~8번"}</definedName>
    <definedName name="ㄴㄹㅇㄹㅇ_2" hidden="1">{#N/A,#N/A,FALSE,"2~8번"}</definedName>
    <definedName name="ㄴㄻㄴㅇ" hidden="1">{#N/A,#N/A,FALSE,"조골재"}</definedName>
    <definedName name="ㄴㅁㄹㄴㅁㅇㄴㅇㅁㄹㄴ" hidden="1">{#N/A,#N/A,FALSE,"단가표지"}</definedName>
    <definedName name="ㄴㅁㄹㅈㄹ" hidden="1">#REF!</definedName>
    <definedName name="ㄴㅁㅇ" hidden="1">{#N/A,#N/A,FALSE,"골재소요량";#N/A,#N/A,FALSE,"골재소요량"}</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hidden="1">{#N/A,#N/A,FALSE,"CCTV"}</definedName>
    <definedName name="ㄴㅇㄹ_1" hidden="1">{#N/A,#N/A,FALSE,"CCTV"}</definedName>
    <definedName name="ㄴㅇㄹ_2" hidden="1">{#N/A,#N/A,FALSE,"CCTV"}</definedName>
    <definedName name="ㄴㅇㄹㄴㅁㅎ" hidden="1">{#N/A,#N/A,FALSE,"골재소요량";#N/A,#N/A,FALSE,"골재소요량"}</definedName>
    <definedName name="ㄴㅇㄻㄴㅇㄹ" hidden="1">{#N/A,#N/A,FALSE,"골재소요량";#N/A,#N/A,FALSE,"골재소요량"}</definedName>
    <definedName name="ㄴㅇㅀ" hidden="1">{#N/A,#N/A,FALSE,"토공2"}</definedName>
    <definedName name="ㄴㅇㅀ_1" hidden="1">{#N/A,#N/A,FALSE,"토공2"}</definedName>
    <definedName name="ㄴㅇㅀ_2" hidden="1">{#N/A,#N/A,FALSE,"토공2"}</definedName>
    <definedName name="나">#REF!</definedName>
    <definedName name="나나" hidden="1">{#N/A,#N/A,FALSE,"2~8번"}</definedName>
    <definedName name="나나_1" hidden="1">{#N/A,#N/A,FALSE,"2~8번"}</definedName>
    <definedName name="나나_2" hidden="1">{#N/A,#N/A,FALSE,"2~8번"}</definedName>
    <definedName name="나나나" hidden="1">{#N/A,#N/A,FALSE,"속도"}</definedName>
    <definedName name="나나나_1" hidden="1">{#N/A,#N/A,FALSE,"속도"}</definedName>
    <definedName name="나나나_2" hidden="1">{#N/A,#N/A,FALSE,"속도"}</definedName>
    <definedName name="나나나나나" hidden="1">{#N/A,#N/A,FALSE,"2~8번"}</definedName>
    <definedName name="나나나나나_1" hidden="1">{#N/A,#N/A,FALSE,"2~8번"}</definedName>
    <definedName name="나나나나나_2" hidden="1">{#N/A,#N/A,FALSE,"2~8번"}</definedName>
    <definedName name="나나나나나나나나" hidden="1">{#N/A,#N/A,FALSE,"혼합골재"}</definedName>
    <definedName name="나나나나나나나나_1" hidden="1">{#N/A,#N/A,FALSE,"혼합골재"}</definedName>
    <definedName name="나나나나나나나나_2" hidden="1">{#N/A,#N/A,FALSE,"혼합골재"}</definedName>
    <definedName name="나나나나나나나나난" hidden="1">{#N/A,#N/A,FALSE,"표지목차"}</definedName>
    <definedName name="나나나나나나나나난_1" hidden="1">{#N/A,#N/A,FALSE,"표지목차"}</definedName>
    <definedName name="나나나나나나나나난_2" hidden="1">{#N/A,#N/A,FALSE,"표지목차"}</definedName>
    <definedName name="나나아" hidden="1">{#N/A,#N/A,FALSE,"2~8번"}</definedName>
    <definedName name="나나아_1" hidden="1">{#N/A,#N/A,FALSE,"2~8번"}</definedName>
    <definedName name="나나아_2" hidden="1">{#N/A,#N/A,FALSE,"2~8번"}</definedName>
    <definedName name="나이로" hidden="1">{#N/A,#N/A,FALSE,"속도"}</definedName>
    <definedName name="나이로_1" hidden="1">{#N/A,#N/A,FALSE,"속도"}</definedName>
    <definedName name="나이로_2" hidden="1">{#N/A,#N/A,FALSE,"속도"}</definedName>
    <definedName name="내역" hidden="1">{#N/A,#N/A,FALSE,"CCTV"}</definedName>
    <definedName name="내역서" hidden="1">{#N/A,#N/A,FALSE,"명세표"}</definedName>
    <definedName name="내역서_1" hidden="1">{#N/A,#N/A,FALSE,"명세표"}</definedName>
    <definedName name="내역서_2" hidden="1">{#N/A,#N/A,FALSE,"명세표"}</definedName>
    <definedName name="내역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냐" hidden="1">{#N/A,#N/A,FALSE,"혼합골재"}</definedName>
    <definedName name="냐_1" hidden="1">{#N/A,#N/A,FALSE,"혼합골재"}</definedName>
    <definedName name="냐_2" hidden="1">{#N/A,#N/A,FALSE,"혼합골재"}</definedName>
    <definedName name="넣러" hidden="1">{#N/A,#N/A,FALSE,"표지목차"}</definedName>
    <definedName name="네" hidden="1">{#N/A,#N/A,FALSE,"배수1"}</definedName>
    <definedName name="노" hidden="1">#REF!</definedName>
    <definedName name="노무비단가산출서" hidden="1">#REF!</definedName>
    <definedName name="노트" hidden="1">{#N/A,#N/A,TRUE,"총괄"}</definedName>
    <definedName name="놓ㄹ노" hidden="1">{#N/A,#N/A,FALSE,"골재소요량";#N/A,#N/A,FALSE,"골재소요량"}</definedName>
    <definedName name="느" hidden="1">{#N/A,#N/A,FALSE,"이정표"}</definedName>
    <definedName name="ㄶ뫃ㄴㅁㄹㄴㅁㄹㄴㅇ" hidden="1">{#N/A,#N/A,FALSE,"부대2"}</definedName>
    <definedName name="ㄶ뫃ㄴㅁㄹㄴㅁㄹㄴㅇ_1" hidden="1">{#N/A,#N/A,FALSE,"부대2"}</definedName>
    <definedName name="ㄶ뫃ㄴㅁㄹㄴㅁㄹㄴㅇ_2" hidden="1">{#N/A,#N/A,FALSE,"부대2"}</definedName>
    <definedName name="ㄶㅇㅀㄴㅇ" hidden="1">{#N/A,#N/A,FALSE,"표지목차"}</definedName>
    <definedName name="ㄷ">#REF!</definedName>
    <definedName name="ㄷㄱ" hidden="1">{#N/A,#N/A,FALSE,"단가표지"}</definedName>
    <definedName name="ㄷㄳ" hidden="1">{"'장비'!$A$3:$M$12"}</definedName>
    <definedName name="ㄷㄳ_1" hidden="1">{"'장비'!$A$3:$M$12"}</definedName>
    <definedName name="ㄷㄳ_2" hidden="1">{"'장비'!$A$3:$M$12"}</definedName>
    <definedName name="ㄷㄷㄷㄷ" hidden="1">{"'장비'!$A$3:$M$12"}</definedName>
    <definedName name="ㄷㄷㄷㄷ_1" hidden="1">{"'장비'!$A$3:$M$12"}</definedName>
    <definedName name="ㄷㄷㄷㄷ_2" hidden="1">{"'장비'!$A$3:$M$12"}</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ㄹ1">#REF!</definedName>
    <definedName name="ㄷㅈㅂㄷ" hidden="1">{"'장비'!$A$3:$M$12"}</definedName>
    <definedName name="ㄷㅈㅂㄷ_1" hidden="1">{"'장비'!$A$3:$M$12"}</definedName>
    <definedName name="ㄷㅈㅂㄷ_2" hidden="1">{"'장비'!$A$3:$M$12"}</definedName>
    <definedName name="ㄷㅎㄹㅇ" hidden="1">#REF!</definedName>
    <definedName name="다">#REF!</definedName>
    <definedName name="단가">#REF!</definedName>
    <definedName name="단가2" hidden="1">{#N/A,#N/A,FALSE,"Sheet1"}</definedName>
    <definedName name="단관M">#REF!</definedName>
    <definedName name="당초계획" hidden="1">#REF!</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_1" hidden="1">{#N/A,#N/A,TRUE,"LOADCOVE";#N/A,#N/A,TRUE,"PAGE001";#N/A,#N/A,TRUE,"PAGE002";#N/A,#N/A,TRUE,"PAGE003";#N/A,#N/A,TRUE,"PAGE004";#N/A,#N/A,TRUE,"PAGE005";#N/A,#N/A,TRUE,"PAGE006";#N/A,#N/A,TRUE,"PAGE007";#N/A,#N/A,TRUE,"PAGE008";#N/A,#N/A,TRUE,"PAGE009";#N/A,#N/A,TRUE,"PAGE010";#N/A,#N/A,TRUE,"PAGE011";#N/A,#N/A,TRUE,"PAGE012";#N/A,#N/A,TRUE,"PAGE013"}</definedName>
    <definedName name="대전_2"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전1_1" hidden="1">{#N/A,#N/A,TRUE,"LOADCOVE";#N/A,#N/A,TRUE,"PAGE001";#N/A,#N/A,TRUE,"PAGE002";#N/A,#N/A,TRUE,"PAGE003";#N/A,#N/A,TRUE,"PAGE004";#N/A,#N/A,TRUE,"PAGE005";#N/A,#N/A,TRUE,"PAGE006";#N/A,#N/A,TRUE,"PAGE007";#N/A,#N/A,TRUE,"PAGE008";#N/A,#N/A,TRUE,"PAGE009";#N/A,#N/A,TRUE,"PAGE010";#N/A,#N/A,TRUE,"PAGE011";#N/A,#N/A,TRUE,"PAGE012";#N/A,#N/A,TRUE,"PAGE013"}</definedName>
    <definedName name="대전1_2" hidden="1">{#N/A,#N/A,TRUE,"LOADCOVE";#N/A,#N/A,TRUE,"PAGE001";#N/A,#N/A,TRUE,"PAGE002";#N/A,#N/A,TRUE,"PAGE003";#N/A,#N/A,TRUE,"PAGE004";#N/A,#N/A,TRUE,"PAGE005";#N/A,#N/A,TRUE,"PAGE006";#N/A,#N/A,TRUE,"PAGE007";#N/A,#N/A,TRUE,"PAGE008";#N/A,#N/A,TRUE,"PAGE009";#N/A,#N/A,TRUE,"PAGE010";#N/A,#N/A,TRUE,"PAGE011";#N/A,#N/A,TRUE,"PAGE012";#N/A,#N/A,TRUE,"PAGE013"}</definedName>
    <definedName name="대책_산설" hidden="1">{"LKD",#N/A,FALSE,"표지"}</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1_1" hidden="1">{#N/A,#N/A,TRUE,"LOADCOVE";#N/A,#N/A,TRUE,"PAGE001";#N/A,#N/A,TRUE,"PAGE002";#N/A,#N/A,TRUE,"PAGE003";#N/A,#N/A,TRUE,"PAGE004";#N/A,#N/A,TRUE,"PAGE005";#N/A,#N/A,TRUE,"PAGE006";#N/A,#N/A,TRUE,"PAGE007";#N/A,#N/A,TRUE,"PAGE008";#N/A,#N/A,TRUE,"PAGE009";#N/A,#N/A,TRUE,"PAGE010";#N/A,#N/A,TRUE,"PAGE011";#N/A,#N/A,TRUE,"PAGE012";#N/A,#N/A,TRUE,"PAGE013"}</definedName>
    <definedName name="대책1_2" hidden="1">{#N/A,#N/A,TRUE,"LOADCOVE";#N/A,#N/A,TRUE,"PAGE001";#N/A,#N/A,TRUE,"PAGE002";#N/A,#N/A,TRUE,"PAGE003";#N/A,#N/A,TRUE,"PAGE004";#N/A,#N/A,TRUE,"PAGE005";#N/A,#N/A,TRUE,"PAGE006";#N/A,#N/A,TRUE,"PAGE007";#N/A,#N/A,TRUE,"PAGE008";#N/A,#N/A,TRUE,"PAGE009";#N/A,#N/A,TRUE,"PAGE010";#N/A,#N/A,TRUE,"PAGE011";#N/A,#N/A,TRUE,"PAGE012";#N/A,#N/A,TRUE,"PAGE013"}</definedName>
    <definedName name="더하기">#REF!</definedName>
    <definedName name="도로" hidden="1">{#N/A,#N/A,FALSE,"2~8번"}</definedName>
    <definedName name="도로표지병">#REF!</definedName>
    <definedName name="도면외주" hidden="1">#REF!</definedName>
    <definedName name="도면용역비" hidden="1">#REF!</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동력" hidden="1">{#N/A,#N/A,FALSE,"CCTV"}</definedName>
    <definedName name="동력_1" hidden="1">{#N/A,#N/A,FALSE,"CCTV"}</definedName>
    <definedName name="동력_2" hidden="1">{#N/A,#N/A,FALSE,"CCTV"}</definedName>
    <definedName name="동영" hidden="1">{#N/A,#N/A,FALSE,"CCTV"}</definedName>
    <definedName name="동영_1" hidden="1">{#N/A,#N/A,FALSE,"CCTV"}</definedName>
    <definedName name="동영_2" hidden="1">{#N/A,#N/A,FALSE,"CCTV"}</definedName>
    <definedName name="되" hidden="1">{#N/A,#N/A,FALSE,"운반시간"}</definedName>
    <definedName name="되_1" hidden="1">{#N/A,#N/A,FALSE,"운반시간"}</definedName>
    <definedName name="되_2" hidden="1">{#N/A,#N/A,FALSE,"운반시간"}</definedName>
    <definedName name="두호" hidden="1">{#N/A,#N/A,FALSE,"2~8번"}</definedName>
    <definedName name="두호_1" hidden="1">{#N/A,#N/A,FALSE,"2~8번"}</definedName>
    <definedName name="두호_2" hidden="1">{#N/A,#N/A,FALSE,"2~8번"}</definedName>
    <definedName name="디" hidden="1">{#N/A,#N/A,FALSE,"CCTV"}</definedName>
    <definedName name="뚜껑">#REF!</definedName>
    <definedName name="ㄹ">#REF!</definedName>
    <definedName name="ㄹㄴㄹ" hidden="1">#REF!</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ㄻㄴ" hidden="1">{#N/A,#N/A,FALSE,"단가표지"}</definedName>
    <definedName name="ㄹㄴ웋" hidden="1">{#N/A,#N/A,FALSE,"운반시간"}</definedName>
    <definedName name="ㄹㄹ">#REF!</definedName>
    <definedName name="ㄹㄹ_1" hidden="1">{"'장비'!$A$3:$M$12"}</definedName>
    <definedName name="ㄹㄹ_2" hidden="1">{"'장비'!$A$3:$M$12"}</definedName>
    <definedName name="ㄹㄹㄹ" hidden="1">{"'장비'!$A$3:$M$12"}</definedName>
    <definedName name="ㄹㄹㄹ_1" hidden="1">{#N/A,#N/A,FALSE,"명세표"}</definedName>
    <definedName name="ㄹㄹㄹ_2" hidden="1">{#N/A,#N/A,FALSE,"명세표"}</definedName>
    <definedName name="ㄹㅇㄴ" hidden="1">{"'Sheet1'!$L$16"}</definedName>
    <definedName name="ㄹㅇㄴ_1" hidden="1">{"'Sheet1'!$L$16"}</definedName>
    <definedName name="ㄹㅇㄴ_2" hidden="1">{"'Sheet1'!$L$16"}</definedName>
    <definedName name="ㄹㅇㄹ" hidden="1">{#N/A,#N/A,FALSE,"혼합골재"}</definedName>
    <definedName name="ㄹㅇㅎㄴㅇ" hidden="1">{#N/A,#N/A,FALSE,"조골재"}</definedName>
    <definedName name="라">#REF!</definedName>
    <definedName name="래그" hidden="1">{#N/A,#N/A,FALSE,"CCTV"}</definedName>
    <definedName name="래그_1" hidden="1">{#N/A,#N/A,FALSE,"CCTV"}</definedName>
    <definedName name="래그_2" hidden="1">{#N/A,#N/A,FALSE,"CCTV"}</definedName>
    <definedName name="롱" hidden="1">{#N/A,#N/A,FALSE,"배수2"}</definedName>
    <definedName name="류" hidden="1">{#N/A,#N/A,FALSE,"부대2"}</definedName>
    <definedName name="류기평" hidden="1">{"LKD",#N/A,FALSE,"표지"}</definedName>
    <definedName name="리" hidden="1">#REF!</definedName>
    <definedName name="리비" hidden="1">#REF!</definedName>
    <definedName name="리비아" hidden="1">#REF!</definedName>
    <definedName name="리비아아" hidden="1">#REF!</definedName>
    <definedName name="ㄻ" hidden="1">{#N/A,#N/A,FALSE,"포장2"}</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ㅇㅁ" hidden="1">{#N/A,#N/A,FALSE,"골재소요량";#N/A,#N/A,FALSE,"골재소요량"}</definedName>
    <definedName name="ㅀ허" hidden="1">{#N/A,#N/A,FALSE,"CCTV"}</definedName>
    <definedName name="ㅀ허_1" hidden="1">{#N/A,#N/A,FALSE,"CCTV"}</definedName>
    <definedName name="ㅀ허_2" hidden="1">{#N/A,#N/A,FALSE,"CCTV"}</definedName>
    <definedName name="ㅁ" hidden="1">{#N/A,#N/A,FALSE,"속도"}</definedName>
    <definedName name="ㅁ1">#REF!</definedName>
    <definedName name="ㅁ2">#REF!</definedName>
    <definedName name="ㅁㄴㄹㄴ" hidden="1">{#N/A,#N/A,FALSE,"운반시간"}</definedName>
    <definedName name="ㅁㄴㄹㄴㅁㄹㄴㅁㄻㄻㅁㅁㅁㅁ" hidden="1">{#N/A,#N/A,FALSE,"혼합골재"}</definedName>
    <definedName name="ㅁㄴㄹㄴㅁㄹㄴㅁㄻㄻㅁㅁㅁㅁ_1" hidden="1">{#N/A,#N/A,FALSE,"혼합골재"}</definedName>
    <definedName name="ㅁㄴㄹㄴㅁㄹㄴㅁㄻㄻㅁㅁㅁㅁ_2" hidden="1">{#N/A,#N/A,FALSE,"혼합골재"}</definedName>
    <definedName name="ㅁㄴㄹㅇㅁ" hidden="1">{#N/A,#N/A,FALSE,"단가표지"}</definedName>
    <definedName name="ㅁㄴㅇ" hidden="1">{#N/A,#N/A,TRUE,"총괄"}</definedName>
    <definedName name="ㅁㄴㅇ_1" hidden="1">{#N/A,#N/A,FALSE,"배수1"}</definedName>
    <definedName name="ㅁㄴㅇ_2" hidden="1">{#N/A,#N/A,FALSE,"배수1"}</definedName>
    <definedName name="ㅁㄴㅇㄹㅇㄴㄹ" hidden="1">{#N/A,#N/A,FALSE,"명세표"}</definedName>
    <definedName name="ㅁㄴㅇㄹㅇㄴㄹ_1" hidden="1">{#N/A,#N/A,FALSE,"명세표"}</definedName>
    <definedName name="ㅁㄴㅇㄹㅇㄴㄹ_2" hidden="1">{#N/A,#N/A,FALSE,"명세표"}</definedName>
    <definedName name="ㅁㄶㄷㅎㄴㄹㅇㄴ" hidden="1">{#N/A,#N/A,FALSE,"배수1"}</definedName>
    <definedName name="ㅁㄶㄷㅎㄴㄹㅇㄴ_1" hidden="1">{#N/A,#N/A,FALSE,"배수1"}</definedName>
    <definedName name="ㅁㄶㄷㅎㄴㄹㅇㄴ_2" hidden="1">{#N/A,#N/A,FALSE,"배수1"}</definedName>
    <definedName name="ㅁㄹ" hidden="1">{#N/A,#N/A,FALSE,"속도"}</definedName>
    <definedName name="ㅁㄹ_1" hidden="1">{#N/A,#N/A,FALSE,"속도"}</definedName>
    <definedName name="ㅁㄹ_2" hidden="1">{#N/A,#N/A,FALSE,"속도"}</definedName>
    <definedName name="ㅁㄹㄴㄻㄴㄹㄴㅁㄹㄴㅇㄹㄴㅇㄹ" hidden="1">{#N/A,#N/A,FALSE,"포장2"}</definedName>
    <definedName name="ㅁㄹㄴㄻㄴㄹㄴㅁㄹㄴㅇㄹㄴㅇㄹ_1" hidden="1">{#N/A,#N/A,FALSE,"포장2"}</definedName>
    <definedName name="ㅁㄹㄴㄻㄴㄹㄴㅁㄹㄴㅇㄹㄴㅇㄹ_2" hidden="1">{#N/A,#N/A,FALSE,"포장2"}</definedName>
    <definedName name="ㅁㄹㄴㅇ" hidden="1">{#N/A,#N/A,FALSE,"단가표지"}</definedName>
    <definedName name="ㅁㄹㄴㅇㄹㄴㅁㄹ" hidden="1">{#N/A,#N/A,FALSE,"포장1";#N/A,#N/A,FALSE,"포장1"}</definedName>
    <definedName name="ㅁㄹㄴㅇㄹㄴㅁㄹ_1" hidden="1">{#N/A,#N/A,FALSE,"포장1";#N/A,#N/A,FALSE,"포장1"}</definedName>
    <definedName name="ㅁㄹㄴㅇㄹㄴㅁㄹ_2"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ㅁㄻㄹㄴㅁㄹ_1" hidden="1">{#N/A,#N/A,FALSE,"조골재"}</definedName>
    <definedName name="ㅁㄹㄴㅇㅁㄻㄹㄴㅁㄹ_2" hidden="1">{#N/A,#N/A,FALSE,"조골재"}</definedName>
    <definedName name="ㅁㄹㄴㅇㅎㄴㄻㄴㄹㄴㅇ" hidden="1">{#N/A,#N/A,FALSE,"부대1"}</definedName>
    <definedName name="ㅁㄹㄴㅇㅎㄴㄻㄴㄹㄴㅇ_1" hidden="1">{#N/A,#N/A,FALSE,"부대1"}</definedName>
    <definedName name="ㅁㄹㄴㅇㅎㄴㄻㄴㄹㄴㅇ_2" hidden="1">{#N/A,#N/A,FALSE,"부대1"}</definedName>
    <definedName name="ㅁㄹㅇㄴ" hidden="1">{#N/A,#N/A,FALSE,"단가표지"}</definedName>
    <definedName name="ㅁㄹㅇㄴㅇㅁㄹㄴㄻㄴ" hidden="1">{#N/A,#N/A,FALSE,"이정표"}</definedName>
    <definedName name="ㅁㄹㅇㄴㅇㅁㄹㄴㄻㄴ_1" hidden="1">{#N/A,#N/A,FALSE,"이정표"}</definedName>
    <definedName name="ㅁㄹㅇㄴㅇㅁㄹㄴㄻㄴ_2" hidden="1">{#N/A,#N/A,FALSE,"이정표"}</definedName>
    <definedName name="ㅁㄹㅇㄹㅇㄴㄹㅇㄹㅇ" hidden="1">{#N/A,#N/A,FALSE,"표지목차"}</definedName>
    <definedName name="ㅁㄹㅇㄹㅇㄴㄹㅇㄹㅇ_1" hidden="1">{#N/A,#N/A,FALSE,"표지목차"}</definedName>
    <definedName name="ㅁㄹㅇㄹㅇㄴㄹㅇㄹㅇ_2" hidden="1">{#N/A,#N/A,FALSE,"표지목차"}</definedName>
    <definedName name="ㅁㄹㅇㅁㄴ" hidden="1">{#N/A,#N/A,FALSE,"골재소요량";#N/A,#N/A,FALSE,"골재소요량"}</definedName>
    <definedName name="ㅁㄻㄴㄹ" hidden="1">{#N/A,#N/A,FALSE,"골재소요량";#N/A,#N/A,FALSE,"골재소요량"}</definedName>
    <definedName name="ㅁㄻㅁㅁㅁㄹㄴㅇㄹㅇㄴㄹㅈㄹㄴㅇ" hidden="1">{#N/A,#N/A,FALSE,"운반시간"}</definedName>
    <definedName name="ㅁㄻㅁㅁㅁㄹㄴㅇㄹㅇㄴㄹㅈㄹㄴㅇ_1" hidden="1">{#N/A,#N/A,FALSE,"운반시간"}</definedName>
    <definedName name="ㅁㄻㅁㅁㅁㄹㄴㅇㄹㅇㄴㄹㅈㄹㄴㅇ_2" hidden="1">{#N/A,#N/A,FALSE,"운반시간"}</definedName>
    <definedName name="ㅁㅁ" hidden="1">#REF!</definedName>
    <definedName name="ㅁㅁㅁ" hidden="1">{"LKD",#N/A,FALSE,"표지"}</definedName>
    <definedName name="ㅁㅁㅁㅁ" hidden="1">{#N/A,#N/A,FALSE,"혼합골재"}</definedName>
    <definedName name="ㅁㅁㅁㅁㅁ" hidden="1">{"LKD",#N/A,FALSE,"표지"}</definedName>
    <definedName name="ㅁㅁㅁㅁㅁㅇㄹ" hidden="1">{#N/A,#N/A,FALSE,"구조2"}</definedName>
    <definedName name="ㅁㅇㄴㄹ" hidden="1">{"SJ - 기본 보기",#N/A,FALSE,"공사별 외주견적"}</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ㅋㄹㄴㅁㄻㄻㄴㄻ" hidden="1">{#N/A,#N/A,FALSE,"구조1"}</definedName>
    <definedName name="ㅁㅋㄹㄴㅁㄻㄻㄴㄻ_1" hidden="1">{#N/A,#N/A,FALSE,"구조1"}</definedName>
    <definedName name="ㅁㅋㄹㄴㅁㄻㄻㄴㄻ_2" hidden="1">{#N/A,#N/A,FALSE,"구조1"}</definedName>
    <definedName name="ㅁㅎㄻㅇㄻ" hidden="1">{#N/A,#N/A,FALSE,"운반시간"}</definedName>
    <definedName name="ㅁㅎㅇㅀㅁㅇ" hidden="1">{#N/A,#N/A,FALSE,"2~8번"}</definedName>
    <definedName name="ㅁㅎㅇㅀㅁㅎ" hidden="1">{#N/A,#N/A,FALSE,"단가표지"}</definedName>
    <definedName name="ㅁㅎㅎㄴㅁㄹㅈ" hidden="1">{#N/A,#N/A,FALSE,"배수2"}</definedName>
    <definedName name="ㅁㅎㅎㄴㅁㄹㅈ_1" hidden="1">{#N/A,#N/A,FALSE,"배수2"}</definedName>
    <definedName name="ㅁㅎㅎㄴㅁㄹㅈ_2" hidden="1">{#N/A,#N/A,FALSE,"배수2"}</definedName>
    <definedName name="마">#REF!</definedName>
    <definedName name="만득이" hidden="1">{#N/A,#N/A,FALSE,"2~8번"}</definedName>
    <definedName name="만득이_1" hidden="1">{#N/A,#N/A,FALSE,"2~8번"}</definedName>
    <definedName name="만득이_2"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만회대책_1" hidden="1">{#N/A,#N/A,TRUE,"LOADCOVE";#N/A,#N/A,TRUE,"PAGE001";#N/A,#N/A,TRUE,"PAGE002";#N/A,#N/A,TRUE,"PAGE003";#N/A,#N/A,TRUE,"PAGE004";#N/A,#N/A,TRUE,"PAGE005";#N/A,#N/A,TRUE,"PAGE006";#N/A,#N/A,TRUE,"PAGE007";#N/A,#N/A,TRUE,"PAGE008";#N/A,#N/A,TRUE,"PAGE009";#N/A,#N/A,TRUE,"PAGE010";#N/A,#N/A,TRUE,"PAGE011";#N/A,#N/A,TRUE,"PAGE012";#N/A,#N/A,TRUE,"PAGE013"}</definedName>
    <definedName name="만회대책_2"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이월_1" hidden="1">{#N/A,#N/A,TRUE,"LOADCOVE";#N/A,#N/A,TRUE,"PAGE001";#N/A,#N/A,TRUE,"PAGE002";#N/A,#N/A,TRUE,"PAGE003";#N/A,#N/A,TRUE,"PAGE004";#N/A,#N/A,TRUE,"PAGE005";#N/A,#N/A,TRUE,"PAGE006";#N/A,#N/A,TRUE,"PAGE007";#N/A,#N/A,TRUE,"PAGE008";#N/A,#N/A,TRUE,"PAGE009";#N/A,#N/A,TRUE,"PAGE010";#N/A,#N/A,TRUE,"PAGE011";#N/A,#N/A,TRUE,"PAGE012";#N/A,#N/A,TRUE,"PAGE013"}</definedName>
    <definedName name="매출이월_2" hidden="1">{#N/A,#N/A,TRUE,"LOADCOVE";#N/A,#N/A,TRUE,"PAGE001";#N/A,#N/A,TRUE,"PAGE002";#N/A,#N/A,TRUE,"PAGE003";#N/A,#N/A,TRUE,"PAGE004";#N/A,#N/A,TRUE,"PAGE005";#N/A,#N/A,TRUE,"PAGE006";#N/A,#N/A,TRUE,"PAGE007";#N/A,#N/A,TRUE,"PAGE008";#N/A,#N/A,TRUE,"PAGE009";#N/A,#N/A,TRUE,"PAGE010";#N/A,#N/A,TRUE,"PAGE011";#N/A,#N/A,TRUE,"PAGE012";#N/A,#N/A,TRUE,"PAGE013"}</definedName>
    <definedName name="매크로11">#REF!</definedName>
    <definedName name="매크로4">#REF!</definedName>
    <definedName name="맨" hidden="1">{#N/A,#N/A,FALSE,"혼합골재"}</definedName>
    <definedName name="먁" hidden="1">#REF!</definedName>
    <definedName name="머" hidden="1">{#N/A,#N/A,FALSE,"명세표"}</definedName>
    <definedName name="머_1" hidden="1">{#N/A,#N/A,FALSE,"명세표"}</definedName>
    <definedName name="머_2" hidden="1">{#N/A,#N/A,FALSE,"명세표"}</definedName>
    <definedName name="먼득이" hidden="1">{#N/A,#N/A,FALSE,"골재소요량";#N/A,#N/A,FALSE,"골재소요량"}</definedName>
    <definedName name="명칭">#REF!</definedName>
    <definedName name="모21">#REF!</definedName>
    <definedName name="목" hidden="1">{#N/A,#N/A,TRUE,"Basic";#N/A,#N/A,TRUE,"EXT-TABLE";#N/A,#N/A,TRUE,"STEEL";#N/A,#N/A,TRUE,"INT-Table";#N/A,#N/A,TRUE,"STEEL";#N/A,#N/A,TRUE,"Door"}</definedName>
    <definedName name="몰러">#REF!</definedName>
    <definedName name="문서" hidden="1">{#N/A,#N/A,FALSE,"현장 NCR 분석";#N/A,#N/A,FALSE,"현장품질감사";#N/A,#N/A,FALSE,"현장품질감사"}</definedName>
    <definedName name="뭉" hidden="1">{"'장비'!$A$3:$M$12"}</definedName>
    <definedName name="뭉_1" hidden="1">{"'장비'!$A$3:$M$12"}</definedName>
    <definedName name="뭉_2" hidden="1">{"'장비'!$A$3:$M$12"}</definedName>
    <definedName name="뭐" hidden="1">{#N/A,#N/A,FALSE,"단가표지"}</definedName>
    <definedName name="뭐_1" hidden="1">{#N/A,#N/A,FALSE,"단가표지"}</definedName>
    <definedName name="뭐_2" hidden="1">{#N/A,#N/A,FALSE,"단가표지"}</definedName>
    <definedName name="므" hidden="1">{#N/A,#N/A,FALSE,"운반시간"}</definedName>
    <definedName name="미정" hidden="1">{#N/A,#N/A,FALSE,"2~8번"}</definedName>
    <definedName name="미정_1" hidden="1">{#N/A,#N/A,FALSE,"2~8번"}</definedName>
    <definedName name="미정_2" hidden="1">{#N/A,#N/A,FALSE,"2~8번"}</definedName>
    <definedName name="미지급" hidden="1">#REF!</definedName>
    <definedName name="ㅂ">#REF!</definedName>
    <definedName name="ㅂ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hidden="1">{#N/A,#N/A,FALSE,"단가표지"}</definedName>
    <definedName name="ㅂㅂㅂ" hidden="1">{#N/A,#N/A,FALSE,"현장 NCR 분석";#N/A,#N/A,FALSE,"현장품질감사";#N/A,#N/A,FALSE,"현장품질감사"}</definedName>
    <definedName name="ㅂㅂㅂㅂ" hidden="1">{#N/A,#N/A,FALSE,"조골재"}</definedName>
    <definedName name="ㅂㅂㅂㅂ_1" hidden="1">{#N/A,#N/A,FALSE,"명세표"}</definedName>
    <definedName name="ㅂㅂㅂㅂ_2" hidden="1">{#N/A,#N/A,FALSE,"명세표"}</definedName>
    <definedName name="ㅂㅂㅂㅂㅂㅂㅂ" hidden="1">{#N/A,#N/A,FALSE,"명세표"}</definedName>
    <definedName name="ㅂㅂㅂㅂㅂㅂㅂ_1" hidden="1">{#N/A,#N/A,FALSE,"명세표"}</definedName>
    <definedName name="ㅂㅂㅂㅂㅂㅂㅂ_2" hidden="1">{#N/A,#N/A,FALSE,"명세표"}</definedName>
    <definedName name="ㅂㅈ" hidden="1">{#N/A,#N/A,FALSE,"Sheet1"}</definedName>
    <definedName name="ㅂㅈㄱㅂㅈㄷㄱ" hidden="1">{"'장비'!$A$3:$M$12"}</definedName>
    <definedName name="ㅂㅈㄱㅂㅈㄷㄱ_1" hidden="1">{"'장비'!$A$3:$M$12"}</definedName>
    <definedName name="ㅂㅈㄱㅂㅈㄷㄱ_2" hidden="1">{"'장비'!$A$3:$M$12"}</definedName>
    <definedName name="ㅂㅈㄷ" hidden="1">{"'장비'!$A$3:$M$12"}</definedName>
    <definedName name="ㅂㅈㄷ_1" hidden="1">{"'장비'!$A$3:$M$12"}</definedName>
    <definedName name="ㅂㅈㄷ_2" hidden="1">{"'장비'!$A$3:$M$12"}</definedName>
    <definedName name="ㅂㅈㄷㄷㅂㅈㅈㅂ" hidden="1">{"'장비'!$A$3:$M$12"}</definedName>
    <definedName name="ㅂㅈㄷㄷㅂㅈㅈㅂ_1" hidden="1">{"'장비'!$A$3:$M$12"}</definedName>
    <definedName name="ㅂㅈㄷㄷㅂㅈㅈㅂ_2" hidden="1">{"'장비'!$A$3:$M$12"}</definedName>
    <definedName name="ㅂㅈㄷㅂㅈ" hidden="1">{"'장비'!$A$3:$M$12"}</definedName>
    <definedName name="ㅂㅈㄷㅂㅈ_1" hidden="1">{"'장비'!$A$3:$M$12"}</definedName>
    <definedName name="ㅂㅈㄷㅂㅈ_2" hidden="1">{"'장비'!$A$3:$M$12"}</definedName>
    <definedName name="ㅂㅈㄷㅂㅈㅈㅂㄷ" hidden="1">{"'장비'!$A$3:$M$12"}</definedName>
    <definedName name="ㅂㅈㄷㅂㅈㅈㅂㄷ_1" hidden="1">{"'장비'!$A$3:$M$12"}</definedName>
    <definedName name="ㅂㅈㄷㅂㅈㅈㅂㄷ_2" hidden="1">{"'장비'!$A$3:$M$12"}</definedName>
    <definedName name="ㅂㅈㄷㅈㅂㄷ" hidden="1">{"'장비'!$A$3:$M$12"}</definedName>
    <definedName name="ㅂㅈㄷㅈㅂㄷ_1" hidden="1">{"'장비'!$A$3:$M$12"}</definedName>
    <definedName name="ㅂㅈㄷㅈㅂㄷ_2" hidden="1">{"'장비'!$A$3:$M$12"}</definedName>
    <definedName name="바">#REF!</definedName>
    <definedName name="바보" hidden="1">{#N/A,#N/A,FALSE,"표지목차"}</definedName>
    <definedName name="바보2" hidden="1">{#N/A,#N/A,FALSE,"운반시간"}</definedName>
    <definedName name="바쓔ㅜㅇ" hidden="1">{#N/A,#N/A,FALSE,"명세표"}</definedName>
    <definedName name="바쓔ㅜㅇ_1" hidden="1">{#N/A,#N/A,FALSE,"명세표"}</definedName>
    <definedName name="바쓔ㅜㅇ_2" hidden="1">{#N/A,#N/A,FALSE,"명세표"}</definedName>
    <definedName name="박광민">#REF!</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성민_1" hidden="1">{#N/A,#N/A,TRUE,"LOADCOVE";#N/A,#N/A,TRUE,"PAGE001";#N/A,#N/A,TRUE,"PAGE002";#N/A,#N/A,TRUE,"PAGE003";#N/A,#N/A,TRUE,"PAGE004";#N/A,#N/A,TRUE,"PAGE005";#N/A,#N/A,TRUE,"PAGE006";#N/A,#N/A,TRUE,"PAGE007";#N/A,#N/A,TRUE,"PAGE008";#N/A,#N/A,TRUE,"PAGE009";#N/A,#N/A,TRUE,"PAGE010";#N/A,#N/A,TRUE,"PAGE011";#N/A,#N/A,TRUE,"PAGE012";#N/A,#N/A,TRUE,"PAGE013"}</definedName>
    <definedName name="박성민_2" hidden="1">{#N/A,#N/A,TRUE,"LOADCOVE";#N/A,#N/A,TRUE,"PAGE001";#N/A,#N/A,TRUE,"PAGE002";#N/A,#N/A,TRUE,"PAGE003";#N/A,#N/A,TRUE,"PAGE004";#N/A,#N/A,TRUE,"PAGE005";#N/A,#N/A,TRUE,"PAGE006";#N/A,#N/A,TRUE,"PAGE007";#N/A,#N/A,TRUE,"PAGE008";#N/A,#N/A,TRUE,"PAGE009";#N/A,#N/A,TRUE,"PAGE010";#N/A,#N/A,TRUE,"PAGE011";#N/A,#N/A,TRUE,"PAGE012";#N/A,#N/A,TRUE,"PAGE013"}</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발주실적" hidden="1">{"LKD",#N/A,FALSE,"표지"}</definedName>
    <definedName name="밥보" hidden="1">{#N/A,#N/A,FALSE,"표지목차"}</definedName>
    <definedName name="배기덕트공사" hidden="1">{#N/A,#N/A,FALSE,"CCTV"}</definedName>
    <definedName name="배수공" hidden="1">{#N/A,#N/A,FALSE,"부대1"}</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_1" hidden="1">{#N/A,#N/A,FALSE,"혼합골재"}</definedName>
    <definedName name="벽체_2" hidden="1">{#N/A,#N/A,FALSE,"혼합골재"}</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변형_1" hidden="1">{#N/A,#N/A,TRUE,"LOADCOVE";#N/A,#N/A,TRUE,"PAGE001";#N/A,#N/A,TRUE,"PAGE002";#N/A,#N/A,TRUE,"PAGE003";#N/A,#N/A,TRUE,"PAGE004";#N/A,#N/A,TRUE,"PAGE005";#N/A,#N/A,TRUE,"PAGE006";#N/A,#N/A,TRUE,"PAGE007";#N/A,#N/A,TRUE,"PAGE008";#N/A,#N/A,TRUE,"PAGE009";#N/A,#N/A,TRUE,"PAGE010";#N/A,#N/A,TRUE,"PAGE011";#N/A,#N/A,TRUE,"PAGE012";#N/A,#N/A,TRUE,"PAGE013"}</definedName>
    <definedName name="변형_2" hidden="1">{#N/A,#N/A,TRUE,"LOADCOVE";#N/A,#N/A,TRUE,"PAGE001";#N/A,#N/A,TRUE,"PAGE002";#N/A,#N/A,TRUE,"PAGE003";#N/A,#N/A,TRUE,"PAGE004";#N/A,#N/A,TRUE,"PAGE005";#N/A,#N/A,TRUE,"PAGE006";#N/A,#N/A,TRUE,"PAGE007";#N/A,#N/A,TRUE,"PAGE008";#N/A,#N/A,TRUE,"PAGE009";#N/A,#N/A,TRUE,"PAGE010";#N/A,#N/A,TRUE,"PAGE011";#N/A,#N/A,TRUE,"PAGE012";#N/A,#N/A,TRUE,"PAGE013"}</definedName>
    <definedName name="보조기층" hidden="1">{"'장비'!$A$3:$M$12"}</definedName>
    <definedName name="보조기층_1" hidden="1">{"'장비'!$A$3:$M$12"}</definedName>
    <definedName name="보조기층_2" hidden="1">{"'장비'!$A$3:$M$12"}</definedName>
    <definedName name="보충" hidden="1">#REF!</definedName>
    <definedName name="부" hidden="1">{#N/A,#N/A,FALSE,"현장 NCR 분석";#N/A,#N/A,FALSE,"현장품질감사";#N/A,#N/A,FALSE,"현장품질감사"}</definedName>
    <definedName name="부대" hidden="1">{#N/A,#N/A,FALSE,"골재소요량";#N/A,#N/A,FALSE,"골재소요량"}</definedName>
    <definedName name="부대1" hidden="1">{#N/A,#N/A,FALSE,"운반시간"}</definedName>
    <definedName name="부대공">#REF!</definedName>
    <definedName name="부대공사" hidden="1">#REF!</definedName>
    <definedName name="부손익" hidden="1">{#N/A,#N/A,FALSE,"현장 NCR 분석";#N/A,#N/A,FALSE,"현장품질감사";#N/A,#N/A,FALSE,"현장품질감사"}</definedName>
    <definedName name="부재력" hidden="1">#REF!</definedName>
    <definedName name="부함">#REF!</definedName>
    <definedName name="분류" hidden="1">{"LKD",#N/A,FALSE,"표지"}</definedName>
    <definedName name="분석표" hidden="1">{#N/A,#N/A,FALSE,"사업총괄";#N/A,#N/A,FALSE,"장비사업";#N/A,#N/A,FALSE,"철구사업";#N/A,#N/A,FALSE,"준설사업"}</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hidden="1">{#N/A,#N/A,FALSE,"단가표지"}</definedName>
    <definedName name="블록c" hidden="1">{#N/A,#N/A,FALSE,"전체집계표";#N/A,#N/A,FALSE,"안벽30000";#N/A,#N/A,FALSE,"안벽20000";#N/A,#N/A,FALSE,"내호안";#N/A,#N/A,FALSE,"외호안";#N/A,#N/A,FALSE,"준설토A";#N/A,#N/A,FALSE,"준설토B";#N/A,#N/A,FALSE,"적출장"}</definedName>
    <definedName name="블록c_1" hidden="1">{#N/A,#N/A,FALSE,"전체집계표";#N/A,#N/A,FALSE,"안벽30000";#N/A,#N/A,FALSE,"안벽20000";#N/A,#N/A,FALSE,"내호안";#N/A,#N/A,FALSE,"외호안";#N/A,#N/A,FALSE,"준설토A";#N/A,#N/A,FALSE,"준설토B";#N/A,#N/A,FALSE,"적출장"}</definedName>
    <definedName name="블록c_2"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블록k_1" hidden="1">{#N/A,#N/A,FALSE,"전체집계표";#N/A,#N/A,FALSE,"안벽30000";#N/A,#N/A,FALSE,"안벽20000";#N/A,#N/A,FALSE,"내호안";#N/A,#N/A,FALSE,"외호안";#N/A,#N/A,FALSE,"준설토A";#N/A,#N/A,FALSE,"준설토B";#N/A,#N/A,FALSE,"적출장"}</definedName>
    <definedName name="블록k_2" hidden="1">{#N/A,#N/A,FALSE,"전체집계표";#N/A,#N/A,FALSE,"안벽30000";#N/A,#N/A,FALSE,"안벽20000";#N/A,#N/A,FALSE,"내호안";#N/A,#N/A,FALSE,"외호안";#N/A,#N/A,FALSE,"준설토A";#N/A,#N/A,FALSE,"준설토B";#N/A,#N/A,FALSE,"적출장"}</definedName>
    <definedName name="비" hidden="1">{#N/A,#N/A,FALSE,"골재소요량";#N/A,#N/A,FALSE,"골재소요량"}</definedName>
    <definedName name="비교" hidden="1">255</definedName>
    <definedName name="비교표1" hidden="1">255</definedName>
    <definedName name="비교표2" hidden="1">#REF!</definedName>
    <definedName name="비품임차1" hidden="1">#REF!</definedName>
    <definedName name="빌딩" hidden="1">{#N/A,#N/A,FALSE,"CCTV"}</definedName>
    <definedName name="빌딩_1" hidden="1">{#N/A,#N/A,FALSE,"CCTV"}</definedName>
    <definedName name="빌딩_2" hidden="1">{#N/A,#N/A,FALSE,"CCTV"}</definedName>
    <definedName name="ㅅ" hidden="1">{#N/A,#N/A,TRUE,"LOADCOVE";#N/A,#N/A,TRUE,"PAGE001";#N/A,#N/A,TRUE,"PAGE002";#N/A,#N/A,TRUE,"PAGE003";#N/A,#N/A,TRUE,"PAGE004";#N/A,#N/A,TRUE,"PAGE005";#N/A,#N/A,TRUE,"PAGE006";#N/A,#N/A,TRUE,"PAGE007";#N/A,#N/A,TRUE,"PAGE008";#N/A,#N/A,TRUE,"PAGE009";#N/A,#N/A,TRUE,"PAGE010";#N/A,#N/A,TRUE,"PAGE011";#N/A,#N/A,TRUE,"PAGE012";#N/A,#N/A,TRUE,"PAGE013"}</definedName>
    <definedName name="ㅅㄱㄱㄷ" hidden="1">{"'장비'!$A$3:$M$12"}</definedName>
    <definedName name="ㅅㄱㄱㄷ_1" hidden="1">{"'장비'!$A$3:$M$12"}</definedName>
    <definedName name="ㅅㄱㄱㄷ_2" hidden="1">{"'장비'!$A$3:$M$12"}</definedName>
    <definedName name="ㅅ굲유" hidden="1">{#N/A,#N/A,FALSE,"조골재"}</definedName>
    <definedName name="ㅅㄷ" hidden="1">{"'Sheet1'!$L$16"}</definedName>
    <definedName name="ㅅㄷ_1" hidden="1">{"'Sheet1'!$L$16"}</definedName>
    <definedName name="ㅅㄷ_2" hidden="1">{"'Sheet1'!$L$16"}</definedName>
    <definedName name="ㅅㅅ" hidden="1">{"LKD",#N/A,FALSE,"표지"}</definedName>
    <definedName name="ㅅㅅㅅㅅㅅ" hidden="1">{"'장비'!$A$3:$M$12"}</definedName>
    <definedName name="ㅅㅅㅅㅅㅅ_1" hidden="1">{"'장비'!$A$3:$M$12"}</definedName>
    <definedName name="ㅅㅅㅅㅅㅅ_2" hidden="1">{"'장비'!$A$3:$M$12"}</definedName>
    <definedName name="사">#REF!</definedName>
    <definedName name="사랑" hidden="1">#REF!</definedName>
    <definedName name="사무임차1" hidden="1">#REF!</definedName>
    <definedName name="사석채움면적산출" hidden="1">{#N/A,#N/A,FALSE,"2~8번"}</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2" hidden="1">{#N/A,#N/A,FALSE,"손익표지";#N/A,#N/A,FALSE,"손익계산";#N/A,#N/A,FALSE,"일반관리비";#N/A,#N/A,FALSE,"영업외수익";#N/A,#N/A,FALSE,"영업외비용";#N/A,#N/A,FALSE,"매출액";#N/A,#N/A,FALSE,"요약손익";#N/A,#N/A,FALSE,"요약대차";#N/A,#N/A,FALSE,"매출채권현황";#N/A,#N/A,FALSE,"매출채권명세"}</definedName>
    <definedName name="사업현황" hidden="1">{#N/A,#N/A,FALSE,"TABLE"}</definedName>
    <definedName name="사용" hidden="1">{#N/A,#N/A,FALSE,"자재비 (2)";#N/A,#N/A,FALSE,"공사비 (2)";#N/A,#N/A,FALSE,"설계외주비";#N/A,#N/A,FALSE,"노무비";#N/A,#N/A,FALSE,"기계장치비";#N/A,#N/A,FALSE,"경비"}</definedName>
    <definedName name="사진">#REF!</definedName>
    <definedName name="산출" hidden="1">#REF!</definedName>
    <definedName name="산출근거" hidden="1">{#N/A,#N/A,FALSE,"속도"}</definedName>
    <definedName name="삼수내역" hidden="1">{#N/A,#N/A,FALSE,"현장 NCR 분석";#N/A,#N/A,FALSE,"현장품질감사";#N/A,#N/A,FALSE,"현장품질감사"}</definedName>
    <definedName name="상" hidden="1">{#N/A,#N/A,FALSE,"부대2"}</definedName>
    <definedName name="상각비2" hidden="1">#REF!</definedName>
    <definedName name="상품" hidden="1">#REF!</definedName>
    <definedName name="상하이IIP" hidden="1">{#N/A,#N/A,FALSE,"예상손익";#N/A,#N/A,FALSE,"관리분석";#N/A,#N/A,FALSE,"장비분석";#N/A,#N/A,FALSE,"준설분석";#N/A,#N/A,FALSE,"철구분석"}</definedName>
    <definedName name="새로" hidden="1">#REF!</definedName>
    <definedName name="새안" hidden="1">{#N/A,#N/A,FALSE,"TABLE"}</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샘풀카피" hidden="1">{#N/A,#N/A,FALSE,"CCTV"}</definedName>
    <definedName name="샘풀카피_1" hidden="1">{#N/A,#N/A,FALSE,"CCTV"}</definedName>
    <definedName name="샘풀카피_2" hidden="1">{#N/A,#N/A,FALSE,"CCTV"}</definedName>
    <definedName name="샘플카피2" hidden="1">{#N/A,#N/A,FALSE,"CCTV"}</definedName>
    <definedName name="샘플카피2_1" hidden="1">{#N/A,#N/A,FALSE,"CCTV"}</definedName>
    <definedName name="샘플카피2_2" hidden="1">{#N/A,#N/A,FALSE,"CCTV"}</definedName>
    <definedName name="샘플카피3" hidden="1">{#N/A,#N/A,FALSE,"CCTV"}</definedName>
    <definedName name="샘플카피3_1" hidden="1">{#N/A,#N/A,FALSE,"CCTV"}</definedName>
    <definedName name="샘플카피3_2" hidden="1">{#N/A,#N/A,FALSE,"CCTV"}</definedName>
    <definedName name="생활2합리화" hidden="1">{#N/A,#N/A,FALSE,"96자동차사 계획";#N/A,#N/A,FALSE,"96자동차사 계획"}</definedName>
    <definedName name="생활합리화" hidden="1">{#N/A,#N/A,FALSE,"96자동차사 계획";#N/A,#N/A,FALSE,"96자동차사 계획"}</definedName>
    <definedName name="서" hidden="1">{#N/A,#N/A,FALSE,"토공2"}</definedName>
    <definedName name="석항" hidden="1">{#N/A,#N/A,FALSE,"명세표"}</definedName>
    <definedName name="석항_1" hidden="1">{#N/A,#N/A,FALSE,"명세표"}</definedName>
    <definedName name="석항_2" hidden="1">{#N/A,#N/A,FALSE,"명세표"}</definedName>
    <definedName name="설" hidden="1">{#N/A,#N/A,TRUE,"총괄"}</definedName>
    <definedName name="설계_토목_2차" hidden="1">{#N/A,#N/A,FALSE,"토공2"}</definedName>
    <definedName name="설계_토목_3차" hidden="1">{#N/A,#N/A,FALSE,"부대1"}</definedName>
    <definedName name="설계설명" hidden="1">#REF!</definedName>
    <definedName name="설계속도">#REF!</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서" hidden="1">{#N/A,#N/A,FALSE,"현장 NCR 분석";#N/A,#N/A,FALSE,"현장품질감사";#N/A,#N/A,FALSE,"현장품질감사"}</definedName>
    <definedName name="설변" hidden="1">{#N/A,#N/A,TRUE,"총괄"}</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모비">#REF!</definedName>
    <definedName name="소솟" hidden="1">#REF!</definedName>
    <definedName name="소연" hidden="1">{"LKD",#N/A,FALSE,"표지"}</definedName>
    <definedName name="소요현황2" hidden="1">#REF!</definedName>
    <definedName name="소켓무게">#REF!</definedName>
    <definedName name="손영주" hidden="1">{#N/A,#N/A,FALSE,"조골재"}</definedName>
    <definedName name="손익계산서" hidden="1">#REF!</definedName>
    <definedName name="손익사업계획" hidden="1">{#N/A,#N/A,FALSE,"회선임차현황"}</definedName>
    <definedName name="쇼ㅗㅎ로" hidden="1">{"'장비'!$A$3:$M$12"}</definedName>
    <definedName name="쇼ㅗㅎ로_1" hidden="1">{"'장비'!$A$3:$M$12"}</definedName>
    <definedName name="쇼ㅗㅎ로_2" hidden="1">{"'장비'!$A$3:$M$12"}</definedName>
    <definedName name="수" hidden="1">{#N/A,#N/A,TRUE,"Basic";#N/A,#N/A,TRUE,"EXT-TABLE";#N/A,#N/A,TRUE,"STEEL";#N/A,#N/A,TRUE,"INT-Table";#N/A,#N/A,TRUE,"STEEL";#N/A,#N/A,TRUE,"Door"}</definedName>
    <definedName name="수_1" hidden="1">{#N/A,#N/A,TRUE,"Basic";#N/A,#N/A,TRUE,"EXT-TABLE";#N/A,#N/A,TRUE,"STEEL";#N/A,#N/A,TRUE,"INT-Table";#N/A,#N/A,TRUE,"STEEL";#N/A,#N/A,TRUE,"Door"}</definedName>
    <definedName name="수_2"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2_1" hidden="1">{#N/A,#N/A,TRUE,"LOADCOVE";#N/A,#N/A,TRUE,"PAGE001";#N/A,#N/A,TRUE,"PAGE002";#N/A,#N/A,TRUE,"PAGE003";#N/A,#N/A,TRUE,"PAGE004";#N/A,#N/A,TRUE,"PAGE005";#N/A,#N/A,TRUE,"PAGE006";#N/A,#N/A,TRUE,"PAGE007";#N/A,#N/A,TRUE,"PAGE008";#N/A,#N/A,TRUE,"PAGE009";#N/A,#N/A,TRUE,"PAGE010";#N/A,#N/A,TRUE,"PAGE011";#N/A,#N/A,TRUE,"PAGE012";#N/A,#N/A,TRUE,"PAGE013"}</definedName>
    <definedName name="수2_2" hidden="1">{#N/A,#N/A,TRUE,"LOADCOVE";#N/A,#N/A,TRUE,"PAGE001";#N/A,#N/A,TRUE,"PAGE002";#N/A,#N/A,TRUE,"PAGE003";#N/A,#N/A,TRUE,"PAGE004";#N/A,#N/A,TRUE,"PAGE005";#N/A,#N/A,TRUE,"PAGE006";#N/A,#N/A,TRUE,"PAGE007";#N/A,#N/A,TRUE,"PAGE008";#N/A,#N/A,TRUE,"PAGE009";#N/A,#N/A,TRUE,"PAGE010";#N/A,#N/A,TRUE,"PAGE011";#N/A,#N/A,TRUE,"PAGE012";#N/A,#N/A,TRUE,"PAGE013"}</definedName>
    <definedName name="수당" hidden="1">#N/A</definedName>
    <definedName name="수량">#REF!</definedName>
    <definedName name="수식입력매크로">#REF!</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_1" hidden="1">{#N/A,#N/A,TRUE,"LOADCOVE";#N/A,#N/A,TRUE,"PAGE001";#N/A,#N/A,TRUE,"PAGE002";#N/A,#N/A,TRUE,"PAGE003";#N/A,#N/A,TRUE,"PAGE004";#N/A,#N/A,TRUE,"PAGE005";#N/A,#N/A,TRUE,"PAGE006";#N/A,#N/A,TRUE,"PAGE007";#N/A,#N/A,TRUE,"PAGE008";#N/A,#N/A,TRUE,"PAGE009";#N/A,#N/A,TRUE,"PAGE010";#N/A,#N/A,TRUE,"PAGE011";#N/A,#N/A,TRUE,"PAGE012";#N/A,#N/A,TRUE,"PAGE013"}</definedName>
    <definedName name="수익_2" hidden="1">{#N/A,#N/A,TRUE,"LOADCOVE";#N/A,#N/A,TRUE,"PAGE001";#N/A,#N/A,TRUE,"PAGE002";#N/A,#N/A,TRUE,"PAGE003";#N/A,#N/A,TRUE,"PAGE004";#N/A,#N/A,TRUE,"PAGE005";#N/A,#N/A,TRUE,"PAGE006";#N/A,#N/A,TRUE,"PAGE007";#N/A,#N/A,TRUE,"PAGE008";#N/A,#N/A,TRUE,"PAGE009";#N/A,#N/A,TRUE,"PAGE010";#N/A,#N/A,TRUE,"PAGE011";#N/A,#N/A,TRUE,"PAGE012";#N/A,#N/A,TRUE,"PAGE013"}</definedName>
    <definedName name="수정" hidden="1">{"'장비'!$A$3:$M$12"}</definedName>
    <definedName name="수주" hidden="1">{"LKD",#N/A,FALSE,"표지"}</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이월_1" hidden="1">{#N/A,#N/A,TRUE,"LOADCOVE";#N/A,#N/A,TRUE,"PAGE001";#N/A,#N/A,TRUE,"PAGE002";#N/A,#N/A,TRUE,"PAGE003";#N/A,#N/A,TRUE,"PAGE004";#N/A,#N/A,TRUE,"PAGE005";#N/A,#N/A,TRUE,"PAGE006";#N/A,#N/A,TRUE,"PAGE007";#N/A,#N/A,TRUE,"PAGE008";#N/A,#N/A,TRUE,"PAGE009";#N/A,#N/A,TRUE,"PAGE010";#N/A,#N/A,TRUE,"PAGE011";#N/A,#N/A,TRUE,"PAGE012";#N/A,#N/A,TRUE,"PAGE013"}</definedName>
    <definedName name="수주이월_2" hidden="1">{#N/A,#N/A,TRUE,"LOADCOVE";#N/A,#N/A,TRUE,"PAGE001";#N/A,#N/A,TRUE,"PAGE002";#N/A,#N/A,TRUE,"PAGE003";#N/A,#N/A,TRUE,"PAGE004";#N/A,#N/A,TRUE,"PAGE005";#N/A,#N/A,TRUE,"PAGE006";#N/A,#N/A,TRUE,"PAGE007";#N/A,#N/A,TRUE,"PAGE008";#N/A,#N/A,TRUE,"PAGE009";#N/A,#N/A,TRUE,"PAGE010";#N/A,#N/A,TRUE,"PAGE011";#N/A,#N/A,TRUE,"PAGE012";#N/A,#N/A,TRUE,"PAGE013"}</definedName>
    <definedName name="수처리" hidden="1">#REF!</definedName>
    <definedName name="순서" hidden="1">#REF!</definedName>
    <definedName name="스케줄보고_PM" hidden="1">{"'CATALO(8)'!$B$1:$G$49"}</definedName>
    <definedName name="승용교" hidden="1">{#N/A,#N/A,FALSE,"2~8번"}</definedName>
    <definedName name="승용교_1" hidden="1">{#N/A,#N/A,FALSE,"2~8번"}</definedName>
    <definedName name="승용교_2" hidden="1">{#N/A,#N/A,FALSE,"2~8번"}</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실적_1" hidden="1">{#N/A,#N/A,TRUE,"LOADCOVE";#N/A,#N/A,TRUE,"PAGE001";#N/A,#N/A,TRUE,"PAGE002";#N/A,#N/A,TRUE,"PAGE003";#N/A,#N/A,TRUE,"PAGE004";#N/A,#N/A,TRUE,"PAGE005";#N/A,#N/A,TRUE,"PAGE006";#N/A,#N/A,TRUE,"PAGE007";#N/A,#N/A,TRUE,"PAGE008";#N/A,#N/A,TRUE,"PAGE009";#N/A,#N/A,TRUE,"PAGE010";#N/A,#N/A,TRUE,"PAGE011";#N/A,#N/A,TRUE,"PAGE012";#N/A,#N/A,TRUE,"PAGE013"}</definedName>
    <definedName name="시설실적_2" hidden="1">{#N/A,#N/A,TRUE,"LOADCOVE";#N/A,#N/A,TRUE,"PAGE001";#N/A,#N/A,TRUE,"PAGE002";#N/A,#N/A,TRUE,"PAGE003";#N/A,#N/A,TRUE,"PAGE004";#N/A,#N/A,TRUE,"PAGE005";#N/A,#N/A,TRUE,"PAGE006";#N/A,#N/A,TRUE,"PAGE007";#N/A,#N/A,TRUE,"PAGE008";#N/A,#N/A,TRUE,"PAGE009";#N/A,#N/A,TRUE,"PAGE010";#N/A,#N/A,TRUE,"PAGE011";#N/A,#N/A,TRUE,"PAGE012";#N/A,#N/A,TRUE,"PAGE013"}</definedName>
    <definedName name="신설" hidden="1">{#N/A,#N/A,FALSE,"명세표"}</definedName>
    <definedName name="신설_1" hidden="1">{#N/A,#N/A,FALSE,"명세표"}</definedName>
    <definedName name="신설_2" hidden="1">{#N/A,#N/A,FALSE,"명세표"}</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_1" hidden="1">{#N/A,#N/A,TRUE,"LOADCOVE";#N/A,#N/A,TRUE,"PAGE001";#N/A,#N/A,TRUE,"PAGE002";#N/A,#N/A,TRUE,"PAGE003";#N/A,#N/A,TRUE,"PAGE004";#N/A,#N/A,TRUE,"PAGE005";#N/A,#N/A,TRUE,"PAGE006";#N/A,#N/A,TRUE,"PAGE007";#N/A,#N/A,TRUE,"PAGE008";#N/A,#N/A,TRUE,"PAGE009";#N/A,#N/A,TRUE,"PAGE010";#N/A,#N/A,TRUE,"PAGE011";#N/A,#N/A,TRUE,"PAGE012";#N/A,#N/A,TRUE,"PAGE013"}</definedName>
    <definedName name="실적_2"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2_1" hidden="1">{#N/A,#N/A,TRUE,"LOADCOVE";#N/A,#N/A,TRUE,"PAGE001";#N/A,#N/A,TRUE,"PAGE002";#N/A,#N/A,TRUE,"PAGE003";#N/A,#N/A,TRUE,"PAGE004";#N/A,#N/A,TRUE,"PAGE005";#N/A,#N/A,TRUE,"PAGE006";#N/A,#N/A,TRUE,"PAGE007";#N/A,#N/A,TRUE,"PAGE008";#N/A,#N/A,TRUE,"PAGE009";#N/A,#N/A,TRUE,"PAGE010";#N/A,#N/A,TRUE,"PAGE011";#N/A,#N/A,TRUE,"PAGE012";#N/A,#N/A,TRUE,"PAGE013"}</definedName>
    <definedName name="실적2_2" hidden="1">{#N/A,#N/A,TRUE,"LOADCOVE";#N/A,#N/A,TRUE,"PAGE001";#N/A,#N/A,TRUE,"PAGE002";#N/A,#N/A,TRUE,"PAGE003";#N/A,#N/A,TRUE,"PAGE004";#N/A,#N/A,TRUE,"PAGE005";#N/A,#N/A,TRUE,"PAGE006";#N/A,#N/A,TRUE,"PAGE007";#N/A,#N/A,TRUE,"PAGE008";#N/A,#N/A,TRUE,"PAGE009";#N/A,#N/A,TRUE,"PAGE010";#N/A,#N/A,TRUE,"PAGE011";#N/A,#N/A,TRUE,"PAGE012";#N/A,#N/A,TRUE,"PAGE013"}</definedName>
    <definedName name="실적총괄1" hidden="1">#REF!</definedName>
    <definedName name="실총" hidden="1">#REF!</definedName>
    <definedName name="실행2" hidden="1">{#N/A,#N/A,FALSE,"현장 NCR 분석";#N/A,#N/A,FALSE,"현장품질감사";#N/A,#N/A,FALSE,"현장품질감사"}</definedName>
    <definedName name="실행내역" hidden="1">{#N/A,#N/A,FALSE,"부대1"}</definedName>
    <definedName name="실행수정" hidden="1">{#N/A,#N/A,FALSE,"현장 NCR 분석";#N/A,#N/A,FALSE,"현장품질감사";#N/A,#N/A,FALSE,"현장품질감사"}</definedName>
    <definedName name="실행추" hidden="1">{#N/A,#N/A,FALSE,"포장2"}</definedName>
    <definedName name="실행현장" hidden="1">{#N/A,#N/A,FALSE,"CCTV"}</definedName>
    <definedName name="ㅇ" hidden="1">{#N/A,#N/A,FALSE,"회선임차현황"}</definedName>
    <definedName name="ㅇㄱ1">#REF!</definedName>
    <definedName name="ㅇㄴ" hidden="1">{#N/A,#N/A,FALSE,"구조2"}</definedName>
    <definedName name="ㅇㄴㄹ" hidden="1">{#N/A,#N/A,FALSE,"Sheet1"}</definedName>
    <definedName name="ㅇㄴㄹㄹㄴㄹㄹ" hidden="1">{#N/A,#N/A,FALSE,"운반시간"}</definedName>
    <definedName name="ㅇㄴㄻ" hidden="1">{#N/A,#N/A,FALSE,"표지목차"}</definedName>
    <definedName name="ㅇㄴㄻㄴㅇ" hidden="1">{#N/A,#N/A,FALSE,"표지목차"}</definedName>
    <definedName name="ㅇㄴㄿ" hidden="1">{#N/A,#N/A,FALSE,"CCTV"}</definedName>
    <definedName name="ㅇㄴㅇㄴ" hidden="1">{#N/A,#N/A,FALSE,"포장2"}</definedName>
    <definedName name="ㅇㄴㅇㄴ_1" hidden="1">{#N/A,#N/A,FALSE,"포장2"}</definedName>
    <definedName name="ㅇㄴㅇㄴ_2" hidden="1">{#N/A,#N/A,FALSE,"포장2"}</definedName>
    <definedName name="ㅇㄷㄴㄶㅎ" hidden="1">{#N/A,#N/A,FALSE,"골재소요량";#N/A,#N/A,FALSE,"골재소요량"}</definedName>
    <definedName name="ㅇㄷㄴㄶㅎ_1" hidden="1">{#N/A,#N/A,FALSE,"골재소요량";#N/A,#N/A,FALSE,"골재소요량"}</definedName>
    <definedName name="ㅇㄷㄴㄶㅎ_2" hidden="1">{#N/A,#N/A,FALSE,"골재소요량";#N/A,#N/A,FALSE,"골재소요량"}</definedName>
    <definedName name="ㅇㄹ" hidden="1">{#N/A,#N/A,FALSE,"조골재"}</definedName>
    <definedName name="ㅇㄹㄴㅁㄹㅇ" hidden="1">{#N/A,#N/A,FALSE,"CCTV"}</definedName>
    <definedName name="ㅇㄹㄹ" hidden="1">#REF!</definedName>
    <definedName name="ㅇㄹㄹㅇ" hidden="1">{#N/A,#N/A,FALSE,"2~8번"}</definedName>
    <definedName name="ㅇㄹㅇ" hidden="1">{#N/A,#N/A,FALSE,"운반시간"}</definedName>
    <definedName name="ㅇㄹㅇㄹ" hidden="1">{#N/A,#N/A,FALSE,"골재소요량";#N/A,#N/A,FALSE,"골재소요량"}</definedName>
    <definedName name="ㅇ롤옹롤ㅇ" hidden="1">{#N/A,#N/A,FALSE,"운반시간"}</definedName>
    <definedName name="ㅇ롤옹롤ㅇ_1" hidden="1">{#N/A,#N/A,FALSE,"운반시간"}</definedName>
    <definedName name="ㅇ롤옹롤ㅇ_2" hidden="1">{#N/A,#N/A,FALSE,"운반시간"}</definedName>
    <definedName name="ㅇㄻㄴ" hidden="1">{#N/A,#N/A,FALSE,"골재소요량";#N/A,#N/A,FALSE,"골재소요량"}</definedName>
    <definedName name="ㅇㄻㅇㄻㄴㄹ" hidden="1">{#N/A,#N/A,FALSE,"단가표지"}</definedName>
    <definedName name="ㅇㅀㅁㅇㅁㅇ" hidden="1">{#N/A,#N/A,FALSE,"단가표지"}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hidden="1">{#N/A,#N/A,FALSE,"CCTV"}</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{#N/A,#N/A,FALSE,"조골재"}</definedName>
    <definedName name="ㅇㅇㅇㅇㅇㅇㅇㅇㅇㅇ" hidden="1">{#N/A,#N/A,FALSE,"골재소요량";#N/A,#N/A,FALSE,"골재소요량"}</definedName>
    <definedName name="ㅇ호" hidden="1">{#N/A,#N/A,FALSE,"혼합골재"}</definedName>
    <definedName name="아">#REF!</definedName>
    <definedName name="아니오" hidden="1">{#N/A,#N/A,FALSE,"단가표지"}</definedName>
    <definedName name="아스콘깨기" hidden="1">{#N/A,#N/A,FALSE,"골재소요량";#N/A,#N/A,FALSE,"골재소요량"}</definedName>
    <definedName name="아스팔트">#REF!</definedName>
    <definedName name="안" hidden="1">{#N/A,#N/A,FALSE,"포장2"}</definedName>
    <definedName name="안_1" hidden="1">{#N/A,#N/A,FALSE,"포장2"}</definedName>
    <definedName name="안_2" hidden="1">{#N/A,#N/A,FALSE,"포장2"}</definedName>
    <definedName name="안전관리비세부내역" hidden="1">{#N/A,#N/A,FALSE,"CCTV"}</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hidden="1">{#N/A,#N/A,FALSE,"배수1"}</definedName>
    <definedName name="야_1" hidden="1">{#N/A,#N/A,FALSE,"배수1"}</definedName>
    <definedName name="야_2" hidden="1">{#N/A,#N/A,FALSE,"배수1"}</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3_1" hidden="1">{#N/A,#N/A,TRUE,"LOADCOVE";#N/A,#N/A,TRUE,"PAGE001";#N/A,#N/A,TRUE,"PAGE002";#N/A,#N/A,TRUE,"PAGE003";#N/A,#N/A,TRUE,"PAGE004";#N/A,#N/A,TRUE,"PAGE005";#N/A,#N/A,TRUE,"PAGE006";#N/A,#N/A,TRUE,"PAGE007";#N/A,#N/A,TRUE,"PAGE008";#N/A,#N/A,TRUE,"PAGE009";#N/A,#N/A,TRUE,"PAGE010";#N/A,#N/A,TRUE,"PAGE011";#N/A,#N/A,TRUE,"PAGE012";#N/A,#N/A,TRUE,"PAGE013"}</definedName>
    <definedName name="양식3_2"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4_1" hidden="1">{#N/A,#N/A,TRUE,"LOADCOVE";#N/A,#N/A,TRUE,"PAGE001";#N/A,#N/A,TRUE,"PAGE002";#N/A,#N/A,TRUE,"PAGE003";#N/A,#N/A,TRUE,"PAGE004";#N/A,#N/A,TRUE,"PAGE005";#N/A,#N/A,TRUE,"PAGE006";#N/A,#N/A,TRUE,"PAGE007";#N/A,#N/A,TRUE,"PAGE008";#N/A,#N/A,TRUE,"PAGE009";#N/A,#N/A,TRUE,"PAGE010";#N/A,#N/A,TRUE,"PAGE011";#N/A,#N/A,TRUE,"PAGE012";#N/A,#N/A,TRUE,"PAGE013"}</definedName>
    <definedName name="양식4_2" hidden="1">{#N/A,#N/A,TRUE,"LOADCOVE";#N/A,#N/A,TRUE,"PAGE001";#N/A,#N/A,TRUE,"PAGE002";#N/A,#N/A,TRUE,"PAGE003";#N/A,#N/A,TRUE,"PAGE004";#N/A,#N/A,TRUE,"PAGE005";#N/A,#N/A,TRUE,"PAGE006";#N/A,#N/A,TRUE,"PAGE007";#N/A,#N/A,TRUE,"PAGE008";#N/A,#N/A,TRUE,"PAGE009";#N/A,#N/A,TRUE,"PAGE010";#N/A,#N/A,TRUE,"PAGE011";#N/A,#N/A,TRUE,"PAGE012";#N/A,#N/A,TRUE,"PAGE013"}</definedName>
    <definedName name="어" hidden="1">{#N/A,#N/A,FALSE,"2~8번"}</definedName>
    <definedName name="억이상" hidden="1">{#N/A,#N/A,FALSE,"2~8번"}</definedName>
    <definedName name="업" hidden="1">{#N/A,#N/A,FALSE,"단가표지"}</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어_1" hidden="1">{#N/A,#N/A,TRUE,"LOADCOVE";#N/A,#N/A,TRUE,"PAGE001";#N/A,#N/A,TRUE,"PAGE002";#N/A,#N/A,TRUE,"PAGE003";#N/A,#N/A,TRUE,"PAGE004";#N/A,#N/A,TRUE,"PAGE005";#N/A,#N/A,TRUE,"PAGE006";#N/A,#N/A,TRUE,"PAGE007";#N/A,#N/A,TRUE,"PAGE008";#N/A,#N/A,TRUE,"PAGE009";#N/A,#N/A,TRUE,"PAGE010";#N/A,#N/A,TRUE,"PAGE011";#N/A,#N/A,TRUE,"PAGE012";#N/A,#N/A,TRUE,"PAGE013"}</definedName>
    <definedName name="영어_2" hidden="1">{#N/A,#N/A,TRUE,"LOADCOVE";#N/A,#N/A,TRUE,"PAGE001";#N/A,#N/A,TRUE,"PAGE002";#N/A,#N/A,TRUE,"PAGE003";#N/A,#N/A,TRUE,"PAGE004";#N/A,#N/A,TRUE,"PAGE005";#N/A,#N/A,TRUE,"PAGE006";#N/A,#N/A,TRUE,"PAGE007";#N/A,#N/A,TRUE,"PAGE008";#N/A,#N/A,TRUE,"PAGE009";#N/A,#N/A,TRUE,"PAGE010";#N/A,#N/A,TRUE,"PAGE011";#N/A,#N/A,TRUE,"PAGE012";#N/A,#N/A,TRUE,"PAGE013"}</definedName>
    <definedName name="영업외비용" hidden="1">#REF!</definedName>
    <definedName name="옹" hidden="1">{#N/A,#N/A,FALSE,"골재소요량";#N/A,#N/A,FALSE,"골재소요량"}</definedName>
    <definedName name="옹_1" hidden="1">{#N/A,#N/A,FALSE,"골재소요량";#N/A,#N/A,FALSE,"골재소요량"}</definedName>
    <definedName name="옹_2" hidden="1">{#N/A,#N/A,FALSE,"골재소요량";#N/A,#N/A,FALSE,"골재소요량"}</definedName>
    <definedName name="옹벽" hidden="1">{#N/A,#N/A,FALSE,"혼합골재"}</definedName>
    <definedName name="옹벽_1" hidden="1">{#N/A,#N/A,FALSE,"혼합골재"}</definedName>
    <definedName name="옹벽_2" hidden="1">{#N/A,#N/A,FALSE,"혼합골재"}</definedName>
    <definedName name="옹벽단위수량" hidden="1">{#N/A,#N/A,FALSE,"혼합골재"}</definedName>
    <definedName name="옹벽수량집계표" hidden="1">{#N/A,#N/A,FALSE,"2~8번"}</definedName>
    <definedName name="옹벽수량집계표_1" hidden="1">{#N/A,#N/A,FALSE,"2~8번"}</definedName>
    <definedName name="옹벽수량집계표_2" hidden="1">{#N/A,#N/A,FALSE,"2~8번"}</definedName>
    <definedName name="옹벽수량집계표총괄" hidden="1">{#N/A,#N/A,FALSE,"혼합골재"}</definedName>
    <definedName name="옹벽수량집계표총괄_1" hidden="1">{#N/A,#N/A,FALSE,"혼합골재"}</definedName>
    <definedName name="옹벽수량집계표총괄_2" hidden="1">{#N/A,#N/A,FALSE,"혼합골재"}</definedName>
    <definedName name="왜" hidden="1">{#N/A,#N/A,FALSE,"배수2"}</definedName>
    <definedName name="왜_1" hidden="1">{#N/A,#N/A,FALSE,"배수2"}</definedName>
    <definedName name="왜_2" hidden="1">{#N/A,#N/A,FALSE,"배수2"}</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업구조LOAD_1" hidden="1">{#N/A,#N/A,TRUE,"LOADCOVE";#N/A,#N/A,TRUE,"PAGE001";#N/A,#N/A,TRUE,"PAGE002";#N/A,#N/A,TRUE,"PAGE003";#N/A,#N/A,TRUE,"PAGE004";#N/A,#N/A,TRUE,"PAGE005";#N/A,#N/A,TRUE,"PAGE006";#N/A,#N/A,TRUE,"PAGE007";#N/A,#N/A,TRUE,"PAGE008";#N/A,#N/A,TRUE,"PAGE009";#N/A,#N/A,TRUE,"PAGE010";#N/A,#N/A,TRUE,"PAGE011";#N/A,#N/A,TRUE,"PAGE012";#N/A,#N/A,TRUE,"PAGE013"}</definedName>
    <definedName name="외업구조LOAD_2" hidden="1">{#N/A,#N/A,TRUE,"LOADCOVE";#N/A,#N/A,TRUE,"PAGE001";#N/A,#N/A,TRUE,"PAGE002";#N/A,#N/A,TRUE,"PAGE003";#N/A,#N/A,TRUE,"PAGE004";#N/A,#N/A,TRUE,"PAGE005";#N/A,#N/A,TRUE,"PAGE006";#N/A,#N/A,TRUE,"PAGE007";#N/A,#N/A,TRUE,"PAGE008";#N/A,#N/A,TRUE,"PAGE009";#N/A,#N/A,TRUE,"PAGE010";#N/A,#N/A,TRUE,"PAGE011";#N/A,#N/A,TRUE,"PAGE012";#N/A,#N/A,TRUE,"PAGE013"}</definedName>
    <definedName name="외주의뢰1" hidden="1">#REF!</definedName>
    <definedName name="용인ㅇㅇ" hidden="1">{#N/A,#N/A,FALSE,"현장 NCR 분석";#N/A,#N/A,FALSE,"현장품질감사";#N/A,#N/A,FALSE,"현장품질감사"}</definedName>
    <definedName name="우리" hidden="1">{#N/A,#N/A,FALSE,"CCTV"}</definedName>
    <definedName name="우오수공" hidden="1">{#N/A,#N/A,FALSE,"기안지";#N/A,#N/A,FALSE,"통신지"}</definedName>
    <definedName name="우회도로" hidden="1">{#N/A,#N/A,FALSE,"현장 NCR 분석";#N/A,#N/A,FALSE,"현장품질감사";#N/A,#N/A,FALSE,"현장품질감사"}</definedName>
    <definedName name="우ㅗ홓ㅇ" hidden="1">{#N/A,#N/A,FALSE,"조골재"}</definedName>
    <definedName name="원가">#REF!</definedName>
    <definedName name="원가1">#REF!</definedName>
    <definedName name="원가계산서" hidden="1">0</definedName>
    <definedName name="원가내역서총괄표" hidden="1">{#N/A,#N/A,FALSE,"CCTV"}</definedName>
    <definedName name="월별계획" hidden="1">{#N/A,#N/A,FALSE,"현장 NCR 분석";#N/A,#N/A,FALSE,"현장품질감사";#N/A,#N/A,FALSE,"현장품질감사"}</definedName>
    <definedName name="유형자산" hidden="1">{"LKD",#N/A,FALSE,"표지"}</definedName>
    <definedName name="유희정" hidden="1">{#N/A,#N/A,FALSE,"골재소요량";#N/A,#N/A,FALSE,"골재소요량"}</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_1" hidden="1">{#N/A,#N/A,TRUE,"LOADCOVE";#N/A,#N/A,TRUE,"PAGE001";#N/A,#N/A,TRUE,"PAGE002";#N/A,#N/A,TRUE,"PAGE003";#N/A,#N/A,TRUE,"PAGE004";#N/A,#N/A,TRUE,"PAGE005";#N/A,#N/A,TRUE,"PAGE006";#N/A,#N/A,TRUE,"PAGE007";#N/A,#N/A,TRUE,"PAGE008";#N/A,#N/A,TRUE,"PAGE009";#N/A,#N/A,TRUE,"PAGE010";#N/A,#N/A,TRUE,"PAGE011";#N/A,#N/A,TRUE,"PAGE012";#N/A,#N/A,TRUE,"PAGE013"}</definedName>
    <definedName name="육상_2" hidden="1">{#N/A,#N/A,TRUE,"LOADCOVE";#N/A,#N/A,TRUE,"PAGE001";#N/A,#N/A,TRUE,"PAGE002";#N/A,#N/A,TRUE,"PAGE003";#N/A,#N/A,TRUE,"PAGE004";#N/A,#N/A,TRUE,"PAGE005";#N/A,#N/A,TRUE,"PAGE006";#N/A,#N/A,TRUE,"PAGE007";#N/A,#N/A,TRUE,"PAGE008";#N/A,#N/A,TRUE,"PAGE009";#N/A,#N/A,TRUE,"PAGE010";#N/A,#N/A,TRUE,"PAGE011";#N/A,#N/A,TRUE,"PAGE012";#N/A,#N/A,TRUE,"PAGE013"}</definedName>
    <definedName name="은" hidden="1">{#N/A,#N/A,FALSE,"구조2"}</definedName>
    <definedName name="은_1" hidden="1">{#N/A,#N/A,FALSE,"구조2"}</definedName>
    <definedName name="은_2" hidden="1">{#N/A,#N/A,FALSE,"구조2"}</definedName>
    <definedName name="의" hidden="1">{#N/A,#N/A,FALSE,"운반시간"}</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1" hidden="1">{#N/A,#N/A,FALSE,"명세표"}</definedName>
    <definedName name="이_2" hidden="1">{#N/A,#N/A,FALSE,"명세표"}</definedName>
    <definedName name="이금모" hidden="1">{"LKD",#N/A,FALSE,"표지"}</definedName>
    <definedName name="이론" hidden="1">{#N/A,#N/A,FALSE,"속도"}</definedName>
    <definedName name="이론_1" hidden="1">{#N/A,#N/A,FALSE,"속도"}</definedName>
    <definedName name="이론_2" hidden="1">{#N/A,#N/A,FALSE,"속도"}</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릉" hidden="1">#REF!</definedName>
    <definedName name="이승연" hidden="1">{#N/A,#N/A,FALSE,"부대1"}</definedName>
    <definedName name="이승연_1" hidden="1">{#N/A,#N/A,FALSE,"부대1"}</definedName>
    <definedName name="이승연_2" hidden="1">{#N/A,#N/A,FALSE,"부대1"}</definedName>
    <definedName name="이월" hidden="1">#REF!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{#N/A,#N/A,FALSE,"2~8번"}</definedName>
    <definedName name="이정_1" hidden="1">{#N/A,#N/A,FALSE,"2~8번"}</definedName>
    <definedName name="이정_2" hidden="1">{#N/A,#N/A,FALSE,"2~8번"}</definedName>
    <definedName name="이정균" hidden="1">{#N/A,#N/A,TRUE,"Basic";#N/A,#N/A,TRUE,"EXT-TABLE";#N/A,#N/A,TRUE,"STEEL";#N/A,#N/A,TRUE,"INT-Table";#N/A,#N/A,TRUE,"STEEL";#N/A,#N/A,TRUE,"Door"}</definedName>
    <definedName name="이형관">#REF!</definedName>
    <definedName name="인건비사용" hidden="1">{#N/A,#N/A,FALSE,"자재비 (2)";#N/A,#N/A,FALSE,"공사비 (2)";#N/A,#N/A,FALSE,"설계외주비";#N/A,#N/A,FALSE,"노무비";#N/A,#N/A,FALSE,"기계장치비";#N/A,#N/A,FALSE,"경비"}</definedName>
    <definedName name="인건비사용내역" hidden="1">{#N/A,#N/A,FALSE,"자재비 (2)";#N/A,#N/A,FALSE,"공사비 (2)";#N/A,#N/A,FALSE,"설계외주비";#N/A,#N/A,FALSE,"노무비";#N/A,#N/A,FALSE,"기계장치비";#N/A,#N/A,FALSE,"경비"}</definedName>
    <definedName name="인건비사용내역결과" hidden="1">{#N/A,#N/A,FALSE,"자재비 (2)";#N/A,#N/A,FALSE,"공사비 (2)";#N/A,#N/A,FALSE,"설계외주비";#N/A,#N/A,FALSE,"노무비";#N/A,#N/A,FALSE,"기계장치비";#N/A,#N/A,FALSE,"경비"}</definedName>
    <definedName name="인구" hidden="1">#REF!</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2" hidden="1">{#N/A,#N/A,FALSE,"CCTV"}</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반부" hidden="1">{#N/A,#N/A,FALSE,"속도"}</definedName>
    <definedName name="일위3" hidden="1">{"'OVEN시방 '!$A$1:$C$11"}</definedName>
    <definedName name="일위규격매크로">#REF!</definedName>
    <definedName name="일위대가" hidden="1">{#N/A,#N/A,FALSE,"CCTV"}</definedName>
    <definedName name="일위대가_1" hidden="1">{#N/A,#N/A,FALSE,"CCTV"}</definedName>
    <definedName name="일위대가_2" hidden="1">{#N/A,#N/A,FALSE,"CCTV"}</definedName>
    <definedName name="일위코드입력매크로">#REF!</definedName>
    <definedName name="일위화면복귀매크로">#REF!</definedName>
    <definedName name="임금" hidden="1">#REF!</definedName>
    <definedName name="임영빈" hidden="1">{"'장비'!$A$3:$M$12"}</definedName>
    <definedName name="임직" hidden="1">#REF!</definedName>
    <definedName name="입" hidden="1">{#N/A,#N/A,FALSE,"전체집계표";#N/A,#N/A,FALSE,"안벽30000";#N/A,#N/A,FALSE,"안벽20000";#N/A,#N/A,FALSE,"내호안";#N/A,#N/A,FALSE,"외호안";#N/A,#N/A,FALSE,"준설토A";#N/A,#N/A,FALSE,"준설토B";#N/A,#N/A,FALSE,"적출장"}</definedName>
    <definedName name="입_1" hidden="1">{#N/A,#N/A,FALSE,"전체집계표";#N/A,#N/A,FALSE,"안벽30000";#N/A,#N/A,FALSE,"안벽20000";#N/A,#N/A,FALSE,"내호안";#N/A,#N/A,FALSE,"외호안";#N/A,#N/A,FALSE,"준설토A";#N/A,#N/A,FALSE,"준설토B";#N/A,#N/A,FALSE,"적출장"}</definedName>
    <definedName name="입_2"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적표_1" hidden="1">{#N/A,#N/A,FALSE,"전체집계표";#N/A,#N/A,FALSE,"안벽30000";#N/A,#N/A,FALSE,"안벽20000";#N/A,#N/A,FALSE,"내호안";#N/A,#N/A,FALSE,"외호안";#N/A,#N/A,FALSE,"준설토A";#N/A,#N/A,FALSE,"준설토B";#N/A,#N/A,FALSE,"적출장"}</definedName>
    <definedName name="입적표_2" hidden="1">{#N/A,#N/A,FALSE,"전체집계표";#N/A,#N/A,FALSE,"안벽30000";#N/A,#N/A,FALSE,"안벽20000";#N/A,#N/A,FALSE,"내호안";#N/A,#N/A,FALSE,"외호안";#N/A,#N/A,FALSE,"준설토A";#N/A,#N/A,FALSE,"준설토B";#N/A,#N/A,FALSE,"적출장"}</definedName>
    <definedName name="ㅈ">#REF!</definedName>
    <definedName name="ㅈㄱ" hidden="1">{#N/A,#N/A,FALSE,"조골재"}</definedName>
    <definedName name="ㅈ걋ㄷ" hidden="1">{#N/A,#N/A,FALSE,"CCTV"}</definedName>
    <definedName name="ㅈ구" hidden="1">{#N/A,#N/A,FALSE,"CCTV"}</definedName>
    <definedName name="ㅈ그" hidden="1">{#N/A,#N/A,FALSE,"CCTV"}</definedName>
    <definedName name="ㅈㅁ" hidden="1">{#N/A,#N/A,FALSE,"CCTV"}</definedName>
    <definedName name="ㅈㅈ" hidden="1">{"'장비'!$A$3:$M$12"}</definedName>
    <definedName name="ㅈㅈ_1" hidden="1">{"'장비'!$A$3:$M$12"}</definedName>
    <definedName name="ㅈㅈ_2" hidden="1">{"'장비'!$A$3:$M$12"}</definedName>
    <definedName name="ㅈㅈㅈ" hidden="1">{"LKD",#N/A,FALSE,"표지"}</definedName>
    <definedName name="ㅈㅈㅈㅈ" hidden="1">{#N/A,#N/A,FALSE,"표지목차"}</definedName>
    <definedName name="ㅈㅈㅈㅈㅈ" hidden="1">{"'장비'!$A$3:$M$12"}</definedName>
    <definedName name="ㅈㅈㅈㅈㅈ_1" hidden="1">{"'장비'!$A$3:$M$12"}</definedName>
    <definedName name="ㅈㅈㅈㅈㅈ_2" hidden="1">{"'장비'!$A$3:$M$12"}</definedName>
    <definedName name="자">#REF!</definedName>
    <definedName name="자미" hidden="1">{#N/A,#N/A,FALSE,"명세표"}</definedName>
    <definedName name="자미_1" hidden="1">{#N/A,#N/A,FALSE,"명세표"}</definedName>
    <definedName name="자미_2"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_1" hidden="1">{#N/A,#N/A,TRUE,"LOADCOVE";#N/A,#N/A,TRUE,"PAGE001";#N/A,#N/A,TRUE,"PAGE002";#N/A,#N/A,TRUE,"PAGE003";#N/A,#N/A,TRUE,"PAGE004";#N/A,#N/A,TRUE,"PAGE005";#N/A,#N/A,TRUE,"PAGE006";#N/A,#N/A,TRUE,"PAGE007";#N/A,#N/A,TRUE,"PAGE008";#N/A,#N/A,TRUE,"PAGE009";#N/A,#N/A,TRUE,"PAGE010";#N/A,#N/A,TRUE,"PAGE011";#N/A,#N/A,TRUE,"PAGE012";#N/A,#N/A,TRUE,"PAGE013"}</definedName>
    <definedName name="자산_2"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1_1" hidden="1">{#N/A,#N/A,TRUE,"LOADCOVE";#N/A,#N/A,TRUE,"PAGE001";#N/A,#N/A,TRUE,"PAGE002";#N/A,#N/A,TRUE,"PAGE003";#N/A,#N/A,TRUE,"PAGE004";#N/A,#N/A,TRUE,"PAGE005";#N/A,#N/A,TRUE,"PAGE006";#N/A,#N/A,TRUE,"PAGE007";#N/A,#N/A,TRUE,"PAGE008";#N/A,#N/A,TRUE,"PAGE009";#N/A,#N/A,TRUE,"PAGE010";#N/A,#N/A,TRUE,"PAGE011";#N/A,#N/A,TRUE,"PAGE012";#N/A,#N/A,TRUE,"PAGE013"}</definedName>
    <definedName name="자산1_2" hidden="1">{#N/A,#N/A,TRUE,"LOADCOVE";#N/A,#N/A,TRUE,"PAGE001";#N/A,#N/A,TRUE,"PAGE002";#N/A,#N/A,TRUE,"PAGE003";#N/A,#N/A,TRUE,"PAGE004";#N/A,#N/A,TRUE,"PAGE005";#N/A,#N/A,TRUE,"PAGE006";#N/A,#N/A,TRUE,"PAGE007";#N/A,#N/A,TRUE,"PAGE008";#N/A,#N/A,TRUE,"PAGE009";#N/A,#N/A,TRUE,"PAGE010";#N/A,#N/A,TRUE,"PAGE011";#N/A,#N/A,TRUE,"PAGE012";#N/A,#N/A,TRUE,"PAGE013"}</definedName>
    <definedName name="자운" hidden="1">#REF!</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 hidden="1">{#N/A,#N/A,TRUE,"총괄"}</definedName>
    <definedName name="자재업" hidden="1">#N/A</definedName>
    <definedName name="작업계획">#REF!</definedName>
    <definedName name="작업반" hidden="1">{#N/A,#N/A,FALSE,"부대2"}</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식합리화" hidden="1">{#N/A,#N/A,FALSE,"96자동차사 계획";#N/A,#N/A,FALSE,"96자동차사 계획"}</definedName>
    <definedName name="재" hidden="1">#REF!</definedName>
    <definedName name="적표" hidden="1">{#N/A,#N/A,FALSE,"전체집계표";#N/A,#N/A,FALSE,"안벽30000";#N/A,#N/A,FALSE,"안벽20000";#N/A,#N/A,FALSE,"내호안";#N/A,#N/A,FALSE,"외호안";#N/A,#N/A,FALSE,"준설토A";#N/A,#N/A,FALSE,"준설토B";#N/A,#N/A,FALSE,"적출장"}</definedName>
    <definedName name="적표_1" hidden="1">{#N/A,#N/A,FALSE,"전체집계표";#N/A,#N/A,FALSE,"안벽30000";#N/A,#N/A,FALSE,"안벽20000";#N/A,#N/A,FALSE,"내호안";#N/A,#N/A,FALSE,"외호안";#N/A,#N/A,FALSE,"준설토A";#N/A,#N/A,FALSE,"준설토B";#N/A,#N/A,FALSE,"적출장"}</definedName>
    <definedName name="적표_2" hidden="1">{#N/A,#N/A,FALSE,"전체집계표";#N/A,#N/A,FALSE,"안벽30000";#N/A,#N/A,FALSE,"안벽20000";#N/A,#N/A,FALSE,"내호안";#N/A,#N/A,FALSE,"외호안";#N/A,#N/A,FALSE,"준설토A";#N/A,#N/A,FALSE,"준설토B";#N/A,#N/A,FALSE,"적출장"}</definedName>
    <definedName name="전계장금액" hidden="1">#REF!</definedName>
    <definedName name="전기" hidden="1">{"'장비'!$A$3:$M$12"}</definedName>
    <definedName name="전기_1" hidden="1">{"'장비'!$A$3:$M$12"}</definedName>
    <definedName name="전기_2" hidden="1">{"'장비'!$A$3:$M$12"}</definedName>
    <definedName name="전기1" hidden="1">#REF!</definedName>
    <definedName name="전기계장">#REF!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2"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구_1" hidden="1">{"'장비'!$A$3:$M$12"}</definedName>
    <definedName name="전기구_2" hidden="1">{"'장비'!$A$3:$M$12"}</definedName>
    <definedName name="전기기" hidden="1">#REF!</definedName>
    <definedName name="전기기기" hidden="1">{"'장비'!$A$3:$M$12"}</definedName>
    <definedName name="전기기기_1" hidden="1">{"'장비'!$A$3:$M$12"}</definedName>
    <definedName name="전기기기_2" hidden="1">{"'장비'!$A$3:$M$12"}</definedName>
    <definedName name="전기내역" hidden="1">{#N/A,#N/A,FALSE,"CCTV"}</definedName>
    <definedName name="전기내역_1" hidden="1">{#N/A,#N/A,FALSE,"CCTV"}</definedName>
    <definedName name="전기내역_2" hidden="1">{#N/A,#N/A,FALSE,"CCTV"}</definedName>
    <definedName name="전선관및접지내역서" hidden="1">#REF!</definedName>
    <definedName name="전선조장" hidden="1">#REF!</definedName>
    <definedName name="전열" hidden="1">{#N/A,#N/A,FALSE,"CCTV"}</definedName>
    <definedName name="전열_1" hidden="1">{#N/A,#N/A,FALSE,"CCTV"}</definedName>
    <definedName name="전열_2" hidden="1">{#N/A,#N/A,FALSE,"CCTV"}</definedName>
    <definedName name="정하명" hidden="1">{#N/A,#N/A,TRUE,"Basic";#N/A,#N/A,TRUE,"EXT-TABLE";#N/A,#N/A,TRUE,"STEEL";#N/A,#N/A,TRUE,"INT-Table";#N/A,#N/A,TRUE,"STEEL";#N/A,#N/A,TRUE,"Door"}</definedName>
    <definedName name="제출견적" hidden="1">{#N/A,#N/A,FALSE,"CCTV"}</definedName>
    <definedName name="조건2" hidden="1">{#N/A,#N/A,FALSE,"CCTV"}</definedName>
    <definedName name="조견표1" hidden="1">{#N/A,#N/A,FALSE,"예상손익";#N/A,#N/A,FALSE,"관리분석";#N/A,#N/A,FALSE,"장비분석";#N/A,#N/A,FALSE,"준설분석";#N/A,#N/A,FALSE,"철구분석"}</definedName>
    <definedName name="조영수">#REF!</definedName>
    <definedName name="조직표현장" hidden="1">#REF!</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죠" hidden="1">{#N/A,#N/A,FALSE,"혼합골재"}</definedName>
    <definedName name="주연료">#REF!</definedName>
    <definedName name="주요" hidden="1">{#N/A,#N/A,FALSE,"TABLE"}</definedName>
    <definedName name="중기">#REF!</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_1" hidden="1">{#N/A,#N/A,TRUE,"LOADCOVE";#N/A,#N/A,TRUE,"PAGE001";#N/A,#N/A,TRUE,"PAGE002";#N/A,#N/A,TRUE,"PAGE003";#N/A,#N/A,TRUE,"PAGE004";#N/A,#N/A,TRUE,"PAGE005";#N/A,#N/A,TRUE,"PAGE006";#N/A,#N/A,TRUE,"PAGE007";#N/A,#N/A,TRUE,"PAGE008";#N/A,#N/A,TRUE,"PAGE009";#N/A,#N/A,TRUE,"PAGE010";#N/A,#N/A,TRUE,"PAGE011";#N/A,#N/A,TRUE,"PAGE012";#N/A,#N/A,TRUE,"PAGE013"}</definedName>
    <definedName name="중점추진_2" hidden="1">{#N/A,#N/A,TRUE,"LOADCOVE";#N/A,#N/A,TRUE,"PAGE001";#N/A,#N/A,TRUE,"PAGE002";#N/A,#N/A,TRUE,"PAGE003";#N/A,#N/A,TRUE,"PAGE004";#N/A,#N/A,TRUE,"PAGE005";#N/A,#N/A,TRUE,"PAGE006";#N/A,#N/A,TRUE,"PAGE007";#N/A,#N/A,TRUE,"PAGE008";#N/A,#N/A,TRUE,"PAGE009";#N/A,#N/A,TRUE,"PAGE010";#N/A,#N/A,TRUE,"PAGE011";#N/A,#N/A,TRUE,"PAGE012";#N/A,#N/A,TRUE,"PAGE013"}</definedName>
    <definedName name="즈" hidden="1">{#N/A,#N/A,FALSE,"CCTV"}</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지입자재내역" hidden="1">#REF!</definedName>
    <definedName name="직매54P" hidden="1">{#N/A,#N/A,TRUE,"토적및재료집계";#N/A,#N/A,TRUE,"토적및재료집계";#N/A,#N/A,TRUE,"단위량"}</definedName>
    <definedName name="직원임금" hidden="1">#REF!</definedName>
    <definedName name="진" hidden="1">{#N/A,#N/A,FALSE,"2~8번"}</definedName>
    <definedName name="진_1" hidden="1">{#N/A,#N/A,FALSE,"2~8번"}</definedName>
    <definedName name="진_2" hidden="1">{#N/A,#N/A,FALSE,"2~8번"}</definedName>
    <definedName name="집계" hidden="1">{#N/A,#N/A,FALSE,"명세표"}</definedName>
    <definedName name="집계_1" hidden="1">{#N/A,#N/A,FALSE,"명세표"}</definedName>
    <definedName name="집계_2" hidden="1">{#N/A,#N/A,FALSE,"명세표"}</definedName>
    <definedName name="집계SHEET">#REF!</definedName>
    <definedName name="ㅉㅉㅉㅉㅉ" hidden="1">{"'장비'!$A$3:$M$12"}</definedName>
    <definedName name="쪽쪽쪽" hidden="1">{"'장비'!$A$3:$M$12"}</definedName>
    <definedName name="ㅊㅍㅋㅌㅊㅋ" hidden="1">{#N/A,#N/A,FALSE,"운반시간"}</definedName>
    <definedName name="ㅊㅍㅋㅌㅍㅌ" hidden="1">{#N/A,#N/A,FALSE,"혼합골재"}</definedName>
    <definedName name="차량" hidden="1">#REF!</definedName>
    <definedName name="차량현황1" hidden="1">#REF!</definedName>
    <definedName name="차선도색집계">#REF!</definedName>
    <definedName name="찰샇기" hidden="1">#REF!</definedName>
    <definedName name="참고2" hidden="1">#REF!</definedName>
    <definedName name="참고자료" hidden="1">{#VALUE!,#N/A,FALSE,0;#N/A,#N/A,FALSE,0;#N/A,#N/A,FALSE,0;#N/A,#N/A,FALSE,0}</definedName>
    <definedName name="참석자" hidden="1">{#N/A,#N/A,FALSE,"현장 NCR 분석";#N/A,#N/A,FALSE,"현장품질감사";#N/A,#N/A,FALSE,"현장품질감사"}</definedName>
    <definedName name="참석자2" hidden="1">{#N/A,#N/A,FALSE,"현장 NCR 분석";#N/A,#N/A,FALSE,"현장품질감사";#N/A,#N/A,FALSE,"현장품질감사"}</definedName>
    <definedName name="철골_상유" hidden="1">{"'장비'!$A$3:$M$12"}</definedName>
    <definedName name="철골협의" hidden="1">{#N/A,#N/A,FALSE,"현장 NCR 분석";#N/A,#N/A,FALSE,"현장품질감사";#N/A,#N/A,FALSE,"현장품질감사"}</definedName>
    <definedName name="철근량" hidden="1">{#N/A,#N/A,FALSE,"전력간선"}</definedName>
    <definedName name="철콘" hidden="1">{#N/A,#N/A,FALSE,"CCTV"}</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첨부5_1" hidden="1">{#N/A,#N/A,TRUE,"LOADCOVE";#N/A,#N/A,TRUE,"PAGE001";#N/A,#N/A,TRUE,"PAGE002";#N/A,#N/A,TRUE,"PAGE003";#N/A,#N/A,TRUE,"PAGE004";#N/A,#N/A,TRUE,"PAGE005";#N/A,#N/A,TRUE,"PAGE006";#N/A,#N/A,TRUE,"PAGE007";#N/A,#N/A,TRUE,"PAGE008";#N/A,#N/A,TRUE,"PAGE009";#N/A,#N/A,TRUE,"PAGE010";#N/A,#N/A,TRUE,"PAGE011";#N/A,#N/A,TRUE,"PAGE012";#N/A,#N/A,TRUE,"PAGE013"}</definedName>
    <definedName name="첨부5_2" hidden="1">{#N/A,#N/A,TRUE,"LOADCOVE";#N/A,#N/A,TRUE,"PAGE001";#N/A,#N/A,TRUE,"PAGE002";#N/A,#N/A,TRUE,"PAGE003";#N/A,#N/A,TRUE,"PAGE004";#N/A,#N/A,TRUE,"PAGE005";#N/A,#N/A,TRUE,"PAGE006";#N/A,#N/A,TRUE,"PAGE007";#N/A,#N/A,TRUE,"PAGE008";#N/A,#N/A,TRUE,"PAGE009";#N/A,#N/A,TRUE,"PAGE010";#N/A,#N/A,TRUE,"PAGE011";#N/A,#N/A,TRUE,"PAGE012";#N/A,#N/A,TRUE,"PAGE013"}</definedName>
    <definedName name="첫장" hidden="1">{#N/A,#N/A,TRUE,"총괄"}</definedName>
    <definedName name="청구량2" hidden="1">{#N/A,#N/A,FALSE,"CCTV"}</definedName>
    <definedName name="청구량2_1" hidden="1">{#N/A,#N/A,FALSE,"CCTV"}</definedName>
    <definedName name="청구량2_2" hidden="1">{#N/A,#N/A,FALSE,"CCTV"}</definedName>
    <definedName name="총공사비2" hidden="1">{#N/A,#N/A,FALSE,"전력간선"}</definedName>
    <definedName name="총괄2" hidden="1">{#N/A,#N/A,FALSE,"현장 NCR 분석";#N/A,#N/A,FALSE,"현장품질감사";#N/A,#N/A,FALSE,"현장품질감사"}</definedName>
    <definedName name="총괄내역" hidden="1">{#N/A,#N/A,TRUE,"총괄"}</definedName>
    <definedName name="총괄내역서" hidden="1">{#N/A,#N/A,TRUE,"총괄"}</definedName>
    <definedName name="총괄표1" hidden="1">{"'장비'!$A$3:$M$12"}</definedName>
    <definedName name="최" hidden="1">{"LKD",#N/A,FALSE,"표지"}</definedName>
    <definedName name="최대현" hidden="1">{"LKD",#N/A,FALSE,"표지"}</definedName>
    <definedName name="최대현1" hidden="1">{"LKD",#N/A,FALSE,"표지"}</definedName>
    <definedName name="최종추가합" hidden="1">#REF!</definedName>
    <definedName name="추" hidden="1">{"'Sheet1'!$L$16"}</definedName>
    <definedName name="추_1" hidden="1">{"'Sheet1'!$L$16"}</definedName>
    <definedName name="추_2"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hidden="1">{"'장비'!$A$3:$M$12"}</definedName>
    <definedName name="추가분_1" hidden="1">{"'장비'!$A$3:$M$12"}</definedName>
    <definedName name="추가분_2" hidden="1">{"'장비'!$A$3:$M$12"}</definedName>
    <definedName name="취수장정리수량" hidden="1">#REF!</definedName>
    <definedName name="취입보집계" hidden="1">{#N/A,#N/A,FALSE,"2~8번"}</definedName>
    <definedName name="츠" hidden="1">{#N/A,#N/A,FALSE,"조골재"}</definedName>
    <definedName name="ㅋ" hidden="1">{#N/A,#N/A,FALSE,"조골재"}</definedName>
    <definedName name="ㅋㅁ" hidden="1">{#N/A,#N/A,FALSE,"명세표"}</definedName>
    <definedName name="ㅋㅁ_1" hidden="1">{#N/A,#N/A,FALSE,"명세표"}</definedName>
    <definedName name="ㅋㅁ_2" hidden="1">{#N/A,#N/A,FALSE,"명세표"}</definedName>
    <definedName name="ㅋㅋㅋ" hidden="1">{#N/A,#N/A,FALSE,"명세표"}</definedName>
    <definedName name="ㅋㅋㅋ_1" hidden="1">{#N/A,#N/A,FALSE,"명세표"}</definedName>
    <definedName name="ㅋㅋㅋ_2" hidden="1">{#N/A,#N/A,FALSE,"명세표"}</definedName>
    <definedName name="케이슨3" hidden="1">{#N/A,#N/A,FALSE,"전체집계표";#N/A,#N/A,FALSE,"안벽30000";#N/A,#N/A,FALSE,"안벽20000";#N/A,#N/A,FALSE,"내호안";#N/A,#N/A,FALSE,"외호안";#N/A,#N/A,FALSE,"준설토A";#N/A,#N/A,FALSE,"준설토B";#N/A,#N/A,FALSE,"적출장"}</definedName>
    <definedName name="케이슨3_1" hidden="1">{#N/A,#N/A,FALSE,"전체집계표";#N/A,#N/A,FALSE,"안벽30000";#N/A,#N/A,FALSE,"안벽20000";#N/A,#N/A,FALSE,"내호안";#N/A,#N/A,FALSE,"외호안";#N/A,#N/A,FALSE,"준설토A";#N/A,#N/A,FALSE,"준설토B";#N/A,#N/A,FALSE,"적출장"}</definedName>
    <definedName name="케이슨3_2"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케이슨33_1" hidden="1">{#N/A,#N/A,FALSE,"전체집계표";#N/A,#N/A,FALSE,"안벽30000";#N/A,#N/A,FALSE,"안벽20000";#N/A,#N/A,FALSE,"내호안";#N/A,#N/A,FALSE,"외호안";#N/A,#N/A,FALSE,"준설토A";#N/A,#N/A,FALSE,"준설토B";#N/A,#N/A,FALSE,"적출장"}</definedName>
    <definedName name="케이슨33_2" hidden="1">{#N/A,#N/A,FALSE,"전체집계표";#N/A,#N/A,FALSE,"안벽30000";#N/A,#N/A,FALSE,"안벽20000";#N/A,#N/A,FALSE,"내호안";#N/A,#N/A,FALSE,"외호안";#N/A,#N/A,FALSE,"준설토A";#N/A,#N/A,FALSE,"준설토B";#N/A,#N/A,FALSE,"적출장"}</definedName>
    <definedName name="콘크리트">#REF!</definedName>
    <definedName name="콘크리트2" hidden="1">#REF!</definedName>
    <definedName name="ㅌ" hidden="1">{#N/A,#N/A,FALSE,"2~8번"}</definedName>
    <definedName name="ㅌㅌ" hidden="1">{#N/A,#N/A,FALSE,"명세표"}</definedName>
    <definedName name="ㅌㅌ_1" hidden="1">{#N/A,#N/A,FALSE,"명세표"}</definedName>
    <definedName name="ㅌㅌ_2" hidden="1">{#N/A,#N/A,FALSE,"명세표"}</definedName>
    <definedName name="ㅌㅍ츛ㅌ" hidden="1">{#N/A,#N/A,FALSE,"운반시간"}</definedName>
    <definedName name="터널" hidden="1">{#N/A,#N/A,FALSE,"부대1"}</definedName>
    <definedName name="테스크" hidden="1">{#N/A,#N/A,FALSE,"단가표지"}</definedName>
    <definedName name="템프" hidden="1">#REF!</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hidden="1">{"'장비'!$A$3:$M$12"}</definedName>
    <definedName name="토건_1" hidden="1">{"'장비'!$A$3:$M$12"}</definedName>
    <definedName name="토건_2" hidden="1">{"'장비'!$A$3:$M$12"}</definedName>
    <definedName name="토건공사비대비r" hidden="1">{"'장비'!$A$3:$M$12"}</definedName>
    <definedName name="토건공사비대비r_1" hidden="1">{"'장비'!$A$3:$M$12"}</definedName>
    <definedName name="토건공사비대비r_2" hidden="1">{"'장비'!$A$3:$M$12"}</definedName>
    <definedName name="토건업체" hidden="1">{"'장비'!$A$3:$M$12"}</definedName>
    <definedName name="토건업체_1" hidden="1">{"'장비'!$A$3:$M$12"}</definedName>
    <definedName name="토건업체_2" hidden="1">{"'장비'!$A$3:$M$12"}</definedName>
    <definedName name="토건업체1" hidden="1">{"'장비'!$A$3:$M$12"}</definedName>
    <definedName name="토건집계표1" hidden="1">{"'장비'!$A$3:$M$12"}</definedName>
    <definedName name="토건집계표r" hidden="1">{"'장비'!$A$3:$M$12"}</definedName>
    <definedName name="토건집계표r_1" hidden="1">{"'장비'!$A$3:$M$12"}</definedName>
    <definedName name="토건집계표r_2" hidden="1">{"'장비'!$A$3:$M$12"}</definedName>
    <definedName name="토공" hidden="1">{#N/A,#N/A,FALSE,"포장2"}</definedName>
    <definedName name="토공222" hidden="1">{#N/A,#N/A,FALSE,"토공2"}</definedName>
    <definedName name="토공량" hidden="1">{#N/A,#N/A,FALSE,"기안지";#N/A,#N/A,FALSE,"통신지"}</definedName>
    <definedName name="토공이수" hidden="1">#REF!</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견적" hidden="1">{#N/A,#N/A,FALSE,"골재소요량";#N/A,#N/A,FALSE,"골재소요량"}</definedName>
    <definedName name="토목내역" hidden="1">{#N/A,#N/A,FALSE,"부대2"}</definedName>
    <definedName name="토목내역서" hidden="1">{#N/A,#N/A,FALSE,"배수2"}</definedName>
    <definedName name="토목변경" hidden="1">{"'장비'!$A$3:$M$12"}</definedName>
    <definedName name="토목변경_1" hidden="1">{"'장비'!$A$3:$M$12"}</definedName>
    <definedName name="토목변경_2" hidden="1">{"'장비'!$A$3:$M$12"}</definedName>
    <definedName name="토목설계" hidden="1">{#N/A,#N/A,FALSE,"골재소요량";#N/A,#N/A,FALSE,"골재소요량"}</definedName>
    <definedName name="토목실행" hidden="1">{#N/A,#N/A,FALSE,"골재소요량";#N/A,#N/A,FALSE,"골재소요량"}</definedName>
    <definedName name="토목실행예산" hidden="1">{"'장비'!$A$3:$M$12"}</definedName>
    <definedName name="토목실행예산_1" hidden="1">{"'장비'!$A$3:$M$12"}</definedName>
    <definedName name="토목실행예산_2" hidden="1">{"'장비'!$A$3:$M$12"}</definedName>
    <definedName name="토목조정분" hidden="1">{"'장비'!$A$3:$M$12"}</definedName>
    <definedName name="토목조정분_1" hidden="1">{"'장비'!$A$3:$M$12"}</definedName>
    <definedName name="토목조정분_2" hidden="1">{"'장비'!$A$3:$M$12"}</definedName>
    <definedName name="토적표" hidden="1">#REF!</definedName>
    <definedName name="투" hidden="1">#REF!</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1_1" hidden="1">{#N/A,#N/A,TRUE,"LOADCOVE";#N/A,#N/A,TRUE,"PAGE001";#N/A,#N/A,TRUE,"PAGE002";#N/A,#N/A,TRUE,"PAGE003";#N/A,#N/A,TRUE,"PAGE004";#N/A,#N/A,TRUE,"PAGE005";#N/A,#N/A,TRUE,"PAGE006";#N/A,#N/A,TRUE,"PAGE007";#N/A,#N/A,TRUE,"PAGE008";#N/A,#N/A,TRUE,"PAGE009";#N/A,#N/A,TRUE,"PAGE010";#N/A,#N/A,TRUE,"PAGE011";#N/A,#N/A,TRUE,"PAGE012";#N/A,#N/A,TRUE,"PAGE013"}</definedName>
    <definedName name="투자1_2"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5_1" hidden="1">{#N/A,#N/A,TRUE,"LOADCOVE";#N/A,#N/A,TRUE,"PAGE001";#N/A,#N/A,TRUE,"PAGE002";#N/A,#N/A,TRUE,"PAGE003";#N/A,#N/A,TRUE,"PAGE004";#N/A,#N/A,TRUE,"PAGE005";#N/A,#N/A,TRUE,"PAGE006";#N/A,#N/A,TRUE,"PAGE007";#N/A,#N/A,TRUE,"PAGE008";#N/A,#N/A,TRUE,"PAGE009";#N/A,#N/A,TRUE,"PAGE010";#N/A,#N/A,TRUE,"PAGE011";#N/A,#N/A,TRUE,"PAGE012";#N/A,#N/A,TRUE,"PAGE013"}</definedName>
    <definedName name="투자5_2"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_1" hidden="1">{#N/A,#N/A,TRUE,"LOADCOVE";#N/A,#N/A,TRUE,"PAGE001";#N/A,#N/A,TRUE,"PAGE002";#N/A,#N/A,TRUE,"PAGE003";#N/A,#N/A,TRUE,"PAGE004";#N/A,#N/A,TRUE,"PAGE005";#N/A,#N/A,TRUE,"PAGE006";#N/A,#N/A,TRUE,"PAGE007";#N/A,#N/A,TRUE,"PAGE008";#N/A,#N/A,TRUE,"PAGE009";#N/A,#N/A,TRUE,"PAGE010";#N/A,#N/A,TRUE,"PAGE011";#N/A,#N/A,TRUE,"PAGE012";#N/A,#N/A,TRUE,"PAGE013"}</definedName>
    <definedName name="투자계획_2"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_1" hidden="1">{#N/A,#N/A,TRUE,"LOADCOVE";#N/A,#N/A,TRUE,"PAGE001";#N/A,#N/A,TRUE,"PAGE002";#N/A,#N/A,TRUE,"PAGE003";#N/A,#N/A,TRUE,"PAGE004";#N/A,#N/A,TRUE,"PAGE005";#N/A,#N/A,TRUE,"PAGE006";#N/A,#N/A,TRUE,"PAGE007";#N/A,#N/A,TRUE,"PAGE008";#N/A,#N/A,TRUE,"PAGE009";#N/A,#N/A,TRUE,"PAGE010";#N/A,#N/A,TRUE,"PAGE011";#N/A,#N/A,TRUE,"PAGE012";#N/A,#N/A,TRUE,"PAGE013"}</definedName>
    <definedName name="투자수정_2" hidden="1">{#N/A,#N/A,TRUE,"LOADCOVE";#N/A,#N/A,TRUE,"PAGE001";#N/A,#N/A,TRUE,"PAGE002";#N/A,#N/A,TRUE,"PAGE003";#N/A,#N/A,TRUE,"PAGE004";#N/A,#N/A,TRUE,"PAGE005";#N/A,#N/A,TRUE,"PAGE006";#N/A,#N/A,TRUE,"PAGE007";#N/A,#N/A,TRUE,"PAGE008";#N/A,#N/A,TRUE,"PAGE009";#N/A,#N/A,TRUE,"PAGE010";#N/A,#N/A,TRUE,"PAGE011";#N/A,#N/A,TRUE,"PAGE012";#N/A,#N/A,TRUE,"PAGE013"}</definedName>
    <definedName name="투찰예정가50" hidden="1">{"'장비'!$A$3:$M$12"}</definedName>
    <definedName name="투찰예정가50_1" hidden="1">{"'장비'!$A$3:$M$12"}</definedName>
    <definedName name="투찰예정가50_2" hidden="1">{"'장비'!$A$3:$M$12"}</definedName>
    <definedName name="투찰예정가501" hidden="1">{"'장비'!$A$3:$M$12"}</definedName>
    <definedName name="투찰예정본부장" hidden="1">{"'장비'!$A$3:$M$12"}</definedName>
    <definedName name="투찰예정본부장_1" hidden="1">{"'장비'!$A$3:$M$12"}</definedName>
    <definedName name="투찰예정본부장_2" hidden="1">{"'장비'!$A$3:$M$12"}</definedName>
    <definedName name="투찰예정본부장1" hidden="1">{"'장비'!$A$3:$M$12"}</definedName>
    <definedName name="트" hidden="1">{#N/A,#N/A,FALSE,"구조1"}</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팀별_1" hidden="1">{#N/A,#N/A,TRUE,"LOADCOVE";#N/A,#N/A,TRUE,"PAGE001";#N/A,#N/A,TRUE,"PAGE002";#N/A,#N/A,TRUE,"PAGE003";#N/A,#N/A,TRUE,"PAGE004";#N/A,#N/A,TRUE,"PAGE005";#N/A,#N/A,TRUE,"PAGE006";#N/A,#N/A,TRUE,"PAGE007";#N/A,#N/A,TRUE,"PAGE008";#N/A,#N/A,TRUE,"PAGE009";#N/A,#N/A,TRUE,"PAGE010";#N/A,#N/A,TRUE,"PAGE011";#N/A,#N/A,TRUE,"PAGE012";#N/A,#N/A,TRUE,"PAGE013"}</definedName>
    <definedName name="팀별_2" hidden="1">{#N/A,#N/A,TRUE,"LOADCOVE";#N/A,#N/A,TRUE,"PAGE001";#N/A,#N/A,TRUE,"PAGE002";#N/A,#N/A,TRUE,"PAGE003";#N/A,#N/A,TRUE,"PAGE004";#N/A,#N/A,TRUE,"PAGE005";#N/A,#N/A,TRUE,"PAGE006";#N/A,#N/A,TRUE,"PAGE007";#N/A,#N/A,TRUE,"PAGE008";#N/A,#N/A,TRUE,"PAGE009";#N/A,#N/A,TRUE,"PAGE010";#N/A,#N/A,TRUE,"PAGE011";#N/A,#N/A,TRUE,"PAGE012";#N/A,#N/A,TRUE,"PAGE013"}</definedName>
    <definedName name="ㅍ" hidden="1">{#N/A,#N/A,TRUE,"LOADCOVE";#N/A,#N/A,TRUE,"PAGE001";#N/A,#N/A,TRUE,"PAGE002";#N/A,#N/A,TRUE,"PAGE003";#N/A,#N/A,TRUE,"PAGE004";#N/A,#N/A,TRUE,"PAGE005";#N/A,#N/A,TRUE,"PAGE006";#N/A,#N/A,TRUE,"PAGE007";#N/A,#N/A,TRUE,"PAGE008";#N/A,#N/A,TRUE,"PAGE009";#N/A,#N/A,TRUE,"PAGE010";#N/A,#N/A,TRUE,"PAGE011";#N/A,#N/A,TRUE,"PAGE012";#N/A,#N/A,TRUE,"PAGE013"}</definedName>
    <definedName name="ㅍ_1" hidden="1">{#N/A,#N/A,FALSE,"명세표"}</definedName>
    <definedName name="ㅍ_2" hidden="1">{#N/A,#N/A,FALSE,"명세표"}</definedName>
    <definedName name="ㅍ춫" hidden="1">{#N/A,#N/A,FALSE,"골재소요량";#N/A,#N/A,FALSE,"골재소요량"}</definedName>
    <definedName name="ㅍ츝" hidden="1">{#N/A,#N/A,FALSE,"표지목차"}</definedName>
    <definedName name="파일" hidden="1">#REF!</definedName>
    <definedName name="페기갑지" hidden="1">#REF!</definedName>
    <definedName name="폐기" hidden="1">#REF!</definedName>
    <definedName name="폭">#REF!</definedName>
    <definedName name="표" hidden="1">{#N/A,#N/A,FALSE,"현장 NCR 분석";#N/A,#N/A,FALSE,"현장품질감사";#N/A,#N/A,FALSE,"현장품질감사"}</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1" hidden="1">{#N/A,#N/A,FALSE,"현장 NCR 분석";#N/A,#N/A,FALSE,"현장품질감사";#N/A,#N/A,FALSE,"현장품질감사"}</definedName>
    <definedName name="표지2" hidden="1">#REF!</definedName>
    <definedName name="품셈내역2">#REF!</definedName>
    <definedName name="피복" hidden="1">{#N/A,#N/A,FALSE,"전체집계표";#N/A,#N/A,FALSE,"안벽30000";#N/A,#N/A,FALSE,"안벽20000";#N/A,#N/A,FALSE,"내호안";#N/A,#N/A,FALSE,"외호안";#N/A,#N/A,FALSE,"준설토A";#N/A,#N/A,FALSE,"준설토B";#N/A,#N/A,FALSE,"적출장"}</definedName>
    <definedName name="피복_1" hidden="1">{#N/A,#N/A,FALSE,"전체집계표";#N/A,#N/A,FALSE,"안벽30000";#N/A,#N/A,FALSE,"안벽20000";#N/A,#N/A,FALSE,"내호안";#N/A,#N/A,FALSE,"외호안";#N/A,#N/A,FALSE,"준설토A";#N/A,#N/A,FALSE,"준설토B";#N/A,#N/A,FALSE,"적출장"}</definedName>
    <definedName name="피복_2"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피복석_1" hidden="1">{#N/A,#N/A,FALSE,"전체집계표";#N/A,#N/A,FALSE,"안벽30000";#N/A,#N/A,FALSE,"안벽20000";#N/A,#N/A,FALSE,"내호안";#N/A,#N/A,FALSE,"외호안";#N/A,#N/A,FALSE,"준설토A";#N/A,#N/A,FALSE,"준설토B";#N/A,#N/A,FALSE,"적출장"}</definedName>
    <definedName name="피복석_2" hidden="1">{#N/A,#N/A,FALSE,"전체집계표";#N/A,#N/A,FALSE,"안벽30000";#N/A,#N/A,FALSE,"안벽20000";#N/A,#N/A,FALSE,"내호안";#N/A,#N/A,FALSE,"외호안";#N/A,#N/A,FALSE,"준설토A";#N/A,#N/A,FALSE,"준설토B";#N/A,#N/A,FALSE,"적출장"}</definedName>
    <definedName name="ㅎ5" hidden="1">{#N/A,#N/A,FALSE,"골재소요량";#N/A,#N/A,FALSE,"골재소요량"}</definedName>
    <definedName name="ㅎㄴ" hidden="1">{#N/A,#N/A,FALSE,"단가표지"}</definedName>
    <definedName name="ㅎㄴㄹㄴㄹㄴㅇ" hidden="1">{#N/A,#N/A,FALSE,"토공2"}</definedName>
    <definedName name="ㅎㄴㄹㄴㄹㄴㅇ_1" hidden="1">{#N/A,#N/A,FALSE,"토공2"}</definedName>
    <definedName name="ㅎㄴㄹㄴㄹㄴㅇ_2" hidden="1">{#N/A,#N/A,FALSE,"토공2"}</definedName>
    <definedName name="ㅎㄴㅁㄴㅇㄹㄴㅇ" hidden="1">{#N/A,#N/A,FALSE,"운반시간"}</definedName>
    <definedName name="ㅎㄴㅁㄴㅇㄹㄴㅇ_1" hidden="1">{#N/A,#N/A,FALSE,"운반시간"}</definedName>
    <definedName name="ㅎㄴㅁㄴㅇㄹㄴㅇ_2" hidden="1">{#N/A,#N/A,FALSE,"운반시간"}</definedName>
    <definedName name="ㅎㄴㅁㄹㄴㅁㄹㄴㅁㄹㄷㄹㄶㄴ" hidden="1">{#N/A,#N/A,FALSE,"속도"}</definedName>
    <definedName name="ㅎㄴㅁㄹㄴㅁㄹㄴㅁㄹㄷㄹㄶㄴ_1" hidden="1">{#N/A,#N/A,FALSE,"속도"}</definedName>
    <definedName name="ㅎㄴㅁㄹㄴㅁㄹㄴㅁㄹㄷㄹㄶㄴ_2" hidden="1">{#N/A,#N/A,FALSE,"속도"}</definedName>
    <definedName name="ㅎㄴㅁㄹㅈㅁㅎ" hidden="1">{#N/A,#N/A,FALSE,"단가표지"}</definedName>
    <definedName name="ㅎㄴㅁㄹㅈㅁㅎ_1" hidden="1">{#N/A,#N/A,FALSE,"단가표지"}</definedName>
    <definedName name="ㅎㄴㅁㄹㅈㅁㅎ_2" hidden="1">{#N/A,#N/A,FALSE,"단가표지"}</definedName>
    <definedName name="ㅎㄶ" hidden="1">{#N/A,#N/A,FALSE,"속도"}</definedName>
    <definedName name="ㅎㄶ_1" hidden="1">{#N/A,#N/A,FALSE,"속도"}</definedName>
    <definedName name="ㅎㄶ_2" hidden="1">{#N/A,#N/A,FALSE,"속도"}</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로" hidden="1">{#N/A,#N/A,FALSE,"전력간선"}</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ㅁㅇㅀㅁㅇ" hidden="1">{#N/A,#N/A,FALSE,"단가표지"}</definedName>
    <definedName name="ㅎㅁㅇㅀㅁㅇㅎㅁ" hidden="1">{#N/A,#N/A,FALSE,"단가표지"}</definedName>
    <definedName name="ㅎㅂㄷ" hidden="1">{#N/A,#N/A,FALSE,"배수2"}</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#REF!</definedName>
    <definedName name="ㅎㅎㄴㅁㅎㄴㅁㅎ" hidden="1">{#N/A,#N/A,FALSE,"구조2"}</definedName>
    <definedName name="ㅎㅎㄴㅁㅎㄴㅁㅎ_1" hidden="1">{#N/A,#N/A,FALSE,"구조2"}</definedName>
    <definedName name="ㅎㅎㄴㅁㅎㄴㅁㅎ_2" hidden="1">{#N/A,#N/A,FALSE,"구조2"}</definedName>
    <definedName name="ㅎㅎ도호" hidden="1">{#N/A,#N/A,FALSE,"표지목차"}</definedName>
    <definedName name="ㅎㅎ도호_1" hidden="1">{#N/A,#N/A,FALSE,"표지목차"}</definedName>
    <definedName name="ㅎㅎ도호_2" hidden="1">{#N/A,#N/A,FALSE,"표지목차"}</definedName>
    <definedName name="ㅎㅎㅎ" hidden="1">#REF!</definedName>
    <definedName name="ㅎㅎㅎㅎ" hidden="1">{"'장비'!$A$3:$M$12"}</definedName>
    <definedName name="ㅎㅎㅎㅎ_1" hidden="1">{"'장비'!$A$3:$M$12"}</definedName>
    <definedName name="ㅎㅎㅎㅎ_2" hidden="1">{"'장비'!$A$3:$M$12"}</definedName>
    <definedName name="하" hidden="1">{#N/A,#N/A,FALSE,"속도"}</definedName>
    <definedName name="하반기계획" hidden="1">{#N/A,#N/A,FALSE,"96자동차사 계획";#N/A,#N/A,FALSE,"96자동차사 계획"}</definedName>
    <definedName name="하프" hidden="1">{#N/A,#N/A,FALSE,"전체집계표";#N/A,#N/A,FALSE,"안벽30000";#N/A,#N/A,FALSE,"안벽20000";#N/A,#N/A,FALSE,"내호안";#N/A,#N/A,FALSE,"외호안";#N/A,#N/A,FALSE,"준설토A";#N/A,#N/A,FALSE,"준설토B";#N/A,#N/A,FALSE,"적출장"}</definedName>
    <definedName name="하프_1" hidden="1">{#N/A,#N/A,FALSE,"전체집계표";#N/A,#N/A,FALSE,"안벽30000";#N/A,#N/A,FALSE,"안벽20000";#N/A,#N/A,FALSE,"내호안";#N/A,#N/A,FALSE,"외호안";#N/A,#N/A,FALSE,"준설토A";#N/A,#N/A,FALSE,"준설토B";#N/A,#N/A,FALSE,"적출장"}</definedName>
    <definedName name="하프_2"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프1_1" hidden="1">{#N/A,#N/A,FALSE,"전체집계표";#N/A,#N/A,FALSE,"안벽30000";#N/A,#N/A,FALSE,"안벽20000";#N/A,#N/A,FALSE,"내호안";#N/A,#N/A,FALSE,"외호안";#N/A,#N/A,FALSE,"준설토A";#N/A,#N/A,FALSE,"준설토B";#N/A,#N/A,FALSE,"적출장"}</definedName>
    <definedName name="하프1_2" hidden="1">{#N/A,#N/A,FALSE,"전체집계표";#N/A,#N/A,FALSE,"안벽30000";#N/A,#N/A,FALSE,"안벽20000";#N/A,#N/A,FALSE,"내호안";#N/A,#N/A,FALSE,"외호안";#N/A,#N/A,FALSE,"준설토A";#N/A,#N/A,FALSE,"준설토B";#N/A,#N/A,FALSE,"적출장"}</definedName>
    <definedName name="하하" hidden="1">{"LKD",#N/A,FALSE,"표지"}</definedName>
    <definedName name="하하하" hidden="1">{#N/A,#N/A,FALSE,"명세표"}</definedName>
    <definedName name="하하하_1" hidden="1">{#N/A,#N/A,FALSE,"명세표"}</definedName>
    <definedName name="하하하_2" hidden="1">{#N/A,#N/A,FALSE,"명세표"}</definedName>
    <definedName name="한" hidden="1">{#N/A,#N/A,FALSE,"조골재"}</definedName>
    <definedName name="한_1" hidden="1">{#N/A,#N/A,FALSE,"조골재"}</definedName>
    <definedName name="한_2" hidden="1">{#N/A,#N/A,FALSE,"조골재"}</definedName>
    <definedName name="한달">31</definedName>
    <definedName name="한동" hidden="1">{#N/A,#N/A,FALSE,"단가표지"}</definedName>
    <definedName name="한동_1" hidden="1">{#N/A,#N/A,FALSE,"단가표지"}</definedName>
    <definedName name="한동_2" hidden="1">{#N/A,#N/A,FALSE,"단가표지"}</definedName>
    <definedName name="한동준" hidden="1">{#N/A,#N/A,FALSE,"사업총괄";#N/A,#N/A,FALSE,"장비사업";#N/A,#N/A,FALSE,"철구사업";#N/A,#N/A,FALSE,"준설사업"}</definedName>
    <definedName name="할" hidden="1">{"LKD",#N/A,FALSE,"표지"}</definedName>
    <definedName name="할_1" hidden="1">{"'Sheet1'!$L$16"}</definedName>
    <definedName name="할_2" hidden="1">{"'Sheet1'!$L$16"}</definedName>
    <definedName name="합" hidden="1">0</definedName>
    <definedName name="합리화" hidden="1">{#N/A,#N/A,FALSE,"96자동차사 계획";#N/A,#N/A,FALSE,"96자동차사 계획"}</definedName>
    <definedName name="항" hidden="1">{"'Sheet1'!$L$16"}</definedName>
    <definedName name="항_1" hidden="1">{"'Sheet1'!$L$16"}</definedName>
    <definedName name="항_2" hidden="1">{"'Sheet1'!$L$16"}</definedName>
    <definedName name="해" hidden="1">#REF!</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인원_1" hidden="1">{#N/A,#N/A,TRUE,"LOADCOVE";#N/A,#N/A,TRUE,"PAGE001";#N/A,#N/A,TRUE,"PAGE002";#N/A,#N/A,TRUE,"PAGE003";#N/A,#N/A,TRUE,"PAGE004";#N/A,#N/A,TRUE,"PAGE005";#N/A,#N/A,TRUE,"PAGE006";#N/A,#N/A,TRUE,"PAGE007";#N/A,#N/A,TRUE,"PAGE008";#N/A,#N/A,TRUE,"PAGE009";#N/A,#N/A,TRUE,"PAGE010";#N/A,#N/A,TRUE,"PAGE011";#N/A,#N/A,TRUE,"PAGE012";#N/A,#N/A,TRUE,"PAGE013"}</definedName>
    <definedName name="해양인원_2"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양중점3_1" hidden="1">{#N/A,#N/A,TRUE,"LOADCOVE";#N/A,#N/A,TRUE,"PAGE001";#N/A,#N/A,TRUE,"PAGE002";#N/A,#N/A,TRUE,"PAGE003";#N/A,#N/A,TRUE,"PAGE004";#N/A,#N/A,TRUE,"PAGE005";#N/A,#N/A,TRUE,"PAGE006";#N/A,#N/A,TRUE,"PAGE007";#N/A,#N/A,TRUE,"PAGE008";#N/A,#N/A,TRUE,"PAGE009";#N/A,#N/A,TRUE,"PAGE010";#N/A,#N/A,TRUE,"PAGE011";#N/A,#N/A,TRUE,"PAGE012";#N/A,#N/A,TRUE,"PAGE013"}</definedName>
    <definedName name="해양중점3_2" hidden="1">{#N/A,#N/A,TRUE,"LOADCOVE";#N/A,#N/A,TRUE,"PAGE001";#N/A,#N/A,TRUE,"PAGE002";#N/A,#N/A,TRUE,"PAGE003";#N/A,#N/A,TRUE,"PAGE004";#N/A,#N/A,TRUE,"PAGE005";#N/A,#N/A,TRUE,"PAGE006";#N/A,#N/A,TRUE,"PAGE007";#N/A,#N/A,TRUE,"PAGE008";#N/A,#N/A,TRUE,"PAGE009";#N/A,#N/A,TRUE,"PAGE010";#N/A,#N/A,TRUE,"PAGE011";#N/A,#N/A,TRUE,"PAGE012";#N/A,#N/A,TRUE,"PAGE013"}</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 hidden="1">#REF!</definedName>
    <definedName name="현장경비상세" hidden="1">{#N/A,#N/A,FALSE,"CCTV"}</definedName>
    <definedName name="현장노무비심의" hidden="1">{"'장비'!$A$3:$M$12"}</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설명3" hidden="1">{#N/A,#N/A,FALSE,"현장 NCR 분석";#N/A,#N/A,FALSE,"현장품질감사";#N/A,#N/A,FALSE,"현장품질감사"}</definedName>
    <definedName name="현장조직1" hidden="1">{"LKD",#N/A,FALSE,"표지"}</definedName>
    <definedName name="현장지도" hidden="1">{"'장비'!$A$3:$M$12"}</definedName>
    <definedName name="현장지도_1" hidden="1">{"'장비'!$A$3:$M$12"}</definedName>
    <definedName name="현장지도_2" hidden="1">{"'장비'!$A$3:$M$12"}</definedName>
    <definedName name="현조" hidden="1">#REF!</definedName>
    <definedName name="현지공사비" hidden="1">{"'장비'!$A$3:$M$12"}</definedName>
    <definedName name="현지공사비_1" hidden="1">{"'장비'!$A$3:$M$12"}</definedName>
    <definedName name="현지공사비_2" hidden="1">{"'장비'!$A$3:$M$12"}</definedName>
    <definedName name="현지공사비총괄" hidden="1">{"'장비'!$A$3:$M$12"}</definedName>
    <definedName name="현지공사비총괄_1" hidden="1">{"'장비'!$A$3:$M$12"}</definedName>
    <definedName name="현지공사비총괄_2" hidden="1">{"'장비'!$A$3:$M$12"}</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형상">#REF!</definedName>
    <definedName name="호가" hidden="1">{"LKD",#N/A,FALSE,"표지"}</definedName>
    <definedName name="호우" hidden="1">{#N/A,#N/A,FALSE,"표지목차"}</definedName>
    <definedName name="호우ㅗ" hidden="1">{#N/A,#N/A,FALSE,"단가표지"}</definedName>
    <definedName name="호호호" hidden="1">{#N/A,#N/A,FALSE,"명세표"}</definedName>
    <definedName name="호호호_1" hidden="1">{#N/A,#N/A,FALSE,"명세표"}</definedName>
    <definedName name="호호호_2" hidden="1">{#N/A,#N/A,FALSE,"명세표"}</definedName>
    <definedName name="호ㅓ" hidden="1">{#N/A,#N/A,FALSE,"CCTV"}</definedName>
    <definedName name="호ㅓ_1" hidden="1">{#N/A,#N/A,FALSE,"CCTV"}</definedName>
    <definedName name="호ㅓ_2" hidden="1">{#N/A,#N/A,FALSE,"CCTV"}</definedName>
    <definedName name="호ㅓㅎ" hidden="1">{#N/A,#N/A,FALSE,"표지목차"}</definedName>
    <definedName name="혼ㄹ" hidden="1">{#N/A,#N/A,FALSE,"운반시간"}</definedName>
    <definedName name="홀ㄴㄺㅅ" hidden="1">{#N/A,#N/A,FALSE,"단가표지"}</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홍홍_1" hidden="1">{#N/A,#N/A,TRUE,"LOADCOVE";#N/A,#N/A,TRUE,"PAGE001";#N/A,#N/A,TRUE,"PAGE002";#N/A,#N/A,TRUE,"PAGE003";#N/A,#N/A,TRUE,"PAGE004";#N/A,#N/A,TRUE,"PAGE005";#N/A,#N/A,TRUE,"PAGE006";#N/A,#N/A,TRUE,"PAGE007";#N/A,#N/A,TRUE,"PAGE008";#N/A,#N/A,TRUE,"PAGE009";#N/A,#N/A,TRUE,"PAGE010";#N/A,#N/A,TRUE,"PAGE011";#N/A,#N/A,TRUE,"PAGE012";#N/A,#N/A,TRUE,"PAGE013"}</definedName>
    <definedName name="홍홍_2" hidden="1">{#N/A,#N/A,TRUE,"LOADCOVE";#N/A,#N/A,TRUE,"PAGE001";#N/A,#N/A,TRUE,"PAGE002";#N/A,#N/A,TRUE,"PAGE003";#N/A,#N/A,TRUE,"PAGE004";#N/A,#N/A,TRUE,"PAGE005";#N/A,#N/A,TRUE,"PAGE006";#N/A,#N/A,TRUE,"PAGE007";#N/A,#N/A,TRUE,"PAGE008";#N/A,#N/A,TRUE,"PAGE009";#N/A,#N/A,TRUE,"PAGE010";#N/A,#N/A,TRUE,"PAGE011";#N/A,#N/A,TRUE,"PAGE012";#N/A,#N/A,TRUE,"PAGE013"}</definedName>
    <definedName name="홓렁호ㅓ호" hidden="1">{#N/A,#N/A,FALSE,"단가표지"}</definedName>
    <definedName name="홓로" hidden="1">{#N/A,#N/A,FALSE,"단가표지"}</definedName>
    <definedName name="화" hidden="1">{#N/A,#N/A,FALSE,"기안지";#N/A,#N/A,FALSE,"통신지"}</definedName>
    <definedName name="화허호ㅓ" hidden="1">{#N/A,#N/A,FALSE,"조골재"}</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훈" hidden="1">255</definedName>
    <definedName name="흄관" hidden="1">{#N/A,#N/A,FALSE,"기안지";#N/A,#N/A,FALSE,"통신지"}</definedName>
    <definedName name="ㅏ" hidden="1">{#N/A,#N/A,FALSE,"기안지";#N/A,#N/A,FALSE,"통신지"}</definedName>
    <definedName name="ㅏ허화" hidden="1">{#N/A,#N/A,FALSE,"골재소요량";#N/A,#N/A,FALSE,"골재소요량"}</definedName>
    <definedName name="ㅏㅏㅏ">#REF!</definedName>
    <definedName name="ㅏㅏㅏ_1" hidden="1">{#N/A,#N/A,FALSE,"명세표"}</definedName>
    <definedName name="ㅏㅏㅏ_2" hidden="1">{#N/A,#N/A,FALSE,"명세표"}</definedName>
    <definedName name="ㅏㅓ화호" hidden="1">{#N/A,#N/A,FALSE,"단가표지"}</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햫" hidden="1">{#N/A,#N/A,FALSE,"골재소요량";#N/A,#N/A,FALSE,"골재소요량"}</definedName>
    <definedName name="ㅏㅗㅓㅏ화호" hidden="1">{#N/A,#N/A,FALSE,"표지목차"}</definedName>
    <definedName name="ㅏㅣ" hidden="1">{#N/A,#N/A,FALSE,"단가표지"}</definedName>
    <definedName name="ㅑㅅ" hidden="1">{"'Sheet1'!$L$16"}</definedName>
    <definedName name="ㅑㅅ_1" hidden="1">{"'Sheet1'!$L$16"}</definedName>
    <definedName name="ㅑㅅ_2" hidden="1">{"'Sheet1'!$L$16"}</definedName>
    <definedName name="ㅓ7" hidden="1">{#N/A,#N/A,FALSE,"단가표지"}</definedName>
    <definedName name="ㅓ8">#REF!</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롤ㅇ" hidden="1">{#N/A,#N/A,FALSE,"혼합골재"}</definedName>
    <definedName name="ㅓㅇ롤ㅇ_1" hidden="1">{#N/A,#N/A,FALSE,"혼합골재"}</definedName>
    <definedName name="ㅓㅇ롤ㅇ_2" hidden="1">{#N/A,#N/A,FALSE,"혼합골재"}</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ㅗ" hidden="1">{#N/A,#N/A,FALSE,"포장1";#N/A,#N/A,FALSE,"포장1"}</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ㅓㅛ" hidden="1">{#N/A,#N/A,FALSE,"토공2"}</definedName>
    <definedName name="ㅓㅣㄱㄷ">#REF!</definedName>
    <definedName name="ㅔㅔ">#REF!</definedName>
    <definedName name="ㅔㅔ_1" hidden="1">{#N/A,#N/A,FALSE,"명세표"}</definedName>
    <definedName name="ㅔㅔ_2" hidden="1">{#N/A,#N/A,FALSE,"명세표"}</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_1" hidden="1">{#N/A,#N/A,TRUE,"LOADCOVE";#N/A,#N/A,TRUE,"PAGE001";#N/A,#N/A,TRUE,"PAGE002";#N/A,#N/A,TRUE,"PAGE003";#N/A,#N/A,TRUE,"PAGE004";#N/A,#N/A,TRUE,"PAGE005";#N/A,#N/A,TRUE,"PAGE006";#N/A,#N/A,TRUE,"PAGE007";#N/A,#N/A,TRUE,"PAGE008";#N/A,#N/A,TRUE,"PAGE009";#N/A,#N/A,TRUE,"PAGE010";#N/A,#N/A,TRUE,"PAGE011";#N/A,#N/A,TRUE,"PAGE012";#N/A,#N/A,TRUE,"PAGE013"}</definedName>
    <definedName name="ㅔㅔㅔ_2" hidden="1">{#N/A,#N/A,TRUE,"LOADCOVE";#N/A,#N/A,TRUE,"PAGE001";#N/A,#N/A,TRUE,"PAGE002";#N/A,#N/A,TRUE,"PAGE003";#N/A,#N/A,TRUE,"PAGE004";#N/A,#N/A,TRUE,"PAGE005";#N/A,#N/A,TRUE,"PAGE006";#N/A,#N/A,TRUE,"PAGE007";#N/A,#N/A,TRUE,"PAGE008";#N/A,#N/A,TRUE,"PAGE009";#N/A,#N/A,TRUE,"PAGE010";#N/A,#N/A,TRUE,"PAGE011";#N/A,#N/A,TRUE,"PAGE012";#N/A,#N/A,TRUE,"PAGE013"}</definedName>
    <definedName name="ㅕㅕㅛㅕ" hidden="1">{#N/A,#N/A,FALSE,"조골재"}</definedName>
    <definedName name="ㅗㄹㄶ" hidden="1">{#N/A,#N/A,FALSE,"조골재"}</definedName>
    <definedName name="ㅗㅎ" hidden="1">{#N/A,#N/A,FALSE,"Sheet1"}</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ㅗ" hidden="1">{#N/A,#N/A,FALSE,"단가표지"}</definedName>
    <definedName name="ㅗ호" hidden="1">{#N/A,#N/A,FALSE,"단가표지"}</definedName>
    <definedName name="ㅗ홓ㅎ로" hidden="1">{"'장비'!$A$3:$M$12"}</definedName>
    <definedName name="ㅗ홓ㅎ로_1" hidden="1">{"'장비'!$A$3:$M$12"}</definedName>
    <definedName name="ㅗ홓ㅎ로_2" hidden="1">{"'장비'!$A$3:$M$12"}</definedName>
    <definedName name="ㅗㅓ쇼ㅓㅕㄷ쇼ㅓㅕㄷㅅ" hidden="1">{#N/A,#N/A,FALSE,"단가표지"}</definedName>
    <definedName name="ㅗㅓㅎ로ㅓㅎㄹ" hidden="1">{#N/A,#N/A,FALSE,"표지목차"}</definedName>
    <definedName name="ㅗㅗ" hidden="1">{#N/A,#N/A,TRUE,"토적및재료집계";#N/A,#N/A,TRUE,"토적및재료집계";#N/A,#N/A,TRUE,"단위량"}</definedName>
    <definedName name="ㅗㅗ_1" hidden="1">{#N/A,#N/A,FALSE,"명세표"}</definedName>
    <definedName name="ㅗㅗ_2" hidden="1">{#N/A,#N/A,FALSE,"명세표"}</definedName>
    <definedName name="ㅗㅗㅗ" hidden="1">{"'장비'!$A$3:$M$12"}</definedName>
    <definedName name="ㅗㅗㅗ_1" hidden="1">{"'장비'!$A$3:$M$12"}</definedName>
    <definedName name="ㅗㅗㅗ_2" hidden="1">{"'장비'!$A$3:$M$12"}</definedName>
    <definedName name="ㅗㅗㅗㅗㅗ" hidden="1">{"'장비'!$A$3:$M$12"}</definedName>
    <definedName name="ㅗㅗㅗㅗㅗ_1" hidden="1">{"'장비'!$A$3:$M$12"}</definedName>
    <definedName name="ㅗㅗㅗㅗㅗ_2" hidden="1">{"'장비'!$A$3:$M$12"}</definedName>
    <definedName name="ㅗㅠㅍ" hidden="1">{#N/A,#N/A,FALSE,"혼합골재"}</definedName>
    <definedName name="ㅘ" hidden="1">{"'Sheet1'!$L$16"}</definedName>
    <definedName name="ㅘ_1" hidden="1">{"'Sheet1'!$L$16"}</definedName>
    <definedName name="ㅘ_2" hidden="1">{"'Sheet1'!$L$16"}</definedName>
    <definedName name="ㅛ" hidden="1">{"'장비'!$A$3:$M$12"}</definedName>
    <definedName name="ㅛ_1" hidden="1">{"'장비'!$A$3:$M$12"}</definedName>
    <definedName name="ㅛ_2" hidden="1">{"'장비'!$A$3:$M$12"}</definedName>
    <definedName name="ㅛㅕ하ㅓ" hidden="1">{#N/A,#N/A,FALSE,"포장2"}</definedName>
    <definedName name="ㅛㅛㅛ" hidden="1">{"'장비'!$A$3:$M$12"}</definedName>
    <definedName name="ㅛㅛㅛ_1" hidden="1">{"'장비'!$A$3:$M$12"}</definedName>
    <definedName name="ㅛㅛㅛ_2" hidden="1">{"'장비'!$A$3:$M$12"}</definedName>
    <definedName name="ㅜ" hidden="1">{#N/A,#N/A,FALSE,"배수1"}</definedName>
    <definedName name="ㅜ1">#REF!</definedName>
    <definedName name="ㅜ26">#REF!</definedName>
    <definedName name="ㅜㄴㄱ" hidden="1">{#N/A,#N/A,FALSE,"운반시간"}</definedName>
    <definedName name="ㅜㄷ주믇" hidden="1">{#N/A,#N/A,FALSE,"CCTV"}</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 hidden="1">{#N/A,#N/A,FALSE,"이정표"}</definedName>
    <definedName name="ㅜㅗㅇㅎㅌ" hidden="1">{#N/A,#N/A,FALSE,"단가표지"}</definedName>
    <definedName name="ㅜㅗㅇ훟" hidden="1">{#N/A,#N/A,FALSE,"단가표지"}</definedName>
    <definedName name="ㅜㅗㅗㅗㅇㅎ" hidden="1">{#N/A,#N/A,FALSE,"운반시간"}</definedName>
    <definedName name="ㅜㅠ푸" hidden="1">{#N/A,#N/A,FALSE,"운반시간"}</definedName>
    <definedName name="ㅜㅠ푸ㅣ" hidden="1">{#N/A,#N/A,FALSE,"운반시간"}</definedName>
    <definedName name="ㅜㅠㅠ" hidden="1">{#N/A,#N/A,FALSE,"골재소요량";#N/A,#N/A,FALSE,"골재소요량"}</definedName>
    <definedName name="ㅝㅎㄹ" hidden="1">{#N/A,#N/A,FALSE,"단가표지"}</definedName>
    <definedName name="ㅠ" hidden="1">{#N/A,#N/A,TRUE,"총괄"}</definedName>
    <definedName name="ㅠㄴ" hidden="1">{#N/A,#N/A,FALSE,"조골재"}</definedName>
    <definedName name="ㅠㄹ" hidden="1">{#N/A,#N/A,FALSE,"속도"}</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 hidden="1">{#N/A,#N/A,FALSE,"포장2"}</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ㅡㅡ" hidden="1">{#N/A,#N/A,FALSE,"명세표"}</definedName>
    <definedName name="ㅡㅡ_1" hidden="1">{#N/A,#N/A,FALSE,"명세표"}</definedName>
    <definedName name="ㅡㅡ_2" hidden="1">{#N/A,#N/A,FALSE,"명세표"}</definedName>
    <definedName name="ㅣㄹ">#REF!</definedName>
    <definedName name="ㅣ허ㅏㅣ하" hidden="1">{#N/A,#N/A,FALSE,"혼합골재"}</definedName>
    <definedName name="ㅣ허ㅣ호ㅓㅏ" hidden="1">{#N/A,#N/A,FALSE,"조골재"}</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ㅣㅏ" hidden="1">{"'장비'!$A$3:$M$12"}</definedName>
    <definedName name="ㅣㅑㅑ" hidden="1">{#N/A,#N/A,FALSE,"단가표지"}</definedName>
    <definedName name="ㅣㅓㅏ허" hidden="1">{#N/A,#N/A,FALSE,"운반시간"}</definedName>
    <definedName name="ㅣㅓㅏ허ㅏㅣ허ㅏㅓ" hidden="1">{#N/A,#N/A,FALSE,"운반시간"}</definedName>
    <definedName name="ㅣㅗ" hidden="1">{#N/A,#N/A,FALSE,"골재소요량";#N/A,#N/A,FALSE,"골재소요량"}</definedName>
    <definedName name="ㅣㅚㅓㅏ" hidden="1">{#N/A,#N/A,FALSE,"단가표지"}</definedName>
    <definedName name="ㅣㅣ" hidden="1">{#N/A,#N/A,FALSE,"골재소요량";#N/A,#N/A,FALSE,"골재소요량"}</definedName>
    <definedName name="ㅣㅣ_1" hidden="1">{#N/A,#N/A,FALSE,"골재소요량";#N/A,#N/A,FALSE,"골재소요량"}</definedName>
    <definedName name="ㅣㅣ_2" hidden="1">{#N/A,#N/A,FALSE,"골재소요량";#N/A,#N/A,FALSE,"골재소요량"}</definedName>
    <definedName name="ㅣㅣㅣ" hidden="1">{"'장비'!$A$3:$M$12"}</definedName>
    <definedName name="完了">#N/A</definedName>
    <definedName name="甲供材料计算" hidden="1">{"'报表'!$F$15"}</definedName>
    <definedName name="空調労務割掛">#N/A</definedName>
    <definedName name="空調継手・支持金物">#REF!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 i="13" l="1"/>
  <c r="B15" i="12"/>
  <c r="N15" i="12"/>
  <c r="A1" i="6"/>
  <c r="H1" i="6"/>
  <c r="B12" i="10"/>
  <c r="J12" i="10"/>
  <c r="B12" i="8"/>
  <c r="A1" i="5" s="1"/>
  <c r="J12" i="8"/>
  <c r="H1" i="5" s="1"/>
  <c r="D1" i="9" l="1"/>
  <c r="G63" i="15"/>
  <c r="F63" i="15"/>
  <c r="G58" i="15"/>
  <c r="F58" i="15"/>
  <c r="G54" i="15"/>
  <c r="F54" i="15"/>
  <c r="G53" i="15"/>
  <c r="F53" i="15"/>
  <c r="G52" i="15"/>
  <c r="G51" i="15" s="1"/>
  <c r="F52" i="15"/>
  <c r="F43" i="15"/>
  <c r="G42" i="15"/>
  <c r="D40" i="15"/>
  <c r="G37" i="15"/>
  <c r="G43" i="15" s="1"/>
  <c r="F37" i="15"/>
  <c r="G36" i="15"/>
  <c r="F36" i="15"/>
  <c r="G35" i="15"/>
  <c r="F35" i="15"/>
  <c r="G34" i="15"/>
  <c r="F34" i="15"/>
  <c r="F33" i="15"/>
  <c r="F41" i="15" s="1"/>
  <c r="G32" i="15"/>
  <c r="F32" i="15"/>
  <c r="G31" i="15"/>
  <c r="G47" i="15" s="1"/>
  <c r="F31" i="15"/>
  <c r="F47" i="15" s="1"/>
  <c r="E30" i="15"/>
  <c r="G29" i="15"/>
  <c r="G50" i="15" s="1"/>
  <c r="F29" i="15"/>
  <c r="F55" i="15" s="1"/>
  <c r="E29" i="15"/>
  <c r="G24" i="15"/>
  <c r="F24" i="15"/>
  <c r="G20" i="15"/>
  <c r="G19" i="15"/>
  <c r="G18" i="15"/>
  <c r="G7" i="15"/>
  <c r="G33" i="15" s="1"/>
  <c r="G63" i="14"/>
  <c r="F63" i="14"/>
  <c r="G54" i="14"/>
  <c r="F54" i="14"/>
  <c r="G52" i="14"/>
  <c r="F52" i="14"/>
  <c r="G48" i="14"/>
  <c r="G42" i="14"/>
  <c r="G41" i="14"/>
  <c r="D40" i="14"/>
  <c r="G40" i="14" s="1"/>
  <c r="F37" i="14"/>
  <c r="F43" i="14" s="1"/>
  <c r="G36" i="14"/>
  <c r="F36" i="14"/>
  <c r="G35" i="14"/>
  <c r="F35" i="14"/>
  <c r="F42" i="14" s="1"/>
  <c r="G34" i="14"/>
  <c r="F34" i="14"/>
  <c r="G33" i="14"/>
  <c r="F33" i="14"/>
  <c r="F41" i="14" s="1"/>
  <c r="G32" i="14"/>
  <c r="F32" i="14"/>
  <c r="F30" i="14" s="1"/>
  <c r="G31" i="14"/>
  <c r="G47" i="14" s="1"/>
  <c r="G46" i="14" s="1"/>
  <c r="F31" i="14"/>
  <c r="E30" i="14"/>
  <c r="G29" i="14"/>
  <c r="G55" i="14" s="1"/>
  <c r="F29" i="14"/>
  <c r="F55" i="14" s="1"/>
  <c r="E29" i="14"/>
  <c r="G24" i="14"/>
  <c r="F24" i="14"/>
  <c r="G20" i="14"/>
  <c r="G19" i="14"/>
  <c r="G18" i="14"/>
  <c r="G37" i="14" s="1"/>
  <c r="G7" i="14"/>
  <c r="G58" i="14" s="1"/>
  <c r="F58" i="14"/>
  <c r="F42" i="15" l="1"/>
  <c r="F48" i="15"/>
  <c r="F46" i="15"/>
  <c r="F40" i="15"/>
  <c r="F39" i="15" s="1"/>
  <c r="F51" i="15"/>
  <c r="F30" i="15"/>
  <c r="F25" i="15" s="1"/>
  <c r="G30" i="15"/>
  <c r="G41" i="15"/>
  <c r="G25" i="15"/>
  <c r="G66" i="15" s="1"/>
  <c r="G68" i="15" s="1"/>
  <c r="G40" i="15"/>
  <c r="G39" i="15" s="1"/>
  <c r="G55" i="15"/>
  <c r="G48" i="15"/>
  <c r="G46" i="15" s="1"/>
  <c r="F50" i="15"/>
  <c r="F25" i="14"/>
  <c r="F47" i="14"/>
  <c r="G43" i="14"/>
  <c r="G30" i="14"/>
  <c r="G39" i="14"/>
  <c r="G25" i="14"/>
  <c r="F48" i="14"/>
  <c r="F50" i="14"/>
  <c r="G50" i="14"/>
  <c r="G66" i="14" s="1"/>
  <c r="G68" i="14" s="1"/>
  <c r="F53" i="14"/>
  <c r="F51" i="14" s="1"/>
  <c r="G53" i="14"/>
  <c r="G51" i="14" s="1"/>
  <c r="F40" i="14"/>
  <c r="F39" i="14" s="1"/>
  <c r="F66" i="15" l="1"/>
  <c r="F68" i="15" s="1"/>
  <c r="F46" i="14"/>
  <c r="F66" i="14"/>
  <c r="F68" i="14" s="1"/>
  <c r="J74" i="5" l="1"/>
  <c r="I74" i="5"/>
  <c r="O71" i="5" l="1"/>
  <c r="P71" i="5" s="1"/>
  <c r="O72" i="5"/>
  <c r="P72" i="5" s="1"/>
  <c r="O73" i="5"/>
  <c r="O70" i="5"/>
  <c r="P70" i="5" s="1"/>
  <c r="K74" i="5"/>
  <c r="M73" i="5" s="1"/>
  <c r="N73" i="5" s="1"/>
  <c r="R69" i="5" s="1"/>
  <c r="V69" i="5" s="1"/>
  <c r="N72" i="5"/>
  <c r="N71" i="5"/>
  <c r="N70" i="5"/>
  <c r="S69" i="5"/>
  <c r="W69" i="5" s="1"/>
  <c r="Q69" i="5" l="1"/>
  <c r="U69" i="5" s="1"/>
  <c r="P73" i="5"/>
  <c r="Y69" i="5" l="1"/>
  <c r="F575" i="6" l="1"/>
  <c r="F542" i="6"/>
  <c r="F540" i="6"/>
  <c r="F534" i="6"/>
  <c r="F489" i="6"/>
  <c r="F486" i="6"/>
  <c r="F481" i="6"/>
  <c r="F477" i="6"/>
  <c r="F476" i="6"/>
  <c r="F475" i="6"/>
  <c r="F472" i="6"/>
  <c r="F443" i="6"/>
  <c r="F439" i="6"/>
  <c r="F434" i="6"/>
  <c r="F429" i="6"/>
  <c r="F424" i="6"/>
  <c r="F420" i="6"/>
  <c r="F328" i="6"/>
  <c r="F327" i="6"/>
  <c r="F321" i="6"/>
  <c r="F316" i="6"/>
  <c r="F289" i="6"/>
  <c r="F287" i="6"/>
  <c r="F285" i="6"/>
  <c r="F283" i="6"/>
  <c r="F282" i="6"/>
  <c r="F280" i="6"/>
  <c r="F278" i="6"/>
  <c r="F275" i="6"/>
  <c r="F274" i="6"/>
  <c r="F272" i="6"/>
  <c r="F267" i="6"/>
  <c r="F462" i="5"/>
  <c r="F146" i="5"/>
  <c r="D1" i="11"/>
  <c r="A1" i="9" l="1"/>
  <c r="F64" i="5" l="1"/>
  <c r="F72" i="5"/>
  <c r="F70" i="5"/>
  <c r="F71" i="5"/>
  <c r="F67" i="5"/>
  <c r="F62" i="5"/>
  <c r="F69" i="5"/>
  <c r="I69" i="5" s="1"/>
  <c r="F61" i="5"/>
  <c r="F65" i="5"/>
  <c r="F132" i="6"/>
  <c r="F320" i="6"/>
  <c r="F29" i="6"/>
  <c r="F96" i="6"/>
  <c r="F240" i="6"/>
  <c r="F28" i="6"/>
  <c r="F98" i="6"/>
  <c r="F67" i="6"/>
  <c r="F114" i="6"/>
  <c r="F97" i="6"/>
  <c r="F66" i="6"/>
  <c r="F27" i="6"/>
  <c r="I200" i="7"/>
  <c r="I54" i="7"/>
  <c r="I289" i="7"/>
  <c r="I56" i="7"/>
  <c r="I58" i="7"/>
  <c r="I499" i="7"/>
  <c r="I375" i="7"/>
  <c r="I607" i="7"/>
  <c r="I830" i="7"/>
  <c r="I678" i="7"/>
  <c r="I745" i="7"/>
  <c r="I261" i="7"/>
  <c r="I591" i="7"/>
  <c r="I792" i="7"/>
  <c r="I632" i="7"/>
  <c r="I443" i="7"/>
  <c r="I559" i="7"/>
  <c r="I960" i="7"/>
  <c r="I794" i="7"/>
  <c r="I179" i="7"/>
  <c r="I918" i="7"/>
  <c r="I1120" i="7"/>
  <c r="I670" i="7"/>
  <c r="I140" i="7"/>
  <c r="I533" i="7"/>
  <c r="I688" i="7"/>
  <c r="I778" i="7"/>
  <c r="I415" i="7"/>
  <c r="I425" i="7"/>
  <c r="I805" i="7"/>
  <c r="I411" i="7"/>
  <c r="I1084" i="7"/>
  <c r="I494" i="7"/>
  <c r="I646" i="7"/>
  <c r="I605" i="7"/>
  <c r="I52" i="7"/>
  <c r="I956" i="7"/>
  <c r="I462" i="7"/>
  <c r="I1090" i="7"/>
  <c r="I708" i="7"/>
  <c r="I206" i="7"/>
  <c r="I645" i="7"/>
  <c r="I478" i="7"/>
  <c r="I368" i="7"/>
  <c r="I526" i="7"/>
  <c r="I747" i="7"/>
  <c r="I109" i="7"/>
  <c r="I626" i="7"/>
  <c r="I177" i="7"/>
  <c r="I544" i="7"/>
  <c r="I337" i="7"/>
  <c r="I572" i="7"/>
  <c r="I978" i="7"/>
  <c r="I458" i="7"/>
  <c r="I514" i="7"/>
  <c r="I497" i="7"/>
  <c r="I42" i="7"/>
  <c r="I589" i="7"/>
  <c r="I409" i="7"/>
  <c r="I439" i="7"/>
  <c r="I189" i="7"/>
  <c r="I516" i="7"/>
  <c r="I460" i="7"/>
  <c r="I760" i="7"/>
  <c r="I562" i="7"/>
  <c r="I476" i="7"/>
  <c r="I660" i="7"/>
  <c r="I423" i="7"/>
  <c r="I967" i="7"/>
  <c r="I958" i="7"/>
  <c r="I91" i="7"/>
  <c r="I1118" i="7"/>
  <c r="I60" i="7"/>
  <c r="I736" i="7"/>
  <c r="I279" i="7"/>
  <c r="I1026" i="7"/>
  <c r="I354" i="7"/>
  <c r="I352" i="7"/>
  <c r="I1072" i="7"/>
  <c r="I175" i="7"/>
  <c r="I397" i="7"/>
  <c r="I611" i="7"/>
  <c r="I828" i="7"/>
  <c r="I640" i="7"/>
  <c r="I320" i="7"/>
  <c r="I924" i="7"/>
  <c r="I1057" i="7"/>
  <c r="I1047" i="7"/>
  <c r="I622" i="7"/>
  <c r="I358" i="7"/>
  <c r="I427" i="7"/>
  <c r="I1042" i="7"/>
  <c r="I668" i="7"/>
  <c r="I495" i="7"/>
  <c r="I529" i="7"/>
  <c r="I962" i="7"/>
  <c r="I758" i="7"/>
  <c r="I987" i="7"/>
  <c r="I985" i="7"/>
  <c r="I980" i="7"/>
  <c r="I482" i="7"/>
  <c r="I630" i="7"/>
  <c r="I405" i="7"/>
  <c r="I603" i="7"/>
  <c r="I139" i="7"/>
  <c r="I648" i="7"/>
  <c r="I267" i="7"/>
  <c r="I548" i="7"/>
  <c r="I413" i="7"/>
  <c r="I307" i="7"/>
  <c r="I1112" i="7"/>
  <c r="I842" i="7"/>
  <c r="I1032" i="7"/>
  <c r="I456" i="7"/>
  <c r="I102" i="7"/>
  <c r="I293" i="7"/>
  <c r="I291" i="7"/>
  <c r="I277" i="7"/>
  <c r="I1030" i="7"/>
  <c r="I40" i="7"/>
  <c r="I305" i="7"/>
  <c r="I36" i="7"/>
  <c r="I50" i="7"/>
  <c r="I724" i="7"/>
  <c r="I706" i="7"/>
  <c r="I350" i="7"/>
  <c r="I1060" i="7"/>
  <c r="I110" i="7"/>
  <c r="I734" i="7"/>
  <c r="I172" i="7"/>
  <c r="I112" i="7"/>
  <c r="I636" i="7"/>
  <c r="I1098" i="7"/>
  <c r="I718" i="7"/>
  <c r="I920" i="7"/>
  <c r="I379" i="7"/>
  <c r="I472" i="7"/>
  <c r="I609" i="7"/>
  <c r="I84" i="7"/>
  <c r="I1046" i="7"/>
  <c r="I1088" i="7"/>
  <c r="I324" i="7"/>
  <c r="I1058" i="7"/>
  <c r="I965" i="7"/>
  <c r="I664" i="7"/>
  <c r="I844" i="7"/>
  <c r="I263" i="7"/>
  <c r="I840" i="7"/>
  <c r="I247" i="7"/>
  <c r="I339" i="7"/>
  <c r="I720" i="7"/>
  <c r="I1062" i="7"/>
  <c r="I912" i="7"/>
  <c r="I441" i="7"/>
  <c r="I389" i="7"/>
  <c r="I325" i="7"/>
  <c r="I690" i="7"/>
  <c r="I528" i="7"/>
  <c r="I187" i="7"/>
  <c r="I856" i="7"/>
  <c r="I496" i="7"/>
  <c r="I512" i="7"/>
  <c r="I825" i="7"/>
  <c r="I702" i="7"/>
  <c r="I1028" i="7"/>
  <c r="I1044" i="7"/>
  <c r="I1082" i="7"/>
  <c r="I774" i="7"/>
  <c r="I106" i="7"/>
  <c r="I764" i="7"/>
  <c r="I963" i="7"/>
  <c r="I265" i="7"/>
  <c r="I93" i="7"/>
  <c r="I38" i="7"/>
  <c r="I1043" i="7"/>
  <c r="I937" i="7"/>
  <c r="I916" i="7"/>
  <c r="I498" i="7"/>
  <c r="I335" i="7"/>
  <c r="I1004" i="7"/>
  <c r="I952" i="7"/>
  <c r="I922" i="7"/>
  <c r="I141" i="7"/>
  <c r="I593" i="7"/>
  <c r="I832" i="7"/>
  <c r="I926" i="7"/>
  <c r="I939" i="7"/>
  <c r="I204" i="7"/>
  <c r="I807" i="7"/>
  <c r="I634" i="7"/>
  <c r="I859" i="7"/>
  <c r="I914" i="7"/>
  <c r="I680" i="7"/>
  <c r="I846" i="7"/>
  <c r="I356" i="7"/>
  <c r="I621" i="7"/>
  <c r="I561" i="7"/>
  <c r="I62" i="7"/>
  <c r="I676" i="7"/>
  <c r="I1086" i="7"/>
  <c r="I1074" i="7"/>
  <c r="I674" i="7"/>
  <c r="I1059" i="7"/>
  <c r="I692" i="7"/>
  <c r="I157" i="7"/>
  <c r="I982" i="7"/>
  <c r="I638" i="7"/>
  <c r="I1103" i="7"/>
  <c r="I251" i="7"/>
  <c r="I249" i="7"/>
  <c r="I394" i="7"/>
  <c r="I89" i="7"/>
  <c r="I407" i="7"/>
  <c r="I560" i="7"/>
  <c r="I1008" i="7"/>
  <c r="I437" i="7"/>
  <c r="I642" i="7"/>
  <c r="I943" i="7"/>
  <c r="I1045" i="7"/>
  <c r="I202" i="7"/>
  <c r="I86" i="7"/>
  <c r="I105" i="7"/>
  <c r="I18" i="7"/>
  <c r="I954" i="7"/>
  <c r="I576" i="7"/>
  <c r="I435" i="7"/>
  <c r="I493" i="7"/>
  <c r="I812" i="7"/>
  <c r="I628" i="7"/>
  <c r="I716" i="7"/>
  <c r="I377" i="7"/>
  <c r="I170" i="7"/>
  <c r="I1061" i="7"/>
  <c r="I578" i="7"/>
  <c r="I474" i="7"/>
  <c r="I303" i="7"/>
  <c r="I546" i="7"/>
  <c r="I534" i="7"/>
  <c r="I574" i="7"/>
  <c r="I662" i="7"/>
  <c r="I532" i="7"/>
  <c r="I750" i="7"/>
  <c r="I1012" i="7"/>
  <c r="I969" i="7"/>
  <c r="I788" i="7"/>
  <c r="I15" i="7"/>
  <c r="G1016" i="7"/>
  <c r="I1016" i="7" s="1"/>
  <c r="G1014" i="7"/>
  <c r="I1014" i="7" s="1"/>
  <c r="G1010" i="7"/>
  <c r="I1010" i="7" s="1"/>
  <c r="G1006" i="7"/>
  <c r="I1006" i="7" s="1"/>
  <c r="G1002" i="7"/>
  <c r="I1002" i="7" s="1"/>
  <c r="G1000" i="7"/>
  <c r="I1000" i="7" s="1"/>
  <c r="G998" i="7"/>
  <c r="I998" i="7" s="1"/>
  <c r="G945" i="7"/>
  <c r="I945" i="7" s="1"/>
  <c r="G941" i="7"/>
  <c r="I941" i="7" s="1"/>
  <c r="G936" i="7"/>
  <c r="I936" i="7" s="1"/>
  <c r="G898" i="7"/>
  <c r="I898" i="7" s="1"/>
  <c r="G897" i="7"/>
  <c r="I897" i="7" s="1"/>
  <c r="G896" i="7"/>
  <c r="I896" i="7" s="1"/>
  <c r="G895" i="7"/>
  <c r="I895" i="7" s="1"/>
  <c r="G884" i="7"/>
  <c r="I884" i="7" s="1"/>
  <c r="G882" i="7"/>
  <c r="I882" i="7" s="1"/>
  <c r="G880" i="7"/>
  <c r="I880" i="7" s="1"/>
  <c r="G878" i="7"/>
  <c r="I878" i="7" s="1"/>
  <c r="G876" i="7"/>
  <c r="I876" i="7" s="1"/>
  <c r="G874" i="7"/>
  <c r="I874" i="7" s="1"/>
  <c r="G391" i="7"/>
  <c r="I391" i="7" s="1"/>
  <c r="G372" i="7"/>
  <c r="I372" i="7" s="1"/>
  <c r="G370" i="7"/>
  <c r="I370" i="7" s="1"/>
  <c r="G319" i="7"/>
  <c r="I319" i="7" s="1"/>
  <c r="G236" i="7"/>
  <c r="I236" i="7" s="1"/>
  <c r="G234" i="7"/>
  <c r="I234" i="7" s="1"/>
  <c r="G231" i="7"/>
  <c r="I231" i="7" s="1"/>
  <c r="G228" i="7"/>
  <c r="I228" i="7" s="1"/>
  <c r="G225" i="7"/>
  <c r="I225" i="7" s="1"/>
  <c r="G222" i="7"/>
  <c r="I222" i="7" s="1"/>
  <c r="G221" i="7"/>
  <c r="I221" i="7" s="1"/>
  <c r="G208" i="7"/>
  <c r="I208" i="7" s="1"/>
  <c r="G198" i="7"/>
  <c r="I198" i="7" s="1"/>
  <c r="G155" i="7"/>
  <c r="I155" i="7" s="1"/>
  <c r="G153" i="7"/>
  <c r="I153" i="7" s="1"/>
  <c r="G128" i="7"/>
  <c r="I128" i="7" s="1"/>
  <c r="G127" i="7"/>
  <c r="I127" i="7" s="1"/>
  <c r="G126" i="7"/>
  <c r="I126" i="7" s="1"/>
  <c r="G125" i="7"/>
  <c r="I125" i="7" s="1"/>
  <c r="G114" i="7"/>
  <c r="I114" i="7" s="1"/>
  <c r="G108" i="7"/>
  <c r="I108" i="7" s="1"/>
  <c r="G107" i="7"/>
  <c r="I107" i="7" s="1"/>
  <c r="G32" i="7"/>
  <c r="I32" i="7" s="1"/>
  <c r="I781" i="7" l="1"/>
  <c r="I1177" i="7" s="1"/>
  <c r="I296" i="7"/>
  <c r="I1143" i="7" s="1"/>
  <c r="F66" i="5"/>
  <c r="I695" i="7"/>
  <c r="I1171" i="7" s="1"/>
  <c r="I929" i="7"/>
  <c r="I1191" i="7" s="1"/>
  <c r="I835" i="7"/>
  <c r="I1180" i="7" s="1"/>
  <c r="I1035" i="7"/>
  <c r="I1196" i="7" s="1"/>
  <c r="I565" i="7"/>
  <c r="I1165" i="7" s="1"/>
  <c r="I465" i="7"/>
  <c r="I1159" i="7" s="1"/>
  <c r="I254" i="7"/>
  <c r="I1140" i="7" s="1"/>
  <c r="I991" i="7"/>
  <c r="I1194" i="7" s="1"/>
  <c r="I1123" i="7"/>
  <c r="I1202" i="7" s="1"/>
  <c r="I582" i="7"/>
  <c r="I1166" i="7" s="1"/>
  <c r="I767" i="7"/>
  <c r="I1176" i="7" s="1"/>
  <c r="I506" i="7"/>
  <c r="I1161" i="7" s="1"/>
  <c r="I798" i="7"/>
  <c r="I1178" i="7" s="1"/>
  <c r="I753" i="7"/>
  <c r="I1175" i="7" s="1"/>
  <c r="I598" i="7"/>
  <c r="I1167" i="7" s="1"/>
  <c r="I711" i="7"/>
  <c r="I1172" i="7" s="1"/>
  <c r="I683" i="7"/>
  <c r="I1170" i="7" s="1"/>
  <c r="F111" i="6"/>
  <c r="I182" i="7"/>
  <c r="I1136" i="7" s="1"/>
  <c r="I739" i="7"/>
  <c r="I1174" i="7" s="1"/>
  <c r="I1065" i="7"/>
  <c r="I1198" i="7" s="1"/>
  <c r="I520" i="7"/>
  <c r="I1162" i="7" s="1"/>
  <c r="I310" i="7"/>
  <c r="I1144" i="7" s="1"/>
  <c r="I651" i="7"/>
  <c r="I1169" i="7" s="1"/>
  <c r="I282" i="7"/>
  <c r="I1142" i="7" s="1"/>
  <c r="I1050" i="7"/>
  <c r="I1197" i="7" s="1"/>
  <c r="I418" i="7"/>
  <c r="I1150" i="7" s="1"/>
  <c r="I972" i="7"/>
  <c r="I1193" i="7" s="1"/>
  <c r="I446" i="7"/>
  <c r="I1158" i="7" s="1"/>
  <c r="I1100" i="7"/>
  <c r="I1106" i="7" s="1"/>
  <c r="I1201" i="7" s="1"/>
  <c r="I727" i="7"/>
  <c r="I1173" i="7" s="1"/>
  <c r="I95" i="7"/>
  <c r="I1131" i="7" s="1"/>
  <c r="I66" i="7"/>
  <c r="I1130" i="7" s="1"/>
  <c r="I1093" i="7"/>
  <c r="I1200" i="7" s="1"/>
  <c r="I486" i="7"/>
  <c r="I1160" i="7" s="1"/>
  <c r="I537" i="7"/>
  <c r="I1163" i="7" s="1"/>
  <c r="I818" i="7"/>
  <c r="I1179" i="7" s="1"/>
  <c r="I146" i="7"/>
  <c r="I1134" i="7" s="1"/>
  <c r="I270" i="7"/>
  <c r="I1141" i="7" s="1"/>
  <c r="I615" i="7"/>
  <c r="I1168" i="7" s="1"/>
  <c r="I343" i="7"/>
  <c r="I1146" i="7" s="1"/>
  <c r="I193" i="7"/>
  <c r="I1137" i="7" s="1"/>
  <c r="I430" i="7"/>
  <c r="I1157" i="7" s="1"/>
  <c r="I361" i="7"/>
  <c r="I1147" i="7" s="1"/>
  <c r="I552" i="7"/>
  <c r="I1164" i="7" s="1"/>
  <c r="I1077" i="7"/>
  <c r="I1199" i="7" s="1"/>
  <c r="I864" i="7"/>
  <c r="I861" i="7"/>
  <c r="I27" i="7"/>
  <c r="I1128" i="7" s="1"/>
  <c r="I328" i="7"/>
  <c r="I1145" i="7" s="1"/>
  <c r="I46" i="7"/>
  <c r="I1129" i="7" s="1"/>
  <c r="I400" i="7"/>
  <c r="I1149" i="7" s="1"/>
  <c r="I117" i="7"/>
  <c r="I1132" i="7" s="1"/>
  <c r="I213" i="7"/>
  <c r="I1138" i="7" s="1"/>
  <c r="I948" i="7"/>
  <c r="I1192" i="7" s="1"/>
  <c r="I240" i="7"/>
  <c r="I1139" i="7" s="1"/>
  <c r="I1019" i="7"/>
  <c r="I1195" i="7" s="1"/>
  <c r="I382" i="7"/>
  <c r="I1148" i="7" s="1"/>
  <c r="I905" i="7"/>
  <c r="I1190" i="7" s="1"/>
  <c r="I165" i="7"/>
  <c r="I1135" i="7" s="1"/>
  <c r="I888" i="7"/>
  <c r="I1189" i="7" s="1"/>
  <c r="I131" i="7"/>
  <c r="I1133" i="7" s="1"/>
  <c r="A584" i="6"/>
  <c r="A583" i="6"/>
  <c r="A582" i="6"/>
  <c r="A581" i="6"/>
  <c r="A580" i="6"/>
  <c r="A579" i="6"/>
  <c r="A578" i="6"/>
  <c r="A577" i="6"/>
  <c r="A576" i="6"/>
  <c r="A575" i="6"/>
  <c r="A574" i="6"/>
  <c r="A573" i="6"/>
  <c r="A572" i="6"/>
  <c r="A571" i="6"/>
  <c r="A570" i="6"/>
  <c r="A567" i="6"/>
  <c r="F548" i="6"/>
  <c r="A547" i="6"/>
  <c r="A546" i="6"/>
  <c r="F545" i="6"/>
  <c r="A545" i="6"/>
  <c r="F544" i="6"/>
  <c r="A544" i="6"/>
  <c r="A543" i="6"/>
  <c r="A542" i="6"/>
  <c r="A541" i="6"/>
  <c r="A540" i="6"/>
  <c r="A539" i="6"/>
  <c r="A538" i="6"/>
  <c r="A537" i="6"/>
  <c r="A536" i="6"/>
  <c r="A535" i="6"/>
  <c r="A533" i="6"/>
  <c r="A532" i="6"/>
  <c r="F531" i="6"/>
  <c r="A530" i="6"/>
  <c r="A529" i="6"/>
  <c r="A528" i="6"/>
  <c r="A527" i="6"/>
  <c r="A526" i="6"/>
  <c r="A521"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57"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1" i="6"/>
  <c r="F375" i="6"/>
  <c r="A374" i="6"/>
  <c r="A373" i="6"/>
  <c r="A372" i="6"/>
  <c r="F371" i="6"/>
  <c r="A370" i="6"/>
  <c r="A369" i="6"/>
  <c r="A368" i="6"/>
  <c r="A367" i="6"/>
  <c r="A366" i="6"/>
  <c r="A365" i="6"/>
  <c r="A363" i="6"/>
  <c r="A333" i="6"/>
  <c r="A332" i="6"/>
  <c r="A331" i="6"/>
  <c r="A330" i="6"/>
  <c r="A329" i="6"/>
  <c r="A326" i="6"/>
  <c r="A325" i="6"/>
  <c r="A324" i="6"/>
  <c r="A323" i="6"/>
  <c r="A322" i="6"/>
  <c r="A319" i="6"/>
  <c r="A318" i="6"/>
  <c r="A317" i="6"/>
  <c r="A315" i="6"/>
  <c r="A314" i="6"/>
  <c r="A313" i="6"/>
  <c r="F305" i="6"/>
  <c r="F304" i="6"/>
  <c r="F293" i="6"/>
  <c r="F292" i="6"/>
  <c r="F291" i="6"/>
  <c r="A290" i="6"/>
  <c r="A289" i="6"/>
  <c r="A288" i="6"/>
  <c r="A287" i="6"/>
  <c r="A286" i="6"/>
  <c r="A285" i="6"/>
  <c r="A284" i="6"/>
  <c r="A283" i="6"/>
  <c r="A282" i="6"/>
  <c r="A281" i="6"/>
  <c r="A279" i="6"/>
  <c r="A277" i="6"/>
  <c r="A276" i="6"/>
  <c r="A275" i="6"/>
  <c r="A274" i="6"/>
  <c r="A273" i="6"/>
  <c r="A272" i="6"/>
  <c r="A271" i="6"/>
  <c r="A270" i="6"/>
  <c r="A269" i="6"/>
  <c r="A268" i="6"/>
  <c r="A266" i="6"/>
  <c r="A265" i="6"/>
  <c r="A264" i="6"/>
  <c r="A263" i="6"/>
  <c r="A261" i="6"/>
  <c r="A260" i="6"/>
  <c r="A242" i="6"/>
  <c r="F241" i="6"/>
  <c r="A241" i="6"/>
  <c r="F239" i="6"/>
  <c r="A238" i="6"/>
  <c r="F237" i="6"/>
  <c r="A236" i="6"/>
  <c r="F235" i="6"/>
  <c r="F234" i="6"/>
  <c r="A234" i="6"/>
  <c r="F233" i="6"/>
  <c r="A233" i="6"/>
  <c r="A232" i="6"/>
  <c r="F231" i="6"/>
  <c r="A231" i="6"/>
  <c r="A230" i="6"/>
  <c r="F229" i="6"/>
  <c r="A229" i="6"/>
  <c r="A228" i="6"/>
  <c r="F227" i="6"/>
  <c r="A227" i="6"/>
  <c r="F226" i="6"/>
  <c r="A226" i="6"/>
  <c r="F225" i="6"/>
  <c r="A224" i="6"/>
  <c r="A223" i="6"/>
  <c r="A222" i="6"/>
  <c r="A221" i="6"/>
  <c r="A220" i="6"/>
  <c r="F219" i="6"/>
  <c r="A218" i="6"/>
  <c r="A217" i="6"/>
  <c r="A216" i="6"/>
  <c r="A215" i="6"/>
  <c r="A213" i="6"/>
  <c r="A212" i="6"/>
  <c r="F187" i="6"/>
  <c r="A186" i="6"/>
  <c r="F185" i="6"/>
  <c r="A185" i="6"/>
  <c r="A184" i="6"/>
  <c r="F183" i="6"/>
  <c r="A182" i="6"/>
  <c r="F181" i="6"/>
  <c r="F180" i="6"/>
  <c r="A180" i="6"/>
  <c r="F179" i="6"/>
  <c r="A179" i="6"/>
  <c r="A178" i="6"/>
  <c r="F177" i="6"/>
  <c r="A177" i="6"/>
  <c r="A176" i="6"/>
  <c r="F175" i="6"/>
  <c r="A175" i="6"/>
  <c r="A174" i="6"/>
  <c r="F173" i="6"/>
  <c r="A173" i="6"/>
  <c r="F172" i="6"/>
  <c r="A172" i="6"/>
  <c r="A171" i="6"/>
  <c r="A170" i="6"/>
  <c r="F169" i="6"/>
  <c r="A168" i="6"/>
  <c r="A167" i="6"/>
  <c r="A166" i="6"/>
  <c r="A164" i="6"/>
  <c r="A155" i="6"/>
  <c r="A154" i="6"/>
  <c r="A153" i="6"/>
  <c r="A152" i="6"/>
  <c r="A151" i="6"/>
  <c r="A150" i="6"/>
  <c r="A149" i="6"/>
  <c r="A148" i="6"/>
  <c r="A147" i="6"/>
  <c r="A146" i="6"/>
  <c r="A145" i="6"/>
  <c r="A144" i="6"/>
  <c r="A143" i="6"/>
  <c r="A142" i="6"/>
  <c r="A141" i="6"/>
  <c r="A140" i="6"/>
  <c r="A139" i="6"/>
  <c r="A138" i="6"/>
  <c r="A137" i="6"/>
  <c r="A136" i="6"/>
  <c r="A135" i="6"/>
  <c r="A134" i="6"/>
  <c r="A133" i="6"/>
  <c r="A131" i="6"/>
  <c r="A130" i="6"/>
  <c r="A129" i="6"/>
  <c r="A128" i="6"/>
  <c r="A127" i="6"/>
  <c r="A126" i="6"/>
  <c r="A117" i="6"/>
  <c r="A116" i="6"/>
  <c r="A115" i="6"/>
  <c r="A110" i="6"/>
  <c r="A109" i="6"/>
  <c r="A108" i="6"/>
  <c r="D107" i="6"/>
  <c r="A106" i="6"/>
  <c r="A105" i="6"/>
  <c r="A104" i="6"/>
  <c r="A103" i="6"/>
  <c r="A102" i="6"/>
  <c r="D99" i="6"/>
  <c r="F99" i="6" s="1"/>
  <c r="A95" i="6"/>
  <c r="A62" i="6"/>
  <c r="A61" i="6"/>
  <c r="A60" i="6"/>
  <c r="A59" i="6"/>
  <c r="A58" i="6"/>
  <c r="A57" i="6"/>
  <c r="A56" i="6"/>
  <c r="D55" i="6"/>
  <c r="A55" i="6"/>
  <c r="A54" i="6"/>
  <c r="A33" i="6"/>
  <c r="A32" i="6"/>
  <c r="A31" i="6"/>
  <c r="A30" i="6"/>
  <c r="A26" i="6"/>
  <c r="A25" i="6"/>
  <c r="A24" i="6"/>
  <c r="A23" i="6"/>
  <c r="A22" i="6"/>
  <c r="A21" i="6"/>
  <c r="A20" i="6"/>
  <c r="A19" i="6"/>
  <c r="A18" i="6"/>
  <c r="A17" i="6"/>
  <c r="A16" i="6"/>
  <c r="A15" i="6"/>
  <c r="A14" i="6"/>
  <c r="A13" i="6"/>
  <c r="A12" i="6"/>
  <c r="A11" i="6"/>
  <c r="A10" i="6"/>
  <c r="A9" i="6"/>
  <c r="A8" i="6"/>
  <c r="A7" i="6"/>
  <c r="I867" i="7" l="1"/>
  <c r="I1188" i="7" s="1"/>
  <c r="F113" i="6"/>
  <c r="I848" i="7"/>
  <c r="I851" i="7" s="1"/>
  <c r="I1187" i="7" s="1"/>
  <c r="F107" i="6"/>
  <c r="F55" i="6"/>
  <c r="D101" i="6"/>
  <c r="I1208" i="7" l="1"/>
  <c r="I15" i="4" s="1"/>
  <c r="F11" i="6"/>
  <c r="F21" i="6"/>
  <c r="F426" i="6"/>
  <c r="F421" i="6"/>
  <c r="F326" i="6"/>
  <c r="F584" i="6"/>
  <c r="F373" i="6"/>
  <c r="F271" i="6"/>
  <c r="F269" i="6"/>
  <c r="F529" i="6"/>
  <c r="F330" i="6"/>
  <c r="F178" i="6"/>
  <c r="F431" i="6"/>
  <c r="F57" i="6"/>
  <c r="F422" i="6"/>
  <c r="F418" i="6"/>
  <c r="F127" i="6"/>
  <c r="F573" i="6"/>
  <c r="F19" i="6"/>
  <c r="F270" i="6"/>
  <c r="F228" i="6"/>
  <c r="F60" i="6"/>
  <c r="F279" i="6"/>
  <c r="F232" i="6"/>
  <c r="F533" i="6"/>
  <c r="F526" i="6"/>
  <c r="F128" i="6"/>
  <c r="F134" i="6"/>
  <c r="F532" i="6"/>
  <c r="F578" i="6"/>
  <c r="F479" i="6"/>
  <c r="F430" i="6"/>
  <c r="F332" i="6"/>
  <c r="F471" i="6"/>
  <c r="F445" i="6"/>
  <c r="F538" i="6"/>
  <c r="F425" i="6"/>
  <c r="F570" i="6"/>
  <c r="F325" i="6"/>
  <c r="F583" i="6"/>
  <c r="F217" i="6"/>
  <c r="F576" i="6"/>
  <c r="F268" i="6"/>
  <c r="F263" i="6"/>
  <c r="F133" i="6"/>
  <c r="F221" i="6"/>
  <c r="F580" i="6"/>
  <c r="F138" i="6"/>
  <c r="F155" i="6"/>
  <c r="F582" i="6"/>
  <c r="F423" i="6"/>
  <c r="F32" i="6"/>
  <c r="F482" i="6"/>
  <c r="F141" i="6"/>
  <c r="F527" i="6"/>
  <c r="F130" i="6"/>
  <c r="F319" i="6"/>
  <c r="F539" i="6"/>
  <c r="F480" i="6"/>
  <c r="F230" i="6"/>
  <c r="F167" i="6"/>
  <c r="F438" i="6"/>
  <c r="F487" i="6"/>
  <c r="F484" i="6"/>
  <c r="F264" i="6"/>
  <c r="F546" i="6"/>
  <c r="F176" i="6"/>
  <c r="F112" i="6"/>
  <c r="F365" i="6"/>
  <c r="F17" i="6"/>
  <c r="F31" i="6"/>
  <c r="F428" i="6"/>
  <c r="F574" i="6"/>
  <c r="F286" i="6"/>
  <c r="F59" i="6"/>
  <c r="F236" i="6"/>
  <c r="F314" i="6"/>
  <c r="F448" i="6"/>
  <c r="F171" i="6"/>
  <c r="F528" i="6"/>
  <c r="F284" i="6"/>
  <c r="F433" i="6"/>
  <c r="F315" i="6"/>
  <c r="F474" i="6"/>
  <c r="F131" i="6"/>
  <c r="F485" i="6"/>
  <c r="F266" i="6"/>
  <c r="F15" i="6"/>
  <c r="F370" i="6"/>
  <c r="F446" i="6"/>
  <c r="F547" i="6"/>
  <c r="F490" i="6"/>
  <c r="F149" i="6"/>
  <c r="F216" i="6"/>
  <c r="F368" i="6"/>
  <c r="F140" i="6"/>
  <c r="F473" i="6"/>
  <c r="F491" i="6"/>
  <c r="F277" i="6"/>
  <c r="F146" i="6"/>
  <c r="F288" i="6"/>
  <c r="F153" i="6"/>
  <c r="F116" i="6"/>
  <c r="F170" i="6"/>
  <c r="F13" i="6"/>
  <c r="F313" i="6"/>
  <c r="F366" i="6"/>
  <c r="F417" i="6"/>
  <c r="F324" i="6"/>
  <c r="F432" i="6"/>
  <c r="F577" i="6"/>
  <c r="F142" i="6"/>
  <c r="F103" i="6"/>
  <c r="F419" i="6"/>
  <c r="F224" i="6"/>
  <c r="F374" i="6"/>
  <c r="F579" i="6"/>
  <c r="F136" i="6"/>
  <c r="F436" i="6"/>
  <c r="F372" i="6"/>
  <c r="F104" i="6"/>
  <c r="F12" i="6"/>
  <c r="F26" i="6"/>
  <c r="F215" i="6"/>
  <c r="F186" i="6"/>
  <c r="F242" i="6"/>
  <c r="F323" i="6"/>
  <c r="F318" i="6"/>
  <c r="F537" i="6"/>
  <c r="F535" i="6"/>
  <c r="F571" i="6"/>
  <c r="F331" i="6"/>
  <c r="F223" i="6"/>
  <c r="F276" i="6"/>
  <c r="F483" i="6"/>
  <c r="F441" i="6"/>
  <c r="F435" i="6"/>
  <c r="F145" i="6"/>
  <c r="F218" i="6"/>
  <c r="F442" i="6"/>
  <c r="F317" i="6"/>
  <c r="F290" i="6"/>
  <c r="F543" i="6"/>
  <c r="F33" i="6"/>
  <c r="F168" i="6"/>
  <c r="F437" i="6"/>
  <c r="F150" i="6"/>
  <c r="F143" i="6"/>
  <c r="F478" i="6"/>
  <c r="F329" i="6"/>
  <c r="F322" i="6"/>
  <c r="F147" i="6"/>
  <c r="F265" i="6"/>
  <c r="F220" i="6"/>
  <c r="F62" i="6"/>
  <c r="F25" i="6"/>
  <c r="F144" i="6"/>
  <c r="F105" i="6"/>
  <c r="F61" i="6"/>
  <c r="F222" i="6"/>
  <c r="F117" i="6"/>
  <c r="F427" i="6"/>
  <c r="F447" i="6"/>
  <c r="F333" i="6"/>
  <c r="F182" i="6"/>
  <c r="F129" i="6"/>
  <c r="F148" i="6"/>
  <c r="F273" i="6"/>
  <c r="F572" i="6"/>
  <c r="F166" i="6"/>
  <c r="F238" i="6"/>
  <c r="F22" i="6"/>
  <c r="F536" i="6"/>
  <c r="F530" i="6"/>
  <c r="F470" i="6"/>
  <c r="F151" i="6"/>
  <c r="F541" i="6"/>
  <c r="F369" i="6"/>
  <c r="F367" i="6"/>
  <c r="F184" i="6"/>
  <c r="F440" i="6"/>
  <c r="F281" i="6"/>
  <c r="F581" i="6"/>
  <c r="F174" i="6"/>
  <c r="F444" i="6"/>
  <c r="F135" i="6"/>
  <c r="F488" i="6"/>
  <c r="F9" i="6"/>
  <c r="F8" i="6"/>
  <c r="F101" i="6"/>
  <c r="F605" i="5"/>
  <c r="A572" i="5"/>
  <c r="A568" i="5"/>
  <c r="A567" i="5"/>
  <c r="A566" i="5"/>
  <c r="A565" i="5"/>
  <c r="A564" i="5"/>
  <c r="A563" i="5"/>
  <c r="A562" i="5"/>
  <c r="A561" i="5"/>
  <c r="A560" i="5"/>
  <c r="F559" i="5"/>
  <c r="A559" i="5"/>
  <c r="F557" i="5"/>
  <c r="F556" i="5"/>
  <c r="F555" i="5"/>
  <c r="F554" i="5"/>
  <c r="A553" i="5"/>
  <c r="A552" i="5"/>
  <c r="A551" i="5"/>
  <c r="A550" i="5"/>
  <c r="A549" i="5"/>
  <c r="A546" i="5"/>
  <c r="A545" i="5"/>
  <c r="A544" i="5"/>
  <c r="A543" i="5"/>
  <c r="A542" i="5"/>
  <c r="A541" i="5"/>
  <c r="F540" i="5"/>
  <c r="F538" i="5"/>
  <c r="F537" i="5"/>
  <c r="F535" i="5"/>
  <c r="F534" i="5"/>
  <c r="F533" i="5"/>
  <c r="F532" i="5"/>
  <c r="F531" i="5"/>
  <c r="A530" i="5"/>
  <c r="A529" i="5"/>
  <c r="A528" i="5"/>
  <c r="A527" i="5"/>
  <c r="A526" i="5"/>
  <c r="A525" i="5"/>
  <c r="A523" i="5"/>
  <c r="A522" i="5"/>
  <c r="A521" i="5"/>
  <c r="A520" i="5"/>
  <c r="F519" i="5"/>
  <c r="F518" i="5"/>
  <c r="F517" i="5"/>
  <c r="F516" i="5"/>
  <c r="F515" i="5"/>
  <c r="F513" i="5"/>
  <c r="F512" i="5"/>
  <c r="F511" i="5"/>
  <c r="F510" i="5"/>
  <c r="F508" i="5"/>
  <c r="F507" i="5"/>
  <c r="F506" i="5"/>
  <c r="F505" i="5"/>
  <c r="F504" i="5"/>
  <c r="F503" i="5"/>
  <c r="F502" i="5"/>
  <c r="F501" i="5"/>
  <c r="F500" i="5"/>
  <c r="F499" i="5"/>
  <c r="F498" i="5"/>
  <c r="A497" i="5"/>
  <c r="A496" i="5"/>
  <c r="A495" i="5"/>
  <c r="A494" i="5"/>
  <c r="F493" i="5"/>
  <c r="A493" i="5"/>
  <c r="A492" i="5"/>
  <c r="F491" i="5"/>
  <c r="A491" i="5"/>
  <c r="A490" i="5"/>
  <c r="A489" i="5"/>
  <c r="A488" i="5"/>
  <c r="A487" i="5"/>
  <c r="A486" i="5"/>
  <c r="A485" i="5"/>
  <c r="A484" i="5"/>
  <c r="A483" i="5"/>
  <c r="A482" i="5"/>
  <c r="A481" i="5"/>
  <c r="A480" i="5"/>
  <c r="A479" i="5"/>
  <c r="A478" i="5"/>
  <c r="A477" i="5"/>
  <c r="A476" i="5"/>
  <c r="A475" i="5"/>
  <c r="A474" i="5"/>
  <c r="F473" i="5"/>
  <c r="A473" i="5"/>
  <c r="F472" i="5"/>
  <c r="A472" i="5"/>
  <c r="A471" i="5"/>
  <c r="A470" i="5"/>
  <c r="A469" i="5"/>
  <c r="A468" i="5"/>
  <c r="A467" i="5"/>
  <c r="A466" i="5"/>
  <c r="A465" i="5"/>
  <c r="A464" i="5"/>
  <c r="A463" i="5"/>
  <c r="A462" i="5"/>
  <c r="A461" i="5"/>
  <c r="A460" i="5"/>
  <c r="A459" i="5"/>
  <c r="A458" i="5"/>
  <c r="A457" i="5"/>
  <c r="A456" i="5"/>
  <c r="A455" i="5"/>
  <c r="A454" i="5"/>
  <c r="A453" i="5"/>
  <c r="F452" i="5"/>
  <c r="A452" i="5"/>
  <c r="F451" i="5"/>
  <c r="A451" i="5"/>
  <c r="A450" i="5"/>
  <c r="F449" i="5"/>
  <c r="A446" i="5"/>
  <c r="A445" i="5"/>
  <c r="A444" i="5"/>
  <c r="A443" i="5"/>
  <c r="A442" i="5"/>
  <c r="A441" i="5"/>
  <c r="A440" i="5"/>
  <c r="A439" i="5"/>
  <c r="A438" i="5"/>
  <c r="F437" i="5"/>
  <c r="A437" i="5"/>
  <c r="F436" i="5"/>
  <c r="A436" i="5"/>
  <c r="F435" i="5"/>
  <c r="A435" i="5"/>
  <c r="A434" i="5"/>
  <c r="A433" i="5"/>
  <c r="A432" i="5"/>
  <c r="F431" i="5"/>
  <c r="A431" i="5"/>
  <c r="F430" i="5"/>
  <c r="A430" i="5"/>
  <c r="F429" i="5"/>
  <c r="A429" i="5"/>
  <c r="A428" i="5"/>
  <c r="F427" i="5"/>
  <c r="A426" i="5"/>
  <c r="A425" i="5"/>
  <c r="A424" i="5"/>
  <c r="A423" i="5"/>
  <c r="A422" i="5"/>
  <c r="A421" i="5"/>
  <c r="A420" i="5"/>
  <c r="A419" i="5"/>
  <c r="A418" i="5"/>
  <c r="A417" i="5"/>
  <c r="A416" i="5"/>
  <c r="A415" i="5"/>
  <c r="A414" i="5"/>
  <c r="F413" i="5"/>
  <c r="A413" i="5"/>
  <c r="F412" i="5"/>
  <c r="A412" i="5"/>
  <c r="A411" i="5"/>
  <c r="A407" i="5"/>
  <c r="A406" i="5"/>
  <c r="A405" i="5"/>
  <c r="A404" i="5"/>
  <c r="A403" i="5"/>
  <c r="A402" i="5"/>
  <c r="A401" i="5"/>
  <c r="A400" i="5"/>
  <c r="A399" i="5"/>
  <c r="F398" i="5"/>
  <c r="A398" i="5"/>
  <c r="A397" i="5"/>
  <c r="A396" i="5"/>
  <c r="A395" i="5"/>
  <c r="A394" i="5"/>
  <c r="A393" i="5"/>
  <c r="F392" i="5"/>
  <c r="A392" i="5"/>
  <c r="F391" i="5"/>
  <c r="A391" i="5"/>
  <c r="A390" i="5"/>
  <c r="A389" i="5"/>
  <c r="A388" i="5"/>
  <c r="A387" i="5"/>
  <c r="A386" i="5"/>
  <c r="A385" i="5"/>
  <c r="A384" i="5"/>
  <c r="A383" i="5"/>
  <c r="A382" i="5"/>
  <c r="A381" i="5"/>
  <c r="A380" i="5"/>
  <c r="A379" i="5"/>
  <c r="A378" i="5"/>
  <c r="A377" i="5"/>
  <c r="A376" i="5"/>
  <c r="A375" i="5"/>
  <c r="A374" i="5"/>
  <c r="F373" i="5"/>
  <c r="A373" i="5"/>
  <c r="F372" i="5"/>
  <c r="A372" i="5"/>
  <c r="F371" i="5"/>
  <c r="A371" i="5"/>
  <c r="F370" i="5"/>
  <c r="A370" i="5"/>
  <c r="F369" i="5"/>
  <c r="A367" i="5"/>
  <c r="A366" i="5"/>
  <c r="A364" i="5"/>
  <c r="A363" i="5"/>
  <c r="A362" i="5"/>
  <c r="A361" i="5"/>
  <c r="A360" i="5"/>
  <c r="A359" i="5"/>
  <c r="A358" i="5"/>
  <c r="A357" i="5"/>
  <c r="A356" i="5"/>
  <c r="A355" i="5"/>
  <c r="A354" i="5"/>
  <c r="A353" i="5"/>
  <c r="F352" i="5"/>
  <c r="F351" i="5"/>
  <c r="A351" i="5"/>
  <c r="F350" i="5"/>
  <c r="A349" i="5"/>
  <c r="A348" i="5"/>
  <c r="A347" i="5"/>
  <c r="A346" i="5"/>
  <c r="A345" i="5"/>
  <c r="F343" i="5"/>
  <c r="F342" i="5"/>
  <c r="A339" i="5"/>
  <c r="A338" i="5"/>
  <c r="A337" i="5"/>
  <c r="A336" i="5"/>
  <c r="A335" i="5"/>
  <c r="A333" i="5"/>
  <c r="A332" i="5"/>
  <c r="A331" i="5"/>
  <c r="A330" i="5"/>
  <c r="A329" i="5"/>
  <c r="A328" i="5"/>
  <c r="A326" i="5"/>
  <c r="A325" i="5"/>
  <c r="A324" i="5"/>
  <c r="A323" i="5"/>
  <c r="A322" i="5"/>
  <c r="A321" i="5"/>
  <c r="F320" i="5"/>
  <c r="F319" i="5"/>
  <c r="F318" i="5"/>
  <c r="A316" i="5"/>
  <c r="A315" i="5"/>
  <c r="A314" i="5"/>
  <c r="A313" i="5"/>
  <c r="A312" i="5"/>
  <c r="A311" i="5"/>
  <c r="A309" i="5"/>
  <c r="A308" i="5"/>
  <c r="A307" i="5"/>
  <c r="A306" i="5"/>
  <c r="A305" i="5"/>
  <c r="A304" i="5"/>
  <c r="A302" i="5"/>
  <c r="A301" i="5"/>
  <c r="A300" i="5"/>
  <c r="A299" i="5"/>
  <c r="F298" i="5"/>
  <c r="F297" i="5"/>
  <c r="F296" i="5"/>
  <c r="F295" i="5"/>
  <c r="F293" i="5"/>
  <c r="F292" i="5"/>
  <c r="F290" i="5"/>
  <c r="F289" i="5"/>
  <c r="F288" i="5"/>
  <c r="F287" i="5"/>
  <c r="F286" i="5"/>
  <c r="F285" i="5"/>
  <c r="F284" i="5"/>
  <c r="F283" i="5"/>
  <c r="F282" i="5"/>
  <c r="F281" i="5"/>
  <c r="F280" i="5"/>
  <c r="A279" i="5"/>
  <c r="A278" i="5"/>
  <c r="A277" i="5"/>
  <c r="A276" i="5"/>
  <c r="D275" i="5"/>
  <c r="A275" i="5"/>
  <c r="A274" i="5"/>
  <c r="D273" i="5"/>
  <c r="A273" i="5"/>
  <c r="F272" i="5"/>
  <c r="A272" i="5"/>
  <c r="F271" i="5"/>
  <c r="A271" i="5"/>
  <c r="F269" i="5"/>
  <c r="F268" i="5"/>
  <c r="F267" i="5"/>
  <c r="F266" i="5"/>
  <c r="F265" i="5"/>
  <c r="F264" i="5"/>
  <c r="F263" i="5"/>
  <c r="F261" i="5"/>
  <c r="A260" i="5"/>
  <c r="A258" i="5"/>
  <c r="F257" i="5"/>
  <c r="A256" i="5"/>
  <c r="A255" i="5"/>
  <c r="A254" i="5"/>
  <c r="F253" i="5"/>
  <c r="A253" i="5"/>
  <c r="F252" i="5"/>
  <c r="A252" i="5"/>
  <c r="F251" i="5"/>
  <c r="A251" i="5"/>
  <c r="A250" i="5"/>
  <c r="A249" i="5"/>
  <c r="A248" i="5"/>
  <c r="F247" i="5"/>
  <c r="A247" i="5"/>
  <c r="F246" i="5"/>
  <c r="A246" i="5"/>
  <c r="F244" i="5"/>
  <c r="A241" i="5"/>
  <c r="A240" i="5"/>
  <c r="A239" i="5"/>
  <c r="A238" i="5"/>
  <c r="A236" i="5"/>
  <c r="A235" i="5"/>
  <c r="A234" i="5"/>
  <c r="A233" i="5"/>
  <c r="A231" i="5"/>
  <c r="A230" i="5"/>
  <c r="A229" i="5"/>
  <c r="A228" i="5"/>
  <c r="F227" i="5"/>
  <c r="F226" i="5"/>
  <c r="A226" i="5"/>
  <c r="F225" i="5"/>
  <c r="A225" i="5"/>
  <c r="F224" i="5"/>
  <c r="F222" i="5"/>
  <c r="F221" i="5"/>
  <c r="A219" i="5"/>
  <c r="A218" i="5"/>
  <c r="A217" i="5"/>
  <c r="A216" i="5"/>
  <c r="A215" i="5"/>
  <c r="D214" i="5"/>
  <c r="A214" i="5"/>
  <c r="D213" i="5"/>
  <c r="A213" i="5"/>
  <c r="D212" i="5"/>
  <c r="A212" i="5"/>
  <c r="A211" i="5"/>
  <c r="D210" i="5"/>
  <c r="A210" i="5"/>
  <c r="D209" i="5"/>
  <c r="A209" i="5"/>
  <c r="D208" i="5"/>
  <c r="A208" i="5"/>
  <c r="D207" i="5"/>
  <c r="A207" i="5"/>
  <c r="A206" i="5"/>
  <c r="A205" i="5"/>
  <c r="A204" i="5"/>
  <c r="F203" i="5"/>
  <c r="A203" i="5"/>
  <c r="F202" i="5"/>
  <c r="A202" i="5"/>
  <c r="F200" i="5"/>
  <c r="F199" i="5"/>
  <c r="F198" i="5"/>
  <c r="F197" i="5"/>
  <c r="A196" i="5"/>
  <c r="A195" i="5"/>
  <c r="A194" i="5"/>
  <c r="A193" i="5"/>
  <c r="A192" i="5"/>
  <c r="A191" i="5"/>
  <c r="A190" i="5"/>
  <c r="A189" i="5"/>
  <c r="A188" i="5"/>
  <c r="A187" i="5"/>
  <c r="A186" i="5"/>
  <c r="A185" i="5"/>
  <c r="A184" i="5"/>
  <c r="F183" i="5"/>
  <c r="A183" i="5"/>
  <c r="F182" i="5"/>
  <c r="A182" i="5"/>
  <c r="F181" i="5"/>
  <c r="A179" i="5"/>
  <c r="A178" i="5"/>
  <c r="A177" i="5"/>
  <c r="F176" i="5"/>
  <c r="A176" i="5"/>
  <c r="F175" i="5"/>
  <c r="A175" i="5"/>
  <c r="F174" i="5"/>
  <c r="A173" i="5"/>
  <c r="A172" i="5"/>
  <c r="A171" i="5"/>
  <c r="A170" i="5"/>
  <c r="A169" i="5"/>
  <c r="F168" i="5"/>
  <c r="A168" i="5"/>
  <c r="F167" i="5"/>
  <c r="A166" i="5"/>
  <c r="A165" i="5"/>
  <c r="A163" i="5"/>
  <c r="A162" i="5"/>
  <c r="A161" i="5"/>
  <c r="F159" i="5"/>
  <c r="A155" i="5"/>
  <c r="A154" i="5"/>
  <c r="A153" i="5"/>
  <c r="A152" i="5"/>
  <c r="A150" i="5"/>
  <c r="A149" i="5"/>
  <c r="A148" i="5"/>
  <c r="A147" i="5"/>
  <c r="A145" i="5"/>
  <c r="A144" i="5"/>
  <c r="A143" i="5"/>
  <c r="A141" i="5"/>
  <c r="A140" i="5"/>
  <c r="A139" i="5"/>
  <c r="F138" i="5"/>
  <c r="F137" i="5"/>
  <c r="A137" i="5"/>
  <c r="F136" i="5"/>
  <c r="F135" i="5"/>
  <c r="F133" i="5"/>
  <c r="F132" i="5"/>
  <c r="F131" i="5"/>
  <c r="F130" i="5"/>
  <c r="F129" i="5"/>
  <c r="F128" i="5"/>
  <c r="F127" i="5"/>
  <c r="F126" i="5"/>
  <c r="F125" i="5"/>
  <c r="A124" i="5"/>
  <c r="A123" i="5"/>
  <c r="A122" i="5"/>
  <c r="A121" i="5"/>
  <c r="A120" i="5"/>
  <c r="A119" i="5"/>
  <c r="A118" i="5"/>
  <c r="A117" i="5"/>
  <c r="A116" i="5"/>
  <c r="F115" i="5"/>
  <c r="A115" i="5"/>
  <c r="F114" i="5"/>
  <c r="F112" i="5"/>
  <c r="A110" i="5"/>
  <c r="A109" i="5"/>
  <c r="A108" i="5"/>
  <c r="A107" i="5"/>
  <c r="A106" i="5"/>
  <c r="A105" i="5"/>
  <c r="A104" i="5"/>
  <c r="A103" i="5"/>
  <c r="F102" i="5"/>
  <c r="A102" i="5"/>
  <c r="A101" i="5"/>
  <c r="A100" i="5"/>
  <c r="A99" i="5"/>
  <c r="F98" i="5"/>
  <c r="A98" i="5"/>
  <c r="A97" i="5"/>
  <c r="A96" i="5"/>
  <c r="A95" i="5"/>
  <c r="F94" i="5"/>
  <c r="A94" i="5"/>
  <c r="A87" i="5"/>
  <c r="F86" i="5"/>
  <c r="A86" i="5"/>
  <c r="A85" i="5"/>
  <c r="A84" i="5"/>
  <c r="A83" i="5"/>
  <c r="A82" i="5"/>
  <c r="F81" i="5"/>
  <c r="A81" i="5"/>
  <c r="A80" i="5"/>
  <c r="A79" i="5"/>
  <c r="F78" i="5"/>
  <c r="A78" i="5"/>
  <c r="F77" i="5"/>
  <c r="A76" i="5"/>
  <c r="F75" i="5"/>
  <c r="A75" i="5"/>
  <c r="A72" i="5"/>
  <c r="A71" i="5"/>
  <c r="A70" i="5"/>
  <c r="A69" i="5"/>
  <c r="F68" i="5"/>
  <c r="A68" i="5"/>
  <c r="A67" i="5"/>
  <c r="A66" i="5"/>
  <c r="A65" i="5"/>
  <c r="A64" i="5"/>
  <c r="A63" i="5"/>
  <c r="A62" i="5"/>
  <c r="A61" i="5"/>
  <c r="A60" i="5"/>
  <c r="A59" i="5"/>
  <c r="A58" i="5"/>
  <c r="A57" i="5"/>
  <c r="A56" i="5"/>
  <c r="F55" i="5"/>
  <c r="A55" i="5"/>
  <c r="F54" i="5"/>
  <c r="F52" i="5"/>
  <c r="F50" i="5"/>
  <c r="F46" i="5"/>
  <c r="F45" i="5"/>
  <c r="F44" i="5"/>
  <c r="A43" i="5"/>
  <c r="A42" i="5"/>
  <c r="A41" i="5"/>
  <c r="A40" i="5"/>
  <c r="A39" i="5"/>
  <c r="A38" i="5"/>
  <c r="A37" i="5"/>
  <c r="A36" i="5"/>
  <c r="A35" i="5"/>
  <c r="A34" i="5"/>
  <c r="A33" i="5"/>
  <c r="A24" i="5"/>
  <c r="A23" i="5"/>
  <c r="A22" i="5"/>
  <c r="A21" i="5"/>
  <c r="A20" i="5"/>
  <c r="A19" i="5"/>
  <c r="A18" i="5"/>
  <c r="A17" i="5"/>
  <c r="A16" i="5"/>
  <c r="A15" i="5"/>
  <c r="A14" i="5"/>
  <c r="A13" i="5"/>
  <c r="A12" i="5"/>
  <c r="A11" i="5"/>
  <c r="A10" i="5"/>
  <c r="A9" i="5"/>
  <c r="A8" i="5"/>
  <c r="A7" i="5"/>
  <c r="F521" i="6" l="1"/>
  <c r="F611" i="6" s="1"/>
  <c r="F466" i="6"/>
  <c r="F610" i="6" s="1"/>
  <c r="F308" i="6"/>
  <c r="F607" i="6" s="1"/>
  <c r="F258" i="6"/>
  <c r="F606" i="6" s="1"/>
  <c r="F361" i="6"/>
  <c r="F608" i="6" s="1"/>
  <c r="F598" i="6"/>
  <c r="F613" i="6" s="1"/>
  <c r="F411" i="6"/>
  <c r="F609" i="6" s="1"/>
  <c r="F161" i="6"/>
  <c r="F604" i="6" s="1"/>
  <c r="F93" i="6"/>
  <c r="F602" i="6" s="1"/>
  <c r="F210" i="6"/>
  <c r="F605" i="6" s="1"/>
  <c r="F567" i="6"/>
  <c r="F612" i="6" s="1"/>
  <c r="F52" i="6"/>
  <c r="F601" i="6" s="1"/>
  <c r="F207" i="5"/>
  <c r="F208" i="5"/>
  <c r="F209" i="5"/>
  <c r="F212" i="5"/>
  <c r="F275" i="5"/>
  <c r="F213" i="5"/>
  <c r="F210" i="5"/>
  <c r="F273" i="5"/>
  <c r="F214" i="5"/>
  <c r="F546" i="5" l="1"/>
  <c r="F36" i="5"/>
  <c r="F521" i="5"/>
  <c r="F563" i="5"/>
  <c r="F218" i="5"/>
  <c r="F99" i="5"/>
  <c r="F324" i="5"/>
  <c r="F330" i="5"/>
  <c r="F79" i="5"/>
  <c r="F377" i="5"/>
  <c r="F144" i="5"/>
  <c r="F525" i="5"/>
  <c r="F458" i="5"/>
  <c r="F454" i="5"/>
  <c r="F23" i="5"/>
  <c r="F141" i="5"/>
  <c r="F526" i="5"/>
  <c r="F421" i="5"/>
  <c r="F307" i="5"/>
  <c r="F418" i="5"/>
  <c r="F495" i="5"/>
  <c r="F40" i="5"/>
  <c r="F107" i="5"/>
  <c r="F58" i="5"/>
  <c r="F143" i="5"/>
  <c r="F169" i="5"/>
  <c r="F313" i="5"/>
  <c r="F166" i="5"/>
  <c r="F302" i="5"/>
  <c r="F256" i="5"/>
  <c r="F234" i="5"/>
  <c r="F59" i="5"/>
  <c r="F192" i="5"/>
  <c r="F530" i="5"/>
  <c r="F527" i="5"/>
  <c r="F184" i="5"/>
  <c r="F312" i="5"/>
  <c r="F323" i="5"/>
  <c r="F204" i="5"/>
  <c r="F416" i="5"/>
  <c r="F149" i="5"/>
  <c r="F422" i="5"/>
  <c r="F22" i="5"/>
  <c r="F485" i="5"/>
  <c r="F394" i="5"/>
  <c r="F461" i="5"/>
  <c r="F396" i="5"/>
  <c r="F10" i="5"/>
  <c r="F39" i="5"/>
  <c r="F24" i="5"/>
  <c r="F465" i="5"/>
  <c r="F118" i="5"/>
  <c r="F116" i="5"/>
  <c r="F550" i="5"/>
  <c r="F236" i="5"/>
  <c r="F235" i="5"/>
  <c r="F152" i="5"/>
  <c r="F35" i="5"/>
  <c r="F489" i="5"/>
  <c r="F173" i="5"/>
  <c r="F316" i="5"/>
  <c r="F440" i="5"/>
  <c r="F523" i="5"/>
  <c r="F110" i="5"/>
  <c r="F154" i="5"/>
  <c r="F188" i="5"/>
  <c r="F105" i="5"/>
  <c r="F80" i="5"/>
  <c r="F83" i="5"/>
  <c r="F85" i="5"/>
  <c r="F560" i="5"/>
  <c r="F299" i="5"/>
  <c r="F378" i="5"/>
  <c r="F309" i="5"/>
  <c r="F395" i="5"/>
  <c r="F153" i="5"/>
  <c r="F474" i="5"/>
  <c r="F460" i="5"/>
  <c r="F549" i="5"/>
  <c r="F20" i="5"/>
  <c r="F241" i="5"/>
  <c r="F358" i="5"/>
  <c r="F381" i="5"/>
  <c r="F376" i="5"/>
  <c r="F567" i="5"/>
  <c r="F446" i="5"/>
  <c r="F459" i="5"/>
  <c r="F178" i="5"/>
  <c r="F82" i="5"/>
  <c r="F562" i="5"/>
  <c r="F389" i="5"/>
  <c r="F101" i="5"/>
  <c r="F170" i="5"/>
  <c r="F382" i="5"/>
  <c r="F359" i="5"/>
  <c r="F96" i="5"/>
  <c r="F193" i="5"/>
  <c r="F463" i="5"/>
  <c r="F140" i="5"/>
  <c r="F402" i="5"/>
  <c r="F529" i="5"/>
  <c r="F60" i="5"/>
  <c r="F205" i="5"/>
  <c r="F445" i="5"/>
  <c r="F455" i="5"/>
  <c r="F374" i="5"/>
  <c r="F346" i="5"/>
  <c r="F442" i="5"/>
  <c r="F165" i="5"/>
  <c r="F162" i="5"/>
  <c r="F417" i="5"/>
  <c r="F470" i="5"/>
  <c r="F404" i="5"/>
  <c r="F528" i="5"/>
  <c r="F481" i="5"/>
  <c r="F177" i="5"/>
  <c r="F356" i="5"/>
  <c r="F388" i="5"/>
  <c r="F335" i="5"/>
  <c r="F487" i="5"/>
  <c r="F87" i="5"/>
  <c r="F189" i="5"/>
  <c r="F552" i="5"/>
  <c r="F497" i="5"/>
  <c r="F38" i="5"/>
  <c r="F333" i="5"/>
  <c r="F366" i="5"/>
  <c r="F219" i="5"/>
  <c r="F375" i="5"/>
  <c r="F400" i="5"/>
  <c r="F384" i="5"/>
  <c r="F345" i="5"/>
  <c r="F339" i="5"/>
  <c r="F423" i="5"/>
  <c r="F163" i="5"/>
  <c r="F467" i="5"/>
  <c r="F483" i="5"/>
  <c r="F43" i="5"/>
  <c r="F9" i="5"/>
  <c r="F100" i="5"/>
  <c r="F314" i="5"/>
  <c r="F360" i="5"/>
  <c r="F419" i="5"/>
  <c r="F545" i="5"/>
  <c r="F161" i="5"/>
  <c r="F305" i="5"/>
  <c r="F304" i="5"/>
  <c r="F469" i="5"/>
  <c r="F387" i="5"/>
  <c r="F464" i="5"/>
  <c r="F553" i="5"/>
  <c r="F551" i="5"/>
  <c r="F434" i="5"/>
  <c r="F541" i="5"/>
  <c r="F432" i="5"/>
  <c r="F254" i="5"/>
  <c r="F561" i="5"/>
  <c r="F468" i="5"/>
  <c r="F466" i="5"/>
  <c r="F425" i="5"/>
  <c r="F16" i="5"/>
  <c r="F315" i="5"/>
  <c r="F230" i="5"/>
  <c r="F439" i="5"/>
  <c r="F76" i="5"/>
  <c r="F405" i="5"/>
  <c r="F124" i="5"/>
  <c r="F383" i="5"/>
  <c r="F406" i="5"/>
  <c r="F179" i="5"/>
  <c r="F355" i="5"/>
  <c r="F57" i="5"/>
  <c r="F337" i="5"/>
  <c r="F147" i="5"/>
  <c r="F190" i="5"/>
  <c r="F12" i="5"/>
  <c r="F354" i="5"/>
  <c r="F187" i="5"/>
  <c r="F185" i="5"/>
  <c r="F565" i="5"/>
  <c r="F361" i="5"/>
  <c r="F349" i="5"/>
  <c r="F520" i="5"/>
  <c r="F260" i="5"/>
  <c r="F348" i="5"/>
  <c r="F426" i="5"/>
  <c r="F438" i="5"/>
  <c r="F415" i="5"/>
  <c r="F326" i="5"/>
  <c r="F325" i="5"/>
  <c r="F233" i="5"/>
  <c r="F490" i="5"/>
  <c r="F407" i="5"/>
  <c r="F363" i="5"/>
  <c r="F397" i="5"/>
  <c r="F95" i="5"/>
  <c r="F239" i="5"/>
  <c r="F56" i="5"/>
  <c r="F380" i="5"/>
  <c r="F301" i="5"/>
  <c r="F322" i="5"/>
  <c r="F347" i="5"/>
  <c r="F171" i="5"/>
  <c r="F248" i="5"/>
  <c r="F329" i="5"/>
  <c r="F321" i="5"/>
  <c r="F308" i="5"/>
  <c r="F231" i="5"/>
  <c r="F42" i="5"/>
  <c r="F172" i="5"/>
  <c r="F457" i="5"/>
  <c r="F564" i="5"/>
  <c r="F279" i="5"/>
  <c r="F367" i="5"/>
  <c r="F424" i="5"/>
  <c r="F238" i="5"/>
  <c r="F401" i="5"/>
  <c r="F300" i="5"/>
  <c r="F399" i="5"/>
  <c r="F122" i="5"/>
  <c r="F249" i="5"/>
  <c r="F336" i="5"/>
  <c r="F444" i="5"/>
  <c r="F494" i="5"/>
  <c r="F441" i="5"/>
  <c r="F97" i="5"/>
  <c r="F258" i="5"/>
  <c r="F331" i="5"/>
  <c r="F145" i="5"/>
  <c r="F84" i="5"/>
  <c r="F14" i="5"/>
  <c r="F306" i="5"/>
  <c r="F566" i="5"/>
  <c r="F216" i="5"/>
  <c r="F542" i="5"/>
  <c r="F18" i="5"/>
  <c r="F41" i="5"/>
  <c r="F482" i="5"/>
  <c r="F522" i="5"/>
  <c r="F194" i="5"/>
  <c r="F443" i="5"/>
  <c r="F357" i="5"/>
  <c r="F496" i="5"/>
  <c r="F568" i="5"/>
  <c r="F229" i="5"/>
  <c r="F364" i="5"/>
  <c r="F353" i="5"/>
  <c r="F196" i="5"/>
  <c r="F478" i="5"/>
  <c r="F543" i="5"/>
  <c r="F250" i="5"/>
  <c r="F338" i="5"/>
  <c r="F479" i="5"/>
  <c r="F332" i="5"/>
  <c r="F476" i="5"/>
  <c r="F544" i="5"/>
  <c r="F108" i="5"/>
  <c r="F155" i="5"/>
  <c r="F123" i="5"/>
  <c r="F386" i="5"/>
  <c r="F362" i="5"/>
  <c r="F311" i="5"/>
  <c r="F328" i="5"/>
  <c r="F277" i="5"/>
  <c r="F294" i="5" s="1"/>
  <c r="F587" i="5" s="1"/>
  <c r="F255" i="5"/>
  <c r="F150" i="5"/>
  <c r="F148" i="5"/>
  <c r="F228" i="5"/>
  <c r="F120" i="5"/>
  <c r="F139" i="5"/>
  <c r="F8" i="5"/>
  <c r="F13" i="5"/>
  <c r="F604" i="5"/>
  <c r="F607" i="5" s="1"/>
  <c r="F103" i="5"/>
  <c r="F539" i="5" l="1"/>
  <c r="F598" i="5" s="1"/>
  <c r="F572" i="5"/>
  <c r="F600" i="5" s="1"/>
  <c r="F428" i="5"/>
  <c r="F593" i="5" s="1"/>
  <c r="F341" i="5"/>
  <c r="F589" i="5" s="1"/>
  <c r="F93" i="5"/>
  <c r="F578" i="5" s="1"/>
  <c r="F180" i="5"/>
  <c r="F582" i="5" s="1"/>
  <c r="F134" i="5"/>
  <c r="F580" i="5" s="1"/>
  <c r="F245" i="5"/>
  <c r="F585" i="5" s="1"/>
  <c r="F390" i="5"/>
  <c r="F591" i="5" s="1"/>
  <c r="F270" i="5"/>
  <c r="F586" i="5" s="1"/>
  <c r="F471" i="5"/>
  <c r="F595" i="5" s="1"/>
  <c r="F74" i="5"/>
  <c r="F577" i="5" s="1"/>
  <c r="F411" i="5"/>
  <c r="F592" i="5" s="1"/>
  <c r="F450" i="5"/>
  <c r="F594" i="5" s="1"/>
  <c r="F558" i="5"/>
  <c r="F599" i="5" s="1"/>
  <c r="F492" i="5"/>
  <c r="F596" i="5" s="1"/>
  <c r="F53" i="5"/>
  <c r="F576" i="5" s="1"/>
  <c r="F223" i="5"/>
  <c r="F584" i="5" s="1"/>
  <c r="F368" i="5"/>
  <c r="F590" i="5" s="1"/>
  <c r="F514" i="5"/>
  <c r="F597" i="5" s="1"/>
  <c r="F158" i="5"/>
  <c r="F581" i="5" s="1"/>
  <c r="F317" i="5"/>
  <c r="F588" i="5" s="1"/>
  <c r="F201" i="5"/>
  <c r="F583" i="5" s="1"/>
  <c r="F113" i="5"/>
  <c r="F579" i="5" s="1"/>
  <c r="F32" i="5"/>
  <c r="F575" i="5" s="1"/>
  <c r="F601" i="5" l="1"/>
  <c r="I11" i="4" s="1"/>
  <c r="F109" i="6"/>
  <c r="F124" i="6" s="1"/>
  <c r="F603" i="6" s="1"/>
  <c r="F632" i="6" s="1"/>
  <c r="I13" i="4" s="1"/>
  <c r="F608" i="5" l="1"/>
  <c r="I37" i="4"/>
</calcChain>
</file>

<file path=xl/sharedStrings.xml><?xml version="1.0" encoding="utf-8"?>
<sst xmlns="http://schemas.openxmlformats.org/spreadsheetml/2006/main" count="5839" uniqueCount="2798">
  <si>
    <t>DESCRIPTION</t>
  </si>
  <si>
    <t>Amount SR</t>
  </si>
  <si>
    <t>Item</t>
  </si>
  <si>
    <t xml:space="preserve">Client: </t>
  </si>
  <si>
    <t>المالك: الهيئة السعودية للمدن الصناعية ومناطق التقنية</t>
  </si>
  <si>
    <t>Project:</t>
  </si>
  <si>
    <t>Location:</t>
  </si>
  <si>
    <t>Project No.:</t>
  </si>
  <si>
    <t>وصف البند</t>
  </si>
  <si>
    <t>Total - SAR
 Carried to General Summary</t>
  </si>
  <si>
    <t>التكلفة الإجمالية للمشروع</t>
  </si>
  <si>
    <t>Saudi Industrial Property Authority (MODON)</t>
  </si>
  <si>
    <t>حزمة 01</t>
  </si>
  <si>
    <t>حزمة 02</t>
  </si>
  <si>
    <t>حزمة 03</t>
  </si>
  <si>
    <t>Package.01</t>
  </si>
  <si>
    <t>Package.02</t>
  </si>
  <si>
    <t>Package.03</t>
  </si>
  <si>
    <t>Kharj 1 Industrial City</t>
  </si>
  <si>
    <t>موقع المشروع: المدينة الصناعية الاولى بالخرج</t>
  </si>
  <si>
    <t>مشروع تطوير شبكات البنية التحتية في المدينة الصناعية بالخرج للقرية العمالية</t>
  </si>
  <si>
    <t>مشروع تطوير مسجد و مهبط هلكبتر و شبكات سيول و تاهيل طرق</t>
  </si>
  <si>
    <t>مشروع تطوير شبكات البنية التحتية في المدينة الصناعية بالخرج بمساحة 3.5 كم2</t>
  </si>
  <si>
    <t>Infrastructure works for Labour Camp area</t>
  </si>
  <si>
    <t>Infrastructure works for AlKharj - 3.5km2</t>
  </si>
  <si>
    <t>Development of Mosuqe, Helipad, Stormwater network and Road rehabilitation</t>
  </si>
  <si>
    <t>جدول الكميات</t>
  </si>
  <si>
    <t>BILL OF QUANTITIES</t>
  </si>
  <si>
    <t>البند</t>
  </si>
  <si>
    <t>الوحدة</t>
  </si>
  <si>
    <t xml:space="preserve">الكمية </t>
  </si>
  <si>
    <t>السعر  (ريال سعودي)</t>
  </si>
  <si>
    <t>المبلغ (ريال سعودي)</t>
  </si>
  <si>
    <t>ITEM DESCRIPTION</t>
  </si>
  <si>
    <t>ITEM</t>
  </si>
  <si>
    <t>Unit</t>
  </si>
  <si>
    <t>QUANTITY</t>
  </si>
  <si>
    <t>PRICE (S.R)</t>
  </si>
  <si>
    <t>AMOUNT (S.R)</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</si>
  <si>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</si>
  <si>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</si>
  <si>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</si>
  <si>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</si>
  <si>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</si>
  <si>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</si>
  <si>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</si>
  <si>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</si>
  <si>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</si>
  <si>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</si>
  <si>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</si>
  <si>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</si>
  <si>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</si>
  <si>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</si>
  <si>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</si>
  <si>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</si>
  <si>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</si>
  <si>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</si>
  <si>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</si>
  <si>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</si>
  <si>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</si>
  <si>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</si>
  <si>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</si>
  <si>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</si>
  <si>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</si>
  <si>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</si>
  <si>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</si>
  <si>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</si>
  <si>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</si>
  <si>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</si>
  <si>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</si>
  <si>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</si>
  <si>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</si>
  <si>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</si>
  <si>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</si>
  <si>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</si>
  <si>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</si>
  <si>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</si>
  <si>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</si>
  <si>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</si>
  <si>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</si>
  <si>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</si>
  <si>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</si>
  <si>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</si>
  <si>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</si>
  <si>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</si>
  <si>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</si>
  <si>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</si>
  <si>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</si>
  <si>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</si>
  <si>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</si>
  <si>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</si>
  <si>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</si>
  <si>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</si>
  <si>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</si>
  <si>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</si>
  <si>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</si>
  <si>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</si>
  <si>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</si>
  <si>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</si>
  <si>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</si>
  <si>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</si>
  <si>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</si>
  <si>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</si>
  <si>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</si>
  <si>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</si>
  <si>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</si>
  <si>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</si>
  <si>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</si>
  <si>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</si>
  <si>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</si>
  <si>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</si>
  <si>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</si>
  <si>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</si>
  <si>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</si>
  <si>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</si>
  <si>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</si>
  <si>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</si>
  <si>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</si>
  <si>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</si>
  <si>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</si>
  <si>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</si>
  <si>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</si>
  <si>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</si>
  <si>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</si>
  <si>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</si>
  <si>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</si>
  <si>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</si>
  <si>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</si>
  <si>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</si>
  <si>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</si>
  <si>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</si>
  <si>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</si>
  <si>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</si>
  <si>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</si>
  <si>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الأعمال الكهربائية</t>
  </si>
  <si>
    <t>ELECTRICAL WORKS</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</si>
  <si>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</si>
  <si>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</si>
  <si>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</si>
  <si>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</si>
  <si>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</si>
  <si>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</si>
  <si>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</si>
  <si>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</si>
  <si>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</si>
  <si>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</si>
  <si>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</si>
  <si>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</si>
  <si>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</si>
  <si>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 xml:space="preserve">حفر خندق كابل بعرض 120 سم وعمق 80 سم يسع لعدد (4) كابل    </t>
  </si>
  <si>
    <t xml:space="preserve">Excavation for Trench size 120 cm wide and 80cm deep ( for 4 cables) </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</si>
  <si>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</si>
  <si>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</si>
  <si>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</si>
  <si>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</si>
  <si>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</si>
  <si>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</si>
  <si>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B2.31 23 00.06</t>
  </si>
  <si>
    <t xml:space="preserve">حفر خندق كابل بعرض 240 سم وعمق 80 سم يسع لعدد (8) كابل    </t>
  </si>
  <si>
    <t xml:space="preserve">Excavation for Trench size 240 cm wide and 80 cm deep ( for 8 cables) </t>
  </si>
  <si>
    <t>B2.31 23 00.07</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</si>
  <si>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</si>
  <si>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</si>
  <si>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</si>
  <si>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</si>
  <si>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</si>
  <si>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</si>
  <si>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</si>
  <si>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</si>
  <si>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</si>
  <si>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عبارة  لعدد ( 6 ) ماسورة</t>
  </si>
  <si>
    <t>Duct bank 6 way</t>
  </si>
  <si>
    <t>B2.33 71 19.03</t>
  </si>
  <si>
    <t>عبارة لعدد (10) ماسورة</t>
  </si>
  <si>
    <t>Duct bank 10 way</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</si>
  <si>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</si>
  <si>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</si>
  <si>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</si>
  <si>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</si>
  <si>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</si>
  <si>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</si>
  <si>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</si>
  <si>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</si>
  <si>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</si>
  <si>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</si>
  <si>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</si>
  <si>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</si>
  <si>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</si>
  <si>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</si>
  <si>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</si>
  <si>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</si>
  <si>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</si>
  <si>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</si>
  <si>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</si>
  <si>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</si>
  <si>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</si>
  <si>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</si>
  <si>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</si>
  <si>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</si>
  <si>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</si>
  <si>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</si>
  <si>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</si>
  <si>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</si>
  <si>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</si>
  <si>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</si>
  <si>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</si>
  <si>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</si>
  <si>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</si>
  <si>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</si>
  <si>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</si>
  <si>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</si>
  <si>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</si>
  <si>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</si>
  <si>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</si>
  <si>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</si>
  <si>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</si>
  <si>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</si>
  <si>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</si>
  <si>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</si>
  <si>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</si>
  <si>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</si>
  <si>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</si>
  <si>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</si>
  <si>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</si>
  <si>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</si>
  <si>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</si>
  <si>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</si>
  <si>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</si>
  <si>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</si>
  <si>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</si>
  <si>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</si>
  <si>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</si>
  <si>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</si>
  <si>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</si>
  <si>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</si>
  <si>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</si>
  <si>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</si>
  <si>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</si>
  <si>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</si>
  <si>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</si>
  <si>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</si>
  <si>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</si>
  <si>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</si>
  <si>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</si>
  <si>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</si>
  <si>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</si>
  <si>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</si>
  <si>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</si>
  <si>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</si>
  <si>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</si>
  <si>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</si>
  <si>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</si>
  <si>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</si>
  <si>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</si>
  <si>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</si>
  <si>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</si>
  <si>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</si>
  <si>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</si>
  <si>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</si>
  <si>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</si>
  <si>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</si>
  <si>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</si>
  <si>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</si>
  <si>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</si>
  <si>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</si>
  <si>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</si>
  <si>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</si>
  <si>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</si>
  <si>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</si>
  <si>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</si>
  <si>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</si>
  <si>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</si>
  <si>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</si>
  <si>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</si>
  <si>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</si>
  <si>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</si>
  <si>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</si>
  <si>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</si>
  <si>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</si>
  <si>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الاتصالات</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</si>
  <si>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</si>
  <si>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</si>
  <si>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</si>
  <si>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</si>
  <si>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</si>
  <si>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</si>
  <si>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</si>
  <si>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</si>
  <si>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</si>
  <si>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 xml:space="preserve">العبارات </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</si>
  <si>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</si>
  <si>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</si>
  <si>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</si>
  <si>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</si>
  <si>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</si>
  <si>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</si>
  <si>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</si>
  <si>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</si>
  <si>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</si>
  <si>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</si>
  <si>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</si>
  <si>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</si>
  <si>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</si>
  <si>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</si>
  <si>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</si>
  <si>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</si>
  <si>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</si>
  <si>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</si>
  <si>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</si>
  <si>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</si>
  <si>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</si>
  <si>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</si>
  <si>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</si>
  <si>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</si>
  <si>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</si>
  <si>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</si>
  <si>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</si>
  <si>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</si>
  <si>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</si>
  <si>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</si>
  <si>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</si>
  <si>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</si>
  <si>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</si>
  <si>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</si>
  <si>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</si>
  <si>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</si>
  <si>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</si>
  <si>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</si>
  <si>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</si>
  <si>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</si>
  <si>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</si>
  <si>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</si>
  <si>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</si>
  <si>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</si>
  <si>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</si>
  <si>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</si>
  <si>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</si>
  <si>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</si>
  <si>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</si>
  <si>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</si>
  <si>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</si>
  <si>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</si>
  <si>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</si>
  <si>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</si>
  <si>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</si>
  <si>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</si>
  <si>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</si>
  <si>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</si>
  <si>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</si>
  <si>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</si>
  <si>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</si>
  <si>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</si>
  <si>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</si>
  <si>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</si>
  <si>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</si>
  <si>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</si>
  <si>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</si>
  <si>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</si>
  <si>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</si>
  <si>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</si>
  <si>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</si>
  <si>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</si>
  <si>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</si>
  <si>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</si>
  <si>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</si>
  <si>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</si>
  <si>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</si>
  <si>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</si>
  <si>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</si>
  <si>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</si>
  <si>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</si>
  <si>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</si>
  <si>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</si>
  <si>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</si>
  <si>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</si>
  <si>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</si>
  <si>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</si>
  <si>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</si>
  <si>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</si>
  <si>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</si>
  <si>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</si>
  <si>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</si>
  <si>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</si>
  <si>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</si>
  <si>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</si>
  <si>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</si>
  <si>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</si>
  <si>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</si>
  <si>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</si>
  <si>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</si>
  <si>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</si>
  <si>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</si>
  <si>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</si>
  <si>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</si>
  <si>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</si>
  <si>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</si>
  <si>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</si>
  <si>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</si>
  <si>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</si>
  <si>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</si>
  <si>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</si>
  <si>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</si>
  <si>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</si>
  <si>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</si>
  <si>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</si>
  <si>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</si>
  <si>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</si>
  <si>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</si>
  <si>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</si>
  <si>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</si>
  <si>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</si>
  <si>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</si>
  <si>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</si>
  <si>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</si>
  <si>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</si>
  <si>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</si>
  <si>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</si>
  <si>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</si>
  <si>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</si>
  <si>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</si>
  <si>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</si>
  <si>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</si>
  <si>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</si>
  <si>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</si>
  <si>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</si>
  <si>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</si>
  <si>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</si>
  <si>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</si>
  <si>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</si>
  <si>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</si>
  <si>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</si>
  <si>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</si>
  <si>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</si>
  <si>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</si>
  <si>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</si>
  <si>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</si>
  <si>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</si>
  <si>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</si>
  <si>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</si>
  <si>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</si>
  <si>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</si>
  <si>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</si>
  <si>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</si>
  <si>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</si>
  <si>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</si>
  <si>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</si>
  <si>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</si>
  <si>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</si>
  <si>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</si>
  <si>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</si>
  <si>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</si>
  <si>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</si>
  <si>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</si>
  <si>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</si>
  <si>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</si>
  <si>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</si>
  <si>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</si>
  <si>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</si>
  <si>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Road Crossing</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</si>
  <si>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</si>
  <si>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</si>
  <si>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</si>
  <si>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</si>
  <si>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</si>
  <si>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</si>
  <si>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</si>
  <si>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</si>
  <si>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</si>
  <si>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</si>
  <si>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</si>
  <si>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</si>
  <si>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</si>
  <si>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</si>
  <si>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</si>
  <si>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</si>
  <si>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</si>
  <si>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</si>
  <si>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</si>
  <si>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</si>
  <si>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</si>
  <si>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</si>
  <si>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</si>
  <si>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</si>
  <si>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</si>
  <si>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</si>
  <si>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</si>
  <si>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</si>
  <si>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</si>
  <si>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</si>
  <si>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</si>
  <si>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</si>
  <si>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</si>
  <si>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</si>
  <si>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</si>
  <si>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</si>
  <si>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</si>
  <si>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</si>
  <si>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</si>
  <si>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</si>
  <si>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</si>
  <si>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</si>
  <si>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</si>
  <si>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</si>
  <si>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</si>
  <si>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</si>
  <si>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</si>
  <si>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</si>
  <si>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</si>
  <si>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</si>
  <si>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</si>
  <si>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</si>
  <si>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</si>
  <si>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</si>
  <si>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</si>
  <si>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</si>
  <si>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</si>
  <si>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</si>
  <si>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</si>
  <si>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</si>
  <si>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</si>
  <si>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</si>
  <si>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</si>
  <si>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</si>
  <si>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</si>
  <si>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</si>
  <si>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</si>
  <si>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</si>
  <si>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</si>
  <si>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</si>
  <si>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</si>
  <si>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</si>
  <si>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</si>
  <si>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</si>
  <si>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</si>
  <si>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</si>
  <si>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</si>
  <si>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</si>
  <si>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</si>
  <si>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</si>
  <si>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</si>
  <si>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</si>
  <si>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</si>
  <si>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</si>
  <si>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</si>
  <si>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</si>
  <si>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</si>
  <si>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</si>
  <si>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</si>
  <si>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</si>
  <si>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</si>
  <si>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</si>
  <si>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</si>
  <si>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</si>
  <si>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</si>
  <si>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</si>
  <si>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</si>
  <si>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</si>
  <si>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</si>
  <si>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</si>
  <si>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</si>
  <si>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</si>
  <si>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</si>
  <si>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</si>
  <si>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</si>
  <si>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</si>
  <si>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</si>
  <si>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</si>
  <si>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</si>
  <si>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</si>
  <si>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</si>
  <si>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</si>
  <si>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</si>
  <si>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</si>
  <si>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</si>
  <si>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</si>
  <si>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</si>
  <si>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</si>
  <si>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</si>
  <si>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</si>
  <si>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</si>
  <si>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</si>
  <si>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</si>
  <si>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</si>
  <si>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</si>
  <si>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</si>
  <si>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</si>
  <si>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</si>
  <si>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</si>
  <si>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</si>
  <si>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</si>
  <si>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</si>
  <si>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</si>
  <si>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</si>
  <si>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</si>
  <si>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</si>
  <si>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</si>
  <si>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</si>
  <si>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</si>
  <si>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</si>
  <si>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</si>
  <si>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</si>
  <si>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</si>
  <si>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</si>
  <si>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</si>
  <si>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</si>
  <si>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</si>
  <si>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</si>
  <si>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</si>
  <si>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</si>
  <si>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</si>
  <si>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</si>
  <si>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</si>
  <si>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</si>
  <si>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</si>
  <si>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</si>
  <si>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</si>
  <si>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</si>
  <si>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</si>
  <si>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</si>
  <si>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</si>
  <si>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</si>
  <si>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</si>
  <si>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</si>
  <si>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</si>
  <si>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</si>
  <si>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</si>
  <si>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</si>
  <si>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</si>
  <si>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</si>
  <si>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</si>
  <si>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</si>
  <si>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</si>
  <si>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</si>
  <si>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</si>
  <si>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</si>
  <si>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</si>
  <si>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</si>
  <si>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</si>
  <si>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</si>
  <si>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</si>
  <si>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</si>
  <si>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</si>
  <si>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</si>
  <si>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</si>
  <si>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</si>
  <si>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</si>
  <si>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</si>
  <si>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</si>
  <si>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</si>
  <si>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</si>
  <si>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</si>
  <si>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</si>
  <si>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</si>
  <si>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</si>
  <si>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</si>
  <si>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</si>
  <si>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</si>
  <si>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</si>
  <si>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</si>
  <si>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</si>
  <si>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</si>
  <si>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</si>
  <si>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</si>
  <si>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</si>
  <si>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</si>
  <si>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</si>
  <si>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</si>
  <si>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</si>
  <si>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</si>
  <si>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</si>
  <si>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</si>
  <si>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</si>
  <si>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</si>
  <si>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</si>
  <si>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</si>
  <si>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</si>
  <si>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</si>
  <si>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</si>
  <si>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</si>
  <si>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</si>
  <si>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</si>
  <si>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</si>
  <si>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</si>
  <si>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</si>
  <si>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</si>
  <si>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</si>
  <si>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</si>
  <si>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</si>
  <si>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</si>
  <si>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</si>
  <si>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</si>
  <si>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</si>
  <si>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</si>
  <si>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</si>
  <si>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</si>
  <si>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</si>
  <si>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</si>
  <si>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</si>
  <si>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</si>
  <si>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</si>
  <si>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</si>
  <si>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</si>
  <si>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</si>
  <si>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</si>
  <si>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</si>
  <si>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</si>
  <si>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</si>
  <si>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</si>
  <si>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</si>
  <si>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</si>
  <si>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</si>
  <si>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</si>
  <si>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</si>
  <si>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</si>
  <si>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</si>
  <si>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</si>
  <si>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</si>
  <si>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</si>
  <si>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</si>
  <si>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</si>
  <si>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</si>
  <si>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</si>
  <si>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</si>
  <si>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</si>
  <si>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</si>
  <si>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</si>
  <si>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</si>
  <si>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</si>
  <si>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</si>
  <si>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</si>
  <si>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</si>
  <si>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</si>
  <si>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</si>
  <si>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</si>
  <si>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</si>
  <si>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</si>
  <si>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</si>
  <si>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</si>
  <si>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</si>
  <si>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</si>
  <si>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</si>
  <si>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</si>
  <si>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</si>
  <si>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</si>
  <si>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</si>
  <si>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</si>
  <si>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</si>
  <si>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</si>
  <si>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</si>
  <si>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</si>
  <si>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</si>
  <si>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</si>
  <si>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</si>
  <si>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</si>
  <si>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</si>
  <si>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</si>
  <si>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</si>
  <si>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</si>
  <si>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</si>
  <si>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</si>
  <si>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</si>
  <si>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</si>
  <si>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</si>
  <si>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</si>
  <si>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</si>
  <si>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</si>
  <si>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</si>
  <si>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</si>
  <si>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</si>
  <si>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</si>
  <si>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</si>
  <si>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</si>
  <si>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</si>
  <si>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</si>
  <si>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</si>
  <si>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</si>
  <si>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</si>
  <si>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</si>
  <si>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</si>
  <si>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</si>
  <si>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</si>
  <si>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</si>
  <si>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</si>
  <si>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</si>
  <si>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</si>
  <si>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</si>
  <si>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</si>
  <si>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</si>
  <si>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</si>
  <si>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</si>
  <si>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</si>
  <si>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</si>
  <si>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</si>
  <si>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</si>
  <si>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</si>
  <si>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</si>
  <si>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</si>
  <si>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</si>
  <si>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</si>
  <si>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</si>
  <si>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</si>
  <si>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</si>
  <si>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</si>
  <si>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</si>
  <si>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</si>
  <si>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</si>
  <si>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</si>
  <si>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</si>
  <si>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</si>
  <si>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</si>
  <si>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</si>
  <si>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</si>
  <si>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</si>
  <si>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</si>
  <si>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</si>
  <si>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</si>
  <si>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</si>
  <si>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</si>
  <si>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</si>
  <si>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</si>
  <si>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</si>
  <si>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</si>
  <si>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</si>
  <si>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</si>
  <si>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</si>
  <si>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</si>
  <si>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</si>
  <si>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</si>
  <si>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</si>
  <si>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</si>
  <si>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</si>
  <si>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</si>
  <si>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</si>
  <si>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</si>
  <si>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</si>
  <si>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</si>
  <si>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</si>
  <si>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</si>
  <si>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</si>
  <si>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</si>
  <si>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</si>
  <si>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</si>
  <si>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</si>
  <si>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</si>
  <si>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</si>
  <si>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</si>
  <si>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</si>
  <si>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</si>
  <si>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</si>
  <si>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</si>
  <si>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</si>
  <si>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</si>
  <si>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</si>
  <si>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</si>
  <si>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</si>
  <si>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</si>
  <si>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</si>
  <si>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</si>
  <si>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</si>
  <si>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</si>
  <si>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</si>
  <si>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</si>
  <si>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</si>
  <si>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</si>
  <si>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</si>
  <si>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</si>
  <si>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</si>
  <si>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</si>
  <si>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</si>
  <si>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</si>
  <si>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</si>
  <si>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</si>
  <si>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</si>
  <si>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</si>
  <si>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</si>
  <si>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</si>
  <si>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</si>
  <si>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</si>
  <si>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</si>
  <si>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</si>
  <si>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</si>
  <si>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</si>
  <si>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</si>
  <si>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</si>
  <si>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</si>
  <si>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</si>
  <si>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</si>
  <si>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</si>
  <si>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</si>
  <si>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</si>
  <si>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</si>
  <si>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</si>
  <si>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</si>
  <si>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</si>
  <si>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</si>
  <si>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</si>
  <si>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</si>
  <si>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</si>
  <si>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</si>
  <si>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</si>
  <si>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</si>
  <si>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</si>
  <si>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</si>
  <si>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</si>
  <si>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</si>
  <si>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</si>
  <si>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</si>
  <si>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</si>
  <si>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</si>
  <si>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</si>
  <si>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</si>
  <si>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</si>
  <si>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</si>
  <si>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</si>
  <si>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</si>
  <si>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</si>
  <si>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</si>
  <si>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</si>
  <si>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</si>
  <si>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</si>
  <si>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</si>
  <si>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</si>
  <si>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</si>
  <si>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</si>
  <si>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</si>
  <si>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</si>
  <si>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</si>
  <si>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</si>
  <si>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</si>
  <si>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</si>
  <si>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</si>
  <si>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</si>
  <si>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</si>
  <si>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</si>
  <si>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</si>
  <si>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</si>
  <si>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</si>
  <si>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</si>
  <si>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</si>
  <si>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</si>
  <si>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</si>
  <si>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</si>
  <si>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</si>
  <si>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</si>
  <si>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</si>
  <si>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</si>
  <si>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</si>
  <si>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</si>
  <si>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</si>
  <si>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</si>
  <si>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</si>
  <si>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</si>
  <si>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</si>
  <si>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</si>
  <si>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</si>
  <si>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</si>
  <si>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</si>
  <si>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</si>
  <si>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</si>
  <si>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</si>
  <si>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</si>
  <si>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</si>
  <si>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</si>
  <si>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</si>
  <si>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</si>
  <si>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</si>
  <si>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</si>
  <si>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</si>
  <si>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</si>
  <si>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</si>
  <si>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</si>
  <si>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</si>
  <si>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</si>
  <si>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</si>
  <si>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</si>
  <si>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</si>
  <si>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</si>
  <si>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</si>
  <si>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</si>
  <si>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</si>
  <si>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</si>
  <si>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</si>
  <si>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</si>
  <si>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</si>
  <si>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</si>
  <si>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</si>
  <si>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</si>
  <si>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</si>
  <si>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</si>
  <si>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</si>
  <si>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</si>
  <si>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</si>
  <si>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</si>
  <si>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</si>
  <si>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</si>
  <si>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</si>
  <si>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</si>
  <si>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</si>
  <si>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</si>
  <si>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</si>
  <si>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</si>
  <si>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</si>
  <si>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</si>
  <si>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</si>
  <si>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</si>
  <si>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</si>
  <si>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</si>
  <si>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</si>
  <si>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</si>
  <si>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</si>
  <si>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</si>
  <si>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</si>
  <si>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</si>
  <si>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</si>
  <si>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</si>
  <si>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</si>
  <si>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</si>
  <si>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</si>
  <si>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</si>
  <si>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</si>
  <si>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</si>
  <si>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</si>
  <si>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</si>
  <si>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</si>
  <si>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Total</t>
  </si>
  <si>
    <t>Difference(10)</t>
  </si>
  <si>
    <r>
      <t>m</t>
    </r>
    <r>
      <rPr>
        <vertAlign val="superscript"/>
        <sz val="10"/>
        <rFont val="Times New Roman"/>
        <family val="1"/>
      </rPr>
      <t>2</t>
    </r>
  </si>
  <si>
    <t>حفريات (في جميع أنواع التربة)</t>
  </si>
  <si>
    <t>Excavation for cuttings (all types of soil)</t>
  </si>
  <si>
    <t xml:space="preserve">ردميات للموقع من ناتج الحفر أو مورده من خارج الموقع </t>
  </si>
  <si>
    <t>Embankments to the site with common / suitable excavated material or suitable imported material</t>
  </si>
  <si>
    <t xml:space="preserve">طبقة القاعدة </t>
  </si>
  <si>
    <t xml:space="preserve">الطبقة الأساس البيتومينية (تدرج 1 - صنف أ)  بعد الدمك ، شاملاً الطبقة اللاصقة (MC1) والطبقة اللاصقة (RC2) (إن وجدت)
</t>
  </si>
  <si>
    <t>Bituminous base course (Grading I - Class A), after compaction , including Prime Coat (MC1) (if needed)</t>
  </si>
  <si>
    <t>B1.32 11 26.01</t>
  </si>
  <si>
    <t>طبقة السطح العليا من الخرسانة البيتومينية بعد الدمك (تدرج 1 - صنف أ) شاملاً الطبقة اللاصقة (RC2) .</t>
  </si>
  <si>
    <t>Bituminous concrete wearing course, after compaction (Grading I - Class A), including tack coat (RC2).</t>
  </si>
  <si>
    <t>خطوط مرورية بيضاء عاكسة بلاستيكية حرارية</t>
  </si>
  <si>
    <t>Retroreflective Thermoplastic White Traffic lines</t>
  </si>
  <si>
    <t>خطوط مرورية صفراء عاكسة بلاستيكية حرارية</t>
  </si>
  <si>
    <t>Retroreflective Thermoplastic Yellow Traffic lines</t>
  </si>
  <si>
    <t>B1.32 17 23.03</t>
  </si>
  <si>
    <t>B1.32 17 23.04</t>
  </si>
  <si>
    <t>B1.32 17 23.05</t>
  </si>
  <si>
    <t>خدمات أعمال الكهرباء والإتصالات</t>
  </si>
  <si>
    <t>DRY UTILITIES</t>
  </si>
  <si>
    <t xml:space="preserve">حفر خندق كابل عرض 1.2 م وعمق 80 سم  </t>
  </si>
  <si>
    <t>Excavation for Trench size 1.2m wide and 80cm deep</t>
  </si>
  <si>
    <t>عبارات كوابل 4 مسارات (4x200mm duct)</t>
  </si>
  <si>
    <t>4-way Duct Bank (4x200mm duct)</t>
  </si>
  <si>
    <t xml:space="preserve">كيبل جهد 33 ك.ف.400*3C مم2  AL/ XLPE/ LLDPE غير مسلح </t>
  </si>
  <si>
    <t>Cable: 33KV 3Cx400mm² AL/XLPE/LLDPE unarmored</t>
  </si>
  <si>
    <t>كابل نحاس أحادي القلب جهد 36 ك.ف غير مسلح (3x1Cx70mm²,Cu/LLDPE/PVC).</t>
  </si>
  <si>
    <t>Single Core Cables, Copper, 33kV (3x1Cx70mm²,AL/XLPE/PVC).</t>
  </si>
  <si>
    <t>وصلات كيابل مستقيمة جهد 36 ك.ف. 3C x 400 مم2  Al /XLPE/LLDPE غير مسلح</t>
  </si>
  <si>
    <t>Straight joints cables for 36KV 3x400mm² AL/XLPE/LLDPE unarmored</t>
  </si>
  <si>
    <t xml:space="preserve">نهاية كابل جهد 36 ك.ف. 3C x 400 مم2 Al /XLPE/LLDPE </t>
  </si>
  <si>
    <t>Cable Termination for 36KV 3Cx400mm² AL/XLPE/LLDPE</t>
  </si>
  <si>
    <t>26 12 19</t>
  </si>
  <si>
    <t>محولات المرافق المملوءة بالسوائل</t>
  </si>
  <si>
    <t>Liquid-Filled Utility Transformers</t>
  </si>
  <si>
    <t>B2.26 12 19.01</t>
  </si>
  <si>
    <t>محطات فرعية مجمعة، 33/0.4 كيلو فولت</t>
  </si>
  <si>
    <t xml:space="preserve">UNIT substations , 33/0.4kV </t>
  </si>
  <si>
    <t>محطة فرعية نوع وحدة خارجية مع جميع وسائل الحماية والملحقات المطلوبة.
تركيب واختبار وتشغيل الوحدة الرئيسية الحلقية والمحول مع لوحة توزيع الجهد المنخفض المتكاملة بالكامل وفقًا لمواصفات SEC القياسية
تصنيف الطاقة وفقًا للرسومات والمستندات التعاقدية.
الأنابيب ومسامير التثبيت.</t>
  </si>
  <si>
    <t>Fully functional unit Substation with all required protection and accessories.
Installation, testing and commissioning of Ring Main Unit and Transformer with fully integrated Low Voltage Distribution Panel per SEC standard specifications 
Power rating as per contract drawings and documents.
Conduits, anchor bolts.</t>
  </si>
  <si>
    <t>B2.26 12 19.01.02</t>
  </si>
  <si>
    <t>محطة فرعية نوع وحدة خارجية 1,000 كيلو فولت أمبير، 33/0.4 كيلوفولت</t>
  </si>
  <si>
    <t xml:space="preserve">1000kVA, 33/0.4 KV unit substation </t>
  </si>
  <si>
    <t>B2.26 12 19.01.03</t>
  </si>
  <si>
    <t>محطة فرعية نوع وحدة خارجية 1,500 كيلو فولت أمبير، 33/0.4 كيلوفولت</t>
  </si>
  <si>
    <t xml:space="preserve">1500kVA, 33/0.4 KV unit substation </t>
  </si>
  <si>
    <t>كابل نحاس, (4Cx10mm²,Cu/XLPE/SWA/PVC +1x10mm² PVC/PVC)</t>
  </si>
  <si>
    <t>Cables, Copper, (4Cx10mm²,Cu/XLPE/SWA/PVC +1x10mm² PVC/PVC)</t>
  </si>
  <si>
    <t>كابل الومنيوم, (4Cx300mm²,AL/XLPE/PVC).</t>
  </si>
  <si>
    <t>Cables, Aluminium, (4Cx300mm²,AL/XLPE/PVC).</t>
  </si>
  <si>
    <t>كابل الومنيوم, (4Cx70mm²,AL/XLPE/PVC).</t>
  </si>
  <si>
    <t>Cables, Aluminium, (4Cx70mm²,AL/XLPE/PVC).</t>
  </si>
  <si>
    <t>B2.26 05 19.05</t>
  </si>
  <si>
    <t>كابل نحاس, (4Cx6mm²,Cu/XLPE//PVC + 1x6mm² PVC/ECC).</t>
  </si>
  <si>
    <t>Cables, Copper, (4Cx6mm²,Cu/XLPE/PVC + 1x6mm² PVC/ECC).</t>
  </si>
  <si>
    <t>26 05 33</t>
  </si>
  <si>
    <t>مسارات وصناديق للأنظمة الكهربائية</t>
  </si>
  <si>
    <t>Raceway and Boxes for Electrical Systems</t>
  </si>
  <si>
    <t>26 05 33.01</t>
  </si>
  <si>
    <t>المواسير من البولي ايثلين خطوط بقطر 50 مم</t>
  </si>
  <si>
    <t>50 mm diameter PVC Conduit</t>
  </si>
  <si>
    <t xml:space="preserve">أعمدة انارة الشوارع  خارجية ديكورية من الحديد المجلفن المدهون  حسب رغبة المالك بذراع 1 متر وبإرتفاع 8 متر تشمل علبة توزيع الطاقة والكوابل، والقاعدة الخرسانية </t>
  </si>
  <si>
    <t>Street Lighting Hot dip galvanized steel 8-meter, 1-meter single arm high pole including the power distribution box, cables , and RCC foundation. Type R1</t>
  </si>
  <si>
    <t>أعمدة انارة الشوارع  خارجية ديكورية من الحديد المجلفن المدهون حسب رغبة المالك بذراعين أحدهما 1 متر والآخر 3 متر وبإرتفاع 8 متر تشمل علبة توزيع الطاقة والكوابل، والقاعدة الخرسانية</t>
  </si>
  <si>
    <t>Street Lighting Hot dip galvanized steel 8-meter, double arm one of them is 1-m and the second is 3-m high pole including the power distribution box, cables , and RCC foundation. Type R2</t>
  </si>
  <si>
    <t xml:space="preserve">أعمدة انارة الشوارع  خارجية ديكورية من الحديد المجلفن المدهون  حسب رغبة المالك بذراع 3 متر وبإرتفاع 8 متر تشمل علبة توزيع الطاقة والكوابل، والقاعدة الخرسانية </t>
  </si>
  <si>
    <t>Street Lighting Hot dip galvanized steel 8-meter, 3-meter single arm high pole including the power distribution box, cables , and RCC foundation. Type R3</t>
  </si>
  <si>
    <t>وحدة إنارة LED نظام اضاءة 92 وات (13000 Lumen) وبظام حماية من العوامل الجوية شاملا الأسلاك</t>
  </si>
  <si>
    <t xml:space="preserve">Street Lighting ( LED) Luminaire with 92 Watt, 13000 Lumen LED luminaire light complete with wiring, </t>
  </si>
  <si>
    <t>33 71 19 .01</t>
  </si>
  <si>
    <t>عبارة طرق لكابلات إنارة شوارع ذات أثنين منفذ من مواسير بوليفنيل الكلوريد (2x110 مم)</t>
  </si>
  <si>
    <t>Road crossing ducts, 2 way (2 x 110mm PVC)</t>
  </si>
  <si>
    <t>33 71 19 .02</t>
  </si>
  <si>
    <t>عبارة طرق لكابلات إنارة شوارع ذات ثلاث منافذ من مواسير بوليفنيل الكلوريد (3x110 مم)</t>
  </si>
  <si>
    <t>Road crossing ducts, 3 way (3 x 110mm PVC)</t>
  </si>
  <si>
    <t>34 71 19 .03</t>
  </si>
  <si>
    <t>عبارة طرق لكابلات إنارة شوارع ذات أربعة منافذ من مواسير بوليفنيل الكلوريد (4x110 مم)</t>
  </si>
  <si>
    <t>Road crossing ducts, 4 way (4 x 110mm PVC)</t>
  </si>
  <si>
    <t>34 71 19 .04</t>
  </si>
  <si>
    <t>عبارة طرق لكابلات إنارة شوارع ذات ست منافذ من مواسير بوليفنيل الكلوريد (6x110 مم)</t>
  </si>
  <si>
    <t>Road crossing ducts,6 way (6 x 110mm PVC)</t>
  </si>
  <si>
    <t xml:space="preserve">لوحات توزيع الانارة </t>
  </si>
  <si>
    <t>Supply and installation of concrete wall including the frame and the concrete block wall for installation of KWH meter according to the standards and specifications of SEC.</t>
  </si>
  <si>
    <t>عبارات عبور الطريق من المواسير البولي ايثلين 6 خطوط بقطر 50 مم+12 خطوط بقطر 32 مم</t>
  </si>
  <si>
    <t xml:space="preserve">6 way 50mm + 12 way 32mm HDPE duct </t>
  </si>
  <si>
    <t>عبارات عبور الطريق من المواسير البولي ايثلين 6 خطوط بقطر 50 مم+8 خطوط بقطر 32 مم</t>
  </si>
  <si>
    <t xml:space="preserve">6 way 50mm + 8 way 32mm HDPE duct </t>
  </si>
  <si>
    <t>عبارات عبور الطريق من المواسير البولي ايثلين 6 خطوط بقطر 50 مم+4 خطوط بقطر 32 مم</t>
  </si>
  <si>
    <t xml:space="preserve">6 way 50mm + 4 way 32mm HDPE duct </t>
  </si>
  <si>
    <t>B2.33 71 19.08</t>
  </si>
  <si>
    <t>عبارات عبور الطريق من المواسير البولي ايثلين 6 خطوط بقطر 50 مم+2 خطوط بقطر 32 مم+ 1خطوط بقطر 16 مم</t>
  </si>
  <si>
    <t xml:space="preserve">6 way 50mm + 2 way 32mm+1way 16mm HDPE duct </t>
  </si>
  <si>
    <t>B2.33 71 19.09</t>
  </si>
  <si>
    <t>B2.33 71 19.10</t>
  </si>
  <si>
    <t>عبارات عبور الطريق من المواسير البولي ايثلين 6 خطوط بقطر 50 مم+2 خطوط بقطر 32 مم</t>
  </si>
  <si>
    <t>6 way 50mm + 2 way 32mm</t>
  </si>
  <si>
    <t>عبارات عبور الطريق من المواسير البولي ايثلين 12 خطوط بقطر 50 مم+8 خطوط بقطر 32 مم</t>
  </si>
  <si>
    <t xml:space="preserve">12 way 50mm + 8 way 32mm HDPE duct </t>
  </si>
  <si>
    <t>B2.33 71 19.11</t>
  </si>
  <si>
    <t>عبارات عبور الطريق من المواسير البولي ايثلين 12 خطوط بقطر 50 مم+2 خطوط بقطر 32 مم</t>
  </si>
  <si>
    <t xml:space="preserve">12 way 50mm + 2 way 32mm HDPE duct </t>
  </si>
  <si>
    <t>B2.33 71 19.12</t>
  </si>
  <si>
    <t>عبارات عبور الطريق من المواسير البولي ايثلين 8 خطوط بقطر 32 مم</t>
  </si>
  <si>
    <t xml:space="preserve">8 way 32mm  HDPE duct </t>
  </si>
  <si>
    <t>B2.33 71 19.13</t>
  </si>
  <si>
    <t>عبارات عبور الطريق من المواسير البولي ايثلين 4 خطوط بقطر 32 مم</t>
  </si>
  <si>
    <t xml:space="preserve">4 way 32mm  HDPE duct </t>
  </si>
  <si>
    <t>B2.33 71 19.14</t>
  </si>
  <si>
    <t>عبارات عبور الطريق من المواسير البولي ايثلين</t>
  </si>
  <si>
    <t xml:space="preserve"> HDPE duct </t>
  </si>
  <si>
    <t>B2.33 71 19.15</t>
  </si>
  <si>
    <t>المواسير من البولي ايثلين 2 خطوط بقطر 32 مم+1 خطوط بقطر 16 مم</t>
  </si>
  <si>
    <t>2 x 32 mm +1 x 16mm diameter HDPE ducts</t>
  </si>
  <si>
    <t>B2.33 71 19.16</t>
  </si>
  <si>
    <t>المواسير من البولي ايثلين 8 خطوط بقطر 32 مم</t>
  </si>
  <si>
    <t>8x 32mm diameter HDPE ducts</t>
  </si>
  <si>
    <t>B2.33 71 19.17</t>
  </si>
  <si>
    <t>المواسير من البولي ايثلين4  خطوط بقطر 32 مم</t>
  </si>
  <si>
    <t>4x 32mm diameter HDPE ducts</t>
  </si>
  <si>
    <t>B2.33 71 19.18</t>
  </si>
  <si>
    <t>المواسير من البولي ايثلين 6 خطوط بقطر 50 مم</t>
  </si>
  <si>
    <t>6 x 50 mm  diameter HDPE ducts</t>
  </si>
  <si>
    <t>B2.33 71 19.19</t>
  </si>
  <si>
    <t>المواسير من البولي ايثلين 6 خطوط بقطر 50 مم+2 خطوط بقطر 32 مم</t>
  </si>
  <si>
    <t>6 x 50 mm +2 x 32mm diameter HDPE ducts</t>
  </si>
  <si>
    <t>B2.33 71 19.20</t>
  </si>
  <si>
    <t>المواسير من البولي ايثلين 6 خطوط بقطر 50 مم+2 خطوط بقطر 32 مم+1 خطوط بقطر 16 مم</t>
  </si>
  <si>
    <t>6 x 50 mm +2 x 32mm+1 x 16mm diameter HDPE ducts</t>
  </si>
  <si>
    <t>B2.33 71 19.21</t>
  </si>
  <si>
    <t>المواسير من البولي ايثلين 6 خطوط بقطر 50 مم+8 خطوط بقطر 32 مم</t>
  </si>
  <si>
    <t>6 x 50 mm +8 x 32mm diameter HDPE ducts</t>
  </si>
  <si>
    <t>B2.33 71 19.22</t>
  </si>
  <si>
    <t>المواسير من البولي ايثلين 6 خطوط بقطر 50 مم+12 خطوط بقطر 32 مم</t>
  </si>
  <si>
    <t>6 x 50 mm +12 x 32mm diameter HDPE ducts</t>
  </si>
  <si>
    <t>B2.33 71 19.23</t>
  </si>
  <si>
    <t>المواسير من البولي ايثلين 12 خطوط بقطر 50 مم+8 خطوط بقطر 32 مم</t>
  </si>
  <si>
    <t>12 x 50 mm +8 x 32mm diameter HDPE ducts</t>
  </si>
  <si>
    <t>B2.33 71 19.24</t>
  </si>
  <si>
    <t>المواسير من البولي ايثلين 12 خطوط بقطر 50 مم+28 خطوط بقطر 32 مم</t>
  </si>
  <si>
    <t>12 x 50 mm +2x 32mm diameter HDPE ducts</t>
  </si>
  <si>
    <t>B2.33 71 19.25</t>
  </si>
  <si>
    <t>المواسير من البولي ايثلين 1 خطوط بقطر 16 مم</t>
  </si>
  <si>
    <t>1x 16 mm diameter HDPE ducts</t>
  </si>
  <si>
    <t>B2.33 71 19.26</t>
  </si>
  <si>
    <t>غرفة تقتيش (مانهول) 2000x1000 mm</t>
  </si>
  <si>
    <t>Manhole  2000x1000 mm</t>
  </si>
  <si>
    <t>غرف تفتيش (هاندهولات)</t>
  </si>
  <si>
    <t>HANDHOLES</t>
  </si>
  <si>
    <t xml:space="preserve">غرفة تقتيش (مانهول) من النوع600x600 mm </t>
  </si>
  <si>
    <t>Handhole 600x600 mm</t>
  </si>
  <si>
    <t>يتم ترحيل الإتصالات  - إلى التجميع</t>
  </si>
  <si>
    <t>CARRIED TO TELECOMMUNICATIONS - COLLECTION</t>
  </si>
  <si>
    <t>عمق أكبر من 2.5م</t>
  </si>
  <si>
    <t>Depth: more than 2.5m</t>
  </si>
  <si>
    <t>عمق أكبر من 1.5م</t>
  </si>
  <si>
    <t>Depth: more than 1.5m</t>
  </si>
  <si>
    <t>Wash out chamber; on 160 mm dia pipeline</t>
  </si>
  <si>
    <t>شبكة الحريق</t>
  </si>
  <si>
    <t>FIRE NETWORK</t>
  </si>
  <si>
    <t>B3.33 31 00.01</t>
  </si>
  <si>
    <t>B3.33 31 00.02</t>
  </si>
  <si>
    <t>B3.33 31 00.03</t>
  </si>
  <si>
    <t>عمق أكبر من 3.5م</t>
  </si>
  <si>
    <t>Depth: more than 3.5m</t>
  </si>
  <si>
    <t>B3.33 31 00.04</t>
  </si>
  <si>
    <t>B3.33 31 00.05</t>
  </si>
  <si>
    <t>B3.33 31 00.06</t>
  </si>
  <si>
    <t>B3.33 31 00.07</t>
  </si>
  <si>
    <t>B3.33 31 00.08</t>
  </si>
  <si>
    <t>عمق أكبر من 4.5م</t>
  </si>
  <si>
    <t>Depth: more than 4.5m</t>
  </si>
  <si>
    <t>B3.33 31 00.09</t>
  </si>
  <si>
    <t>وصله HDPE قاطعة للشوارع بقطر 160 مم (تشمل أغطية النهايات, محبس العزل, الخ..)</t>
  </si>
  <si>
    <t>يتم ترحيل شبكة الحريق - إلى التجميع</t>
  </si>
  <si>
    <t>CARRIED TO FIRE NETWORK - COLLECTION</t>
  </si>
  <si>
    <t>قطر 90 مم</t>
  </si>
  <si>
    <t>90mm Diameter</t>
  </si>
  <si>
    <t>محابس قفل بوابي بقطر 90 مم على خط مواسير بقطر90 مم .</t>
  </si>
  <si>
    <t>Gate valves dia (90) mm on pipe dia (90) mm .</t>
  </si>
  <si>
    <t>Wash out chamber; on 110 mm dia pipeline</t>
  </si>
  <si>
    <t>غرفة صمام الهواء على خط مواسير بقطر 110 مم</t>
  </si>
  <si>
    <t>وصله HDPE قاطعة للشوارع بقطر 90 مم (تشمل أغطية النهايات, محبس العزل, الخ...)</t>
  </si>
  <si>
    <t>B5.33 31 00.04</t>
  </si>
  <si>
    <t>Depth: 2.50m - 3.5m</t>
  </si>
  <si>
    <t>مانهول بعمق  3.51-4.5 م</t>
  </si>
  <si>
    <t>مانهول بعمق أكبر من 4.5 م</t>
  </si>
  <si>
    <t>MH depth more than 4.5m</t>
  </si>
  <si>
    <t>غرف التفتيش بأبعاد داخلية 60 سم 60X سم</t>
  </si>
  <si>
    <t>Manholes with internal dimensions of 60 cm x 60 cm</t>
  </si>
  <si>
    <t>غرفة تفتيش بعمق 0-1.5 م</t>
  </si>
  <si>
    <t>Inspection chamber depth 0 - 1.5m</t>
  </si>
  <si>
    <t>غرفة تفتيش بعمق 1.51-2.5 م</t>
  </si>
  <si>
    <t>Inspection chamber depth 1.5 - 2.5m</t>
  </si>
  <si>
    <t>غرفة تفتيش بعمق أكبر من 2.5 م</t>
  </si>
  <si>
    <t>Inspection chamber depth more than 2.5m</t>
  </si>
  <si>
    <t>B6.33 42 11.05</t>
  </si>
  <si>
    <t>Depth : 3.51m - 4.5m</t>
  </si>
  <si>
    <t xml:space="preserve">حتي عمق 1.51 م </t>
  </si>
  <si>
    <t>Depth : 1.50m</t>
  </si>
  <si>
    <t>مانهول بعمق أكبر من 2.5 م</t>
  </si>
  <si>
    <t>MH depth more than 2.5m</t>
  </si>
  <si>
    <t>مانهول بعمق أكبر من 3.5 م</t>
  </si>
  <si>
    <t>MH depth more than 3.5m</t>
  </si>
  <si>
    <t>الغطاء الأرضي والشجيرات</t>
  </si>
  <si>
    <t>بورتولاكا غرانديفلورا</t>
  </si>
  <si>
    <t>أتريبليكس هاليموس</t>
  </si>
  <si>
    <t>غطاء الأرض</t>
  </si>
  <si>
    <t>Ground Cover - Xeriscape</t>
  </si>
  <si>
    <t>B7.32 92 00.05</t>
  </si>
  <si>
    <t>شجر جوانب الطريق - شجر لبخ</t>
  </si>
  <si>
    <t>ALBIZA LEBBECK</t>
  </si>
  <si>
    <t xml:space="preserve">شجر جوانب الطريق - شجر نيم </t>
  </si>
  <si>
    <t>AZADIRACHTA INDICA</t>
  </si>
  <si>
    <t>توريد وتركيب الرمال المضغوطة وكل ذلك وفقاً للمواصفات القياسية بما في ذلك إعداد الموقع، والنشر، والتدريج، والضغط، والتسوية، وجميع الأعمال المرتبطة بها لإكمالها على النحو المفصل/المحدد في رسومات العقد والمحددة في وثائق العقد. ويجب أن تتضمن الأعمال أيضًا أخذ العينات والاختبارات المطلوبة.</t>
  </si>
  <si>
    <t>Supply and install Compacted sand and all in accordance with the standard specification including site preparation, spreading, grading, compacting, leveling, and all associated  works to complete as detailed/specified in the Contract drawings and defined in the Contract documents. The Works shall also include the required sampling and testing.</t>
  </si>
  <si>
    <t>الأسوار و البوابات</t>
  </si>
  <si>
    <t>Fences and Gates</t>
  </si>
  <si>
    <t>32 31 00</t>
  </si>
  <si>
    <t>سور من وحدات البناء الخرسانية</t>
  </si>
  <si>
    <t>Concrete masonry unit boundary wall</t>
  </si>
  <si>
    <t>32 31 00-02</t>
  </si>
  <si>
    <t>غرفة حاوية للمرافق الكهربائية بحوائط من وحدات البناء</t>
  </si>
  <si>
    <t>Electrical facility enclosure, masonry block wall inset</t>
  </si>
  <si>
    <t>32 31 00-06</t>
  </si>
  <si>
    <t>5,500 مم طول × 3,000 مم عرض</t>
  </si>
  <si>
    <t>5,500 mm length x 3,000 mm width</t>
  </si>
  <si>
    <t>32 31 00-06.01</t>
  </si>
  <si>
    <t>تأثيث الموقع</t>
  </si>
  <si>
    <t>Site Furnishings</t>
  </si>
  <si>
    <t>32 33 00</t>
  </si>
  <si>
    <t>سلة المهملات للموقع</t>
  </si>
  <si>
    <t>Trash bin, outdoor</t>
  </si>
  <si>
    <t>32 33 00-02</t>
  </si>
  <si>
    <t>حاويات النفايات للموقع</t>
  </si>
  <si>
    <t>GARBAGE BIN</t>
  </si>
  <si>
    <t>32 33 00-02.01</t>
  </si>
  <si>
    <t>سلة مهملات بلاستيكية</t>
  </si>
  <si>
    <t>Litter bin</t>
  </si>
  <si>
    <t>32 33 00-02.02</t>
  </si>
  <si>
    <t>توريد وتركيب منقطات تعويض الضغط ، بما في ذلك جميع الملحقات اللازمة لإكمال الأعمال طبقاً للمواصفات والرسومات. (نقاطات   بتصرف  37.9LPH  للأشجار )</t>
  </si>
  <si>
    <t>Supply and install online pressure compensating emitters, including all accessories necessary to complete the works in accordance with specifications and drawings.(Pressure compensating 37.9LPH emitter for trees)</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</si>
  <si>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3.8LPH مع تباعد بين الباعثات 45 سم وتباعد بين الخطوط  مسافة 45 سم)</t>
  </si>
  <si>
    <t>Supply and installation of 16 mm dia (O.D.) linear low density polyethylene tubing including in line P.C. emitters, accessories, stakes, takeoff /risers connections from laterals, and all requirements needed to finish work as per drawings (In line dripper line 3.8LPH dripper with spacing between emitters 45 cm and dripline spaced at 45cm )</t>
  </si>
  <si>
    <t>المالك: الهيئة السعودية للمدن الصناعية ومناطق التقنية (مدن)</t>
  </si>
  <si>
    <r>
      <t>Kharj 1</t>
    </r>
    <r>
      <rPr>
        <b/>
        <u/>
        <sz val="10"/>
        <rFont val="Arial"/>
        <family val="2"/>
      </rPr>
      <t>st</t>
    </r>
    <r>
      <rPr>
        <b/>
        <sz val="10"/>
        <rFont val="Arial"/>
        <family val="2"/>
      </rPr>
      <t xml:space="preserve"> industrial City</t>
    </r>
  </si>
  <si>
    <t>موقع المشروع: المدينة الصناعية الأولى بالخرج</t>
  </si>
  <si>
    <t>Quantity</t>
  </si>
  <si>
    <t>Rate</t>
  </si>
  <si>
    <t>DIVISION 02- SITE  WORKS</t>
  </si>
  <si>
    <t>القسم الثانى: أعمال الموقع</t>
  </si>
  <si>
    <t>EXCAVATION AND BACKFILLING</t>
  </si>
  <si>
    <t>الحفريات و الردم</t>
  </si>
  <si>
    <t>2.1.1</t>
  </si>
  <si>
    <t xml:space="preserve">Roadway, asphalt layers, and base course layer excavation for cuttings and all types of soil
</t>
  </si>
  <si>
    <t xml:space="preserve">حفريات الطرق في جميع أنواع التربة وطبقات الأسفلت وطبقة الأساس الحصوية
</t>
  </si>
  <si>
    <r>
      <t>m</t>
    </r>
    <r>
      <rPr>
        <vertAlign val="superscript"/>
        <sz val="10"/>
        <color theme="1"/>
        <rFont val="Arial"/>
        <family val="2"/>
      </rPr>
      <t>3</t>
    </r>
  </si>
  <si>
    <t>2.1.2</t>
  </si>
  <si>
    <t>Backfilling with material free of debris and boulders to reach the level of the settlement, in layers not exceeding 200 mm with compaction minimum 95% for each layer. Price includes testing each layer by a specialized laboratory according to specifications and approval to engineer.</t>
  </si>
  <si>
    <t xml:space="preserve">الردم بتربة خالية من الشوائب والأحجار للوصول الى المنسوب المطلوب ويكون الردم على طبقات لا تزيد عن 200مم مع الدمك والكثافة كحد أدنى 95% لكل طبقة والسعر يشمل الإختبار لكل طبقة وذلك من قبل مكتب متخصص معتمد طبقا للمواصفات واعتماد المهندس </t>
  </si>
  <si>
    <t>Total - SAR
 Carried to Collection</t>
  </si>
  <si>
    <t>إجمالى الصفحة</t>
  </si>
  <si>
    <t>PAVEMENTS AND PARKINGS</t>
  </si>
  <si>
    <t xml:space="preserve"> أعمال الطـــرق والمواقف</t>
  </si>
  <si>
    <t>2.2.1</t>
  </si>
  <si>
    <t>Supply and installation of paving blocks 200*100*60 mm, grey and dark grey color, including but not limited to excavation, compaction, sub-base material, bedding and other accessories to complete all as per drawings &amp; specification.</t>
  </si>
  <si>
    <t>توريد وتركيب بلاط أرصفة بأبعاد 200*100*60 مم واللون يكون رمادى فاتح وغامق والسعر يشمل ولا يقتصر على الحفر والردم ومواد الأساس والأساس المساعد وجميع الملحقات لإكمال الأعمال طبقا للمخططات والمواصفات</t>
  </si>
  <si>
    <r>
      <t>m</t>
    </r>
    <r>
      <rPr>
        <vertAlign val="superscript"/>
        <sz val="10"/>
        <color theme="1"/>
        <rFont val="Arial"/>
        <family val="2"/>
      </rPr>
      <t>2</t>
    </r>
  </si>
  <si>
    <t>2.2.2</t>
  </si>
  <si>
    <t>Supply and install precast concrete curbstone including  lean concrete base and concrete for back support as per drawings and specification</t>
  </si>
  <si>
    <t>توريد وتركيب بردورات خرسانية من الخرسانة الجاهزة سابقة الصب مع تركيب فرشة خرسانية أسفلها  مع صب خرسانة من الخلف للتدعيم كما هو موضح بالمخططات والمواصفات</t>
  </si>
  <si>
    <t>2.2.2.1</t>
  </si>
  <si>
    <t>900 * 300 * 150 (one side chamfer)</t>
  </si>
  <si>
    <t xml:space="preserve">  150 * 300 * 900 mm توريد وتركيب بردورة أسمنتية مسبقة الصنع مشطوفة من ناحية واحدة بمقاس  </t>
  </si>
  <si>
    <t>L.m</t>
  </si>
  <si>
    <t>2.2.2.2</t>
  </si>
  <si>
    <t>500 * 300 * 100 (two side chamfer)</t>
  </si>
  <si>
    <t xml:space="preserve">  100 * 300 * 500 mm توريد وتركيب بردورة أسمنتية مسبقة الصنع مشطوفة من الناحيتين بمقاس  </t>
  </si>
  <si>
    <t>2.2.3</t>
  </si>
  <si>
    <t>Gravel beddings layer Nominal size gravel for planting basins as shown on the drawings and specifications</t>
  </si>
  <si>
    <t>توريد وتركيب وفرد ورص طبقة من البحص  لزوم أحواض الزراعة والاسطح وتنسيق الموقع كما هو موضح بالمخططات والمواصفات</t>
  </si>
  <si>
    <t>2.2.4</t>
  </si>
  <si>
    <t>Sand beddings as shown on the drawings and specifications</t>
  </si>
  <si>
    <t>توريد وتركيب وفرد ورص طبقة من الرمل كما هو موضح بالمخططات والمواصفات</t>
  </si>
  <si>
    <t>PAVEMENTS AND PARKINGS (CONT'D)</t>
  </si>
  <si>
    <t xml:space="preserve"> تكملة أعمال الطـــرق والمواقف</t>
  </si>
  <si>
    <t>2.2.5</t>
  </si>
  <si>
    <t>Supply and lay bituminous wearing course asphalt layer class (A) including tack coat (RC2) according to specifications and drawings</t>
  </si>
  <si>
    <t>توريد وتنفيذ طبقة السطح العلوية من الخرسانة البيتومينية تصنيف (أ) والسعر يشمل الطبقة اللاصقة (RC2) طبقا للمواصفات والمخططات</t>
  </si>
  <si>
    <t>2.2.6</t>
  </si>
  <si>
    <t>Supply and lay bituminous base course asphalt layer class (A); including prime coat (MC1) according to specifications and drawings</t>
  </si>
  <si>
    <t>توريد وتنفيذ طبقة الأساس البيتومينية وتكون المواد تصنيف (أ) والسعر يشمل الطبقة التأسيسية (MC1)  وطبقة (RC2)  طبقا للمواصفات والمخططات</t>
  </si>
  <si>
    <t>2.2.7</t>
  </si>
  <si>
    <t>Supply and lay base course layer for the full width of the road as per specifications and drawings</t>
  </si>
  <si>
    <t>توريد وتنفيذ طبقة الأساس الحصوية وذلك لعرض الطريق طبقا للمواصفات والمخططات</t>
  </si>
  <si>
    <t>2.2.8</t>
  </si>
  <si>
    <t>Supply and lay subgrade material up to the full width of the road as per specifications and drawings</t>
  </si>
  <si>
    <t>توريد وتنفيذ طبقة القاعدة الترابية وذلك لعرض الطريق طبقا للمواصفات والمخططات</t>
  </si>
  <si>
    <t>2.2.9</t>
  </si>
  <si>
    <t xml:space="preserve">Supply and install thermoplastic pavement road markings </t>
  </si>
  <si>
    <t>توريد وتنفيذ أعمال الدهان الحرارى (الثرموبلاستيك) للعلامات الأرضية للطرق الأسفلتية</t>
  </si>
  <si>
    <t>2.2.10</t>
  </si>
  <si>
    <t>Supply and install concrete parking bumper with dimensions 1800*150*100 mm</t>
  </si>
  <si>
    <t xml:space="preserve">توريد وتركيب مصدات خرسانية لمواقف السيارات بأبعاد 1800*150*100 مم  </t>
  </si>
  <si>
    <t>Nos.</t>
  </si>
  <si>
    <t>2.2.11</t>
  </si>
  <si>
    <t>Supply and install aircraft tie-down including all the required fixations and accessories per drawings and specifications</t>
  </si>
  <si>
    <t>توريد وتركيب أربطة للطائرات شاملا كافة التركيبات والاكسسوارات طبقا للمخططات والمواصفات.</t>
  </si>
  <si>
    <t>LANDSCAPING</t>
  </si>
  <si>
    <t>تنسيق حدائق الموقع العام</t>
  </si>
  <si>
    <t xml:space="preserve">Provide Landscaping including plants </t>
  </si>
  <si>
    <t xml:space="preserve">توريد وتركيب وتنسيق الموقع العام مع الزراعات </t>
  </si>
  <si>
    <t>Soft landscaping to be carried out as per landscaping specifications and other related sections and details in the drawings</t>
  </si>
  <si>
    <t>يتعين تنفيذ زراعة النباتات لتنسيق الحدائق حسب مواصفات تنسيق الحدائق والأقسام الأخرى ذات العلاقة والتفاصيل الواردة في المخططات</t>
  </si>
  <si>
    <t>Procure and plant in position trees, shrubs, groundcover plants including all required excavation from rough grade,backfilling, holding / transferring from Holding Nursery, plant supports and including sweet soil, including maintenance of the trees up to the period of plants survival and ready for Client's to receive the plants taking over all in accordance with the drawings and specification.</t>
  </si>
  <si>
    <t>شراء وزراعة فى أماكن المخصصة الأشجار والنباتات والتربة الزراعية شاملا الحفر بالتربة الخشنة والردم ونقل الشتلات من المشتل شامل عناصر تثبيت النباتات ومواد السماد شاملا الصيانة وموافقة المهندس وجميع ما يلزم حسب المواصفات والمخططات</t>
  </si>
  <si>
    <t>The pit size specify as follows:-</t>
  </si>
  <si>
    <t>أبعاد الحفرة تحدد على النحو التالي: -</t>
  </si>
  <si>
    <t>Palm: 2*2*2 m</t>
  </si>
  <si>
    <t>النخيل: 2 * 2 * 2 م</t>
  </si>
  <si>
    <t>Trees: 1.5*1.5*1.5 m</t>
  </si>
  <si>
    <t>الأشجار: 1.5 * 1.5 * 1.5 متر</t>
  </si>
  <si>
    <t>Large Shrubs: 1*1*1 m</t>
  </si>
  <si>
    <t>الشجيرات الكبيرة: 1 * 1 * 1 م</t>
  </si>
  <si>
    <t>Small Shrubs: 0.6*0.6*0.6 m</t>
  </si>
  <si>
    <t>الشجيرات الصغيرة: 0.6 * 0.6 * 0.6 متر</t>
  </si>
  <si>
    <t>Ground Cover: 450 mm layer</t>
  </si>
  <si>
    <t>الغلاف الأرضي: 450 مم للطبقة</t>
  </si>
  <si>
    <t>Grass: 300 mm layer</t>
  </si>
  <si>
    <t>نجيلة: 300 مم للطبقة</t>
  </si>
  <si>
    <t>2.3.1</t>
  </si>
  <si>
    <t>Trees</t>
  </si>
  <si>
    <t>الأشجار</t>
  </si>
  <si>
    <t>2.3.1.1</t>
  </si>
  <si>
    <t xml:space="preserve">Poinciana </t>
  </si>
  <si>
    <t>بونسيانا</t>
  </si>
  <si>
    <t>2.3.1.2</t>
  </si>
  <si>
    <t>Quisqualis Indica</t>
  </si>
  <si>
    <t>ياسمين هندي احمر </t>
  </si>
  <si>
    <t>2.3.2</t>
  </si>
  <si>
    <t>Ground Covers</t>
  </si>
  <si>
    <t>كسوة الأرض (الغلاف الأرضى)</t>
  </si>
  <si>
    <t>2.3.2.1</t>
  </si>
  <si>
    <t>Pennisetum Rubrum Red</t>
  </si>
  <si>
    <t>حلفا</t>
  </si>
  <si>
    <t>2.3.2.2</t>
  </si>
  <si>
    <t>Acalypha hispida</t>
  </si>
  <si>
    <t>ذيل القط الأحمر</t>
  </si>
  <si>
    <t>2.3.2.3</t>
  </si>
  <si>
    <t>Bougainvillea</t>
  </si>
  <si>
    <t>جهنمية</t>
  </si>
  <si>
    <t>DIVISION 3 - CONCRETE</t>
  </si>
  <si>
    <t>القسم الثالث : أعمال الخرسانة</t>
  </si>
  <si>
    <t>Cast in place Lean concrete, Minimum Compressive Strength after 28 days ( fc' ) = 20 Mpa as per the drawing, type V cement, including formworks and curing.</t>
  </si>
  <si>
    <t>توريد وصب خرســانة عادية بمقاومة تصل الى 20 ميجاباسكال بعد 28 يوم وبالأبعاد والمناسـيب الموضحة على الرسومات التنفيذية طبقا للمواصفات على أن يكون الأسمنت من النوع المقاوم لأملاح الكبريتات (نوع V) والإجهاد حسب المحدد بالمخططات شاملا البند الشدات بأنواعها والإختبارات المختلفة والصب والحماية والمعالجة وتقديم جيمع مخططات الورشة وكل ما يلزم لإنهاء البند على أكمل وجه للعناصر التالية:ـ</t>
  </si>
  <si>
    <t>3.1.1</t>
  </si>
  <si>
    <t xml:space="preserve"> Lean concrete under foundation</t>
  </si>
  <si>
    <t xml:space="preserve">خرسانة عادية أسفل الأساسات  </t>
  </si>
  <si>
    <t>Cast in place reinforced concrete for the sub-structures, Minimum Compressive Strength after 28 days ( fc' ) = 35 Mpa ,as per the drawing ,type V cement,including formworks &amp; curing &amp; testing and reinforcement.</t>
  </si>
  <si>
    <t>توريد وصب خرســانة مسلحة بمقاومة تصل الى35 ميجاباسكال أى بعد 28 يوم وبالأبعاد والمناسـيب الموضحة على الرسومات التنفيذية طبقا للمواصفات على أن يكون الأسمنت من النوع المقاوم لأملاح الكبريتات (نوع V) والإجهاد حسب المحدد بالمخططات شاملا حديد التسليح كما يشمل البند الشدات والإختبارات المختلفة والصب والحماية والمعالجة وتقديم جيمع مخططات الورشة وكل ما يلزم لإنهاء البند على أكمل وجه للعناصر التالية:ـ</t>
  </si>
  <si>
    <t>3.2.1</t>
  </si>
  <si>
    <t xml:space="preserve">Isolated Footings </t>
  </si>
  <si>
    <t xml:space="preserve">القواعد المنفصلة </t>
  </si>
  <si>
    <t>3.2.2</t>
  </si>
  <si>
    <t>Raft Foundation</t>
  </si>
  <si>
    <t xml:space="preserve">أساسات اللبشة </t>
  </si>
  <si>
    <t>3.2.3</t>
  </si>
  <si>
    <t xml:space="preserve">Grade beams </t>
  </si>
  <si>
    <t>الميدات</t>
  </si>
  <si>
    <t>3.2.4</t>
  </si>
  <si>
    <t xml:space="preserve">Columns neck </t>
  </si>
  <si>
    <t>رقاب الأعمدة</t>
  </si>
  <si>
    <t>3.2.5</t>
  </si>
  <si>
    <r>
      <rPr>
        <sz val="10"/>
        <rFont val="Arial"/>
        <family val="2"/>
      </rPr>
      <t>Walls</t>
    </r>
    <r>
      <rPr>
        <sz val="10"/>
        <color theme="1"/>
        <rFont val="Arial"/>
        <family val="2"/>
      </rPr>
      <t xml:space="preserve"> for water tank &amp; pump room</t>
    </r>
  </si>
  <si>
    <t>حوائط خزان المياه وغرفة المضخة</t>
  </si>
  <si>
    <t>3.2.6</t>
  </si>
  <si>
    <t>Slabs for water tank &amp; pump room</t>
  </si>
  <si>
    <t>بلاطة خزان المياه وغرفة المضخة</t>
  </si>
  <si>
    <t>Provide and cast 35 Mpa, 200 mm thk helipad slab including 25mm filler board with insulation sealant as per drawings and specification</t>
  </si>
  <si>
    <t>توريد وصب خرسانة مسلحة لبلاطة المهبط بإجهاد 35 ميجاباسكال وبسمك 200 مم مع عمل فواصل تملأ بمواد مرنة حسب الموضح بالمخططات والمواصفات</t>
  </si>
  <si>
    <t>Provide 35 Mpa, 150 mm thk concrete floor slab on grade with 2 layers reinforcement . Including 12 mm thk filler board and sealant between (grade beams and slab on grade) &amp; (pedestals and  slab on grade), as per drawings and specification</t>
  </si>
  <si>
    <t xml:space="preserve"> توريد وصب خرسانة مسلحة لبلاطة الأرضية بإجهاد 35 ميجاباسكال وبسمك 150 مم مع طبقتين شامل ألواح الفيلر بسمك 12 مم مع عمل فواصل تمدد وانكماش أفقية حيث تملأ بمواد مرنة معتمدة مسبقا بين (الميدات وبلاطات الأرضية) &amp; (وركائز الأعمدة المعدنية وبلاطات الأرضية) حسب الموضح بالمخططات والمواصفات</t>
  </si>
  <si>
    <t>DIVISION 3 - CONCRETE (CONT'D)</t>
  </si>
  <si>
    <t>القسم الثالث : تكملة أعمال الخرسانة</t>
  </si>
  <si>
    <t xml:space="preserve">Cast in place reinforced concrete for the super-structures, Minimum Compressive Strength after 28 days ( fc' ) = 35 Mpa Type I cement as per drawing &amp; specification including formworks, reinforcement, curing &amp; testing. </t>
  </si>
  <si>
    <t>توريد وصب خرســانة مسلحة بمقاومة تصل الى 35 ميجاباسكال بعد 28 يوم وبالأبعاد والمناسـيب الموضحة على الرسومات التنفيذية طبقا للمواصفات على أن يكون الأسمنت من النوع المقاوم لأملاح الكبريتات (نوع I) والإجهاد حسب المحدد بالمخططات شاملا حديد التسليح كما يشمل البند الشدات والإختبارات المختلفة والصب والحماية والمعالجة وتقديم جيمع مخططات الورشة وكل ما يلزم لإنهاء البند على أكمل وجه للعناصر التالية:ـ</t>
  </si>
  <si>
    <t>3.5.1</t>
  </si>
  <si>
    <t xml:space="preserve">Columns  </t>
  </si>
  <si>
    <t xml:space="preserve">الأعمدة </t>
  </si>
  <si>
    <t>3.5.2</t>
  </si>
  <si>
    <t>Slab beams and tie beams</t>
  </si>
  <si>
    <t>كمرات الاسقف والكرات الرابطة</t>
  </si>
  <si>
    <t>3.5.3</t>
  </si>
  <si>
    <t>Steps and ramps</t>
  </si>
  <si>
    <t>درجات السلالم والمنحدرات</t>
  </si>
  <si>
    <t>3.5.4</t>
  </si>
  <si>
    <t xml:space="preserve">Roof Slab  </t>
  </si>
  <si>
    <t>بلاطات السقف</t>
  </si>
  <si>
    <t>DIVISION 04  - MASONRY</t>
  </si>
  <si>
    <t xml:space="preserve">القسم الرابع: أعمال المبانى </t>
  </si>
  <si>
    <t>Supply and install insulated CMU for external walls for mosque and helipad where material is approved by the Client  with lintels for all openings to include intermediate columns and bond beam (where spacing of columns &amp; beams as specified in the drawings) with necessary joining reinforcement between walls, columns and bond beams, including anchors, filler board and steel reinforcement and whatever needed to do a perfect work all as per drawing &amp; specification.</t>
  </si>
  <si>
    <t>توريد وتنفيذ بلوكات حسب النوعية المعتمدة من المالك للحوائط الخارجية للمسجد وبلوكات خرسانية لمهبط الطائرات والسعر يشمل التوريد والتركيب والمونة من البلوك المفرغ المعزول المعتمد كما يشمل الاكسسوارات المعدنية المجلفنة كل مدماكين وزوايا معدنية مع الربط باعمدة وكمرات خرسانية رابطة حيث تكون على مسافات وفقا لما هو موضح بالمخططات كما تشمل توريد الخرسانة واعمال الشدات الخشبية والصب والمونة وأدوات التثبيت وألواح الفيلر(عند اللزوم) وكل ما يلزم لتنفيذ البند على أكمل وجه طبقا لما هو موضح بالمخططات والمواصفات</t>
  </si>
  <si>
    <t>4.1.1</t>
  </si>
  <si>
    <t>200mm thk</t>
  </si>
  <si>
    <t>حوائط بسمك 200 مم</t>
  </si>
  <si>
    <t>4.1.2</t>
  </si>
  <si>
    <t>300mm thk</t>
  </si>
  <si>
    <t>حوائط بسمك 300 مم</t>
  </si>
  <si>
    <t>4.1.3</t>
  </si>
  <si>
    <t>Concrete masonry unit, 100 mm thick wall</t>
  </si>
  <si>
    <t xml:space="preserve">بلوكات خرسانية سمك 100 مم </t>
  </si>
  <si>
    <t>DIVISION 04  - MASONRY (CONT'D)</t>
  </si>
  <si>
    <t>تكملة أعمال المبانى</t>
  </si>
  <si>
    <t>Supply and install CMU where material is approved by the Client for internal walls with standard lintels for all openings to include intermediate columns and bond beam (where spacing of columns &amp; beams as specified in the drawings) with necessary joining reinforcement between walls, columns and bond beams, including anchors, filler board and steel reinforcement and whatever needed to do a perfect work all as per drawing &amp; specification.</t>
  </si>
  <si>
    <t>توريد وتنفيذ مبانى للحوائط الداخلية للمسجد حسب النوعية المعتمدة من المالك والسعر يشمل التوريد والتركيب والمونة من البلوك المفرغ الغير معزول المعتمد كما يشمل الاكسسوارات المعدنية المجلفنة كل مدماكين وزوايا معدنية مع الربط باعمدة وكمرات خرسانية رابطة حيث تكون على مسافات وفقا لما هو موضح بالمخططات كما تشمل توريد الخرسانة واعمال الشدات الخشبية والصب والمونة وأدوات التثبيت وألواح الفيلر(عند اللزوم) وكل ما يلزم لتنفيذ البند على أكمل وجه طبقا لما هو موضح بالمخططات والمواصفات</t>
  </si>
  <si>
    <t>4.2.1</t>
  </si>
  <si>
    <t>100mm thk</t>
  </si>
  <si>
    <t>حوائط بسمك 100 مم</t>
  </si>
  <si>
    <t>4.2.2</t>
  </si>
  <si>
    <t>4.2.3</t>
  </si>
  <si>
    <t>150mm thk</t>
  </si>
  <si>
    <t>حوائط بسمك 150 مم</t>
  </si>
  <si>
    <t xml:space="preserve">DIVISION  05- METALS </t>
  </si>
  <si>
    <t xml:space="preserve">القسم الخامس: الأعمال المعدنية </t>
  </si>
  <si>
    <t>Supply and install stainless steel handrail 200mm high (matte finish) including all necessary fixings, fixtures, painting all as per drawings and specifications (ref, dwg. AR-801 Det. 04) for ramps</t>
  </si>
  <si>
    <t>توريد وتركيب درابزين من الحديد الستانلس ستيل بإرتفاع 200 مم (تشطيب مطفى) حسب لما سيتم إعتماده من قبل المالك ويشمل السعر الدهانات وجميع الملحقات والتركيبات ومسامير التثبيت الإستانلس ستيل وجميع ما يلزم وفقا للمخططات والمواصفات مرجع (dwg. AR-801 Det. 04) للرامبات</t>
  </si>
  <si>
    <t>LM</t>
  </si>
  <si>
    <t>Supply and install galvanized iron access ladder, height as shown in drawings.</t>
  </si>
  <si>
    <t xml:space="preserve">توريد وتركيب سلم من الحديد المجلفن والإرتفاع والأبعاد وجميع ما يلزم لتنفيذ البند وفقا للمخططات والمواصفات </t>
  </si>
  <si>
    <t>set</t>
  </si>
  <si>
    <t>Supply and install GRC arabic pattern water proofing paint finish works (islamic pattern) 1700* 3850 mm, including all necessary fixings, fixtures, painting all as per drawings and specifications.(ref. dwg. AR-201 Elev. 01)</t>
  </si>
  <si>
    <t>توريد وتركيب أعمال زخرفية بنظام النمط العربى من الحوائط الجى ار سى المعزولة ضد العوامل الجوية ومدهونة حسب موافقة المالك (نمط إسلامى) بأبعاد 1700 *3850 مم كما يشتمل على الدهانات وجميع الملحقات والتركيبات ومسامير التثبيت وجميع ما يلزم وفقا للمخططات والمواصفات (مرجع. dwg. AR-201 Elev. 01)</t>
  </si>
  <si>
    <t>NOS</t>
  </si>
  <si>
    <t xml:space="preserve">Supply and install heavy duty ductile iron steel cover with frame size 1500*2000mm including all necessary fixings, painting and all as per drawings and specifications. </t>
  </si>
  <si>
    <t xml:space="preserve">توريد وتركيب غطاء معدني من الحديد الدكتايل للخزان heavy duty مع الاطار قياس 1500*2000 مم ويشمل السعر الدهانات وجميع الملحقات والتركيبات ومسامير التثبيت وجميع ما يلزم لتنفيذ البند  كما هو موضح بالمخططات والمواصفات </t>
  </si>
  <si>
    <t xml:space="preserve">Supply and install heavy duty ductile iron steel cover with frame size 1000*1000mm including all necessary fixings, painting and all as per drawings and specifications. </t>
  </si>
  <si>
    <t xml:space="preserve">توريد وتركيب غطاء معدني من الحديد الدكتايل للخزان heavy duty مع الاطار قياس 1000*1000 مم ويشمل السعر الدهانات وجميع الملحقات والتركيبات ومسامير التثبيت وجميع ما يلزم لتنفيذ البند  كما هو موضح بالمخططات والمواصفات </t>
  </si>
  <si>
    <t>DIVISION  05- METALS (CONT'D)</t>
  </si>
  <si>
    <t xml:space="preserve">القسم الخامس: تكملة الأعمال المعدنية </t>
  </si>
  <si>
    <t>Design, supply and installation of Structural steel members and plates (Grade as per structural drawings), corrosion-protected with three coat system to ensure the specified life to first maintenance. 
Design, supply and installation of Cold formed steel secondary members (purlins &amp; Girts, grades as per steel drawings), galvanized  to satisfy the specified life to first maintenance.
a) Corrugated glavanized steel roofing sheet 0.7mm thick for pump shed, with metal flashing and fascia, ridge capping, sub framing, paint finish, as per drawings and specification 
b) All necessary other accessories to complete the pump shed roof as per specification, drawings, codes, manufactures instructions.(for pump shed)</t>
  </si>
  <si>
    <t>تصميم، توريد و تركيب كمرات و أعمدة و قطع من الصلب (ذات درجة مقاومة كما هو موضح في الرسومات) و تشمل االدهانات اللازمة للحماية مؤلفة من ثلاث طبقات ضد التاكل لضمان عدم التلف قبل إنقضاء الفترة المحددة لاعمال الصيانة الاولى
تصميم، توريد و تركيب أعضاء ثانوية من القطاعات المشكلة على البارد (مدادات و طوق بحزام ,ذات درجة مقاومة كما هو موضح في الرسومات), مجلفن لضمان عدم 
أ- تغطيات الاسطح من الصاج المعرج بسمك 0.7مم لمظلة المضخة مشتملة على القطاعات المعدنية لتغطية الاجزاء الامامية و الجانبية (metal flashing and fascia) و الاطارات الثانوية والتشطيب بالدهان طبقا للمخططات و المواصفات
ب- جميع الاكسسوارات اللازمة لاكمال سطح مظلة المضخة طبقا للمواصفات و المخططات و الاكواد التصميمية و تعليمات المصنع التلف قبل إنقضاء الفترة المحددة لاعمال الصيانة الاولى (لمظلة المضخة)</t>
  </si>
  <si>
    <t>Supply and fix galvanized steel chain link fence wall including the gate and its accessories; including steel tube framing and posts, turn buckle, tension wire, bracing, streching bar and all necessary associated works to complete the tasks all in accordance  with the drawings and specifications and of the supplier requirement to the Client satisfaction; materials should be SASO certified.  (Note: Contractor to submit shop drawings for Client approval and the setting out as per site condition prior to start any activities on site for Engineer approval.)</t>
  </si>
  <si>
    <t>توريد وتركيب سياج معدنى على شكل سلسلة من الصلب المجلفن بما في ذلك البوابة وملحقاتها شامل التيوبات  ومسامير التثبيت والقواعد المعدنية  والعوارض والدهانات المانعة للصدأ ومواد الحشووجميع الأعمال المدنية المرتبطة والتى تضمن إكمال الأعمال كما هو موضح بالمواصفات والمخططات ؛ جميع المواد ستكون معتمدة من الهيئة السعودية للمقاييس ساسو. (ملاحظة: يجب على المقاول تقديم وإعتماد مخططات الورشة التنفيذية من المالك كما يجب عليه أيضا رفع وتوقيع الأبعاد حسب ظروف الموقع قبل الشروع بالبدء بتنفيذ اى أعمال بالموقع وذلك لإعتماد المهندس المشرف)</t>
  </si>
  <si>
    <t>DIVISION  07- THERMAL &amp; MOISTURE PROTECTION.</t>
  </si>
  <si>
    <t>القسم السابع: أعمال العزل المائى والحرارى</t>
  </si>
  <si>
    <t>Provide and apply 2 coats of bitumen waterproofing paint on concrete surfaces in contact with soil.</t>
  </si>
  <si>
    <t>توريد وتنفيذ أعمال العزل بدهان وجهين متعامدين من البيتومين الساخن للقواعد ورقاب الأعمدة والميد الأرضية وكل الأسطح الملامسة للتربة والبند يشمل كل ما يلزم لإنهاء الأعمال طبقا للمخططات والمواصفات الفنية وتعليمات جهة الإشراف</t>
  </si>
  <si>
    <t>Provide and  lay 2 layers of waterproofing membrane 4mm including 1 layer protection board for RC footings and RC walls in contact with soil according to the drawings and specification</t>
  </si>
  <si>
    <t xml:space="preserve">توريد وتركيب طبقتين من العزل مكون من لفائف البيتومين المسلح بسمك 4 مم كلا منهما من المواد المعتمدة لزوم الأرضية والحوائط وكل ما يلزم لتنفيذ البند وفقا للمخططات والمواصفات  </t>
  </si>
  <si>
    <t>Provide and  lay epoxies 2 coating for inner surfaces</t>
  </si>
  <si>
    <t xml:space="preserve">توريد وتنفيذ دهان إيبوكسى من وجهين متعامدين لجميع الأسطح الداخلية  وكل ما يلزم لتنفيذ البند وفقا للمخططات والمواصفات  </t>
  </si>
  <si>
    <t xml:space="preserve">Provide and lay 250 micron thick polythelene sheet under grade slab &amp; blinding concrete. </t>
  </si>
  <si>
    <t xml:space="preserve">توريد وتركيب طبقة حماية من مادة البولي ايثيلين بسمك 250 ميكرون تحت خرسانة العادية للأرضيات والأساسات .....الخ </t>
  </si>
  <si>
    <t>Supply and pour 50 mm concrete screed protection for waterproofing membrane as per drawings and specifications</t>
  </si>
  <si>
    <t>توريد وتنفيذ طبقة حمايه من الخرسانه بسمك 50 مم لألواح العزل البيتومينيه طبقا للمخططات والمواصفات.</t>
  </si>
  <si>
    <t xml:space="preserve">Supply and apply anti termite under all concrete in touch with earth for all buildings as per manufacture instructions, engineer approval </t>
  </si>
  <si>
    <t xml:space="preserve">توريد وتنفيذ ورش المبيدات الخاصة لمقاومة النمل الأبيض والحشرات بالتركيز الموصى به حسب تعليمات الشركة المنتجة وذلك اسفل الأسطح الخرسانية الملامسة للتربة مع الضمان على ان تقوم بالرش شركة متخصصة وطبقا لتعليمات المهندس المشرف وحسب المواصفات </t>
  </si>
  <si>
    <t>THERMAL &amp; MOISTURE PROTECTION (CONT'D)</t>
  </si>
  <si>
    <t xml:space="preserve"> تكملة أعمال العزل المائى والحرارى</t>
  </si>
  <si>
    <t xml:space="preserve">Water proofing system </t>
  </si>
  <si>
    <t xml:space="preserve">نظام العزل المائى  </t>
  </si>
  <si>
    <t>7.6.1</t>
  </si>
  <si>
    <t>4mm thick membrane (2 layers)</t>
  </si>
  <si>
    <t xml:space="preserve"> توريد وتركيب طبقتين متعامدتين من لفائف البيتومين المسلح سمك 4 مم </t>
  </si>
  <si>
    <t>7.6.1.1</t>
  </si>
  <si>
    <t>to Toilet</t>
  </si>
  <si>
    <t>للحمامات</t>
  </si>
  <si>
    <t>7.6.1.2</t>
  </si>
  <si>
    <t>to Roof</t>
  </si>
  <si>
    <t>للسطح</t>
  </si>
  <si>
    <t>7.6.2</t>
  </si>
  <si>
    <t>50 mm thk rigid insulation (extruded polystyrene)</t>
  </si>
  <si>
    <t>توريد وتركيب طبقة عازلة للحرارة من البوليسترين المقفل المسام بسمك 50 مم</t>
  </si>
  <si>
    <t>7.6.2.1</t>
  </si>
  <si>
    <t>7.6.3</t>
  </si>
  <si>
    <t>150 micron polyethylene sheet</t>
  </si>
  <si>
    <t>غشاء حجز الرطوبة 150 ميكرون من مادة البولى إيثلين</t>
  </si>
  <si>
    <t>7.6.3.1</t>
  </si>
  <si>
    <t>7.6.4</t>
  </si>
  <si>
    <t>Supplying and fixing 3 mm thk extruded aluminum flashing 80 mm with sealent and 50 * 50 cant strip.</t>
  </si>
  <si>
    <t xml:space="preserve">توريد وتركيب وزرة من الألمنيوم بسمك 3 مم وبارتفاع 80 سم لحماية الواح العزل من أعلى على الحوائط مع تركيب الحافة المشطوفة 50*50 مم فى الجوانب  </t>
  </si>
  <si>
    <t>7.6.4.1</t>
  </si>
  <si>
    <t>Lm</t>
  </si>
  <si>
    <t>7.6.5</t>
  </si>
  <si>
    <t>Lightweight concrete screed</t>
  </si>
  <si>
    <t>خرسانة السكريد الخفيفة</t>
  </si>
  <si>
    <t>7.6.5.1</t>
  </si>
  <si>
    <t>7.6.6</t>
  </si>
  <si>
    <t>50 mm thk gravel toppings</t>
  </si>
  <si>
    <t xml:space="preserve">طبقة من البحص لحماية العزل بسمك 50 مم </t>
  </si>
  <si>
    <t>DIVISION 8 - DOORS &amp; WINDOWS</t>
  </si>
  <si>
    <t>القسم الثامن - اعمال الابواب والشبابيك</t>
  </si>
  <si>
    <t>DOORS</t>
  </si>
  <si>
    <t>الأبواب</t>
  </si>
  <si>
    <t>8.1.1</t>
  </si>
  <si>
    <t>Supply and install (D1) 2500*3000 mm double leaf double structural glass 6-12-6 on aluminum frames, 2 hrs fire rated, manufacturer label shall pass the test requirements complete with accessories as per door/window schedule and material as approved by the Client. (Main Entrance )</t>
  </si>
  <si>
    <t>توريد وتركيب باب من الزجاج الإنشائى مقاوم للحريق لمدة ساعتين بسمك 6-12-6 مم ثابت للمدخل الرئيسى نموذج (D1) من القطاعات المعتمدة من المالك بابعاد 2500*3000 مم من ضلفتين مركب على إطارات من الألمنيوم ومستوفى جميع الإختبارات المطلوبة والسعر يشمل كافة مايلزم من ملحقات وإكسسوارات حسب جدولة الأبواب / والشبابيك وإعتماد المالك</t>
  </si>
  <si>
    <t>Sets</t>
  </si>
  <si>
    <t>8.1.2</t>
  </si>
  <si>
    <t>Supply and install (D2) 1100*2250 mm single leaf HPL high pressure laminated door on galvanized steel frame including complete accessories as per door schedule.</t>
  </si>
  <si>
    <t xml:space="preserve">توريد وتركيب باب رقائق زخرفية عالية الانضغاط (HPL) مدمجة بالراتنج الحراري ويركب على إطار من الحديد المجلفن نموذج (D2) من القطاعات المعتمدة من المالك بابعاد 1100*2250 مم على ان يكون من ضلفة واحدة وجميع الملحقات والإكسسوارات طبقا للمواصفات والمخططات </t>
  </si>
  <si>
    <t>8.1.3</t>
  </si>
  <si>
    <t>Supply and install (D3) 1100*2250 mm single leaf HPL high pressure laminated door on galvanized steel frame with louvers including complete accessories as per door schedule.</t>
  </si>
  <si>
    <t xml:space="preserve">توريد وتركيب باب رقائق زخرفية عالية الانضغاط (HPL) مدمجة بالراتنج الحراري ويركب على إطار من الحديد المجلفن نموذج (D3) من القطاعات المعتمدة من المالك بابعاد 1100*2250 مم على ان يكون من ضلفة واحدة مع فتحات التهوية وجميع الملحقات والإكسسوارات طبقا للمواصفات والمخططات </t>
  </si>
  <si>
    <t>8.1.4</t>
  </si>
  <si>
    <t>Supply and install (D4) 800*2250 mm single leaf HPL high pressure laminated door on galvanized steel frame including complete accessories as per door schedule.</t>
  </si>
  <si>
    <t xml:space="preserve">توريد وتركيب باب رقائق زخرفية عالية الانضغاط (HPL) مدمجة بالراتنج الحراري ويركب على إطار من الحديد المجلفن نموذج (D4) من القطاعات المعتمدة من المالك بابعاد 800*2250 مم على ان يكون من ضلفة واحدة وجميع الملحقات والإكسسوارات طبقا للمواصفات والمخططات </t>
  </si>
  <si>
    <t>8.1.5</t>
  </si>
  <si>
    <t xml:space="preserve">Supply and install (D4a) 750*2100 mm single leaf HPL high pressure laminated door on galvanized steel frame including complete accessories as per door schedule. (Toilets). </t>
  </si>
  <si>
    <t xml:space="preserve">توريد وتركيب باب للحمامات من رقائق زخرفية عالية الانضغاط (HPL) مدمجة بالراتنج الحراري ويركب على إطار من الحديد المجلفن نموذج (D4a) من القطاعات المعتمدة من المالك بابعاد 750*2100 مم على ان يكون من ضلفة واحدة وجميع الملحقات والإكسسوارات طبقا للمواصفات والمخططات </t>
  </si>
  <si>
    <t>8.1.6</t>
  </si>
  <si>
    <t>Supply and instal sliding door with double structure sand blast glass  6-12-6 mm (SD-1) 2500*6500 mm, based on aluminum frame, all will be fire rated 2 hr (fixed by hinges), manufacturer label shall pass the test requirements complete with accessories as per door schedule and material as approved by the Client (women prayer area)</t>
  </si>
  <si>
    <t>توريد وتركيب باب منزلق بمنطقة مصلى السيدات نموذج (SD-1) من زجاج مزدوج بسمك 6-12-6 مم  من القطاعات المعتمدة من المالك بابعاد 2500*6500 مم ويركب على إطار من الألمنيوم ومستوفى جميع الإختبارات المطلوبة والسعر يشمل كافة مايلزم من ملحقات وإكسسوارات لإنهاء الأعمال حسب المخططات والمواصفات</t>
  </si>
  <si>
    <t>8.1.7</t>
  </si>
  <si>
    <t>Supply and install (D7) 950*2250 mm single leaf HPL high pressure laminated door on galvanized steel frame with louvers including complete accessories as per door schedule. (For Wash Area building # 2)</t>
  </si>
  <si>
    <t>توريد وتركيب باب رقائق زخرفية عالية الانضغاط (HPL) مدمجة بالراتنج الحراري ويركب على إطار من الحديد المجلفن نموذج (D7) من القطاعات المعتمدة من المالك بابعاد 950*2250 مم على ان يكون من ضلفة واحدة وجميع الملحقات والإكسسوارات طبقا للمواصفات والمخططات (لمبنى رقم 2 الخاص بمنطقة الغسيل)</t>
  </si>
  <si>
    <t>8.1.8</t>
  </si>
  <si>
    <t>Supply and install (D6) 1500*2250 mm double leaf HPL high pressure laminated door on galvanized steel frame including complete accessories as per door schedule. (For Wash Area building # 2)</t>
  </si>
  <si>
    <t>توريد وتركيب باب رقائق زخرفية عالية الانضغاط (HPL) مدمجة بالراتنج الحراري ويركب على إطار من الحديد المجلفن نموذج (D6) من القطاعات المعتمدة من المالك بابعاد 1500*2250 مم على ان يكون من ضلفتين وجميع الملحقات والإكسسوارات طبقا للمواصفات والمخططات  (لمبنى رقم 2 الخاص بمنطقة الغسيل)</t>
  </si>
  <si>
    <t>8.1.9</t>
  </si>
  <si>
    <t>Supply and install (D5) 1000*2250 mm single leaf HPL high pressure laminated door on galvanized steel frame with louvers including complete accessories as per door schedule.(For Wash Area building # 2)</t>
  </si>
  <si>
    <t>توريد وتركيب باب رقائق زخرفية عالية الانضغاط (HPL) مدمجة بالراتنج الحراري ويركب على إطار من الحديد المجلفن نموذج (D5) من القطاعات المعتمدة من المالك بابعاد 1000*2250 مم على ان يكون من ضلفة واحدة وجميع الملحقات والإكسسوارات طبقا للمواصفات والمخططات  (لمبنى رقم 2 الخاص بمنطقة الغسيل)</t>
  </si>
  <si>
    <t>DIVISION 8 - DOORS &amp; WINDOWS (CONT'D)</t>
  </si>
  <si>
    <t>تكملة أعمال الأبواب والشبابيك</t>
  </si>
  <si>
    <t>WINDOWS</t>
  </si>
  <si>
    <t>الشبابيك</t>
  </si>
  <si>
    <t>8.2.1</t>
  </si>
  <si>
    <t>Supply and install facade of aluminum frame with structural glass double glazing 6-12-6 mm (CW1) 7550* 4800 mm fixed grey colour glass, manufacturer label shall pass the test requirements complete with accessories as per door schedule and material as approved by the Client (Prayer area)</t>
  </si>
  <si>
    <t>توريد وتركيب واجهات من نظام هياكل الألمنيوم مع زجاج مزدوج بسمك 6-12-6 مم لمنطقة المصلى نموذج (CW1) من القطاعات المعتمدة من المالك بابعاد 4800*7550 مم والزجاج يكون بنى اللون ومستوفى جميع الإختبارات المطلوبة والسعر يشمل كافة مايلزم من ملحقات وإكسسوارات لإنهاء الأعمال حسب المخططات والمواصفات</t>
  </si>
  <si>
    <t>8.2.2</t>
  </si>
  <si>
    <t>Supply and install facade of aluminum frame with structural glass double glazing 6-12-6 mm (CW2) 8000*5000 mm fixed grey color glass (door to be priced separately), manufacturer label shall pass the test requirements complete with accessories as per door schedule and material as approved by the Client (Main entrance)</t>
  </si>
  <si>
    <t>توريد وتركيب واجهات من نظام هياكل الألمنيوم مع زجاج مزدوج بسمك 6-12-6 مم للمدخل الرئيسى من اللون الرمادى نموذج (CW2) مزود بباب زجاجى (يجب أن يكون سعرالباب منفصلا) ويركب على إطارات من الألمنيوم من القطاعات المعتمدة من المالك بابعاد 5000*8000 مم ومستوفى جميع الإختبارات المطلوبة والسعر يشمل كافة مايلزم من ملحقات وإكسسوارات لإنهاء الأعمال حسب المخططات والمواصفات وتعليمات جهة الإشراف</t>
  </si>
  <si>
    <t>8.2.3</t>
  </si>
  <si>
    <t>Supply and install glass with double glazing 6-12-6mm (W3) 800*1200 mm gray color on aluminum frame , manufacturer label shall pass the test requirements complete with accessories as per door schedule and material as approved by the Client (Imam room, Washing/Ablution, Guard room)</t>
  </si>
  <si>
    <t>توريد وتركيب شباك زجاجى من زجاج مزدوج بسمك 6-12-6 مم لغرفة الإمام وغرفة الحارس ومنطقة الغسيل/ والوضوء ؛ من اللون الرمادى نموذج (W3) ويركب على إطارات من الألمنيوم من القطاعات المعتمدة من المالك بابعاد 800*1200 مم ومستوفى جميع الإختبارات المطلوبة والسعر يشمل كافة مايلزم من ملحقات وإكسسوارات لإنهاء الأعمال حسب المخططات والمواصفات وتعليمات جهة الإشراف</t>
  </si>
  <si>
    <t>8.2.4</t>
  </si>
  <si>
    <t>Supply and install glass with double glazing 6-12-6mm (W6) 1000*1200 mm gray color on aluminum frame , manufacturer label shall pass the test requirements complete with accessories as per door schedule and material as approved by the Client (Living/Kitchen)</t>
  </si>
  <si>
    <t>توريد وتركيب شباك زجاجى من زجاج مزدوج بسمك 6-12-6 مم لمنطقة المعيشة/المطبخ من اللون الرمادى نموذج (W6) ويركب على إطار من الألمنيوم من القطاعات المعتمدة من المالك بابعاد 1000*1200 مم ومستوفى جميع الإختبارات المطلوبة والسعر يشمل كافة مايلزم من ملحقات وإكسسوارات لإنهاء الأعمال حسب المخططات والمواصفات وتعليمات جهة الإشراف</t>
  </si>
  <si>
    <t>8.2.5</t>
  </si>
  <si>
    <t>Supply and install fixed glass window with double glazing 6-12-6mm (W7) 1000*1000 mm gray color on aluminum frame , manufacturer label shall pass the test requirements complete with accessories as per door schedule and material as approved by the Client (Imam area)</t>
  </si>
  <si>
    <t>توريد وتركيب شباك زجاجى ثابت من زجاج مزدوج بسمك 6-12-6 مم من اللون الرمادى نموذج (W7) ويركب على إطار من الألمنيوم من القطاعات المعتمدة من المالك بابعاد 1000*1000 مم ومستوفى جميع الإختبارات المطلوبة والسعر يشمل كافة مايلزم من ملحقات وإكسسوارات لإنهاء الأعمال حسب المخططات والمواصفات وتعليمات جهة الإشراف (منطقة الإمام)</t>
  </si>
  <si>
    <t>8.2.6</t>
  </si>
  <si>
    <t>Supply and install glass with double glazing 6-12-6mm (W5) 350*2000 mm gray color on aluminum frame, manufacturer label shall pass the test requirements complete with accessories as per door schedule and material as approved by the Client (For Wash Area building # 2)</t>
  </si>
  <si>
    <t>توريد وتركيب شباك زجاجى من زجاج مزدوج بسمك 6-12-6 مم من اللون الرمادى نموذج (W5) ويركب على إطارات من الألمنيوم من القطاعات المعتمدة من المالك بابعاد 350*2000 مم ومستوفى جميع الإختبارات المطلوبة والسعر يشمل كافة مايلزم من ملحقات وإكسسوارات لإنهاء الأعمال حسب المخططات والمواصفات وتعليمات جهة الإشراف (لمبنى رقم 2 الخاص بمنطقة الغسيل)</t>
  </si>
  <si>
    <t>DIVISION 9 - FINISHES</t>
  </si>
  <si>
    <t>القسم التاسع - اعمال التشطيبات</t>
  </si>
  <si>
    <t>Floor Finishes</t>
  </si>
  <si>
    <t>تشطيبات الأرضيات</t>
  </si>
  <si>
    <t>9.1.1</t>
  </si>
  <si>
    <t>Supply and install 600*600 mm granite tiles as per approved sample including screed and all other accessories to complete as shown in the drawings and specifications. (Main entrance, back entrance, corridors, management room &amp; imam room).</t>
  </si>
  <si>
    <t>توريد وتركيب أرضيات من الجرانيت نخب اول حسب العينة المعتمدة من المالك وبمقاس 600*600 مم ويشمل البند خرسانة السكريد شامل الإكسسوارات والملحقات وجميع ما يلزم لتنفيذ البند وفقا للمخططات والمواصفات (للمدخل الرئيسى ؛ المدخل الخلفى ؛ الممرات)</t>
  </si>
  <si>
    <t>9.1.1.1</t>
  </si>
  <si>
    <t>To Main entrance, back entrance, corridors and minaret</t>
  </si>
  <si>
    <t>للمدخل الرئيسى ؛ المدخل الخلفى ؛ الممرات والمنارة</t>
  </si>
  <si>
    <t>M²</t>
  </si>
  <si>
    <t>9.1.1.2</t>
  </si>
  <si>
    <t>To Steps (Threads &amp; Risers)</t>
  </si>
  <si>
    <t>لزوم درجات السلم الرأسى والأفقى (القائمة ؛ النائمة)</t>
  </si>
  <si>
    <t>9.1.2</t>
  </si>
  <si>
    <t>Supply and install 600*600 mm ceramic tiles as per approved sample including screed and all other accessories to complete as shown in the drawings and specifications. (Living / Ketchen, women entrance, corridors, guard room).</t>
  </si>
  <si>
    <t>توريد وتركيب أرضيات من السيراميك نخب اول حسب العينة المعتمدة من المالك وبمقاس 600*600 مم ويشمل البند خرسانة السكريد شامل الإكسسوارات والملحقات وجميع ما يلزم لتنفيذ البند وفقا للمخططات والمواصفات (للمعيشة/ المطبخ ؛ مدخل السيدات ؛ الممرات ؛ غرفة الحارس )</t>
  </si>
  <si>
    <t>9.1.2.1</t>
  </si>
  <si>
    <t>To Living / Ketchen, women entrance, corridors, guard room</t>
  </si>
  <si>
    <t xml:space="preserve">للمعيشة / المطبخ ؛ مدخل السيدات ؛ الممرات ؛ غرفة الحارس </t>
  </si>
  <si>
    <t>9.1.2.2</t>
  </si>
  <si>
    <t>DIVISION 9 - Floor Finishes (CONT'D)</t>
  </si>
  <si>
    <t xml:space="preserve">تكملة أعمال اتشطيبات </t>
  </si>
  <si>
    <t>9.1.3</t>
  </si>
  <si>
    <t>Supply and install 300*300 mm ceramic tiles as per approved sample including on mortat and all other accessories to complete as shown in the drawings and specifications. (To toilet-2).</t>
  </si>
  <si>
    <t>توريد وتركيب أرضيات من السيراميك نخب اول حسب العينة المعتمدة من المالك لزوم الحمام -2 وبمقاس 300*300 مم ويشمل البند المونة والإكسسوارات والملحقات وجميع ما يلزم لتنفيذ البند وفقا للمخططات والمواصفات</t>
  </si>
  <si>
    <t>9.1.4</t>
  </si>
  <si>
    <t>Supply and install Carpet including all accessories to complete as shown in the drawings and specification. Color and material is subject for Client approval. (To prayer hall).</t>
  </si>
  <si>
    <t xml:space="preserve">توريد وتركيب سجاد لصالة الصلاة شامل الإكسسوارات والملحقات وجميع ما يلزم لتنفيذ البند وفقا للمخططات والمواصفات كما أن اللون والمواد تخضع لإعتماد المالك </t>
  </si>
  <si>
    <t>9.1.5</t>
  </si>
  <si>
    <t>Supply and application of epoxy paint to trowelled concrete surfaces as per required level as shown in the drawings and specification. (Store room, Maintenance room, Elec / Mech. Room)</t>
  </si>
  <si>
    <t>توريد وتنفيذ تشطيبات أرضيات بدهان إيبوكسى على وجهين متعامدين فى أرضيات الداخلية (للمخزن ؛ غرفة الصيانة ؛غرفة الكهرباء/الميكانيكا) والبند يشمل كل ما يلزم لإنهاء الأعمال حسب الرسومات والمواصفات الفنية وتعليمات جهة الإشراف</t>
  </si>
  <si>
    <t>DIVISION 9 - FINISHES (CONT'D)</t>
  </si>
  <si>
    <t>تكملة أعمال التشطيبات</t>
  </si>
  <si>
    <t>9.1.6</t>
  </si>
  <si>
    <t>Supply and install 600*600 mm porcelain tiles as per approved sample including screed and all other accessories to complete as shown in the drawings and specifications. (To Prayer Hall)</t>
  </si>
  <si>
    <t xml:space="preserve">توريد وتركيب أرضيات من البورسلان نخب اول حسب العينة المعتمدة من المالك لزوم صالة الصلاة وبمقاس 600*600 مم ويشمل البند خرسانة السكريد شامل الإكسسوارات والملحقات وجميع ما يلزم لتنفيذ البند وفقا للمخططات والمواصفات  </t>
  </si>
  <si>
    <t>9.1.7</t>
  </si>
  <si>
    <t>Supply and install 300*300 mm ceramic tiles as per approved sample including screed and all other accessories to complete as shown in the drawings and specifications. (To Wash area, Lavatory area, Hallway, Toilet area, Store room).</t>
  </si>
  <si>
    <t xml:space="preserve">توريد وتركيب أرضيات من السيراميك نخب اول حسب العينة المعتمدة من المالك وبمقاس 300*300 مم ويشمل البند خرسانة السكريد شامل الإكسسوارات والملحقات وجميع ما يلزم لتنفيذ البند وفقا للمخططات والمواصفات لزوم (غرفة الغسيل ؛ منطقة المغاسل ؛ الردهات ؛ منطقة الحمامات ؛ غرفة المخزن) </t>
  </si>
  <si>
    <t>9.1.8</t>
  </si>
  <si>
    <t>Supply and install 600*600 mm terrazzo tiles as per approved sample including screed and all other accessories to complete as shown in the drawings and specifications.</t>
  </si>
  <si>
    <t>توريد وتركيب أرضيات من بلاط التيرازو نخب اول حسب العينة المعتمدة من المالك وبمقاس 600*600 مم ويشمل البند خرسانة السكريد شامل الإكسسوارات والملحقات وجميع ما يلزم لتنفيذ البند وفقا للمخططات والمواصفات</t>
  </si>
  <si>
    <t>9.1.9</t>
  </si>
  <si>
    <t>Supply and install anti -slip rubber hollow mat as per approved sample, all other accessories to complete as shown in the drawings and specifications.(To washing / lavatory area)</t>
  </si>
  <si>
    <t>توريد وتركيب حصيرة مفرغة من المطاط لمنع الإنزلاق فى أماكن الغسيل والوضوء ومنطقة الحمامات حسب العينة المعتمدة من المالك ويشمل البند الإكسسوارات والملحقات وجميع ما يلزم لتنفيذ البند وفقا للمخططات والمواصفات</t>
  </si>
  <si>
    <t>9.1.10</t>
  </si>
  <si>
    <t>Supply and install marble strip 30 mm thk, 150 mm wide Threshold and as per approved sample including all accessories to complete as shown in the drawings and specifications. (to Toilet -1, Toilet-2, Washing/Ablution).</t>
  </si>
  <si>
    <t xml:space="preserve">توريد وتركيب وزرة (برطاش) لأبواب الحمام-1؛ الحمام-2؛ منطقة الغسيل/ الوضوء من الرخام نخب اول حسب العينة المعتمدة من المالك وبسمك 30 مم وعرض 150 مم ويشمل البند على المونة والترويبة والإكسسوارات والملحقات وجميع ما يلزم لتنفيذ البند على أكمل وجه كما هو موضح بالمخططات والمواصفات </t>
  </si>
  <si>
    <t>Wall Finishes</t>
  </si>
  <si>
    <t>تشطيبات الحوائط</t>
  </si>
  <si>
    <t>9.2.1</t>
  </si>
  <si>
    <t>Application of 2 coats of acrylic paint at internal walls composed 1 coats primer and final coat on smooth plastered finish to conform with specification requirements to complete the works.</t>
  </si>
  <si>
    <t xml:space="preserve">توريد وعمل وجهين من دهانات البلاستيك الأكريليكية ويكون الدهان مطفي للجدران الداخلية من النوع القابل للغسيل والمقاوم للبقع ويشمل البند إعداد السطوح ومعالجتها لتكون مناسبة للتنفيذ وعمل طبقة من الأساس والمعجون بمواد معتمدة ويجب على المقاول إحضار عينات لاختيار اللون والنوع وكل مايلزم لتنفيذ العمل طبقاً للمواصفات  </t>
  </si>
  <si>
    <t>9.2.2</t>
  </si>
  <si>
    <t>Application of marble chips (exposed aggregate) at external walls on rough plastered wall to conform with specification requirements to complete the works as per drawing. Color and material is subject for Client approval. (Note: rough plaster to be included in this item)</t>
  </si>
  <si>
    <t>توريد وعمل طبقة من التشطيبات (كسر رخام) للجدران الخارجية حسب النوع المعتمد من المالك وتشمل اللياسة الخشنة حسب الرسومات والمواصفات والسعر يشمل تجهيز الأسطح والسقالات وعمل الفواصل حيث يلزم وكذلك كافه الإكسسوارات اللازمه لإنهاء الأعمال طبقا للمواصفات (ملاحظة: اللياسة الخشنة محمل على هذا البند)</t>
  </si>
  <si>
    <t>9.2.3</t>
  </si>
  <si>
    <t>Supply and install 300*300 mm ceramic tiles as per approved sample, on cement mortar and all other accessories to complete as shown in the drawings and specifications. (To Wash room).</t>
  </si>
  <si>
    <t>توريد وتركيب حوائط غرفة الغسيل من السيراميك نخب اول مقاس (300*300 مم) حسب النوع المعتمد من المالك ويشمل البند على المونة والترويبة والإكسسوارات وجميع ما يلزم لتنفيذ البند على أكمل وجه كما هو موضح بالمخططات والمواصفات</t>
  </si>
  <si>
    <t>9.2.4</t>
  </si>
  <si>
    <t>Plastering to internal walls and columns min. 20 mm thick with cement mortar of specified grade including mesh, corner beads, angle beads, CE bonds to complete the work as per drawing &amp; specification. (Note: External wall plastering to be priced under external wall finshes i.e. marble chips)</t>
  </si>
  <si>
    <t>توريد وعمل لياسة داخلية للحوائط والأعمدة بسمك 20 مم طبقا للمواصفات والسعر يشمل جميع المواد واكسسوارات اللياسة والمعالجة والسقالات والمونه ومواد الربط جميع ما يلزم لتنفيذ البند على أكمل وجه كما هو موضح بالمخططات والمواصفات (ملاحظة: بالنسبة الى اللياسة الخارجية ستكون محملة على تشطيبات الحوائط بمادة كسر رخام)</t>
  </si>
  <si>
    <t>9.2.5</t>
  </si>
  <si>
    <t>Supply and install arabic gypsum pained cladding with pattern as approved by the Client including all necessary fixings, painting to complete all as per drawings and specifications. (ref. dwg. AR-802 Elev. 01)</t>
  </si>
  <si>
    <t>توريد وتركيب نظام التكسيات  من الجبس العربى المدهون حسب النمط المعتمد من المالك كما يشتمل على الدهانات وجميع الملحقات والتركيبات والتثبيت وجميع ما يلزم وفقا للمخططات والمواصفات (مرجع.dwg. AR-802 Elev. 01)</t>
  </si>
  <si>
    <t>9.2.6</t>
  </si>
  <si>
    <t>Supply and install wall paper with islamic 3D decorative shape similar to the arabic gypsum decorative to cover the wall and the door with continuosly shape then cut at the door boundary and as per approved sample including all accessories to complete as shown in the drawing and specification</t>
  </si>
  <si>
    <t xml:space="preserve">توريد وتركيب ورق حائط على النمط الإسلامى بشكل جمالى ثلاثى الأبعاد مشابه لشكل الجبس العربى حسب العينة المعتمدة من المالك كما يجب أن يكون هذا الشكل متصل على الحائط مع باب الإمام شامل جميع الإكسسوارات والملحقات وأدوات التثبيت وجميع ما يلزم لتنفيذ البند على أكمل وجه كما هو موضح بالمخططات والمواصفات </t>
  </si>
  <si>
    <t>CEILING FINISHES</t>
  </si>
  <si>
    <t>تشطيبات الأسقف</t>
  </si>
  <si>
    <t>9.3.1</t>
  </si>
  <si>
    <t>Application of 2 coats of acrylic paint underside roof composed 1 coats primer and final coat on smooth plastered finish to conform with specification requirements to complete the works. (To Maintenance room, store room, Elec. / Mech. Room, Main entrance, Lobby)</t>
  </si>
  <si>
    <t xml:space="preserve">توريد وعمل وجهين من دهانات البلاستيك الأكريليكية ويكون الدهان مطفي للأسقف من النوع القابل للغسيل والمقاوم للبقع ويشمل البند إعداد السطوح ومعالجتها لتكون مناسبة للتنفيذ وعمل طبقة من الأساس والمعجون بمواد معتمدة ويجب على المقاول إحضار عينات لاختيار اللون والنوع وكل مايلزم لتنفيذ العمل طبقاً للمواصفات (لغرفة الصيانة ؛ غرفة المخزن ؛ غرفة الكهرباء/ الميكانيكا ؛ المدخل الرئيسى ؛ البهو) </t>
  </si>
  <si>
    <t>9.3.2</t>
  </si>
  <si>
    <t>Supply and install 12 mm thk, moisture resistant gypsum board ceiling on galvanized steel grid and material as approved by the Client including frames supports, access openings and all other accessories to complete as shown in the drawings &amp; specification. (Toilet-1, Toilet-2, Wash, Washing/Ablution area)</t>
  </si>
  <si>
    <t>توريد وتركيب اسقف جبسية مقاومة للرطوبة وتكون بسمك 12 مم حسب ما سيتم إعتماده من قبل المالك والسعر يشمل التوريد والتركيب ونظام التعليق المعتمد مع عمل زوايا حول الحوائط مع عمل الفتحات اللازمة للأعمال الكهربائية والميكانيكية وجميع ما يلزم لتنفيذ البند على أكمل وجه كما هو موضح بالمخططات والمواصفات (الحمام-1؛ الحمام-2 ؛ الغسيل ؛ منطقة الغسيل/ الوضوء)</t>
  </si>
  <si>
    <t>9.3.3</t>
  </si>
  <si>
    <t xml:space="preserve">Supply and install 12 mm thk, gupsum board ceiling on exposed suspension sytem and material as approved by the Client including frames supports, access openings and all other accessories to complete as shown in the drawings &amp; specification. </t>
  </si>
  <si>
    <t>توريد وتركيب اسقف جبسية بسمك 12 مم حسب ما سيتم إعتماده من قبل المالك والسعر يشمل التوريد والتركيب ونظام التعليق المعتمد مع عمل زوايا حول الحوائط مع عمل الفتحات اللازمة للأعمال الكهربائية والميكانيكية وجميع ما يلزم لتنفيذ البند على أكمل وجه كما هو موضح بالمخططات والمواصفات</t>
  </si>
  <si>
    <t>9.3.4</t>
  </si>
  <si>
    <t>Supply and install 600*600 mm moisture resistant gypsum board ceiling tiles on galvanized steel grid and material as approved by the Client including frames supports, access openings and all other accessories to complete as shown in the drawings &amp; specification. (To Wash area)</t>
  </si>
  <si>
    <t>توريد وتركيب بلاطات جبسية مقاومة للرطوبة للسقف بأبعاد 600 * 600 مم حسب ما سيتم إعتماده من قبل المالك والسعر يشمل التوريد والتركيب ونظام التعليق المعتمد مع عمل زوايا حول الحوائط مع عمل الفتحات اللازمة للأعمال الكهربائية والميكانيكية وجميع ما يلزم لتنفيذ البند على أكمل وجه كما هو موضح بالمخططات والمواصفات (لمنطة المصلى ؛ غرفة الإدارة غرفة الغسيل ؛ غرفة الإمام ؛ لمنطقة المحراب ؛ غرفة الخارس ؛ الممرات)</t>
  </si>
  <si>
    <t xml:space="preserve">DIVISION 10 - SPECIALTIES </t>
  </si>
  <si>
    <t>القسم العاشر: الأعمال الخاصة</t>
  </si>
  <si>
    <t>Provide and install soap dispenser as per approved material sample including all accessories to complete as shown in the drawings &amp; specification</t>
  </si>
  <si>
    <t>توريد وتركيب صبانة للصابون السائل وحسب العينة المعتمدة والإكسسوارات وعناصر التثبيت وجميع ما يلزم لتنفيذ البند على أكمل وجه كما هو موضح بالمخططات والمواصفات</t>
  </si>
  <si>
    <t>Provide and install mirror, Size 1000*900 mm as per approved sample including frames, backing and all accessories to complete as shown in the drawings &amp; specification</t>
  </si>
  <si>
    <t>توريد وتركيب مرايا بمقاس 900*1000 مم حسب العينة المعتمدة من المالك والسعر يشمل الإطار ومواد الحشو والإكسسوارات وعناصر التثبيت وجميع ما يلزم طبقا للمخططات والمواصفات</t>
  </si>
  <si>
    <t>Provide and install mirror, Size 500*900 mm as per approved sample including frames, backing and all accessories to complete as shown in the drawings &amp; specification</t>
  </si>
  <si>
    <t>توريد وتركيب مرايا بمقاس 500*900 مم حسب العينة المعتمدة من المالك والسعر يشمل الإطار ومواد الحشو والإكسسوارات وعناصر التثبيت وجميع ما يلزم طبقا للمخططات والمواصفات</t>
  </si>
  <si>
    <t>Provide and install mirror, Size 2000*900 mm as per approved sample including frames, backing and all accessories to complete as shown in the drawings &amp; specification</t>
  </si>
  <si>
    <t>توريد وتركيب مرايا بمقاس 900*2000 مم حسب العينة المعتمدة من المالك والسعر يشمل الإطار ومواد الحشو والإكسسوارات وعناصر التثبيت وجميع ما يلزم طبقا للمخططات والمواصفات</t>
  </si>
  <si>
    <t>Provide and install mirror, Size 3200*900 mm as per approved sample including frames, backing and all accessories to complete as shown in the drawings &amp; specification</t>
  </si>
  <si>
    <t>توريد وتركيب مرايا بمقاس 900*3200 مم حسب العينة المعتمدة من المالك والسعر يشمل الإطار ومواد الحشو والإكسسوارات وعناصر التثبيت وجميع ما يلزم طبقا للمخططات والمواصفات</t>
  </si>
  <si>
    <t>DIVISION 10 - SPECIALTIES (CONT'D)</t>
  </si>
  <si>
    <t>تكملة القسم العاشر: الأعمال الخاصة</t>
  </si>
  <si>
    <t>Provide and install toliet tissue holder , surface mounted, satin finish stainless steel as per approved sample including accessories to complete as shown in the drawings &amp; specification</t>
  </si>
  <si>
    <t>توريد وتركيب حامل مناديل من الاستانلس ستيل حسب العينة المعتمدة من المالك مع تركيب سطحي شامل الإكسسوارات وعناصر التثبيت وجميع ما يلزم لتنفيذ البند على أكمل وجه كما هو موضح بالمخططات والمواصفات</t>
  </si>
  <si>
    <t>Provide and install toilet hook strip, wall mounted, satin finish stainless steel as per approved sample including accessories to complete as shown in the drawings &amp; specification</t>
  </si>
  <si>
    <t>توريد وتركيب علاقات الملابس حسب العينات المعتمدة من قبل المالك شامل الإكسسوارات وأدوات التثبيت وجميع ما يلزم لتنفيذ البند على أكمل وجه كما هو موضح بالمخططات والمواصفات</t>
  </si>
  <si>
    <t>Supply and install wall mounted cabinets to pantry area with doors including top counter and flash part, handle, hinges, latches and other accessories to complete all as per manufacture detail specification and drawing with approval by the Engineer (ref. dwg,AR-705)</t>
  </si>
  <si>
    <t>توريد وتركيب كبائن سفلية علوية وأرفف للتخزين تثبت بالجدران بأبعاد كما هو موضح بالمخططات وحسب العينة المعتمدة من المالك شاملة الكاونتر والجزء العلوى كما يشمل جميع الأبواب والمفاتيح والأقفال والإكسسوارات وعناصر التثبيت وجميع ما يلزم لتنفيذ البند على أكمل وجه وفقا  للمواصفات وكما هو موضح بالمخططات مرجع (ref.dwg,AR-705)</t>
  </si>
  <si>
    <t>10.10</t>
  </si>
  <si>
    <t>Provide and install Quran shelf as per approved sample including accessories to complete as shown in the drawings &amp; specification</t>
  </si>
  <si>
    <t>توريد وتركيب أرفف للقرآن الكريم حسب العينات المعتمدة من قبل المالك شامل الإكسسوارات وأدوات التثبيت وجميع ما يلزم لتنفيذ البند على أكمل وجه كما هو موضح بالمخططات والمواصفات</t>
  </si>
  <si>
    <t>Provide and install shoe rack as per approved sample including accessories to complete as shown in the drawings &amp; specification</t>
  </si>
  <si>
    <t>توريد وتركيب أرفف للأحذية حسب العينات المعتمدة من قبل المالك شامل الإكسسوارات وأدوات التثبيت وجميع ما يلزم لتنفيذ البند على أكمل وجه كما هو موضح بالمخططات والمواصفات</t>
  </si>
  <si>
    <t>10.12</t>
  </si>
  <si>
    <t>Provide and install horizontal &amp; vertical grab rail, surface mounted, satin finish stainless steel as per approved sample including accessories to complete as shown in the drawings &amp; specification (for Disable Toilet)</t>
  </si>
  <si>
    <t>توريد وتركيب قضبان ساندة لزوم حمام المعاقين وتكون رأسية وأفقية من الاستانلس ستيل حسب العينة المعتمدة من المالك مع تركيب سطحي شامل الإكسسوارات وعناصر التثبيت وجميع ما يلزم لتنفيذ البند على أكمل وجه كما هو موضح بالمخططات والمواصفات</t>
  </si>
  <si>
    <t>Supply, install and commission of steel portable cabins sandwich  insulated type , size 12*4.5 m made up of approved quality steel sections/ frame, consisting of two room, service kitchen and toilet equipped with electromechanical works, insulation, finishes and ready to use as a guard and control room with HVAC with connecting to the utilities network, including all required civil works and paints and all other accessories, and WPC facade to complete all as per drawing, specification, manufacture instructions and client approval.</t>
  </si>
  <si>
    <t>توريد وتركيب وجاهزية التشغيل لكرفان معزول بمقاس12*4.5 . م ومصنوع من قطاعات معدنية وإطارات ذات جودة معتمدة وهو عبارة عن غرفتين مع الحمام ومطبخ خدمة .مجهزة بجميع الأعمال الإلكتروميكانيكية والعزل والتشطيبات المطلوبة وجاهزة للاستخدام كغرفة للحراسة والتحكم شامل البند على المكيفٌ مع التوصيلٌ مع شبكة المرافق كما يشمل جميع الأعمال المدنية والدهانات والإكسسوارات المطلوبة و واجهات مصنوعة من مادة WPC وفقا للمخططات والمواصفات والجهة الصانعة وإعتماد المالك</t>
  </si>
  <si>
    <t>Supply, install and commission of steel portable cabins  insulated type, size 12*4.5 m made up of approved quality steel sections/ frame, consisting of one meeting room equipped with electromechanical works, insulation, finishes and ready to use as a guard and control room with HVAC with connecting to the utilities network, including all required civil works and paints and all other accessories, and WPC faceade to complete all as per drawing, specification, manufacture instructions and client approval.</t>
  </si>
  <si>
    <t>توريد وتركيب وجاهزية التشغيل لكرفان معدني ىمعزول بمقاس12*4.5 . م ومصنوع من قطاعات معدنية وإطارات ذات جودة معتمدة وهو عبارة عن غرفة إجتماعات بجميع الأعمال الإلكتروميكانيكية والعزل والتشطيبات المطلوبة وجاهزة للاستخدام كغرفة للحراسة والتحكم شامل البند على المكيفٌ مع التوصيلٌ مع شبكة المرافق كما يشمل جميع الأعمال المدنية والدهانات والإكسسوارات المطلوبة وواجهات مصنوعة من مادة WPC وفقا للمخططات والمواصفات والجهة الصانعة وإعتماد المالك.</t>
  </si>
  <si>
    <t>DIVISION 15- MECHANICAL  WORKS</t>
  </si>
  <si>
    <t>القسم الخامس عشر - الأعمال الميكانيكية</t>
  </si>
  <si>
    <t>WATER SUPPLY SYSTEM</t>
  </si>
  <si>
    <t>نظام التغذية بالمياه</t>
  </si>
  <si>
    <t>15.1.1</t>
  </si>
  <si>
    <t>Supply and installation of HDPE  PE 100 PN16 pipes, for  cold water supply piping system (underground) complete all as per drawings &amp; specification.</t>
  </si>
  <si>
    <t>توريد وتركيب مواسير المياه الباردة لنظام التغذية بالمياه (تحت الأرض) من البولي إيثيلين عالي الكثافة HDPE PE 100 PN16  طبقا للمخططات والمواصفات</t>
  </si>
  <si>
    <t>15.1.1.1.1</t>
  </si>
  <si>
    <t>110 mm Ø</t>
  </si>
  <si>
    <t xml:space="preserve">قطر 110 مم   </t>
  </si>
  <si>
    <t>15.1.1.1.2</t>
  </si>
  <si>
    <t>90 mm Ø</t>
  </si>
  <si>
    <t xml:space="preserve">قطر 90 مم   </t>
  </si>
  <si>
    <t>15.1.1.1.3</t>
  </si>
  <si>
    <t>63 mm Ø</t>
  </si>
  <si>
    <t xml:space="preserve">قطر 63 مم   </t>
  </si>
  <si>
    <t>15.1.1.1.4</t>
  </si>
  <si>
    <t>50 mm Ø</t>
  </si>
  <si>
    <t xml:space="preserve">قطر 50 مم   </t>
  </si>
  <si>
    <t>WATER SUPPLY SYSTEM (CONT'D)</t>
  </si>
  <si>
    <t>تكملة نظام التغذية بالمياه</t>
  </si>
  <si>
    <t>15.1.2</t>
  </si>
  <si>
    <t>Supply and install Directly Buried Gate valve complete as specified complete all as per drawings &amp; specification.</t>
  </si>
  <si>
    <t>توريد وتركيب صمامات البوابة المدفونة كاملة طبقا للمخططات والمواصفات</t>
  </si>
  <si>
    <t>15.1.2.1</t>
  </si>
  <si>
    <t>15.1.2.2</t>
  </si>
  <si>
    <t>15.1.2.3</t>
  </si>
  <si>
    <t>15.1.2.4</t>
  </si>
  <si>
    <t>15.1.3</t>
  </si>
  <si>
    <t>Supply and install valve box complete as specified complete all as per drawings &amp; specification.</t>
  </si>
  <si>
    <t>توريد وتركيب صندوق صمامات كاملة طبقا للمخططات والمواصفات</t>
  </si>
  <si>
    <t>15.1.3.1</t>
  </si>
  <si>
    <t>Valve box</t>
  </si>
  <si>
    <t>صندوق صمامات</t>
  </si>
  <si>
    <t>15.1.5</t>
  </si>
  <si>
    <t>Supply and installation of cold, hot and thermally insulated polypropylene water pipes (PPR SDR 7.4 DIN 8077/78) All necessary equipment including gate or angle valves, accessories, fittings, air vent valve and water hammer arresters according to plans and specifications</t>
  </si>
  <si>
    <r>
      <t xml:space="preserve">توريد وتركيب مواسير المياه الباردة والساخنة والمعزولة حراريا </t>
    </r>
    <r>
      <rPr>
        <sz val="10"/>
        <rFont val="Arial"/>
        <family val="2"/>
      </rPr>
      <t>بولى بروبلين</t>
    </r>
    <r>
      <rPr>
        <sz val="10"/>
        <color theme="1"/>
        <rFont val="Arial"/>
        <family val="2"/>
      </rPr>
      <t xml:space="preserve"> ( PPR SDR 7.4 DIN 8077/78) كل التجهيزات اللازمة بما في ذلك صمامات البوابة أو الزاوية والإكسسوارات والتركيبات ومحبس تنفيس الهواء ومانعات المطرقة المائية طبقا للمخططات والمواصفات</t>
    </r>
  </si>
  <si>
    <t>15.1.5.1</t>
  </si>
  <si>
    <t xml:space="preserve"> مواسير بقطر 90 مم   </t>
  </si>
  <si>
    <t>15.1.5.2</t>
  </si>
  <si>
    <t>75 mm Ø</t>
  </si>
  <si>
    <t xml:space="preserve"> مواسير بقطر75 مم   </t>
  </si>
  <si>
    <t>15.1.5.3</t>
  </si>
  <si>
    <t xml:space="preserve"> مواسير بقطر 63 مم   </t>
  </si>
  <si>
    <t>15.1.5.4</t>
  </si>
  <si>
    <t xml:space="preserve"> مواسير بقطر 50 مم   </t>
  </si>
  <si>
    <t>15.1.5.5</t>
  </si>
  <si>
    <t>40 mm Ø</t>
  </si>
  <si>
    <t xml:space="preserve"> مواسير بقطر 40 مم   </t>
  </si>
  <si>
    <t>15.1.5.6</t>
  </si>
  <si>
    <t>32 mm Ø</t>
  </si>
  <si>
    <t xml:space="preserve"> مواسير بقطر 32 مم   </t>
  </si>
  <si>
    <t>15.1.5.7</t>
  </si>
  <si>
    <t>20 mm Ø</t>
  </si>
  <si>
    <t xml:space="preserve"> مواسير بقطر 20 مم   </t>
  </si>
  <si>
    <t>15.1.6</t>
  </si>
  <si>
    <t>Supply and install electric water heater (EWH-1) Horizontal type, 80 Liters, SASO certified, complete with mounting bracket, angle valves and all other accessories.</t>
  </si>
  <si>
    <t>توريد وتركيب وإختبار سخانات المياه الكهربائية مرجع  (EWH-1) بسعة 80 لتر بحيث تكون مناسبة للتركيب الأفقى ومعتمد من الهيئة السعودية للمواصفات والمقاييس (ساسو) شامل المواسير المرنة وصمامات الزاوية والإكسسوارات وعناصر التثبيت وكل مايلزم لانهاء العمل على الوجه الأكمل طبقا للمخططات والمواصفات</t>
  </si>
  <si>
    <t>15.1.7</t>
  </si>
  <si>
    <t>Supply and install electric water heater (EWH-2) Horizontal type, 30 Liters, SASO  certified, complete with mounting bracket, angle valves and all other accessories.</t>
  </si>
  <si>
    <t>توريد وتركيب وإختبار سخانات المياه الكهربائية مرجع (EWH-2) بسعة 30 لتر بحيث تكون مناسبة للتركيب الأفقى ومعتمد من الهيئة السعودية للمواصفات والمقاييس (ساسو) شامل المواسير المرنة وصمامات الزاوية والإكسسوارات وعناصر التثبيت وكل مايلزم لانهاء العمل على الوجه الأكمل طبقا للمخططات والمواصفات</t>
  </si>
  <si>
    <t>15.1.8</t>
  </si>
  <si>
    <t>Supply, install Booster vertical multistage , fully stainless steel  pump set, 3 pumps, 2 duty- 1 standby,  each 50 gpm, 4 bar Head , 220v-1P-60hz, complete with valves, control panel, pressure switch, gauges, pipe headers, expansion tank ,Dry run protection,float switch,complete with testing and commisioning and all other required accessories to put the system in automatic operation.</t>
  </si>
  <si>
    <t xml:space="preserve">توريد وتركيب وإختبار وجاهزية التشغيل لمجموعة مضخات المياة من النوع الرأسى متعدد المراحل وذلك بعدد ثلاث مضخات (إثنين تعمل والأخرى احتياطية) بمعدل تصريف 50 جالون/ دقيقة لكل مضخة وترفع لضغط مياة 4 بار ؛ (220) فولت ؛ 1 فاز شاملة الملحقات ومانعات الإهتزاز ولوحة التحكم والمحابس ومقابض الضغط وخزانات التمديد ومواسير السحب والطرق والوصلات الأنبوبية وعداد لقياس ضغط المياة والإختبار وجاهزية التشغيل وجميع الملحقات الأخرى المطلوبة لوضع النظام ليعمل أوتوماتيكيا   </t>
  </si>
  <si>
    <t>Set</t>
  </si>
  <si>
    <t>FIRE PROTECTION SYSTEM</t>
  </si>
  <si>
    <t>نظام الوقاية من الحريق</t>
  </si>
  <si>
    <t>15.2.1</t>
  </si>
  <si>
    <t>Supply, install, testing, and commisioning of HDPE pipes for fire protection system (underground) complete with fittings, warning tape, excavation, thrust blocks, backfilling, washing, flushing and all other accessories as per drawings and specifications and authorities requirements and engineer on site</t>
  </si>
  <si>
    <t>توريد وتركيب وتشغيل وإختبارمواسير نظام الوقاية من الحريق (تحت الأرض) من مادة HDPE شاملا جميع التجهيزات اللازمة بما في ذلك الاكسسوارات والأشرطة التحذيرية والحفر وبلوكات الدفع والتثبيت الخرسانية والردم والغسيل والتدفق وكل مايلزم لانهاء العمل على الوجه الأكمل طبقا للمخططات والمواصفات ومتطلبات الجهات ذات العلاقة والمهندس بالموقع</t>
  </si>
  <si>
    <t>15.2.1.1</t>
  </si>
  <si>
    <t>80 mm Ø</t>
  </si>
  <si>
    <t>مواسير بقطر 80 مم</t>
  </si>
  <si>
    <t>15.2.2</t>
  </si>
  <si>
    <t>Supply, install, testing, and commisioning of nozzles for fire protection system complete with all the accessories and all the required works as per drawings and specifications and authorities requirements and engineer on site</t>
  </si>
  <si>
    <t>توريد وتركيب وتشغيل وإختبارفوهات للمواسيرشاملا جميع التجهيزات اللازمة بما في ذلك الاكسسوارات وكل مايلزم لانهاء العمل على الوجه الأكمل طبقا للمخططات والمواصفات ومتطلبات الجهات ذات العلاقة والمهندس بالموقع</t>
  </si>
  <si>
    <t>Nos</t>
  </si>
  <si>
    <t>15.2.3</t>
  </si>
  <si>
    <t>Supply, install, testing, and commisioning of bladder type foam tank 405 liter capacity complete with fittings and accessories as per drawings and specifications and authorities requirements and engineer on site</t>
  </si>
  <si>
    <t>توريد وتركيب وتشغيل وإختبارخزان الفوم بسعة 405 لتر شاملا كافة التركيبات والاكسسوارات وكل مايلزم لانهاء العمل على الوجه الأكمل طبقا للمخططات والمواصفات ومتطلبات الجهات ذات العلاقة والمهندس بالموقع</t>
  </si>
  <si>
    <t>15.2.4</t>
  </si>
  <si>
    <t>Supply, install, test and commission Factory-assembled and -tested diesel pump set, complete with supports, gate valves, check valves, foot valve, float switch, float valve, gauges, strainers, sensors, control panel, controls, truck filling connection with cap, vent goose neck for water tank and all other necessary accessories, cabling &amp; wiring from Control panel to motors &amp; controls as per drawings and specifications.</t>
  </si>
  <si>
    <t>توريد وتركيب وتشغيل وإختبار وضمان مجموعة مضخات ديزل مجمعة ومختبرًه في المصنع ؛ بالاضافة الى جميع أعمال المواسير في موقع المضخة  وتكون كاملة مع الدعامات وصمامات البوابة وصمامات عدم الرجوع وصمام القدم ومفتاح العوامة وصمام العوامة والعدادات والمصافي وأجهزة الاستشعار ولوحة التحكم وأجهزة التحكم ؛ ووصلة الملئ فى السيارات والوصلة الخاصة بها وجميع الملحقات الضرورية الأخرى وقطع التركيبات والكابلات والأسلاك من لوحة التحكم إلى المواتير وأجهزة التحكم طبقا للرسومات والمواصفات الفنية</t>
  </si>
  <si>
    <t>Q:1346 L/m; H: 85 m per each pump (1duty+1Standby)</t>
  </si>
  <si>
    <t>تدفق 1346 لتر/الدقيقة وضغط 85 متر لكل مضخة (واحدة تعمل + واحدة إحتياطية)</t>
  </si>
  <si>
    <t>15.2.5</t>
  </si>
  <si>
    <t>Connecting to the source network including pipes, valve box, fittings and accessories and all the required works as per drawings and specifications and authorities requirements and engineer on site</t>
  </si>
  <si>
    <t>التوصيل للمصدر بما في ذلك المواسير وغرف المحابس والتركيبات والاكسسوارات وكل مايلزم لانهاء العمل على الوجه الأكمل طبقا للمخططات والمواصفات ومتطلبات الجهات ذات العلاقة والمهندس بالموقع</t>
  </si>
  <si>
    <t>Portable dry powder(ABC) fire extinguisher 6 Kg capacity ,fixed to wall, including all required supports and brackets.</t>
  </si>
  <si>
    <t xml:space="preserve">طفاية حريق محمولة مرجع (ABC) من النوع المعلق بالحائط بوزن 6 كجم مع بودرة الإطفاء الجافة والبند يشامل أدوات التعليق والإطارات وكل ما يلزم   </t>
  </si>
  <si>
    <t>SEWER AND DRAINAGE SYSTEM</t>
  </si>
  <si>
    <t>اعمال الصرف الصحى</t>
  </si>
  <si>
    <t>15.3.1</t>
  </si>
  <si>
    <t>Supply and installation of GRP pipes, for sewerage piping system (underground) as specified on drawings and specifications</t>
  </si>
  <si>
    <t>توريد وتركيب مواسير المياه لنظام الصرف الصحي (تحت الأرض) من GRP طبقا للمخططات والمواصفات</t>
  </si>
  <si>
    <t>15.3.1.1</t>
  </si>
  <si>
    <t>150 mm Ø</t>
  </si>
  <si>
    <t xml:space="preserve">قطر 150 مم   </t>
  </si>
  <si>
    <t>15.3.2</t>
  </si>
  <si>
    <t>Supply and installation of Inspection chamber with cover and all other accessories as per specification and drawings.</t>
  </si>
  <si>
    <t>توريد وتركيب غرفة التفتيش لأعمال الصرف مع أغطية وجميع الإكسسوارات والتركيبات طبقا للمخططات والمواصفات</t>
  </si>
  <si>
    <t>15.3.3</t>
  </si>
  <si>
    <t>Supply and installation of manhole with cover and all other accessories as per specification and drawings.</t>
  </si>
  <si>
    <t>توريد وتركيب مطابق لأعمال الصرف كاملة طبقا للمخططات والمواصفات</t>
  </si>
  <si>
    <t>15.3.5</t>
  </si>
  <si>
    <t xml:space="preserve">Supply and installation of uPVC pipes, schedule 40 for sewage  ,drainage piping system and vent piping system, complete with push fittings with rubber gasket and hanger,supports, warning tape, excavation, backfilling,thrust blocks,Clean Outs(both ceiling and floor types) and all other accessories as per drawings. </t>
  </si>
  <si>
    <t>توريد وتركيب مواسير من النوع (UPVC) جدول 40 شاملا الوصلات وعمل الميول اللازمة والحفر والردم والأشرطة التحزيرية والفرشة وطبات التسليك الأرضية مع الجوانات المطاطية والإكسسوارات والتركيبات طبقا للمخططات والمواصفات</t>
  </si>
  <si>
    <t>15.3.5.1</t>
  </si>
  <si>
    <t>6" Ø</t>
  </si>
  <si>
    <t xml:space="preserve"> مواسير بقطر 6 بوصة  </t>
  </si>
  <si>
    <t>15.3.5.2</t>
  </si>
  <si>
    <t>4" Ø</t>
  </si>
  <si>
    <t xml:space="preserve"> مواسير بقطر 4 بوصة  </t>
  </si>
  <si>
    <t>15.3.5.3</t>
  </si>
  <si>
    <t>3" Ø</t>
  </si>
  <si>
    <t xml:space="preserve"> مواسير بقطر 3 بوصة  </t>
  </si>
  <si>
    <t>15.3.5.4</t>
  </si>
  <si>
    <t>2" Ø</t>
  </si>
  <si>
    <t xml:space="preserve"> مواسير بقطر 2 بوصة  </t>
  </si>
  <si>
    <t>SEWER AND DRAINAGE SYSTEM (CONT'D)</t>
  </si>
  <si>
    <t>تكملة اعمال الصرف الصحى</t>
  </si>
  <si>
    <t>15.3.6</t>
  </si>
  <si>
    <t xml:space="preserve">Supply and installation of uPVC pipes, schedule 80 for sewage / waste pressure piping system, complete with push fittings with rubber gasket and accessories, warning tape, excavation, backfilling,thrust blocks,FCO, CO and all other accessories as per drawings and specification </t>
  </si>
  <si>
    <t>توريد وتركيب مواسير من النوع (uPVC) جدول 80 لزوم نظام مواسير الضغط للصرف / والنفايات شاملا الوصلات وعمل الميول اللازمة والحفر والردم والأشرطة التحزيرية والفرشة وطبات التسليك الأرضية وفتحات الغسيل مع الجوانات المطاطية والإكسسوارات والتركيبات طبقا للمخططات والمواصفات</t>
  </si>
  <si>
    <t>15.3.6.1</t>
  </si>
  <si>
    <t>15.3.7</t>
  </si>
  <si>
    <t>Supply and install Floor drain (FD) with architectural floor finish cover and as per specs and drawings.</t>
  </si>
  <si>
    <t xml:space="preserve">توريد وتركيب فتحة تصريف (بالوعة صرف)(FD)  مع غطاء من الستانلس ستيل رقم 316 طبقاً للمخططات والمواصفات الفنية   </t>
  </si>
  <si>
    <t>15.3.8</t>
  </si>
  <si>
    <t>Supply and install Roof drain (RD) dome type with HDPE SDR 11 down and horizontal riser pipe including,cast brass down spoutm fittings supporting, testing and other accessories, 4" Ø  as per specs and drawings.</t>
  </si>
  <si>
    <t>فتحات (بالوعة صرف) R.D بقطر 4 بوصة على شكل قبة بالسطح مع ماسورة النازل من مادة HDPE SDR 11 مع تركيب مخرج  من النحاس وغطاء لحماية فتحات مواسير التهوية أعلى الاسقف كل ما يلزم من الأكواع والتركيبات والملحقات والإكسسوارات المطلوبة لإنهاء البند حسب ما هو مبين بالمخططات</t>
  </si>
  <si>
    <t>15.3.9</t>
  </si>
  <si>
    <t>Supply and install Galvanized iron vent stack with vent caps per drawings and specifications.</t>
  </si>
  <si>
    <t xml:space="preserve">توريد تركيب قبه من الحديد المجلفن والمواسير الظاهره من الحديد المجلفن لصواعد تهوية الحمامات وفقا للمخططات والمواصفات الفنية  </t>
  </si>
  <si>
    <t>15.3.10</t>
  </si>
  <si>
    <t>Supply and install plumbing fixtures  as per client approval</t>
  </si>
  <si>
    <t>توريد وتركيب وإختبار وضمان إكسسوارات وقطع السباكة حسب المعتمد من قبل المالك</t>
  </si>
  <si>
    <t>15.3.11</t>
  </si>
  <si>
    <t xml:space="preserve">Supply and install Western water closet,flush valve type ,heavy duty,one piece SASO certified,dimesion not lessthan 40 cm width,68 cm length as approved by the client including  all fittings and necessary other accessories as per drawings and specifications. </t>
  </si>
  <si>
    <t>توريد وتركيب مرحاض افرنجي قطعة واحدة من النوع ذات الخدمة الشاقة شديدة التحمل مع صمام التدفق (معتمد من الهيئة السعودية للمواصفات والمقاييس ساسو) وحسب العينة المعتمدة بواسطة المالك ويكون بطول 68 سم وعرض 40 سم شامل جميع الملحقات والإكسسوارات حسب المخططات والمواصفات الفنية</t>
  </si>
  <si>
    <t>15.3.12</t>
  </si>
  <si>
    <t xml:space="preserve">Supply and install Western water closet for Handicapped ,automatic sensor flush valve type,heavy duty, SASO certified as approved by the client including  all fittings and  other accessories as per drawings and specifications. </t>
  </si>
  <si>
    <t>توريد وتركيب مرحاض افرنجي للمعاقين من النوع ذات الخدمة الشاقة شديدة التحمل مع صمام التدفق والحساس الأوتوماتيكى (معتمد من الهيئة السعودية للمواصفات والمقاييس ساسو) وحسب العينة المعتمدة بواسطة المالك شامل جميع الملحقات والإكسسوارات حسب المخططات والمواصفات الفنية</t>
  </si>
  <si>
    <t>15.3.13</t>
  </si>
  <si>
    <t xml:space="preserve">Supply and install Eastern water closet ,size 50*60 cm,flush valve type and as approved by the client including  all necessary fittings and other accessories as per drawings and specifications. </t>
  </si>
  <si>
    <t>توريد وتركيب مرحاض عربى بمقاس 50*60 سم كامل مع محبس التدفق حسب المعتمد من المالك شامل جميع الملحقات والإكسسوارات طبقا للمخططات والمواصفات</t>
  </si>
  <si>
    <t>15.3.14</t>
  </si>
  <si>
    <t>Perenial spray (PS) with stainless steel flexible hose and cast brass chromeplated hand including all other accessories to complete as per drawing and specification.</t>
  </si>
  <si>
    <t>شطاف رشاش مع الخرطوم المرن من الستانلس ستيل واليد من النحاس المطلى بالكروم لزوم دورات المياه شامل جميع الملحقات والإكسسوارات وعناصر التثبيت وكل ما يلزم لتنفيذ البند على أكمل وجه حسب المخططات والمواصفات</t>
  </si>
  <si>
    <t>15.3.15</t>
  </si>
  <si>
    <t xml:space="preserve">Supply and installation of Lavatory / wash basin made of artificial marble with counter,  mixer, single lever arm as approved by the client including  all accessories as per drawings and specification  . </t>
  </si>
  <si>
    <t>توريد وتركيب حوض غسيل ايدي من الرخام الصناعى شامل الاكسسوارات والمحابس والوصلات المرنة الخلاطات والكاونتر بالابعاد المطلوبة ونظام تثبيت الكاونتر بالحائط والبلاط والرخام حسب النوع المعتمد من قبل المالك ووفقا للمخططات والمواصفات</t>
  </si>
  <si>
    <t>15.3.16</t>
  </si>
  <si>
    <t xml:space="preserve">Supply and installation of Lavatory / wash basin  for Handicapped, with automatic sensor mixer tap, as approved by the client including all accessories as per drawings and specification  . </t>
  </si>
  <si>
    <t>توريد وتركيب حوض غسيل ايدي للمعاقين شامل الحساس الأوتوماتيكى والاكسسوارات والمحابس والوصلات المرنة الخلاطات حسب النوع المعتمد من قبل المالك ووفقا للمخططات والمواصفات</t>
  </si>
  <si>
    <t>15.3.17.</t>
  </si>
  <si>
    <t xml:space="preserve">Supply and install Complete set of  enamel coated cast iron Janitor Sink (JS), 60 cm x 60cm size ,Wall mounted ,including cast iron trap,chrome plated mixer tap suitable for the function and all accessories as per drawings and specification  . </t>
  </si>
  <si>
    <t>توريد وتركيب حوض نظافة بأبعاد 60*60 سم من الحديد الزهر المطلى بالمينا ويركب معلق بالحائط  مع البلاعة والخلاطات للساخن والبارد حسب النوع الذى سيعتمد من قبل المالك وجميع الإكسسوارات والملحقات التى تضمن التشغيل السليم على أكمل وجه وفقا للمواصفات الفنية والمخططات</t>
  </si>
  <si>
    <t>15.3.18</t>
  </si>
  <si>
    <t>Supply and install Gully Traps with cover  heavy duty  and all other accessories as per drawings and specificatiions.</t>
  </si>
  <si>
    <t xml:space="preserve">توريد وتركيب جاليتراب للصرف وبالأغطية من النوع ذات الخدمة الشاقة وجميع الإكسسوارات والملحقات طبقا للمخططات والمواصفات الفنية </t>
  </si>
  <si>
    <t>STORM WATER DRAINAGE</t>
  </si>
  <si>
    <t>اعمال صرف مياه الأمطار</t>
  </si>
  <si>
    <t>15.4.1</t>
  </si>
  <si>
    <t>Supply and installation of GRP pipes, for storm water piping system (underground) as specified on drawings and specifications</t>
  </si>
  <si>
    <t>توريد وتركيب مواسير المياه لنظام صرف مياه الأمطار (تحت الأرض) من GRP طبقا للمخططات والمواصفات</t>
  </si>
  <si>
    <t>15.4.1.1</t>
  </si>
  <si>
    <t>300 mm Ø</t>
  </si>
  <si>
    <t xml:space="preserve">قطر 300 مم   </t>
  </si>
  <si>
    <t>15.4.1.2</t>
  </si>
  <si>
    <t>400 mm Ø</t>
  </si>
  <si>
    <t xml:space="preserve">قطر 400 مم   </t>
  </si>
  <si>
    <t>15.4.2</t>
  </si>
  <si>
    <t>Supply and installation of uPVC pipes, for storm water piping system (underground) as specified on drawings and specifications</t>
  </si>
  <si>
    <t>توريد وتركيب مواسير المياه لنظام صرف مياه الأمطار (تحت الأرض) من uPVC طبقا للمخططات والمواصفات</t>
  </si>
  <si>
    <t>15.4.2.1</t>
  </si>
  <si>
    <t>Diameter 300mm depth 0-1.5m</t>
  </si>
  <si>
    <t>قطر300 مم  بعمق صفر - 1.5 م</t>
  </si>
  <si>
    <t>Diameter 300mm depth 1.51-2.5m</t>
  </si>
  <si>
    <t>قطر300 مم  بعمق 1.51 - 2.5 م</t>
  </si>
  <si>
    <t>Diameter 300mm depth 2.51-3.5m</t>
  </si>
  <si>
    <t>قطر300 مم  بعمق 2.51 - 3.5 م</t>
  </si>
  <si>
    <t>Diameter 400mm depth 0-1.5m</t>
  </si>
  <si>
    <t>قطر 400 مم  بعمق صفر - 1.5 م</t>
  </si>
  <si>
    <t>Diameter 400mm depth 1.51-2.5m</t>
  </si>
  <si>
    <t>قطر 400 مم بعمق 1.51 - 2.5 م</t>
  </si>
  <si>
    <t>Diameter 400mm depth 2.51-3.5m</t>
  </si>
  <si>
    <t>قطر 400 مم بعمق 2.51 - 3.5 م</t>
  </si>
  <si>
    <t>Diameter 500mm depth 0-1.5m</t>
  </si>
  <si>
    <t>قطر 500 مم  بعمق صفر - 1.5 م</t>
  </si>
  <si>
    <t>Diameter 500mm depth 1.51-2.5m</t>
  </si>
  <si>
    <t>قطر 500 مم بعمق 1.51 - 2.5 م</t>
  </si>
  <si>
    <t>Diameter 500mm depth 2.51-3.5m</t>
  </si>
  <si>
    <t>قطر 500 مم بعمق 2.51 - 3.5 م</t>
  </si>
  <si>
    <t>15.4.3</t>
  </si>
  <si>
    <t>Supply and installation of catch basins with cover and all other accessories as per specification and drawings.</t>
  </si>
  <si>
    <t>توريد وتركيب مصائد مياه الأمطار مع أغطية وجميع الإكسسوارات والتركيبات طبقا للمخططات والمواصفات</t>
  </si>
  <si>
    <t>15.4.3.1</t>
  </si>
  <si>
    <t>Single Catch basins</t>
  </si>
  <si>
    <t>بالوعة تصريف مفردة</t>
  </si>
  <si>
    <t>15.4.3.2</t>
  </si>
  <si>
    <t>Double Catch basins</t>
  </si>
  <si>
    <t>بالوعة تصريف مزدوجة</t>
  </si>
  <si>
    <t>15.4.4</t>
  </si>
  <si>
    <t>IRRIGATION SYSTEM</t>
  </si>
  <si>
    <t>نظام شبكة الرى</t>
  </si>
  <si>
    <t>15.5.1</t>
  </si>
  <si>
    <t>Supply, install and testing, design, preparation shop drawings for complete irrigation system as per standard specification and installation details</t>
  </si>
  <si>
    <t xml:space="preserve"> توريد وتركيب واختبار وتصميم وعمل المخططات التنفيذية لكامل نظام الري شامل كل ما يلزم لإنهاء البند طبقاً للمخططات والمواصفات الفنية</t>
  </si>
  <si>
    <t>15.5.2</t>
  </si>
  <si>
    <t>HDPE Pipes</t>
  </si>
  <si>
    <t>مواسير بولي اثيلين عالي الكثافة</t>
  </si>
  <si>
    <t>15.5.2.1</t>
  </si>
  <si>
    <t>pipe line O.D  50 mm PN 10, in depth 0 to 1.5 m</t>
  </si>
  <si>
    <t>15.5.2.2</t>
  </si>
  <si>
    <t>pipe line O.D  32 mm PN 10, in depth 0 to 1.5 m</t>
  </si>
  <si>
    <t>15.5.2.3</t>
  </si>
  <si>
    <t>pipe line O.D  25 mm PN 10, in depth 0 to 1.5 m</t>
  </si>
  <si>
    <t>مواسير قطر25  مم عمق 0 إلى 1.5 م - 10 بار</t>
  </si>
  <si>
    <t>15.5.3</t>
  </si>
  <si>
    <t>Buried Valves</t>
  </si>
  <si>
    <t>محابس مدفونة</t>
  </si>
  <si>
    <t>15.5.3.1</t>
  </si>
  <si>
    <t xml:space="preserve">Direct Burried Gate valve 50 mm  PN16  </t>
  </si>
  <si>
    <t>محبس بوابي مدفون قطر 50 مم - 16 بار</t>
  </si>
  <si>
    <t>15.5.3.2</t>
  </si>
  <si>
    <t xml:space="preserve">Direct Burried Gate valve 32 mm  PN16  </t>
  </si>
  <si>
    <t>محبس بوابي مدفون قطر 32 مم - 16 بار</t>
  </si>
  <si>
    <t>15.5.4</t>
  </si>
  <si>
    <t>Bulbblers</t>
  </si>
  <si>
    <t>بابلر</t>
  </si>
  <si>
    <t>15.5.4.1</t>
  </si>
  <si>
    <t xml:space="preserve">Pressure–compensating bubblers 110 Lit/Hr </t>
  </si>
  <si>
    <t>بابلر مضغوطه 110 لتر بالساعه</t>
  </si>
  <si>
    <t>15.5.4.2</t>
  </si>
  <si>
    <t xml:space="preserve">Pressure–compensating bubblers 60 Lit/Hr </t>
  </si>
  <si>
    <t>بابلر مضغوطه 60 لتر بالساعه</t>
  </si>
  <si>
    <t>15.5.4.3</t>
  </si>
  <si>
    <t>Flushing Bronze gate valve dia 2" inside PVC box</t>
  </si>
  <si>
    <t>محابس غسيل من البرونز مقاس 2 بوصة داخل صندوق PVC</t>
  </si>
  <si>
    <t>15.5.4.4</t>
  </si>
  <si>
    <t>Air release valve 2" inside PVC box</t>
  </si>
  <si>
    <t>محابس هواء 2 بوصة داخل صندوق PVC</t>
  </si>
  <si>
    <t>IRRIGATION SYSTEM (CONT'D)</t>
  </si>
  <si>
    <t>تكملة نظام شبكة الرى</t>
  </si>
  <si>
    <t>Electrical Solenoid Valve ( 1") inside PVC box</t>
  </si>
  <si>
    <t>محبس سولينويد  بمنظم ضغط  ( 1")  داخل صندوق PVC</t>
  </si>
  <si>
    <t>Advanced Irrigation controller subject to client approval, can connect with Centarl Control system and cabable to integrate with Smart City systems,BMS or Scada system ,Can record the real flow rate per stations,</t>
  </si>
  <si>
    <t>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</si>
  <si>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decoder cables 12 AWG between valves and controllers, The cables shall be pulled through 32Ø UPVC conduit and inspection 10" round valve box every 100 meters, as per standard specification and drawings</t>
  </si>
  <si>
    <t>كابل مزدوج مبروم 12 AWG بين الصمامات وأجهزة التحكم ، يجب سحب الكابلات من خلال مواسير 32Ø UPVC وا صندوق صمام دائري كل 100 متر  للفحص</t>
  </si>
  <si>
    <t>HEATING, VENTILATION AND AIR CONDITIONING</t>
  </si>
  <si>
    <t xml:space="preserve">أعمال التبريد والتكييف </t>
  </si>
  <si>
    <t>15.6.1</t>
  </si>
  <si>
    <t>Supply and installation of Energy Recovery Ventilator unit selected at 2 degree Celsius higher than the local outside temperature , including aluminium heat recovery wheel with built in dessicant media ,supply and exhaust fans,double skin,weatherproof body,compatible for coastal area(as per the location), controls &amp; electric connection &amp; condensate drain piping upto the near waste line(not rain water line),sand trap louver,exhaust louver ,concrete base,spring mounted vibration isolators,  and all other accessories required for complete installation and as per the drawings and specification</t>
  </si>
  <si>
    <t>توريد وتركيب نظام التهوية بإسترداد الطاقة ويتم إختيارها بحيث تكون بدرجة حرارة أعلى بمقدار 2 درجة مئوية من درجة الحرارة في الخارج، بحيث أن الحرارة تنقل بين الهواء العادم والهواء المجهز للحيز، توريد مراوح الشفط للعادم ، والجلد المزدوج، وجسم الوحدة يكون يكون مانع ومعزول ضد العوامل الجوية وتسرب الماء، وتكون متوافقة وتتلائم مع المناطق الساحلية (حسب الموقع)، والوصلات الكهربائية &amp; ووسائل التحكم &amp; ومواسير صرف للمياه المتكثفة حتى خط الصرف القريب (ليس خط صرف السيول)، ومصدات الرمال؛  وفتحات التهوية، والقاعدة الخرسانية ، وعوازل ومانعات الاهتزاز، وجميع الملحقات الأخرى اللازمة لضمان التركيب والتشغيل السليم وفقا للمخططات والمواصفات</t>
  </si>
  <si>
    <t>15.6.1.1</t>
  </si>
  <si>
    <t>ERV-1 ,1400 CFM (FRESH AIR),1200 CFM (EXHAUST AIR)</t>
  </si>
  <si>
    <t>وحدة التهوية بإسترداد الطاقة مرجع ERV-1 بمعدل تدفق 1400 (للهواء النقى) ؛ معدل تدفق الهواء 1200 (لهواء العادم)</t>
  </si>
  <si>
    <t>15.6.2</t>
  </si>
  <si>
    <t>Supply and installation of roof top exhaust fans dome type AMCA,UL listed,direct drive complete with supports, accessories, control and as per drawings and specification.</t>
  </si>
  <si>
    <t>توريد وتركيب وإختبار وجاهزية التشغيل لمراوح الشفط المعلقة بالسقف على شكل قبة حسب مواصفات (AMCA) وتكون مدرجة ومعتمدة من مختبرات الضامنين (UL) شاملة الملحقات وعناصر التعليق والتثبيت وجميع ما يلزم لتنفيذ البند على أكمل وجه كما بالمخططات والمواصفات</t>
  </si>
  <si>
    <t>15.6.2.1</t>
  </si>
  <si>
    <t xml:space="preserve">EF-01 - 300 CFM ex. Static 0.4 inch for women toilet </t>
  </si>
  <si>
    <t>مراوح شفط من النوع مرجع رقم - 01 (300CFM ex. Static 0.4 inch) لحمام السيدات</t>
  </si>
  <si>
    <t>15.6.2.2</t>
  </si>
  <si>
    <t xml:space="preserve">EF-02 -150 CFM ex. Static 0.3 inch for  guard room </t>
  </si>
  <si>
    <t>مراوح شفط من النوع مرجع رقم - 02 (150CFM ex. Static 0.3 inch) لغرفة الحارس</t>
  </si>
  <si>
    <t>HEATING, VENTILATION AND AIR CONDITIONING (CONT'D)</t>
  </si>
  <si>
    <t xml:space="preserve">تكملة أعمال التبريد والتكييف </t>
  </si>
  <si>
    <t>15.6.2.3</t>
  </si>
  <si>
    <t xml:space="preserve">EF-04 - 680 CFM ex. Static 0.4 inch for men toilet </t>
  </si>
  <si>
    <t>مراوح شفط من النوع مرجع رقم - 04 (680CFM ex. Static 0.4 inch) لحمام الرجال</t>
  </si>
  <si>
    <t>15.6.2.4</t>
  </si>
  <si>
    <t xml:space="preserve">EF-05 - 280 CFM ex. Static 0.4 inch for men toilet </t>
  </si>
  <si>
    <t>مراوح شفط من النوع مرجع رقم - 05 (280CFM ex. Static 0.4 inch) لحمام الرجال</t>
  </si>
  <si>
    <t>15.6.2.5</t>
  </si>
  <si>
    <t>EF-06 - 400 CFM ex. Static 0.2 inch,including galvanized iron fresh air intakes with goosec neck, bird mesh screen and as shown in the drawings for pump room.</t>
  </si>
  <si>
    <t>مراوح شفط مرجع 06 من النوع (400CFM ex. Static 0.2 inch) لغرفة المضخات كما تشتمل على مأخذ للهواء النقى على شكل رقبة البطة مع شبكة للحماية من الطيور كما هو موضح بالمخططات</t>
  </si>
  <si>
    <t>15.6.3</t>
  </si>
  <si>
    <t>Supply and installation of ceiling mounted exhaust Fan with built in grille type, AMCA, UL listed, direct drive complete with flexible duct, wall mounted air discharge outlet, supports and accessories and as per drawings and specification</t>
  </si>
  <si>
    <t>توريد وتركيب وإختبار وجاهزية التشغيل لمراوح الشفط المعلقة بالسقف حسب مواصفات (AMCA) وتكون مدرجة ومعتمدة من مختبرات الضامنين (UL) شاملة الملحقات وعناصر التعليق والتثبيت شامل المجارى المرنة ومخارج الهواء وجميع ما يلزم لتنفيذ البند على أكمل وجه كما بالمخططات والمواصفات</t>
  </si>
  <si>
    <t>15.6.3.1</t>
  </si>
  <si>
    <t>EF-03 - 100 CFM ex. Static 0.2 inch for Imam room.</t>
  </si>
  <si>
    <t>مراوح شفط من النوع مرجع رقم - 03 (100CFM ex. Static 0.2 inch) لغرفة الإمام</t>
  </si>
  <si>
    <t>15.6.4</t>
  </si>
  <si>
    <t xml:space="preserve">Supply and install ducted split air conditioning (DX) unit, heat pump type, complete the indoor unit ,flexible unit connection, return air plenum with grille, with filter and outdoor unit (compatible for coastal area),copper condenser fins and tubes/piping, condensate drain piping upto the near waste line, remote control, thermostat, vibration isolators,controls and its electrical interconnection and all other accessories and fittings  in accordance with the specifications and drawings </t>
  </si>
  <si>
    <t>توريد وتركيب واختبار وتشغيل وحدات تكييف منفصلة توضع الوحدة الداخلية مخفية بمجارى الهواء (DX - Unit) كاملة بالوحدة الداخلية ذات الملف والمروحة ووحدة التكثيف الخارجية ومواسير مائع التبريد بينها كاملة بشحنة الفريون وجهاز التحكم ومواسير صرف المياه المتكاثفة ومواسير وزعانف المكثف من النحاس ومانعات الإهتزاز ووسائل التحكم والوصلات الكهربائية وجميع الملحقات والسعر يشمل كافة الأعمال طبقاً لمواصفات الوحدة وطبقا للمواصفات والمخططات</t>
  </si>
  <si>
    <t>15.6.4.1</t>
  </si>
  <si>
    <t xml:space="preserve">FCU-1 / CU-1, 5 Tonnes </t>
  </si>
  <si>
    <t>وحدات تكييف منفصلة مرجع FCU-1 / CU-1 بسعة تبريد 5 طن</t>
  </si>
  <si>
    <t>15.6.4.2</t>
  </si>
  <si>
    <t xml:space="preserve">FCU-2 / CU-2, 2 Tonnes </t>
  </si>
  <si>
    <t xml:space="preserve">وحدات تكييف منفصلة مرجع FCU-2 / CU-2 وبسعة تبريد 2 طن </t>
  </si>
  <si>
    <t>15.6.5</t>
  </si>
  <si>
    <t xml:space="preserve">Supply and install split air conditioning unit (DX-MINI SPLIT UNIT), heat pump type, complete the indoor unit  and outdoor unit (compatible for coastal area), copper condenser fins and tubes/piping ,condensate drain piping upto the near waste line,remote control, thermostat, copper tube, vibration isolators, controls and its electrical interconnection and all other accessories in accordance with the specifications and drawings </t>
  </si>
  <si>
    <t>توريد وتركيب واختبار وتشغيل وحدات تكييف منفصلة تعمل بالتمدد المباشر (DX-MINI SPLIT Unit) كاملة بالوحدة الداخلية ذات الملف والمروحة ووحدة التكثيف الخارجية ومواسير مائع التبريد بينها كاملة بشحنة الفريون وجهاز التحكم ومواسير صرف المياه المتكاثفة ومانعات الإهتزاز ووسائل التحكم والوصلات الكهربائية وجميع الملحقات والسعر يشمل كافة الأعمال طبقاً لمواصفات الوحدة وطبقا للمواصفات والمخططات</t>
  </si>
  <si>
    <t>15.6.5.1</t>
  </si>
  <si>
    <t xml:space="preserve">FCU-3 / CU-3, 2 Tonnes </t>
  </si>
  <si>
    <t>وحدات تكييف منفصلة مرجع FCU-3 / CU-3 بسعة تبريد 2 طن</t>
  </si>
  <si>
    <t>15.6.5.2</t>
  </si>
  <si>
    <t xml:space="preserve">FCU-4 / CU-4, 1.5 Tonnes </t>
  </si>
  <si>
    <t>وحدات تكييف منفصلة مرجع FCU-4 / CU-4 بسعة تبريد 1.5 طن</t>
  </si>
  <si>
    <t>15.6.6</t>
  </si>
  <si>
    <t>Supply and installation of galvanized Iron ductwork as per SMACNA Standards, complete with volume control dampers, bellmouth with stainless steel wire mesh, fire damper, duct tape, flexible duct adhesive, duct sealant, hangers, supports and all other accessories (Flanged TDC Type) and as detailed on drawing and specification.</t>
  </si>
  <si>
    <t>توريد وتركيب وإختبار وجاهزية التشغيل لمجاري الهواء من الحيد المجلفن طبقاً لمواصفات (SMACNA) مع دهان الدكت من الخارج لتأمين هواء العادم مع جميع المستلزمات المجلفنه من مساند وعلاقات وملحقات والمخمدات الحجمية ومجارى الهواء المرنة وخوانق الحريق مع مانعات التسرب حول جميع مجاري الهواء التي تخترق الحوائط والأسقف طبقا للمواصفات والمخططات</t>
  </si>
  <si>
    <t>K G</t>
  </si>
  <si>
    <t>15.6.7</t>
  </si>
  <si>
    <t>Supply and installation of fiberglass indoor duct wrap Insulation - 25mm thick - 24 Kg/m3 density.</t>
  </si>
  <si>
    <t>توريد وتركيب عازل حرارى من الفيبرجلاس لمجارى الهواء من الداخل بسمك 25 مم وكثافة 24 كجم/ م3</t>
  </si>
  <si>
    <t>15.6.8</t>
  </si>
  <si>
    <t xml:space="preserve">Supply and installation of fiberglass outdoor duct board insulation-50mm thick -48 Kg/m3 density, including with  0.5mm thick Aluminium Cladding. </t>
  </si>
  <si>
    <t>توريد وتركيب عازل حرارى من الفيبرجلاس لمجارى الهواء من الخارج بسمك 50 مم وكثافة 48 كجم/ م3 كما يشمل عمل تغطية من الكلادينج بسمك 0.5 مم</t>
  </si>
  <si>
    <t>15.6.9</t>
  </si>
  <si>
    <t>Supply and installation of exhaust disc valves, complete with flexible duct,supports and accessories ans as shown on the drawings and specification.</t>
  </si>
  <si>
    <t>توريد وتركيب وإختبار وجاهزية التشغيل صمام العادم الإسطوانى شامل مجارى الهواء المرنة والإكسسوارات وأدوات التثبيت وجميع ما يلزم لتنفيذ البند على أكمل وجه كما بالمخططات والمواصفات</t>
  </si>
  <si>
    <t>15.6.9.1</t>
  </si>
  <si>
    <t>DV-6"</t>
  </si>
  <si>
    <t>صمام إسطوانى 6 بوصة</t>
  </si>
  <si>
    <t>15.6.10</t>
  </si>
  <si>
    <t>Supply and installation of exhaust Square Diffusers, complete with supports and accessories.</t>
  </si>
  <si>
    <t>توريد وتركيب وإختبار وجاهزية التشغيل موزعات الهواء مربعة الشكل شاملة الإكسسوارات والملحقات وجميع ما يلزم لتنفيذ البند على أكمل وجه كما بالمخططات والمواصفات</t>
  </si>
  <si>
    <t>15.6.10.1</t>
  </si>
  <si>
    <t xml:space="preserve">Exhaust square diffuser 6" x 6 " </t>
  </si>
  <si>
    <t>موزع هواء مربع 6*6 بوصة</t>
  </si>
  <si>
    <t>15.6.11</t>
  </si>
  <si>
    <t>Supply and installation of supply linear bar grille with opposed blade volume damper including frame trims &amp; corner pieces,insulated plenum box,supports, insulated flexible duct and all other accessories as detailed on drawing and specification</t>
  </si>
  <si>
    <t xml:space="preserve">توريد وتركيب فتحة طولية لتغذية الهواء (جريلات) حسب النوعية المعتمدة من المالك شامل التثبيت ومجارى الهواء المعزولة المرنة وصندوق التجميـــع والمخمدات الحجمية وجميع الإكسسوارات الأخرى وفقا للمخططات والمواصفات  </t>
  </si>
  <si>
    <t>15.6.11.1</t>
  </si>
  <si>
    <t>SLBG-21/2" High</t>
  </si>
  <si>
    <t>فتحة طولية لتغذية الهواء مرجع SLBG بإرتفاع 2.5 بوصة</t>
  </si>
  <si>
    <t>15.6.12</t>
  </si>
  <si>
    <t>Supply and installation of return linear bar grille including frame trims &amp;corner pieces, complete with supports and accessories and as detailed on drawing and specification</t>
  </si>
  <si>
    <t xml:space="preserve">توريد وتركيب فتحة طولية لهواء الراجع (جريلات) حسب النوعية المعتمدة من المالك شامل التثبيت وجميع الإكسسوارات الأخرى كما هو موضح بالمخططات والمواصفات  </t>
  </si>
  <si>
    <t>15.6.12.1</t>
  </si>
  <si>
    <t>RLBG- 21/2" High</t>
  </si>
  <si>
    <t>فتحة طولية لهواء الراجع مرجع RLBG بإرتفاع 2.5 بوصة</t>
  </si>
  <si>
    <t>15.6.13</t>
  </si>
  <si>
    <t>Supply and installation of supply linear slot diffuser with opposed blade volume damper including frame trims &amp;corner pieces, insulated plenum box,supports, insulated flexible duct and all other necessary fittings and accessories as detailed on drawing and specification.</t>
  </si>
  <si>
    <t xml:space="preserve">توريد وتركيب موزعات ومخارج الهواء الخطية لتغذية بالهواء حسب النوعية المعتمدة من المالك شامل التثبيت والمخمدات والإطارات وقطع الزاوية والجلسة المعزولة ومجارى الهواء المرنة وجميع الإكسسوارات الأخرى كما هو موضح بالمخططات والمواصفات  </t>
  </si>
  <si>
    <t>15.6.13.1</t>
  </si>
  <si>
    <t>SLD-  3 slot,1"wide</t>
  </si>
  <si>
    <t>موزع للتغذية هواء مرجع SLD بعرض واحد بوصة (3 slot)</t>
  </si>
  <si>
    <t>15.6.13.2</t>
  </si>
  <si>
    <t>SLD-  4 slot,1"wide</t>
  </si>
  <si>
    <t>موزع هواء  للتغذية مرجع SLD بعرض واحد بوصة (4 slot)</t>
  </si>
  <si>
    <t>15.6.14</t>
  </si>
  <si>
    <t>Supply and installation of return linear slot diffuser including frame trims &amp;corner pieces, complete with supports and necessary fittings, accessories and as detailed on drawing and specification</t>
  </si>
  <si>
    <t xml:space="preserve">توريد وتركيب موزعات ومخارج الهواء الخطية لهواء الراجع حسب النوعية المعتمدة من المالك شامل التثبيت والمخمدات والإطارات وقطع الزاوية والجلسة المعزولة ومجارى الهواء المرنة وجميع الإكسسوارات الأخرى كما هو موضح بالمخططات والمواصفات  </t>
  </si>
  <si>
    <t>15.6.14.1</t>
  </si>
  <si>
    <t>RLD - 3 slot,1"wide</t>
  </si>
  <si>
    <t>موزع لهواء الراجع مرجع RLD بعرض واحد بوصة (3 slot)</t>
  </si>
  <si>
    <t>15.6.14.2</t>
  </si>
  <si>
    <t>RLD - 4 slot,1"wide</t>
  </si>
  <si>
    <t>موزع لهواء الراجع مرجع RLD بعرض واحد بوصة (4 slot)</t>
  </si>
  <si>
    <t>Supply and install water storage tanks Including overflow, vent, float valves, altitude valves, drain valves, access opeining, access ladder, emergency tanker fill and all necessary accessories, connections and fittings as per drawings and specifications.</t>
  </si>
  <si>
    <t xml:space="preserve"> توريد وتركيب خزانات المياة المرفقة تتضمن مواسير الطفح والتهوية والعوامات وصمامات الارتفاع وصمامات التصريف ومنافذ عبور وسلم عبور وناقلة ممتلئة للطوارئ والاكسسوارات اللازمة والتوصيلات والوصلات طبقا للرسومات والمواصفات الفنية.</t>
  </si>
  <si>
    <t>15.7.1</t>
  </si>
  <si>
    <t>GRP water tank with dimension (3m X 2m X 2m)</t>
  </si>
  <si>
    <t>خزان ماء GRP ذو أبعاد ( 3 متر * 2 متر * 2 متر)</t>
  </si>
  <si>
    <t>DIVISION 16- ELECTRICAL  WORKS</t>
  </si>
  <si>
    <t>القسم السادس عشر:- الأعمال الكهربائية</t>
  </si>
  <si>
    <t xml:space="preserve">STREET LIGHTING </t>
  </si>
  <si>
    <t>16.1.1</t>
  </si>
  <si>
    <t>Supply, install, testing, and commissioning of street Lighting feeder pillars complete including but not limited to foundations, wires, fixtures, supports, and all the required accessories to complete the installation as per shop drawings, standards, specifications, and as per approved samples.</t>
  </si>
  <si>
    <t>توريد وتركيب واختبار وتشغيل لوحات إنارة الطرق كاملة بما في ذلك على سبيل المثال لا الحصر الأساسات والقواعد الخرسانية والأسلاك والتركيبات  والدعامات وجميع الملحقات المطلوبة لإكمال البند وفقًا للرسومات التنفيذية والمعايير والمواصفات وحسب العينات المعتمدة .</t>
  </si>
  <si>
    <t>16.1.2</t>
  </si>
  <si>
    <t>Supply, install,test low voltage Cable (CU/ PVC) including  pulling  cable in the conduits and termination as specification  for a complete installation of following sizes and as per approve samples.</t>
  </si>
  <si>
    <t xml:space="preserve">توريد وتركيب وتشغيل واختبار كابلات الضغط المنخفض من النحاس والمغلف (CU/PVC) حسب ما سيتم إعتماده من قبل المالك والعمل يشمل تمديد الكابلات ومجاري الكابلات من خنادق او حوامل كابلات وجميع المستلزمات المطلوبة لإنهاء الأعمال طبقا للرسومات والمواصفات وتعليمات جهة الإشراف </t>
  </si>
  <si>
    <t>16.1.2.1</t>
  </si>
  <si>
    <t>4cx50 mm2 +1cx25 mm2 from KWHM to Feeder Pillar</t>
  </si>
  <si>
    <t>كابل بمقاس (4*50 مم2 + 1*25 مم2) من عداد قياس الطاقة إلى لوحة إنارة الطريق</t>
  </si>
  <si>
    <t>16.1.2.2</t>
  </si>
  <si>
    <t>cables size 4Cx10mm2/ CU/XLPE/SWA/PVC +1Cx6mm2/ CU/PVC GROUNDING</t>
  </si>
  <si>
    <t>كابل بمقاس 4Cx10mm2/ CU/XLPE/SWA/PVC 
+1Cx6mm2/ CU/PVC GROUNDING</t>
  </si>
  <si>
    <t>16.1.3</t>
  </si>
  <si>
    <t>Supply and installation of Lighting poles with 2 arms,  height of  ( 6 ) meters,  including the power distribution box,  cables , and RCC foundation as per drawings and specifications.</t>
  </si>
  <si>
    <t xml:space="preserve">توريد وتركيب أعمدة إنارة مع  2 ذراع، ارتفاع 6 أمتار، تشمل علبة توزيع الطاقة والكوابل، والقاعدة الخرسانية طبقا للرسومات والمواصفات وتعليمات جهة الإشراف </t>
  </si>
  <si>
    <t>STREET LIGHTING</t>
  </si>
  <si>
    <t>تكملة إنارة الطرق</t>
  </si>
  <si>
    <t>16.1.4</t>
  </si>
  <si>
    <t>Lighting poles with 1 arm,  height of  ( 6 ) meters,  including the power distribution box,  cables , and RCC foundation as per drawings and specifications.</t>
  </si>
  <si>
    <t xml:space="preserve">توريد وتركيب أعمدة إنارة مع ذراع 1 ، ارتفاع 6 أمتار، تشمل علبة توزيع الطاقة والكوابل، والقاعدة الخرسانية طبقا للرسومات والمواصفات وتعليمات جهة الإشراف </t>
  </si>
  <si>
    <t>16.1.5</t>
  </si>
  <si>
    <t>Supply and installation of Street Lighting( LED) Luminaire of  Output ≥ 11500 lumen complete with control gear and lamp, (120) WATT as per drawings and specifications.</t>
  </si>
  <si>
    <t xml:space="preserve">توريد وتركيب وحدة إنارة LED  نظام إضاءة بمخرج ≥ 11500 lumen ) كاملة مع جهاز التحكم والمصباح ، (120) واط  طبقا للرسومات والمواصفات وتعليمات جهة الإشراف </t>
  </si>
  <si>
    <t>16.1.6</t>
  </si>
  <si>
    <t>Supply and installation of concrete foundations and fencing for substation,  According to the specifications and standards of SEC  as per drawings and specifications.</t>
  </si>
  <si>
    <t xml:space="preserve">توريد وتركيب القواعد الخرسانية والسياج للمحطة حسب مواصفات ومعايير شركة الكهرباء طبقا للرسومات والمواصفات وتعليمات جهة الإشراف </t>
  </si>
  <si>
    <t>16.1.7</t>
  </si>
  <si>
    <t>Supply and installation of earthing system including earthing of  lighting poles ,masts. feeder pillars , unit substations, L.V feeders and KWH meter as per drawings and specifications.</t>
  </si>
  <si>
    <t xml:space="preserve">توريد وتركيب نظام التأريض ويشمل تأريض الأعمدة والصوارى وكبائن التغذية ومحطة التوزيع  ومغذيات الجهد المنخفض لدوائر الإنارة وعداد قياس الطاقة طبقا للرسومات والمواصفات وتعليمات جهة الإشراف </t>
  </si>
  <si>
    <t>16.1.8</t>
  </si>
  <si>
    <t>Supply and installation of Road crossing ducts, 2 ways (2 x 150mm PVC) as per drawings and specifications.</t>
  </si>
  <si>
    <t xml:space="preserve">توريد وتركيب عبارة طرق لكابلات إنارة شوارع ذات أثنين منفذ من مواسير بوليفنيل الكلوريد (2*150 مم) طبقا للرسومات والمواصفات وتعليمات جهة الإشراف </t>
  </si>
  <si>
    <t>16.2.1</t>
  </si>
  <si>
    <t>Supply and installation of Telecom Manhole (MH1) 2000mmx1000mmx1000mm deep concrete mandhole with hot dip galvanized heavy duty steel double cover , work includes excavation, backfilling, disposal, concrete and associated works, drains, pipe sleeves, manhole frame and other appurtenances to complete.</t>
  </si>
  <si>
    <t>توريد وتركيب غرف تفتيش (مطابق) الاتصالات بأبعاد 2000x1000x1000 مم نوع (MH1 ) من الخرسانة المسلحة مع استكمال الأطارات والأغطية من الحديد عالى التحمل  شامل الحفر والردم الوصلات الجانبية وصب فرشة الخرسانة أسفل الغرفة والعزل وكل ما يلزم لإنهاء كامل البند طبقا للمخططات والمواصفات</t>
  </si>
  <si>
    <t>16.2.2</t>
  </si>
  <si>
    <t>Supply and installation of Telecom Handhole (HH) 360x360x730mm (inner clearance) deep concrete handhole with hot dip galvanized heavy duty steel cover 355*355mm, work includes excavation, backfilling, disposal, concrete and associated works, drains, pipe sleeves, handhole frame and other appurtenances to complete.</t>
  </si>
  <si>
    <t>توريد وتركيب غرف تفتيش (مطابق) الاتصالات بأبعاد داخلية 360x360x730 مم من الخرسانة المسلحة مع استكمال الأطارات والأغطية من الحديد عالى التحمل (355x355 مم) شامل الحفر والردم الوصلات الجانبية وصب فرشة الخرسانة أسفل الغرفة والعزل وكل ما يلزم لإنهاء كامل البند طبقا للمخططات والمواصفات</t>
  </si>
  <si>
    <t>16.2.3</t>
  </si>
  <si>
    <t xml:space="preserve">Supply and installation of 4 Ø 50mm HDPE duct bank encased in Concrete for Telecom cables from service provider which shall include  excavation, backfilling, disposal of surplus materials, spacers, warning tapes and all required works needed to complete installation of the system </t>
  </si>
  <si>
    <t xml:space="preserve">توريد وتركيب مواسير لكابلات الاتصالات المغلفة بالخرسانة من قبل مقدم الخدمة بمقاس (4Ø 50 mm ) نوع HDPE شامل الحفر والردم الوصلات الجانبية والفواصل وأشرطة التحذير والتخلص من المواد الزائدة وكل ما يلزم لإنهاء كامل البند طبقا للمخططات والمواصفات  </t>
  </si>
  <si>
    <t>16.2.4</t>
  </si>
  <si>
    <t>Supply and installation of 2 Ø 32mm HDPE duct bank encased in concrete for Telecom cables from service provider which shall include  excavation, backfilling, disposal of surplus materials, spacers and all required works need to complete installation of the system. Each factory shall receive 2 NO. HPDE telecom network connection (One access and one spare)</t>
  </si>
  <si>
    <t>توريد وتركيب توريد وتركيب مواسير لكابلات الاتصالات  المغلفة بالخرسانة من قبل مقدم الخدمة بمقاس (2Ø 32mm) نوع HDPE شامل الحفر والردم الوصلات الجانبية والفواصل والتخلص من المواد الزائدة  وكل ما يلزم لإنهاء كامل البند طبقا للمخططات والمواصفات على أن تكون بعدد ماسورتين نوع HDPE لكل مصنع (ماسورة أساسية و ماسورة احتياطية)</t>
  </si>
  <si>
    <t>GROUNDING SYSTEM</t>
  </si>
  <si>
    <t xml:space="preserve">نظام التأريض </t>
  </si>
  <si>
    <t>16.3.1</t>
  </si>
  <si>
    <t>Supply, Install and test following grounding system  including grouding wires, ground rods,inspection pits,terminations, clamping , civil work and all materials required to complete the work according to specification, drawing and standards and materials as per approved samples for mosque</t>
  </si>
  <si>
    <t>توريد وتركيب وإختبار وتشغيل نظام التأريض كاملا ويشمل الأسلاك والقضبان النحاسية وغرف الفحص والوصلات والأعمال الخرسانية المطلوبة لتنفيذ الأعمال وجميع الملحقات والمعايير والمواد تكون طبقا للمواصفات المخططات وذلك لمبنى المسجد</t>
  </si>
  <si>
    <t>16.3.1.1</t>
  </si>
  <si>
    <t>Bare copper ground wire 120 mm2</t>
  </si>
  <si>
    <t>سلك نحاس مكشوف 120 مم2 للارض</t>
  </si>
  <si>
    <t>16.3.2.2</t>
  </si>
  <si>
    <t>PVC insulated copper wire 70 mm²</t>
  </si>
  <si>
    <t xml:space="preserve">سلك نحاس معزول 70 مم2  </t>
  </si>
  <si>
    <t>16.3.3.3</t>
  </si>
  <si>
    <t>Ground rod with inspection pit</t>
  </si>
  <si>
    <t>قضيب نحاسي للتأريض مع غرفة تفتيش</t>
  </si>
  <si>
    <t>16.3.4.4</t>
  </si>
  <si>
    <t>Ground rod without inspection pit</t>
  </si>
  <si>
    <t>قضيب نحاسي للتأريض بدون غرفة تفتيش</t>
  </si>
  <si>
    <t>16.3.5.5</t>
  </si>
  <si>
    <t>Exothermic connection</t>
  </si>
  <si>
    <t>وصلات الربط الطاردة للحرارة</t>
  </si>
  <si>
    <t>16.3.6.6</t>
  </si>
  <si>
    <t>Equipotential earth bar 30cm</t>
  </si>
  <si>
    <t>بار نحاس غير معزول مقاس 30 سم</t>
  </si>
  <si>
    <t>LIGHTNING  SYSTEM</t>
  </si>
  <si>
    <t>نظام الحماية من الصواعق</t>
  </si>
  <si>
    <t>Supply, Install and test lightning protection system including copper wire and tape, air terminal rods, down conductors , structure bonding ,test point,earthing pits etc and all materials required to  complete the work according to specification and as per approved samples.</t>
  </si>
  <si>
    <t xml:space="preserve">توريد وتركيب وإختبار وتشغيل نظام الحماية من الصواعق ويشمل الأسلاك والقضبان النحاسية الهوائية والموصلات الأرضية السفلية وجميع الملحقات والمعايير والمواد تكون طبقا للمواصفات المخططات </t>
  </si>
  <si>
    <t>16.4.1</t>
  </si>
  <si>
    <t>Bare tape copper conductor 3*25 mm</t>
  </si>
  <si>
    <t xml:space="preserve">أسلاك نحاس مكشوفة 3*25 مم   </t>
  </si>
  <si>
    <t>16.4.2</t>
  </si>
  <si>
    <t>Air teminal rod 60 cm hieght</t>
  </si>
  <si>
    <t>قضبان نحاسية هوائية بارتفاع 60 سم</t>
  </si>
  <si>
    <t>16.4.3</t>
  </si>
  <si>
    <t>Bare copper down conductor 70 mm2</t>
  </si>
  <si>
    <t xml:space="preserve"> موصل تأريض نحاسى مكشوف سفلى 70 مم2</t>
  </si>
  <si>
    <t>16.4.4</t>
  </si>
  <si>
    <t>Equipment bonding connection</t>
  </si>
  <si>
    <t>وصلات ربط المعدات</t>
  </si>
  <si>
    <t>FIRE ALARM SYSTEM</t>
  </si>
  <si>
    <t>أعمال شبكة نظام الإنذار المبكر للحريق</t>
  </si>
  <si>
    <t>Supply, install, test and commission fire alarm system including, wires, conduit emt for exposed installation and other materials and system components required for a complete and functional installation. as per drawing, specs and standards and as per approved samples</t>
  </si>
  <si>
    <t>توريد وتركيب وإختبار وتشغيل نظام الكشف والإنذار المبكرعن الحريق ويشتمل المواسير الخاصة بالنظام والمواسير المكشوفة  وجميع الملحقات والمعايير والمواد تكون طبقا للمواصفات والمخططات وأى مواد خاصة لتمكين النظام من العمل بشكل صحيح وفعال</t>
  </si>
  <si>
    <t>16.5.1</t>
  </si>
  <si>
    <t>Intelligence Ionization smoke detector with base</t>
  </si>
  <si>
    <t>توريد وتركيب وإختبار حساس دخان من النوع المعنون كامل بقاعدة التثبيت وطبقا للمواصفات الفنية المرفقة</t>
  </si>
  <si>
    <t>16.5.2</t>
  </si>
  <si>
    <t>Intelligence electrical detector of the type entitled complete and in accordance with the attached technical specifications</t>
  </si>
  <si>
    <t>توريد وتركيب وإختبار حساس كهرباء من النوع المعنون كامل وطبقا للمواصفات الفنية المرفقة</t>
  </si>
  <si>
    <t>16.5.3</t>
  </si>
  <si>
    <t>Intelligence multi detector with base</t>
  </si>
  <si>
    <t>توريد وتركيب وإختبار حساس حرارة متعدد</t>
  </si>
  <si>
    <t>16.5.4</t>
  </si>
  <si>
    <t>Addressable Manual call Station (wall mounted)</t>
  </si>
  <si>
    <t xml:space="preserve">     يدويا (جدارى) محطة معنونة لإطلاق إنذار الحريق    </t>
  </si>
  <si>
    <t>16.5.5</t>
  </si>
  <si>
    <t>Addressable fire alarm sounder</t>
  </si>
  <si>
    <t>توريد وتركيب المصوتات الإلكترونية لإنذار الحريق ويعطي صوت مسمع طبقا للمواصفات الفنية المرفقة</t>
  </si>
  <si>
    <t>15.5.6</t>
  </si>
  <si>
    <t>Analog addressable fire alarm control panel with battery, material as approved by the Client interface with civil defence sound system Hvac panel and all required options</t>
  </si>
  <si>
    <t>توريد وتركيب وإختبار لوحة انذارالحريق وفقا لما سيتم إعتماده من قبل المالك طبقا للمواصفات الفنية وجميع ما يلزم من إكسسوارات وملحقات لتنفيذ البند على أكمل وجه مع إعتماده من الدفاع المدنى</t>
  </si>
  <si>
    <t>15.5.7</t>
  </si>
  <si>
    <t>Fire warning flash light with horn</t>
  </si>
  <si>
    <t>لمبة مع سارينة لإنذار الحريق</t>
  </si>
  <si>
    <t>15.5.8</t>
  </si>
  <si>
    <t>Boxes, sockets, and wire outlets</t>
  </si>
  <si>
    <t xml:space="preserve">العلب والمآخذ ومخارج الأسلاك </t>
  </si>
  <si>
    <t>Lot</t>
  </si>
  <si>
    <t>LIGHTING FIXTURES</t>
  </si>
  <si>
    <t xml:space="preserve">وحدات الإنارة   </t>
  </si>
  <si>
    <t>supply, install and test Lighting Fixtures including supports and all accessories as required  for complete installation as specification and as per approved samples.</t>
  </si>
  <si>
    <t xml:space="preserve">توريد وتركيب وإختبار وجاهزية التشغيل وحدات الإنارة حسب ما سيتم إعتماده من قبل المالك كاملة بجميع لوازمها للعمل بكفاءة شاملة خانق التيارالمكثف بادئ التشغيل اللمبات والكابلات المرنة المقاومة للحرارة بما في ذلك الدوائر الفرعية النهائية شاملة الكابلات والأسلاك ومواسيرالتوصيل والتوصيلات وكافة الأعمال ذات العلاقة وحسب المطلوب لزوم المواقع الموضحة بمخطط جدول الرموز والمخططات والمواصفات الفنية  </t>
  </si>
  <si>
    <t>16.6.1</t>
  </si>
  <si>
    <t>Light outlet including wiring ,conduit ,light  switch and all accessories required to complete the work</t>
  </si>
  <si>
    <t>توريد وتركيب أفياش ومخارج ومفاتيح لوحدات الإنارة من النوع المعتمد والسعر يشمل التوريد والتركيب والتثبيت والأسلاك مع عمل التوصيلات الكهربائية والاختبارات وكل مايلزم لتنفيذ البند على أكمل وجه حسب المخططات والمواصفات</t>
  </si>
  <si>
    <t>16.6.2</t>
  </si>
  <si>
    <t>Decorative wall mounted led up- lighting fixture 13W, 220V, 1000 LUMENS, IP 20 and must be submitted for approval before installation</t>
  </si>
  <si>
    <t>وحدة انارة ديكورية من النوع ليد تركب على الحائط بقدرة 13 وات ؛ 220 فولت؛ مع نظام حماية IP 20 (1000LUMEN) ويجب إعتمادها قبل التركيب والإكسسوارات والملحقات وكل ما يلزم لإتمام البند على أكمل وجه</t>
  </si>
  <si>
    <t>16.6.3</t>
  </si>
  <si>
    <t>Recessed mounted downlight luminare led light 42 watt with clear safety IP20 ,230 v ,4000k ,3572 LUMEN ,</t>
  </si>
  <si>
    <t xml:space="preserve">وحدة انارة من النوع ليد تركب غاطسة بقدرة 42 وات 230 فولت مع نظام حماية IP 20(4000k -3572LUMEN) مع الحماية ويجب إعتمادها قبل التركيب والإكسسوارات والملحقات وكل ما يلزم لإتمام البند على أكمل وجه </t>
  </si>
  <si>
    <t>16.6.4</t>
  </si>
  <si>
    <t xml:space="preserve">Surface mounted downlight luminare led light 42 watt with rotational symmetrical wide beam, clear safety, IP 65 ,230 v ,4000k ,3340LUMEN  </t>
  </si>
  <si>
    <t xml:space="preserve">وحدة انارة من النوع ليد تركب ظاهرة بقدرة 42 وات 230 فولت مع نظام حماية IP 65(4000k -3340LUMEN) مع نظام دائرى متماثل ويجب إعتمادها قبل التركيب والإكسسوارات والملحقات وكل ما يلزم لإتمام البند على أكمل وجه </t>
  </si>
  <si>
    <t>16.6.5</t>
  </si>
  <si>
    <t>Recessed mounted downlight luminare led light 31 watt with clear safety IP20 ,230 v ,4000k ,1665 LUMEN ,</t>
  </si>
  <si>
    <t xml:space="preserve">وحدة انارة من النوع ليد تركب غاطسة بقدرة 31 وات 230 فولت مع نظام حماية IP 20(4000k -1665LUMEN) مع الحماية ويجب إعتمادها قبل التركيب والإكسسوارات والملحقات وكل ما يلزم لإتمام البند على أكمل وجه </t>
  </si>
  <si>
    <t>16.6.6</t>
  </si>
  <si>
    <t xml:space="preserve">Recessed downlight luminare led light 31 watt, IP44 ,230 v ,4000k ,1800LUMEN ,CR&gt;80,low glare </t>
  </si>
  <si>
    <t xml:space="preserve">وحدة انارة من النوع ليد تركب غاطسة بقدرة 31 وات 230 فولت على شكل دائرة مع نظام حماية IP 44(4000k -1800LUMEN ,CR&gt;80) ويجب إعتمادها قبل التركيب والإكسسوارات والملحقات وكل ما يلزم لإتمام البند على أكمل وجه </t>
  </si>
  <si>
    <t>LIGHTING FIXTURES( Cont'd)</t>
  </si>
  <si>
    <t xml:space="preserve">تكملة وحدات الإنارة   </t>
  </si>
  <si>
    <t>16.6.7</t>
  </si>
  <si>
    <t xml:space="preserve">Recessed downlight luminare led light 18 watt, IP44 ,230 v ,4000k ,1000LUMEN ,CR&gt;80,low glare </t>
  </si>
  <si>
    <t xml:space="preserve">وحدة انارة من النوع ليد تركب غاطسة بقدرة 18 وات 230 فولت على شكل دائرة مع نظام حماية IP 44(4000k -1000LUMEN ,CR&gt;80) ويجب إعتمادها قبل التركيب والإكسسوارات والملحقات وكل ما يلزم لإتمام البند على أكمل وجه </t>
  </si>
  <si>
    <t>16.6.8</t>
  </si>
  <si>
    <t xml:space="preserve">Recessed downlight luminare led light 31 watt with reflector IP20 ,230 v ,4000k ,1800LUMEN ,CR&gt;80,low glare </t>
  </si>
  <si>
    <t xml:space="preserve">وحدة انارة من النوع ليد تركب غاطسة بقدرة 31 وات 230 فولت على شكل دائرة مع نظام حماية IP 20(4000k -1800LUMEN ,CR&gt;80) مع نظام عاكس خفيف التوهج ويجب إعتمادها قبل التركيب والإكسسوارات والملحقات وكل ما يلزم لإتمام البند على أكمل وجه </t>
  </si>
  <si>
    <t>16.6.9</t>
  </si>
  <si>
    <t>Recessed step led light 10 watt, IP54 ,220 v</t>
  </si>
  <si>
    <t xml:space="preserve">وحدة انارة من النوع ليد تركب غاطسة بدرجات السلم بقدرة 10 وات؛ 220 فولت ؛  IP 54 </t>
  </si>
  <si>
    <t>16.6.10</t>
  </si>
  <si>
    <t>Pendant / ceiling mounted emergency led exit light fixture 4.5 watt, 220 v, battery for 3 hour</t>
  </si>
  <si>
    <t xml:space="preserve">وحدة انارة من النوع مغلقة بالسقف المستعار من النوع ليد لمخارج الطوارئ بقدرة 4.5 وات ؛ 220 فولت وبطارية تعمل لمده 3 ساعات  </t>
  </si>
  <si>
    <t>16.6.11</t>
  </si>
  <si>
    <t xml:space="preserve">Linear luminaire, IP44 LED 50 watts, 220V, 60 Hz surface mounted    </t>
  </si>
  <si>
    <t xml:space="preserve">وحدة انارة خطية ظاهرة من النوع ليد وبقدرة 50 وات ؛ 220 فولت وتكون محميه ضد العوامل الجويه IP 44  </t>
  </si>
  <si>
    <t>16.6.12</t>
  </si>
  <si>
    <t>Outdoor LED light wall mounted 13 watt 1000 lumens with light emission from two sides</t>
  </si>
  <si>
    <t xml:space="preserve">وحدة انارة خارجية جدارية من النوع ليد بقدرة 13وات (1000 lumens) وبها إضاءة مشعة من الطرفين ويجب إعتمادها قبل التركيب والإكسسوارات والملحقات وكل ما يلزم لإتمام البند على أكمل وجه    </t>
  </si>
  <si>
    <t>16.6.13</t>
  </si>
  <si>
    <t>LED strip light 14.7 watt/m in aluminum profile above glass or opal diffuser with 20cm width with led powder supply / driver</t>
  </si>
  <si>
    <t xml:space="preserve">وحدة انارة طولية نمن النوع ليد وبقدرة 14.7 وات / م وتكون محميه بإطار من الألمنيوم فوق الزجاج أو ناشرات للضوء وتكون بعرض 20 سم </t>
  </si>
  <si>
    <t>16.6.14</t>
  </si>
  <si>
    <t>Wall mounted emergency led light , 220 V, 60 Hz., 3 hour battery back-up 1500 lumen,CR&gt;80, 2*5 watt,</t>
  </si>
  <si>
    <t xml:space="preserve">وحدة انارة من النوع ليد للطوارئ تركب بالحائط بقدرة 2*5 وات وبطارية تعمل لمده 3 ساعات 220 فولت (1500 LUMEN ,CR&gt;80) ويجب إعتمادها قبل التركيب والإكسسوارات والملحقات وكل ما يلزم لإتمام البند على أكمل وجه </t>
  </si>
  <si>
    <t>16.6.15</t>
  </si>
  <si>
    <t>Chandeller (as per client approval material)</t>
  </si>
  <si>
    <t xml:space="preserve">وحدة ثريات (نجف) والنوع حسب رغبة وإعتماد المالك </t>
  </si>
  <si>
    <t>16.6.16</t>
  </si>
  <si>
    <t xml:space="preserve">600*600 mm recess mounted led light 50 watt 2700LUMEN, 4000k, ,220v,60hz (IP-44) with prismatic diffuser </t>
  </si>
  <si>
    <t xml:space="preserve">وحدة انارة ارضية مستطيلة 600*600 مم تركب غاطسة من النوع ليد وبقدرة 50 وات ؛ 220 فولت 2700LUMEN 3600-4000k) مع نظام حماية IP 44 وموزع ضوء منشورى ويجب إعتمادها قبل التركيب والإكسسوارات والملحقات وكل ما يلزم لإتمام البند على أكمل وجه    </t>
  </si>
  <si>
    <t>16.6.17</t>
  </si>
  <si>
    <t>Underground led light fixture,17 watt, 60H ,342 LM, 220V as per specification and drawings</t>
  </si>
  <si>
    <t xml:space="preserve">وحدة انارة من النوع ليد غاطسة بالرصيف بقدرة  17 وات مع غطاء حماية ؛ 60 هرتز ؛ 220 فولت ؛ 342 لومين وكل الملحقات المطلوبة حسب المخططات والمواصفات </t>
  </si>
  <si>
    <t>16.6.18</t>
  </si>
  <si>
    <t>Street light galvanized steel pole 6 meter height, single arm 80w led light, 220V, 6966 LM, complete with concrete base and wiring</t>
  </si>
  <si>
    <t>توريد وتركيب أعمدة خارجية للشوارع من الحديد المجلفن حسب رغبة المالك وبإرتفاع 6 متر مع كشاف من النوع ليد 80 وات؛ 220 فولت ؛ 6966 لومين شاملا القاعدة الخرسانية والحفر والردم والأسلاك وجميع ما يلزم لتنفيذ البند على أكمل وجع طبقا للمخططات والمواصفات</t>
  </si>
  <si>
    <t>16.6.19</t>
  </si>
  <si>
    <t xml:space="preserve">Up light round front 120 mm Dia with 30 cm ground rod base,13 watt, 60H, IP 67, 220V, as per specification and drawings,  </t>
  </si>
  <si>
    <t xml:space="preserve">وحدة انارة أرضية من النوع ليد دائرية بقطر 120 مم مركبة على قاعدة 30 سم وبقدرة 13 وات مع نظام حماية IP 67 ؛60 هرتز ؛ 220 فولت وكل الملحقات المطلوبة حسب المخططات والمواصفات </t>
  </si>
  <si>
    <t>16.6.20</t>
  </si>
  <si>
    <t>16.6.21</t>
  </si>
  <si>
    <t xml:space="preserve">وحدة انارة خارجية جدارية من النوع ليد بقدرة  13وات (1000 lumens) وبها إضاءة مشعة من الطرفين ويجب إعتمادها قبل التركيب والإكسسوارات والملحقات وكل ما يلزم لإتمام البند على أكمل وجه    </t>
  </si>
  <si>
    <t>Wiring Device</t>
  </si>
  <si>
    <t>البرايز وأنظمة التوصيل</t>
  </si>
  <si>
    <t>16.7.1</t>
  </si>
  <si>
    <t>Wiring devices includes switches and Receptacle outlets complete with device boxes, wirings, conduits, cover plates and all accessories for complete the work and as per approved samples</t>
  </si>
  <si>
    <t>توريد وتركيب وإختبار وجاهزية التشغيل للبرايز وأنظمة التوصيل حسب ما سيتم إعتماده من قبل المالك والتي تشتمل على جميع العلب واللوحات والمفاتيح والمآخذ والسلك المغلف المعزول بما في ذلك الدوائرالفرعية النهائية شاملة الكابلات والأسلاك ومواسير التوصيل والقطع الخاصة والشرائط والموصلات وأعمال التكسير والإكسسوارات وحسب المطلوب لزوم المواقع الموضحة بالمخططات وحسب الموضح في المواصفات وعلي المقاول التأكد من أن تكون جميع البرايز المثبتة فى الأماكن الرطبة وجميع المخارج بالمطابخ ودورات المياه والمغاسل وسخانات المياه الكهربائية مزوده بوحدة حمايه ضد التسرب الأرضي (GFCI)</t>
  </si>
  <si>
    <t>16.7.1.1</t>
  </si>
  <si>
    <t xml:space="preserve">220V,2P,3W,13A,Duplex Receptacle Outlet with Grounding Slot </t>
  </si>
  <si>
    <t xml:space="preserve">مخرج مقبس أفياش مزدوجه تركيب متساطح 13 أمبير، 220 فولت،  (قطب+محايد+أرضي) </t>
  </si>
  <si>
    <t>16.7.1.2</t>
  </si>
  <si>
    <t>220V,2P,3W,13A, Single Receptacle Outlet with Grounding slot</t>
  </si>
  <si>
    <t xml:space="preserve">مخرج مقبس أفياش مفرد تركيب متساطح 13 أمبير، 220 فولت، 3 سن (قطب+محايد+أرضي)  </t>
  </si>
  <si>
    <t>16.7.1.3</t>
  </si>
  <si>
    <t>220V,2P,20A,IP20, DP switch for hand dryer</t>
  </si>
  <si>
    <t xml:space="preserve">مفتاح لمجفف الأيدى ثنائى القطب 20 أمبير ؛220 فولت ثنائى القطب؛ IP 20 </t>
  </si>
  <si>
    <t>16.7.1.4</t>
  </si>
  <si>
    <t>DP Switch 32A ,220v, 2P, IP20 for split AC unit</t>
  </si>
  <si>
    <t xml:space="preserve">مفتاح لوحدات التكييف الإسبليت؛ 32 أمبير ؛ 220 فولت ثنائى القطب؛ IP 20 </t>
  </si>
  <si>
    <t>16.7.1.5</t>
  </si>
  <si>
    <t>DP Switch 32A ,220v, 2P, IP20 for water heater</t>
  </si>
  <si>
    <t xml:space="preserve">مفتاح لسخانات المياة ؛  32 أمبير ؛ 220 فولت ثنائى القطب ؛ IP 20 </t>
  </si>
  <si>
    <t>16.7.1.6</t>
  </si>
  <si>
    <t xml:space="preserve">DP Switch 20A, 220V, 2 Pole, IP-20 for Exhaust Fan </t>
  </si>
  <si>
    <t xml:space="preserve">مفتاح لمرواح الشفط  ؛ 20 أمبير ؛220 فولت ؛ ثنائى القطب ؛ IP 20 </t>
  </si>
  <si>
    <t>16.7.1.7</t>
  </si>
  <si>
    <t xml:space="preserve">Disconnect Switch 20A, 220V, 2 Pole, IP-20 for roof mounted Exhaust Fan </t>
  </si>
  <si>
    <t>مفتاح للفصل 20 أمبير ؛220 فولت ؛ ثنائى القطب IP 20 لمراوح الشفط المركبة بالسقف</t>
  </si>
  <si>
    <t>16.7.1.8</t>
  </si>
  <si>
    <t>DISCONNECT Switch 40A ,220v, 2 Pole, IP-65 for AC unit</t>
  </si>
  <si>
    <t xml:space="preserve">مفتاح للفصل للتكيفات 40 أمبير ؛220 فولت ؛ ثنائى القطب IP 65 </t>
  </si>
  <si>
    <t>16.7.1.9</t>
  </si>
  <si>
    <t>1 Gang switch, 20A</t>
  </si>
  <si>
    <t>مفتاح مفرد 20 أمبير بسكة واحدة</t>
  </si>
  <si>
    <t>16.7.1.10</t>
  </si>
  <si>
    <t xml:space="preserve">2 Gang switch, 20A  </t>
  </si>
  <si>
    <t xml:space="preserve">مفتاح مزدوج 20 أمبيربسكة واحدة </t>
  </si>
  <si>
    <t>Panel boards</t>
  </si>
  <si>
    <t xml:space="preserve">لوحات التوزيع الكهربائية الرئيسية </t>
  </si>
  <si>
    <t>16.8.1</t>
  </si>
  <si>
    <t>Supply, install and test Panel boards complete with main and branch circuit breaker,busbar,frame box and including  cables, cables tray, conduits, all accessories, manufacture must be according to specification and as per approved samples.</t>
  </si>
  <si>
    <r>
      <t xml:space="preserve">توريد وتركيب واختباروتجهيز التشغيل للوحات التوزيع الكهربائية من النوع الذى سيتم إعتماده من قبل المالك </t>
    </r>
    <r>
      <rPr>
        <sz val="10"/>
        <rFont val="Arial"/>
        <family val="2"/>
      </rPr>
      <t>تتضمن كافة التوصيلات و الكابلات وحوامل الكابلات ,و المواسير والتغذية الرئيسية</t>
    </r>
    <r>
      <rPr>
        <sz val="10"/>
        <color theme="1"/>
        <rFont val="Arial"/>
        <family val="2"/>
      </rPr>
      <t xml:space="preserve"> وتكون بقدرة حسب ماهو موضــح بالمخطـطات وتحتـوي على وسائل الحمايه القابلة للضبط في زيادة حمل دائرة القطع والسلك الأرض وكل ما يلزم لإنهاء البند</t>
    </r>
  </si>
  <si>
    <t>16.8.1.1</t>
  </si>
  <si>
    <t>MDB 200AT/200AF 
Incomer : 1no.
Outgoing MCCB : 12 ways
Rating as per panel schedule to be prepared by Contractor.</t>
  </si>
  <si>
    <t xml:space="preserve">توريد وتركيب واختباروتجهيز التشغيل للوحة كهرباء مرجع (MDP) 200AT/200AF أمبير للمبنى الإدارىحسب ما سيتم إعتماده من قبل المالك مكونة من 12 منفذ :- المداخل والمخارج بعدد 12 من نوع (MCCB) على أن يكون ترتيب وتركيب اللوحات يتم تقديمها من قبل المقاول ومطابقة لجداول الأحمال المعتمدة من الإستشارى </t>
  </si>
  <si>
    <t>16.8.1.2</t>
  </si>
  <si>
    <t>LPP-1
Incomer : 1no.
Outgoing MCCB : 24 ways
Rating as per panel schedule to be prepared by Contractor.</t>
  </si>
  <si>
    <t xml:space="preserve">توريد وتركيب واختباروتجهيز التشغيل للوحة كهرباء مرجع (LPP) حسب ما سيتم إعتماده من قبل المالك مكونة من 24 منفذ :- المداخل والمخارج بعدد 24 من نوع (MCCB) على أن يكون ترتيب وتركيب اللوحات يتم تقديمها من قبل المقاول ومطابقة لجداول الأحمال المعتمدة من الإستشارى </t>
  </si>
  <si>
    <t>16.8.1.3</t>
  </si>
  <si>
    <t>PP-1
Incomer MCCB : 1no.
Outgoing MCCB : 42 ways
Rating as per panel schedule to be prepared by Contractor.</t>
  </si>
  <si>
    <t xml:space="preserve">توريد وتركيب واختباروتجهيز التشغيل للوحة كهرباء مرجع (PP) حسب ما سيتم إعتماده من قبل المالك مكونة من 42 منفذ :- المداخل والمخارج بعدد 42 من نوع (MCCB) على أن يكون ترتيب وتركيب اللوحات يتم تقديمها من قبل المقاول ومطابقة لجداول الأحمال المعتمدة من الإستشارى </t>
  </si>
  <si>
    <t>16.8.1.4</t>
  </si>
  <si>
    <t>LPP-2
Incomer : 1no.
Outgoing MCCB : 18 ways
Rating as per panel schedule to be prepared by Contractor.</t>
  </si>
  <si>
    <t xml:space="preserve">توريد وتركيب واختباروتجهيز التشغيل للوحة كهرباء مرجع (LPP-2) حسب ما سيتم إعتماده من قبل المالك مكونة من 18 منفذ :- المداخل والمخارج بعدد 18 من نوع (MCCB) على أن يكون ترتيب وتركيب اللوحات يتم تقديمها من قبل المقاول ومطابقة لجداول الأحمال المعتمدة من الإستشارى </t>
  </si>
  <si>
    <t>16.10</t>
  </si>
  <si>
    <t>PUBLIC ADDRESS</t>
  </si>
  <si>
    <t>نظام النداء الصوتى</t>
  </si>
  <si>
    <t>Supply, installation, termination, testing, commissioning fully functional sound system including wiring, conduits, cable trays, cable terminations,microphones ,speakers , amplifiers,  accessories,..etc.., according to the drawings and specifications</t>
  </si>
  <si>
    <t xml:space="preserve">توريد وتركيب وإختبار وجاهزية التشغيل للنظام الصوتى مكون من سماعات ومكبرات صوت ويشتمل على صناديق السحب تمديد الاسلاك وتمديد على صناديق السحب والأسلاك وحوامل الكابلات ومداخل ومخارج الكابلات وجميع الاكسسوارات وكل ما يلزم لإنهاء البند وفقا للرسومات والمواصفات الفنية       </t>
  </si>
  <si>
    <t>16.10.1</t>
  </si>
  <si>
    <t>Ceiling recessed speaker 10 watt</t>
  </si>
  <si>
    <t>سماعات صوت تركب غاطسة بالأسقف المستعارة 10 وات</t>
  </si>
  <si>
    <t>16.10.2</t>
  </si>
  <si>
    <t xml:space="preserve">Wall mounted speaker 10 watt </t>
  </si>
  <si>
    <t>سماعات صوت تركب بالحائط  10 وات</t>
  </si>
  <si>
    <t>16.10.3</t>
  </si>
  <si>
    <t xml:space="preserve">Roof mounted speaker 30 watt </t>
  </si>
  <si>
    <t>سماعات صوت تركب بالحائط  30 وات</t>
  </si>
  <si>
    <t>16.10.4</t>
  </si>
  <si>
    <t>100*100 mm pull speaker box</t>
  </si>
  <si>
    <t>صناديق السحب بأبعاد 100*100 مم</t>
  </si>
  <si>
    <t>16.10.5</t>
  </si>
  <si>
    <t>Multi flexoer amplifier</t>
  </si>
  <si>
    <t>مكبر صوت معكوف متعدد المسارات</t>
  </si>
  <si>
    <t>16.10.6</t>
  </si>
  <si>
    <t>Point wiring including UTP cable 14 AWG ,2 core for speaker in Ø25 mm pvc pipe embedded in wall or concrete</t>
  </si>
  <si>
    <t>النقاط والأسلاك بما في ذلك كابل من نوع UTP لمكبر الصوت في أنبوب PVC مقاس 25 مم مدمج في الحائط أو الخرسانة</t>
  </si>
  <si>
    <t>16.11</t>
  </si>
  <si>
    <t>16.11.1</t>
  </si>
  <si>
    <t>16.11.2</t>
  </si>
  <si>
    <t>16.11.3</t>
  </si>
  <si>
    <t>16.11.4</t>
  </si>
  <si>
    <t>16.11.5</t>
  </si>
  <si>
    <t>16.11.6</t>
  </si>
  <si>
    <t>كابلات الربط من النوع UTP, 14AWG حيث توضع على زوجين للسماعات داخل مواسير من البى فى سى بقطر 25 مم</t>
  </si>
  <si>
    <t>16.12</t>
  </si>
  <si>
    <t xml:space="preserve">Electrical Works for Helipad </t>
  </si>
  <si>
    <t>الأعمال الكهربائية لمهبط طائرات الهليكوبتر</t>
  </si>
  <si>
    <t>16.12.1</t>
  </si>
  <si>
    <t>Supply, install, test, and commisioning of Helipad Electrical works complete including but not limited to Lighting and Luminaires, and  Civil Works, and concrete foundation, pipes, conduits, cables, grounding, draw pits, ground rod, excavation, backfilling, disposal of surplus materials, concreting works and other items to complete the work as per shop drawings, specifications, standards, and as per approved samples.</t>
  </si>
  <si>
    <t>توريد وتركيب واختبار وتشغيل الأعمال الكهربائية لمهبط طائرات الهليكوبتر كاملة بما في ذلك على سبيل المثال لا الحصر الإضاءة ووحدات الإنارة والأعمال المدنية والأساسات الخرسانية والأنابيب والقنوات والكابلات والتأريض وحفر السحب والقضبان الأرضية والحفر والردم والتخلص من المواد الفائضة وأعمال الخرسانة وغيرها من العناصر لاستكمال العمل حسب المخططات التنفيذية والمواصفات والمعايير وحسب العينات المعتمدة.</t>
  </si>
  <si>
    <t>16.12.1.1</t>
  </si>
  <si>
    <t xml:space="preserve">Inest LED lighting 8W with all the required accessories, as per helipad lighting specifications &amp; with all the  requirements </t>
  </si>
  <si>
    <t>وحدة إنارة Inest من نوع ليد 8 واط مع جميع الملحقات ووفقاً لمواصفات إضاءة مهبط طائرات الهليكوبتر ومع جميع المتطلبات</t>
  </si>
  <si>
    <t>16.12.1.2</t>
  </si>
  <si>
    <t xml:space="preserve">Elevated LED lighting 8W with all the required accessories, as per helipad lighting specifications &amp; with all the  requirements </t>
  </si>
  <si>
    <t>وحدة إنارة  Elevated من نوع ليد  8 واط  مع جميع الملحقات المطلوبة، وفقًا لمواصفات إضاءة مهبط طائرات الهليكوبتر ومع جميع المتطلبات</t>
  </si>
  <si>
    <t>Electrical Works for Helipad (CONT D)</t>
  </si>
  <si>
    <t>تكملة الأعمال الكهربائية لمهبط طائرات الهليكوبتر</t>
  </si>
  <si>
    <t>16.12.1.3</t>
  </si>
  <si>
    <t xml:space="preserve">Flood led lighting 24W, with concrete foundation, with all the required accessories, as per helipad lighting specifications &amp; with all the  requirements </t>
  </si>
  <si>
    <t>وحدة إنارة Flood ليد 24 وات، مع قاعدة خرسانية، مع جميع الملحقات المطلوبة، حسب مواصفات إضاءة مهبط طائرات الهليكوبتر ومع جميع المتطلبات</t>
  </si>
  <si>
    <t>16.12.1.4</t>
  </si>
  <si>
    <t xml:space="preserve">LV cables size (3C x 3 mm) inside 50 dia. pvc pipes,  with all the required accessories, as per helipad lighting specifications &amp; with all the  requirements </t>
  </si>
  <si>
    <t>كابلات الجهد المنخفض مقاس (3C × 3 مم) داخل  50 مم مواسير من نوع  PVC، مع جميع الملحقات المطلوبة، حسب مواصفات إضاءة مهبط طائرات الهليكوبتر ومع جميع المتطلبات</t>
  </si>
  <si>
    <t>16.12.1.5</t>
  </si>
  <si>
    <t xml:space="preserve">LV cables size (3C x 10 mm) inside 50 dia. pvc pipes, as per helipad lighting specifications &amp; with all the  requirements with all the required accessories, as per helipad lighting specifications &amp; with all the  requirements </t>
  </si>
  <si>
    <t>كابلات الجهد المنخفض مقاس (3C × 10 مم) داخل  50 مم مواسير من نوع  PVC، مع جميع الملحقات المطلوبة، حسب مواصفات إضاءة مهبط طائرات الهليكوبتر ومع جميع المتطلبات</t>
  </si>
  <si>
    <t>16.12.1.6</t>
  </si>
  <si>
    <t xml:space="preserve">Helipad control panel with all the required accessories, as per helipad lighting specifications &amp; with all the  requirements </t>
  </si>
  <si>
    <t>لوحة تحكم في مهبط طائرات الهليكوبتر مع جميع الملحقات المطلوبة، حسب مواصفات إضاءة مهبط طائرات الهليكوبتر ومع جميع المتطلبات</t>
  </si>
  <si>
    <t>16.12.1.7</t>
  </si>
  <si>
    <t xml:space="preserve">Radio control panel  with all the required accessories, as per helipad lighting specifications &amp; with all the  requirements </t>
  </si>
  <si>
    <t>لوحة تحكم للراديو مع جميع الملحقات المطلوبة، حسب مواصفات إضاءة مهبط طائرات الهليكوبتر ومع جميع المتطلبات</t>
  </si>
  <si>
    <t>16.12.1.8</t>
  </si>
  <si>
    <t xml:space="preserve">Flag with pole complete with elevated led lighting 8W, flood led lighting  24w, with concrete foundationwith all the required accessories, as per helipad lighting specifications &amp; with all the  requirements </t>
  </si>
  <si>
    <t>لوحة تحكم للراديو مع جميع الملحقات المطلوبة، حسب مواصفات إضاءة مهبط طائرات الهليكوبتر ومع جميع المتطلباتعلم بعمود كامل مع وحدة إنارة Elevated من نوع ليد وبقدرة  8 وات، ووحدة إنارة أخرى Flood  من نوع ليد وبقدرة24 واط، مع قاعدة خرسانية مع جميع الملحقات المطلوبة، ووفقاً لمواصفات إضاءة مهبط طائرات الهليكوبتر ومع جميع المتطلبات</t>
  </si>
  <si>
    <t>16.12.1.9</t>
  </si>
  <si>
    <t xml:space="preserve">Road crossing ducts complete with pipes, cables, cables pulling, and all the required materials to finish the work, as per shop drawings, specifications, standards, and as per approved samples.  </t>
  </si>
  <si>
    <t>قنوات عبور الكابلات للطريق كاملة وتشمل المواسير والكابلات وسحب الكابلات وجميع المواد المطلوبة إنهاء العمل حسب المخططات التنفيذية والمواصفات والمقاييس وحسب العينات المعتمدة.</t>
  </si>
  <si>
    <t>16.12.1.10</t>
  </si>
  <si>
    <t xml:space="preserve">Supply, install, test, and commission of Steel Electrical Cabinet complete including but not limited to the concrete base, structure foundation, cables, frame box, IP66, weatherproof, corrosion resistant, and all the required accessories as per shop drawings, specifications, standards, and as per approved samples. </t>
  </si>
  <si>
    <t xml:space="preserve">توريد وتركيب واختبار وتشغيل كابينة كهربائية حديدية كاملة  ، شاملة على سبيل المثال لا الحصر القاعدة الخرسانية والأساسات الإنشائية والكابلات وصندوق الإطار ، بدرجة حماية IP66 ، مقاومة للعوامل للجوية ، وضد الصدأ ، مع جميع الملحقات المطلوبة كما في المخططات التنفيذية والمواصفات والمعايير والعينات المعتمدة. </t>
  </si>
  <si>
    <t>16.12.2</t>
  </si>
  <si>
    <t>Grounding System</t>
  </si>
  <si>
    <t>نظام التأريض</t>
  </si>
  <si>
    <t>16.12.2.1</t>
  </si>
  <si>
    <t>Supply, install, testing and commissioning  of grounding system complete including but not limited to grouding wires, ground rods, inspection pits, terminations, clamping, civil works, and all the required materials to complete the work according to specifications, standards, shop drawings, and as per approved samples.</t>
  </si>
  <si>
    <t>توريد وتركيب واختبار وتشغيل نظام التأريض كاملاً بما في ذلك على سبيل المثال لا الحصر أسلاك التأريض، والقضبان الأرضية، وحفر التفتيش، والنهايات، والوصلات، والأعمال المدنية، وجميع المواد المطلوبة لإكمال العمل وفقًا للمواصفات والمعايير ومخططات التنفيذ و حسب العينات المعتمدة</t>
  </si>
  <si>
    <t>16.12.3</t>
  </si>
  <si>
    <t xml:space="preserve">Complete Generators Set: </t>
  </si>
  <si>
    <t xml:space="preserve">وحدة المولدات كاملة:  </t>
  </si>
  <si>
    <t xml:space="preserve">Supply, install, test, and commission of Primary &amp; Stand-by outdoor Generators including but not limited to concrete foundations, lubrication system, control panels, earthing, (with fuel tank if required ), and all the required devices and equipment necessary to complete the work as per shop drawings, specifications, standards, and as per approved samples.  </t>
  </si>
  <si>
    <t xml:space="preserve">توريد وتركيب واختبار وتشغيل المولدات الخارجية الأساسية والاحتياطية بما في ذلك على سبيل المثال لا الحصر، القواعد الخرسانية ونظام التشحيم ولوحات التحكم والتأريض (مع خزان الوقود إذا كان من ضمن المتطلبات)، وجميع الأجهزة المطلوبة و المعدات اللازمة لإنجاز العمل حسب المخططات التنفيذية والمواصفات والمعايير وحسب العينات المعتمدة. </t>
  </si>
  <si>
    <t>16.12.3.1</t>
  </si>
  <si>
    <t>Primary &amp; Stand-by generators (5 KVA each, IP68)</t>
  </si>
  <si>
    <t>مولد كهربائي أساسي واحتياطي بقدرة ( 5KVA لكل مولد) ، IP68</t>
  </si>
  <si>
    <t>16.12.3.2</t>
  </si>
  <si>
    <t>Automatic Transfer Switch (ATS)</t>
  </si>
  <si>
    <t xml:space="preserve">مفتاح التبديل الأوتوماتيكي (ATS) </t>
  </si>
  <si>
    <t>COLLECTION PAGE</t>
  </si>
  <si>
    <t>صفحة التجميع</t>
  </si>
  <si>
    <t>Page 1 / 66</t>
  </si>
  <si>
    <t>صفحة 1 / 66</t>
  </si>
  <si>
    <t>Page 2 / 66</t>
  </si>
  <si>
    <t>صفحة 2 / 66</t>
  </si>
  <si>
    <t>Page 3 / 66</t>
  </si>
  <si>
    <t>صفحة 3 / 66</t>
  </si>
  <si>
    <t>Page 4 / 66</t>
  </si>
  <si>
    <t>صفحة 4 / 66</t>
  </si>
  <si>
    <t>Page 5 / 66</t>
  </si>
  <si>
    <t>صفحة 5 / 66</t>
  </si>
  <si>
    <t>Page 6 / 66</t>
  </si>
  <si>
    <t>صفحة 6 / 66</t>
  </si>
  <si>
    <t>Page 7 / 66</t>
  </si>
  <si>
    <t>صفحة 7 / 66</t>
  </si>
  <si>
    <t>Page 8 / 66</t>
  </si>
  <si>
    <t>صفحة 8 / 66</t>
  </si>
  <si>
    <t>Page 9 / 66</t>
  </si>
  <si>
    <t>صفحة 9 / 66</t>
  </si>
  <si>
    <t>Page 10 / 66</t>
  </si>
  <si>
    <t>صفحة 10 / 66</t>
  </si>
  <si>
    <t>Page 11 / 66</t>
  </si>
  <si>
    <t>صفحة 11 / 66</t>
  </si>
  <si>
    <t>Page 12 / 66</t>
  </si>
  <si>
    <t>صفحة 12 / 66</t>
  </si>
  <si>
    <t>Page 13 / 66</t>
  </si>
  <si>
    <t>صفحة 13 / 66</t>
  </si>
  <si>
    <t>Page 14 / 66</t>
  </si>
  <si>
    <t>صفحة 14 / 66</t>
  </si>
  <si>
    <t>Page 15 / 66</t>
  </si>
  <si>
    <t>صفحة 15 / 66</t>
  </si>
  <si>
    <t>Page 16 / 66</t>
  </si>
  <si>
    <t>صفحة 16 / 66</t>
  </si>
  <si>
    <t>Page 17 / 66</t>
  </si>
  <si>
    <t>صفحة 17 / 66</t>
  </si>
  <si>
    <t>Page 18 / 66</t>
  </si>
  <si>
    <t>صفحة 18 / 66</t>
  </si>
  <si>
    <t>Page 19 / 66</t>
  </si>
  <si>
    <t>صفحة 19 / 66</t>
  </si>
  <si>
    <t>Page 20 / 66</t>
  </si>
  <si>
    <t>صفحة 20 / 66</t>
  </si>
  <si>
    <t>Page 21 / 66</t>
  </si>
  <si>
    <t>صفحة 21 / 66</t>
  </si>
  <si>
    <t>Page 22 / 66</t>
  </si>
  <si>
    <t>صفحة 22 / 66</t>
  </si>
  <si>
    <t>Page 23 / 66</t>
  </si>
  <si>
    <t>صفحة 23 / 66</t>
  </si>
  <si>
    <t>Page 24 / 66</t>
  </si>
  <si>
    <t>صفحة 24 / 66</t>
  </si>
  <si>
    <t>Page 25 / 66</t>
  </si>
  <si>
    <t>صفحة 25 / 66</t>
  </si>
  <si>
    <t>Page 26 / 66</t>
  </si>
  <si>
    <t>صفحة 26 / 66</t>
  </si>
  <si>
    <t>Page 27 / 66</t>
  </si>
  <si>
    <t>صفحة 27 / 66</t>
  </si>
  <si>
    <t>Page 28 / 66</t>
  </si>
  <si>
    <t>صفحة 28 / 66</t>
  </si>
  <si>
    <t>Page 29 / 66</t>
  </si>
  <si>
    <t>صفحة 29 / 66</t>
  </si>
  <si>
    <t>Page 30 / 66</t>
  </si>
  <si>
    <t>صفحة 30 / 66</t>
  </si>
  <si>
    <t>Page 31 / 66</t>
  </si>
  <si>
    <t>صفحة 31 / 66</t>
  </si>
  <si>
    <t>Page 32 / 66</t>
  </si>
  <si>
    <t>صفحة 32 / 66</t>
  </si>
  <si>
    <t>Page 33 / 66</t>
  </si>
  <si>
    <t>صفحة 33 / 66</t>
  </si>
  <si>
    <t>Page 34 / 66</t>
  </si>
  <si>
    <t>صفحة 34 / 66</t>
  </si>
  <si>
    <t>Page 35 / 66</t>
  </si>
  <si>
    <t>صفحة 35 / 66</t>
  </si>
  <si>
    <t>Page 36 / 66</t>
  </si>
  <si>
    <t>صفحة 36 / 66</t>
  </si>
  <si>
    <t>Page 37 / 66</t>
  </si>
  <si>
    <t>صفحة 37 / 66</t>
  </si>
  <si>
    <t>Page 38 / 66</t>
  </si>
  <si>
    <t>صفحة 38 / 66</t>
  </si>
  <si>
    <t>Page 39 / 66</t>
  </si>
  <si>
    <t>صفحة 39 / 66</t>
  </si>
  <si>
    <t>Page 40 / 66</t>
  </si>
  <si>
    <t>صفحة 40 / 66</t>
  </si>
  <si>
    <t>Page 41 / 66</t>
  </si>
  <si>
    <t>صفحة 41 / 66</t>
  </si>
  <si>
    <t>Page 42 / 66</t>
  </si>
  <si>
    <t>صفحة 42 / 66</t>
  </si>
  <si>
    <t>Page 43 / 66</t>
  </si>
  <si>
    <t>صفحة 43 / 66</t>
  </si>
  <si>
    <t>Page 44 / 66</t>
  </si>
  <si>
    <t>صفحة 44 / 66</t>
  </si>
  <si>
    <t>Page 45 / 66</t>
  </si>
  <si>
    <t>صفحة 45 / 66</t>
  </si>
  <si>
    <t>Page 46 / 66</t>
  </si>
  <si>
    <t>صفحة 46 / 66</t>
  </si>
  <si>
    <t>Page 47 / 66</t>
  </si>
  <si>
    <t>صفحة 47 / 66</t>
  </si>
  <si>
    <t>Page 48 / 66</t>
  </si>
  <si>
    <t>صفحة 48 / 66</t>
  </si>
  <si>
    <t>Page 49 / 66</t>
  </si>
  <si>
    <t>صفحة 49 / 66</t>
  </si>
  <si>
    <t>Page 50 / 66</t>
  </si>
  <si>
    <t>صفحة 50 / 66</t>
  </si>
  <si>
    <t>Page 51 / 66</t>
  </si>
  <si>
    <t>صفحة 51 / 66</t>
  </si>
  <si>
    <t>Page 52 / 66</t>
  </si>
  <si>
    <t>صفحة 52 / 66</t>
  </si>
  <si>
    <t>Page 53 / 66</t>
  </si>
  <si>
    <t>صفحة  53 / 66</t>
  </si>
  <si>
    <t>Page 54 / 66</t>
  </si>
  <si>
    <t>صفحة 54 / 66</t>
  </si>
  <si>
    <t>Page 55 / 66</t>
  </si>
  <si>
    <t>صفحة 55 / 66</t>
  </si>
  <si>
    <t>Page 56 / 66</t>
  </si>
  <si>
    <t>صفحة 56 / 66</t>
  </si>
  <si>
    <t>Page 57/ 82</t>
  </si>
  <si>
    <t>صفحة 57 / 66</t>
  </si>
  <si>
    <t>Page 58 / 66</t>
  </si>
  <si>
    <t>صفحة 58 / 66</t>
  </si>
  <si>
    <t>Page 59 / 66</t>
  </si>
  <si>
    <t>صفحة 59 / 66</t>
  </si>
  <si>
    <t>Page 60 / 66</t>
  </si>
  <si>
    <t>صفحة 60 / 66</t>
  </si>
  <si>
    <t>Page 61 / 66</t>
  </si>
  <si>
    <t>صفحة 61 / 66</t>
  </si>
  <si>
    <t>Page 62 / 66</t>
  </si>
  <si>
    <t>صفحة 62 / 66</t>
  </si>
  <si>
    <t>Page 63 / 66</t>
  </si>
  <si>
    <t>صفحة 63 / 66</t>
  </si>
  <si>
    <t xml:space="preserve">Total - SAR </t>
  </si>
  <si>
    <t xml:space="preserve">التكلفة الإجمالية </t>
  </si>
  <si>
    <t>مدن</t>
  </si>
  <si>
    <t>MODON</t>
  </si>
  <si>
    <t>الهيئة السعودية للمدن الصناعية ومناطق التقنية</t>
  </si>
  <si>
    <t>SAUDI AUTHORITY FOR INDUSTRIAL CITIES AND TECHNOLOGY ZONES</t>
  </si>
  <si>
    <t>البنية التحتية والخدمات</t>
  </si>
  <si>
    <t>INFRASTRUCTURE AND UTILITIES</t>
  </si>
  <si>
    <t xml:space="preserve">BILL OF QUANTITIES </t>
  </si>
  <si>
    <t>مقدمة البنود - مكونات البنود</t>
  </si>
  <si>
    <t>ITEMS PREAMBLE - ITEMS CONTENTS</t>
  </si>
  <si>
    <t>أعمال الموقع والأعمال الترابية</t>
  </si>
  <si>
    <t>Site and Earth Works</t>
  </si>
  <si>
    <t>يعتبر المقاول من خلال زيارته للموقع بأنه قام بفحص واستكشاف الموقع ومحيطه وأنه قام بتحديد والأخذ بعين الاعتبار عند إعطاء أسعاره كافة التكاليف الإضافية المتعلقة بهدم (بشكل حذر) المنشآت القائمة وطرق الوصول إلى الموقع وإزالة طبقات الأعشاب الموجودة والخرسانة والأرصفة وطبقات الرصف والاسفلت وأحجار الارصفة و التربة العلوية والسياج  وحماية خطوط الخدمات القائمة وكافة ملحقاتها...الخ.</t>
  </si>
  <si>
    <t>The Contractor shall be deemed to have inspected and examined the Site and it's surroundings, and identified, considered and deemed to included all costs related to (carefully)demolition of existing structures, access roads, existing turfs, concrete, flagging, paving, curbing, road-metalling, topsoil, fencing, demolish and seal existing services, protection of existing service lines, accessories etc., and cart away debris, as directed by the Engineer and return of surface to its original conditions.</t>
  </si>
  <si>
    <t xml:space="preserve">يشمل الهدم وإخلاء الموقع أيضا التخلص من المواد الناتجة وردم الفراغات باستخدام المواد المناسبة ما لم يتم التوجيه بغير ذلك. بالاعتماد على زيارة الموقع والمعلومات المتوفرة، على المتقدم للعطاء أن يشمل فوق سعره تكاليف إزالة المخلفات الملقاة وإزالة طبقات الرصف في الأرصفة والجزر الوسطية... ألخ. والتخلص من المخلفات إلى الأمكان العمومية  المسموح بها حسب تعليمات المهندس وإعادة السطح إلى حالته الأصلية باستثناء ما تم قياسه بشكل منفرد أو تم وصفه في مكان آخر. يجب على المتقدم للعطاء أن يشمل في سعره جميع التكاليف الإضافية والناتجة عن إزالة خطوط الخدمات والمياه والكهرباء وصرف مياه الأمطار والصرف الصحي والهاتف ...ألخ.  وتعديل مسارها في حال استخدامها من أجل تشغيل مباني قائمة أخرى كما تشمل إعادة السطح إلى حالته الأصلية باستثناء ما تم قياسه بشكل منفرد أو تم وصفه في مكان آخر. </t>
  </si>
  <si>
    <t>Item for Demolition and Site clearance shall also include disposal of the materials arising and backfilling of voids with suitable material except as otherwise directed. Based on site visit &amp; available information, the tenderer shall allow in above rates for all Removal of dumped rubbish, removal of sidewalk &amp; median pavements etc, and cart away debris, as directed by the Engineer and return of surface to its original conditions , unless otherwise measured separately or specified elsewhere. The tenderer shall allow in his rates for all extra costs for removal of underground utility lines, water, electrical, storm, sanitary, telephone, etc., including return of surface to its original conditions, unless otherwise measured separately or specified elsewhere. as well as ultimate development/design requirements, and to price comprehensively.</t>
  </si>
  <si>
    <t>يتم حساب كميات الأعمال الترابية على أساس صافي الأبعاد الناتجة عن المخططات مع عدم السماح بمخصصات للزيادة أو النقصان أو الإهدار أو مساحات العمل. تشمل أسعار أعمال الحفر الحفاظ على الحفر جافة بالطرق المعتمدة</t>
  </si>
  <si>
    <t>The quantities of earthworks shall be computed net using dimensions from the Drawings with no allowance for bulking, shrinkage, waste or working space. Rates for excavation shall include for keeping excavations free from water by acceptable means.</t>
  </si>
  <si>
    <t xml:space="preserve">أسعار الحفر (في مناطق القطع) تشمل تثبيت مستوى السطح النهائي المتكون طبقا للمواصفات. على المتقدمين للمناقصة الرجوع إلى المعلومات والتقارير الجيولوجية المتوفرة بخصوص حالة التربة والقيام باستكشاف الموقع بشكل ملائم للحصول على فهم كامل لحالة الارض و التربة في الموقع قبل وضع الأسعار في جدول الكميات ويجب تضمين أية تكلفة أضافية متعلقة بفحص التربة وبأعمال الحفر. ويتضمن البند الحفر في  جميع انواع التربة  (ترابية أو صخرية) ما لم يتم قياس الحفر في التربه الصخريه في بند منفصل.
</t>
  </si>
  <si>
    <t xml:space="preserve">Excavation  prices (in cut areas) includes installing the final surface formed according to the specifications. The Tenderers are to refer to the information and geological reports that are available relating to the condition of the soil as well as exploring the site properly to get a full understanding of the status of the land and soil at the site before pricing of the bill of quantities. Rates must include any additional costs related to examination of the soil and excavation work. The item includes excavation in all types of soil (including rocks and hard material that requires special equipment), unless otherwise measured separately or specified elsewhere
</t>
  </si>
  <si>
    <t xml:space="preserve">تعتبر تكاليف أعمال الحفر في مناطق القطع متضمنة لحميع الموارد المطلوبة الإضافية والمصاريف المتعلقة بالحفر لجميع الأعماق ما لم يتم قياسها بشكل منفرد. </t>
  </si>
  <si>
    <t xml:space="preserve">Excavation for cuttings; deemed to be included all additional resources and expenses  related to various and all depths, unless otherwise measured seperately.  </t>
  </si>
  <si>
    <t>تشمل أسعار المواد المستخدمة في الردم من خارج الموقع الحفر في الموقع الخارجي (عند الحاجة) والنقل والتفريغ والدمك في طبقات حسب المواصفات. يجب أن تكون المواد المستوردة من خارج الموقع خالية من أية مواد عضوية أو نفايات أو أتربة سطحية أو صخور... الخ حسب المواصفات وباعتماد المهندس.</t>
  </si>
  <si>
    <t>The rate for imported fill material shall deemed to include borrow pit excavation, hauling, placement  and compaction in layers as specified. Imported material must be free from all organic materials, waste, top soil, rock, etc., as specified, and to approval of the Engineer.</t>
  </si>
  <si>
    <t>لن يتم دفع تكاليف تكديس المواد والمناولة المزدوجة للمواد التي يتم حفرها على أن يتضمنها المقاول في الأسعار المقدمة ما لم يتم قياسها بشكل منفرد.</t>
  </si>
  <si>
    <t>Stockpiling and Double handling of excavated material shall not be payed seperately and the Contractor shall be deemed to have included  in his rates, unless measured seperately.</t>
  </si>
  <si>
    <t>التكاليف الخاصة بقطع وتجهيز الأسطح التي يتم حفرها متضمنة في أسعار الحفر ذات الصلة.</t>
  </si>
  <si>
    <t xml:space="preserve">Trimming and preparation of excavated surfaces, are deemed to be included  within the relevant excavation rates.  </t>
  </si>
  <si>
    <t>1.10</t>
  </si>
  <si>
    <t>التكاليف الخاصة بقطع وتجهيز الأسطح التي تم ردمها متضمنة في أسعار الردم ذات الصلة.</t>
  </si>
  <si>
    <t xml:space="preserve">Trimming and preparation of filled surfaces, are deemed to be included within the relevant filling rates.   </t>
  </si>
  <si>
    <t>1.11</t>
  </si>
  <si>
    <t>يجب أن تشمل أسعار المتقدم للمناقصة فيما يتعلق بالحفر أية تكاليف إضافية للحفر في أي مواد مثل التربة الترسيبية والرمال والصخور وإجراء الحفر و الردم في أوضاع التربة الغير مناسبة و معالجة التربة و الحفر علي أي أعماق والحفر تحت منسوب المياه العادي والحفر حول المرافق والخدمات القائمة و العمل ضمن مناطق محصورة وعالية الخطورة وإزالة تلك المرافق والخدمات المهملة وغير المستخدمة ودعم الجوانب العمودية ومساحات العمل وردم المناطق غير الثابتة أثناء الحفر ما لم يتم قياسها بشكل منفرد أوما لم ينص على خلاف ذلك.</t>
  </si>
  <si>
    <t>The tenderer shall allow in his earthworks rates for all extra costs; for excavating in any material including running silt, running sand and rock, additional cut and fill for unsuitable soil conditions, soil treatments, commencing excavation at any depth, excavating below the normal water table, excavating around existing services and mains, working in restricted areas, high risk areas, the removal of dead services , supporting the vertical sides or excavations, working space and filling soft spots , unless otherwise measured separately or specified elsewhere.</t>
  </si>
  <si>
    <t>1.12</t>
  </si>
  <si>
    <t xml:space="preserve">يجب أن تشمل أسعار المتقدم للمناقصة  تكاليف ازالة مواد ناتج الحفر الزائدة الى المقالب العمومية  المعتمدة التى تحددها الجهات المختصة </t>
  </si>
  <si>
    <t>The price  of the contractor must include costs for  materials disposal to public landfills approved by the competent authorities</t>
  </si>
  <si>
    <t>أعمال الخرسانة</t>
  </si>
  <si>
    <t>CONCRETE Works</t>
  </si>
  <si>
    <t>تشمل الأسعار الخاصة بالخرسانة المصبوبة في الموقع توفير الخرسانة وصبها ويشمل ذلك كافة الوصلات وموانع التسرب وخلاطات الخرسانة والأوتاد وأساليب التحكم في الشقوق وملحقات خرسانية والإضافات والتحبيب والأعمال النهائية لتمليس السطح الخ ما لم ينص على خلاف ذلك</t>
  </si>
  <si>
    <t>The rates inserted for in-situ concrete in all classifications shall include for provision of concrete, and placing of concrete including all joints, water stops, rebates, groves, dowels, crack controls, concrete accessories, inserts, grouting and finishing to top surface, etc, unless otherwise measured separately.</t>
  </si>
  <si>
    <t>تشمل الأسعار الخاصة بالخرسانة العادية الشدات وفي الأركان أو أي أبعاد إضافية للخرسانة طبقا لما يراه المقاول مناسبا</t>
  </si>
  <si>
    <t>The rates for blinding shall include for shuttering at edges or additional width of concrete at the discretion of the Contractor.</t>
  </si>
  <si>
    <t>تشمل الأسعار الخاصة بالخرسانة لكافة الفئات التجويفات والفراغات وتثبيت البراغي وفتحات التثبيت</t>
  </si>
  <si>
    <t>The rates for concrete in all classifications shall include for forming mortises and holes, which shall include mortises for holding down bolts and weep holes.</t>
  </si>
  <si>
    <t>تشمل الأسعار الخاصة بالخرسانة المسلحة الشدات بكافة أنواعها  وحديد التسليح والخرسانات وكل مايلزم طبقا لما يراه المقاول مناسبا لإنهاء العمل حسب المخططات  والمتطلبات الخاصة بالمواصفات.</t>
  </si>
  <si>
    <t>The rates for reinforcement concrete   shall include  all type of shuttering ,steel, concrete, as the discretion of the Contractor according to the Drawings and requirements of the Specification..</t>
  </si>
  <si>
    <t>بما لا يتعارض مع قاعدة القياس M10 يجب أن يتضمن المقاول في أسعاره إنشاء كافة الوصلات التي قد لا تكون موضحة تفصيلا أو موجودة في المخططات والمتطلبات الخاصة بالمواصفات</t>
  </si>
  <si>
    <t>Notwithstanding measurement rule M10, the Contractor shall be deemed to have included in his rates for all construction joints not expressly detailed or located on the Drawings and requirements of the Specification.</t>
  </si>
  <si>
    <t>بما لا يتعارض مع قاعدة القياس M13  to M16 يجب أن يتضمن المقاول في أسعاره إنشاء كافة الملحقات الخرسانية التي قد لا تكون موضحة تفصيلا أو موجودة في المخططات والمتطلبات الخاصة بالمواصفات</t>
  </si>
  <si>
    <t>Notwithstanding measurement rule M13 to M16, the Contractor shall be deemed to have included in his rates for all concrete accessories not expressly detailed or located on the Drawings and requirements of the  Specification.</t>
  </si>
  <si>
    <t>تشمل الأسعار الخاصة بالدعامات أعمال الثني والتمليس والقطع المنحني وأسلاك الربط واللفات والكتل والجلسات والفواصل</t>
  </si>
  <si>
    <t>The rates for reinforcement shall include for bending, raking and curved cutting, notching, tying wire, laps, distance blocks, chairs and spacers.</t>
  </si>
  <si>
    <t>تشمل الأسعار الخاصة بالخرسانة سابقة التجهيز الشدات أو القوالب والتشكيل ومواد الوصلات وفواصل التغطية ومواد التبطين مقاومة للمياه وأغطية خاصة ووصلات خاصة بين الوحدات وهياكل وروابط وصبات وأي وسائل تثبيت أخرى وتمليس وتشطيب مسبق ونهائي</t>
  </si>
  <si>
    <t>The rates for pre-cast concrete shall include shuttering or moulds, bedding, pointing, expansion material, cover strips, damp proof membranes, special sealing and special pointing between Units and Units and structure, anchor bolts, casting, other fixing devices, grouting and pre &amp; final finishes</t>
  </si>
  <si>
    <t>تشمل عناصر الخرسانة سابقة التجهيز كافة التكاليف المرتبطة بالتصنيع والتوريد والنقل للموقع والتفريغ والتخزين في الموقع وتكلفة كافة العمليات في الموقع من النقل  والصب والتركيب بما فيها أجور الكرينات (الونش)وتنفيذ الأعمال على أكمل وجه وتشمل اختبارات الأنظمة بالمصنع والموقع والانظمة النهائية وبدء التنفيذ والصيانة والتأمين على المعدات في الموقع الخ طبقا للمخططات والمواصفات</t>
  </si>
  <si>
    <t>Pre-cast concrete components shall include for all costs associated with manufacture, supply, transportation to site, offloading, on-site storage, the cost of all operations at the site, site transportation, erection and installation, setting to work, including factory, site and final system tests and for commissioning, maintenance and insurance of the equipment on site, etc., all as specified and according to drawings</t>
  </si>
  <si>
    <t>2.10</t>
  </si>
  <si>
    <t>تشمل الأسعار الخاصة بصب الخرسانة والأعمال الترابية والخرسانة العادية والشدات وأعمال المبانى وأعمال التشطيبات النهائية وكافة الأعمال المدنية الضرورية ما لم يتم قياسها بشكل منفصل</t>
  </si>
  <si>
    <t>The rate for placing of concrete deemed to be including , earthworks, blinding, steps, masonry, concreting, final finishes and all other civil works as necessary, unless measured separately</t>
  </si>
  <si>
    <t xml:space="preserve">أعمال البردورات مسبقة الصب وتشمل صب خرسانة الأساسات بالموقع، المونة الأسمنتية ، التسليح ، الحفر ، الردم ، الدمك ، الدهانات والتخلص من المخلفات وانهاء الأعمال على النحو المطلوب طبقاً لمعايير الجهات المختصة والمواصفات والمخططات التصميمية. </t>
  </si>
  <si>
    <t>Pre-cast concrete kerbs including in-situ concrete foundation, hunching, cement mortar, dowel bars, jointed and pointed in mortar, excavation, filling, compaction, disposal including painting and final finishes etc., all in accordance with authority standards and complete as per specifications and drawings</t>
  </si>
  <si>
    <t>2.12</t>
  </si>
  <si>
    <t xml:space="preserve">أعمال القواعد الخرسانية لأعمدة الإنارة واللواحات والمرورية والإرشادية تعتبر متضمّنة </t>
  </si>
  <si>
    <t>RCC foundations for light poles and traffic signs are considered part of the main items</t>
  </si>
  <si>
    <t xml:space="preserve"> أعمال المواسير والتركيبات والصمامات</t>
  </si>
  <si>
    <t>PIPEWORK , PIPES AND FITTINGS AND VALVES</t>
  </si>
  <si>
    <t>3.1</t>
  </si>
  <si>
    <t xml:space="preserve"> أعمال المواسير:</t>
  </si>
  <si>
    <t>Pipeworks:</t>
  </si>
  <si>
    <t xml:space="preserve">يشمل قياس أعمال المواسيرما يلي:
-	توريد و تشوين المواسير والقطع الخاصة
-	الحفر في جميع أنواع التربة (الترابية والصخرية) وإعداد الأسطح وإزالة المخلفات و يشمل تدعيم الجوانب الخاصة بالحفر وإزالة المرافق والخدمات المهملة وغير المستخدمة و نزح المياه
-	تركيب المواسير والقطع الخاصة في الخنادق المخصصة شاملا طبقه الأساس تحت المواسير و الطبقة المحيطة و الشريط التحذيري
-	الردم ويشمل الدمك باستخدام المواد المعتمدة طبقا للإجراءات الخاصة بالجهات المختصة
-	الحماية والدعامات الخرسانية (ان وجدت) وفقا للرسومات و المواصفات
-جميع الاعمال اللازمه لربط الشبكات الجديده علي الشبكات القائمه وعمل كافة الاختبارات اللازمه وإعاده الوضع كما كان عليه وكافة الاعمال اللازمة لأتمام البند 	
الحماية الخاصة للمرافق والخدمات المجاورة أو الطبقات المتعددة من المواسير
-	الاختبارات والتنظيف النهائي والغسيل والتعقيم
- جميع الاعمال اللازمة لإنهاء تركيب المواسير.
-	جميع الاعمال يتم تنفيذها وفقا للرسومات و المواصفات الفنيه. </t>
  </si>
  <si>
    <t>The rate for pipeworks shall include the following:
- supply and storage of pipes and special parts.
- excavation in all types of soil (including rock), surface preparation, demlition, upholding the vertical sides of excavations, the removal of dead services, and dewatering.
- installation of pipes and special parts in the proposed trenches including the foundation layer under pipes and the surrounding layer and caution tape.
- Backfilling including compaction with approved materials all in accordance with authority regulations.
- Concrete Stools and Thrust Blocks (if any) indicated in the relevant drawings and specifications.
-All necessary items to interface between the new networks and the existing networks, all necessary testing, return of surface to its original conditions.and all other items to complete this item.
- Special protection for utilities adjacent or multiple pipe laying, and pipe supports.
- Commissioning, final cleaning, flushing and sterilisation of works.
- All the works required to complete the installation of pipes.
- All the works shall be in accordance with the Drawings and Specifications.</t>
  </si>
  <si>
    <t>3.2</t>
  </si>
  <si>
    <t>أعمال غرف المحابس و المطابق:</t>
  </si>
  <si>
    <t>Valve Chambers and Manholes:</t>
  </si>
  <si>
    <r>
      <t xml:space="preserve">يشمل قياس أعمال غرف المحابس و المطابق ما يلي:
-	توريد المواسير والقطع الخاصة
-	الحفر في جميع أنواع التربة (الترابية والصخرية) وإعداد الأسطح وإزالة المخلفات ويشمل تدعيم الجوانب الخاصة بالحفر وإزالة المرافق والخدمات المهملة وغير المستخدمة و نزح المياه.
-	جميع الاعمال الخرسانية و تشمل الاساسات و الحوائط و الاسقف و الكراسى والدعمات الخرسانية وكتل التثبيت الخرسانية وكافة المتطلبات طبقا للمخططات والمواصفات ذات الصلة مثل دهان بيتوميني وطبقات نيوبرين.....الخ.
</t>
    </r>
    <r>
      <rPr>
        <sz val="12"/>
        <color theme="1"/>
        <rFont val="Arial"/>
        <family val="2"/>
      </rPr>
      <t>-</t>
    </r>
    <r>
      <rPr>
        <sz val="12"/>
        <color rgb="FFFF0000"/>
        <rFont val="Arial"/>
        <family val="2"/>
      </rPr>
      <t xml:space="preserve">	</t>
    </r>
    <r>
      <rPr>
        <sz val="12"/>
        <color theme="1"/>
        <rFont val="Arial"/>
        <family val="2"/>
      </rPr>
      <t>أعمال البناء وفرشة المونة وأعمال مقاومة المياه والدرج والاغطيه والإطارات ,و سلسله الدعم و السلامة وجميع الوصلات.</t>
    </r>
    <r>
      <rPr>
        <sz val="12"/>
        <rFont val="Arial"/>
        <family val="2"/>
      </rPr>
      <t xml:space="preserve">
-	تركيب المواسير والقطع الخاصه 
-	الحماية الخاصة للمرافق والخدمات المجاورة أو الطبقات المتعددة من المواسير
-	الاختبارات والتنظيف النهائي والغسيل والتعقيم
-	جميع الاعمال اللازمه لانهاء غرف المحابس و تركيب المواسير.
-	جميع الاعمال يتم تنفيذها وفقا للرسومات و المواصفات الفنيه
</t>
    </r>
  </si>
  <si>
    <t>The rate for Valve Chambers and Manholes shall include the following:
- supply of pipes and special parts.
- excavation in all types of soil (including rock), surface preparation, demlition, upholding the vertical sides of excavations, the removal of dead services, and dewatering.
- All the concrete works including foundation, walls, slabs, stools, and thrust blocks and all the requirements in accordance with the Drawings and Soecifications such as bituminous coat, neoprene layer, etc.
- All the civil works, mortar, waterproofing, stairs, covers, frames and chainlinks.
- installation of pipes and special parts.
- Special protection for utilities adjacent or multiple pipe laying, and pipe supports.
- Commissioning, final cleaning, flushing and sterilisation of works.
- All the works required to complete the installation of valve chambers and manholes.
- All the works shall be in accordance with the Drawings and Soecifications.</t>
  </si>
  <si>
    <t>3.3</t>
  </si>
  <si>
    <t>حنفيات الحريق</t>
  </si>
  <si>
    <t>Fire Hydrants</t>
  </si>
  <si>
    <r>
      <t xml:space="preserve">تشمل تكلفة حنفيات الحريق ما يلي:
-	توريد حنفيات الحريق والصمامات و المواسير والقطع الخاصة
-	الحفر في جميع أنواع التربة (الترابية والصخرية) وإعداد الأسطح وإزالة المخلفات ويشمل تدعيم الجوانب الخاصة بالحفر وإزالة المرافق والخدمات المهملة وغير المستخدمة و نزح المياه.
</t>
    </r>
    <r>
      <rPr>
        <sz val="12"/>
        <color theme="1"/>
        <rFont val="Arial"/>
        <family val="2"/>
      </rPr>
      <t>-	 كافة أعمال تركيب المواسير والصمامات وصناديق الصمامات وملحقاتها وحواجز التأمين والتركيبات اللازمة والملحقات وأعمال البناء.</t>
    </r>
    <r>
      <rPr>
        <sz val="12"/>
        <rFont val="Arial"/>
        <family val="2"/>
      </rPr>
      <t xml:space="preserve">
-	جميع الاعمال اللازمه لانهاء تركيب حنفيات الحريق.
-	جميع الاعمال يتم تنفيذها وفقا للرسومات و المواصفات الفنيه
</t>
    </r>
  </si>
  <si>
    <t>The rate for fire hydrants shall include the following:
- Supply of fire hydrants, valves, pipes and special parts.
- Excavation in all types of soil (including rock), surface preparation, demlition, upholding the vertical sides of excavations, the removal of dead services, and dewatering.
- All the works required for pipework, valves, surface boxes, accessories, protection barricades, necessary fittings, and accessories, and civil works,
- All the works required to complete the installation of fire hydrants.
- All the works shall be in accordance with the Drawings and Specifications.</t>
  </si>
  <si>
    <t>3.4</t>
  </si>
  <si>
    <t xml:space="preserve"> الصمامات المردومة</t>
  </si>
  <si>
    <t xml:space="preserve">تشمل تكلفة الصمامات المردومة ما يلي:
-	توريد الصمامات و المواسير والقطع الخاصة
-	الحفر في جميع أنواع التربة (الترابية والصخرية) وإعداد الأسطح وإزالة المخلفات ويشمل تدعيم الجوانب الخاصة بالحفر وإزالة المرافق والخدمات المهملة وغير المستخدمة و نزح المياه.
-	 كافة أعمال تركيب المواسير والصمامات وصناديق الصمامات وملحقاتها وحواجز التأمين والتركيبات اللازمة والملحقات وأعمال البناء.
-	جميع الاعمال اللازمه لانهاء تركيب المحابس.
-	جميع الاعمال يتم تنفيذها وفقا للرسومات و المواصفات الفنيه
</t>
  </si>
  <si>
    <t>The rate for buried valves shall include the following:
- Supply of fire hydrants, valves, pipes and special parts.
- Excavation in all types of soil (including rock), surface preparation, demlition, upholding the vertical sides of excavations, the removal of dead services, and dewatering.
- All the works required for pipework, valves, surface boxes, accessories, protection barricades, necessary fittings, and accessories, and civil works,
- All the works required to complete the installation of buried valves.
- All the works shall be in accordance with the Drawings and Specifications.</t>
  </si>
  <si>
    <t>3.5</t>
  </si>
  <si>
    <t>يعد سطح التسوية هو سطح بداية العمل لأعمال المواسير والعمق المذكور مقاس من سطح التسوية حتى منسوب قاع المواسير.</t>
  </si>
  <si>
    <r>
      <t xml:space="preserve">The </t>
    </r>
    <r>
      <rPr>
        <u/>
        <sz val="12"/>
        <color theme="1"/>
        <rFont val="Arial"/>
        <family val="2"/>
      </rPr>
      <t xml:space="preserve">"Grading level" </t>
    </r>
    <r>
      <rPr>
        <sz val="12"/>
        <color theme="1"/>
        <rFont val="Arial"/>
        <family val="2"/>
      </rPr>
      <t>shall be considered as "Commencing Surface" for pipes , the mentioned depth is from grading level to the pipe invert level.</t>
    </r>
  </si>
  <si>
    <t>3.6</t>
  </si>
  <si>
    <t>يعد العمق المذكور لأعمال المناهل وغرف المحابس هو العمق المقاس من أعلى الغطاء حتى منسوب قاع المانهول / الغرفة</t>
  </si>
  <si>
    <t>The mentioned depth for manholes and valve chambers shall be considered from the top of cover to the manhole/chamber bottom</t>
  </si>
  <si>
    <t>3.7</t>
  </si>
  <si>
    <t>الفواصل وأعمال حقن الخرسانة للمواسير داخل العبارات/ مناطق القطع تكون مشمولة ضمن أسعار المواسير كما يجب أن تشمل إعادة الشئ لأصله المانهولات والغرف الأخرى</t>
  </si>
  <si>
    <t>Spacers and grouting for pipes within ducts/crossings deemed to be included within pipes rates. Additional reinstatement shall be deemed to include for manholes and other chambers.</t>
  </si>
  <si>
    <t>3.8</t>
  </si>
  <si>
    <t xml:space="preserve">محطات الرفع </t>
  </si>
  <si>
    <t>Lift Station</t>
  </si>
  <si>
    <t>4.1</t>
  </si>
  <si>
    <t xml:space="preserve">تشمل أعمال محطة الرفع جميع الأعمال الترابية والإنشائية والمعمارية والميكانيكية والكهربائية والتحكم حسب المخططات
</t>
  </si>
  <si>
    <t>Lift station  shall be deemed to include earthworks, structure, archeticture, mechanical, electrical, C&amp;I as per the drawings and specifications</t>
  </si>
  <si>
    <t>شبكة التوزيع الكهربائية للجهد المتوسط</t>
  </si>
  <si>
    <t xml:space="preserve">Medium voltage network distribution </t>
  </si>
  <si>
    <t>5.1</t>
  </si>
  <si>
    <r>
      <t xml:space="preserve"> </t>
    </r>
    <r>
      <rPr>
        <b/>
        <sz val="12"/>
        <rFont val="Arial"/>
        <family val="2"/>
      </rPr>
      <t>خندق كابل جهد متوسط.</t>
    </r>
    <r>
      <rPr>
        <sz val="12"/>
        <rFont val="Arial"/>
        <family val="2"/>
      </rPr>
      <t xml:space="preserve">
 أعمال حفر  خنادق الكابلات في جميع أنواع التربة والردم ودك  وتسوية  الارض ونقل المخلفات الزائدة بما يشمل توريد وطرح الرملة الناعمة وشريط التحذير ومؤشرات اتجاه الكابلات وذلك وفق  مواصفات الشركة السعودية للكهرباء.   </t>
    </r>
  </si>
  <si>
    <r>
      <rPr>
        <b/>
        <sz val="12"/>
        <rFont val="Arial"/>
        <family val="2"/>
      </rPr>
      <t>Medium voltage cable trench</t>
    </r>
    <r>
      <rPr>
        <sz val="12"/>
        <rFont val="Arial"/>
        <family val="2"/>
      </rPr>
      <t xml:space="preserve">
Excavation and bedding of trench on all type of soil, backfilling with imported sand, compaction ,  warning tape  and cable markers according to  Saudi Electric Company specifications.</t>
    </r>
  </si>
  <si>
    <t>5.2</t>
  </si>
  <si>
    <r>
      <rPr>
        <b/>
        <sz val="12"/>
        <rFont val="Arial"/>
        <family val="2"/>
      </rPr>
      <t xml:space="preserve">(قطع / وأجزاء الطرق (نفق كابلات الجهد المتوسط </t>
    </r>
    <r>
      <rPr>
        <sz val="12"/>
        <rFont val="Arial"/>
        <family val="2"/>
      </rPr>
      <t xml:space="preserve">
توريد وتركيب واختبار ماسورة بلاستيك من الفئة الرابعة عند قطع الكيبلات  الطرق شاملا  التغليف بالخرسانة الاسمنتية والردم وذلك وفق مواصفات الشركة السعودية للكهرباء </t>
    </r>
  </si>
  <si>
    <r>
      <rPr>
        <b/>
        <sz val="12"/>
        <rFont val="Arial"/>
        <family val="2"/>
      </rPr>
      <t xml:space="preserve">Road parts/cutting (medium voltage cable ducts) </t>
    </r>
    <r>
      <rPr>
        <sz val="12"/>
        <rFont val="Arial"/>
        <family val="2"/>
      </rPr>
      <t xml:space="preserve"> Supply and installing upvc class 4 ducts, including concrete casting and burial according to  Saudi Electric Company specification.</t>
    </r>
  </si>
  <si>
    <t>5.3</t>
  </si>
  <si>
    <r>
      <rPr>
        <b/>
        <sz val="12"/>
        <rFont val="Arial"/>
        <family val="2"/>
      </rPr>
      <t xml:space="preserve"> كابلات الجهد المتوسط. </t>
    </r>
    <r>
      <rPr>
        <sz val="12"/>
        <rFont val="Arial"/>
        <family val="2"/>
      </rPr>
      <t xml:space="preserve">
توريد وتمديد كوابل جهد متوسط داخل خندق محفور بالارض شاملا الاختبارات  وذلك وفق مواصفات الشركة السعودية للكهرباء.</t>
    </r>
  </si>
  <si>
    <r>
      <rPr>
        <b/>
        <sz val="12"/>
        <rFont val="Arial"/>
        <family val="2"/>
      </rPr>
      <t>Medium Voltage cables.</t>
    </r>
    <r>
      <rPr>
        <sz val="12"/>
        <rFont val="Arial"/>
        <family val="2"/>
      </rPr>
      <t xml:space="preserve">
Supply , installation and testing of Medium voltage cables in trench  according to Saudi Electric Company specification.</t>
    </r>
  </si>
  <si>
    <t>5.4</t>
  </si>
  <si>
    <r>
      <rPr>
        <b/>
        <sz val="12"/>
        <rFont val="Arial"/>
        <family val="2"/>
      </rPr>
      <t>وصلات كابل جهد متوسط.</t>
    </r>
    <r>
      <rPr>
        <sz val="12"/>
        <rFont val="Arial"/>
        <family val="2"/>
      </rPr>
      <t xml:space="preserve">
 توريد وتركيب واختبار وصلات  كيبل جهد متوسط تتضمن الفحص والاختبارات  وفقا لمواصفات الشركة السعودية للكهرباء.</t>
    </r>
  </si>
  <si>
    <r>
      <rPr>
        <b/>
        <sz val="12"/>
        <rFont val="Arial"/>
        <family val="2"/>
      </rPr>
      <t>Medium voltage cable Straight joints.</t>
    </r>
    <r>
      <rPr>
        <sz val="12"/>
        <rFont val="Arial"/>
        <family val="2"/>
      </rPr>
      <t xml:space="preserve">
Supply , installation and testing of Medium voltage cable straight joints  according to the Saudi Electric Company specifications.</t>
    </r>
  </si>
  <si>
    <t>5.5</t>
  </si>
  <si>
    <r>
      <rPr>
        <b/>
        <sz val="12"/>
        <rFont val="Arial"/>
        <family val="2"/>
      </rPr>
      <t>نهايات كبلات الجهد المتوسط</t>
    </r>
    <r>
      <rPr>
        <sz val="12"/>
        <rFont val="Arial"/>
        <family val="2"/>
      </rPr>
      <t xml:space="preserve">
  توريد وتركيب نهايات الكابلات ذات الجهد المتوسط ، بما في ذلك الاختبار ، وفقاً لمواصفات الشركة السعودية للكهرباء.</t>
    </r>
  </si>
  <si>
    <r>
      <rPr>
        <b/>
        <sz val="12"/>
        <rFont val="Arial"/>
        <family val="2"/>
      </rPr>
      <t xml:space="preserve">Medium voltage cable Terminations </t>
    </r>
    <r>
      <rPr>
        <sz val="12"/>
        <rFont val="Arial"/>
        <family val="2"/>
      </rPr>
      <t xml:space="preserve">
 supply and installation and testing of Medium voltage cable terminations,  according to the Saudi Electric Company specifications .</t>
    </r>
  </si>
  <si>
    <t>5.6</t>
  </si>
  <si>
    <r>
      <rPr>
        <b/>
        <sz val="12"/>
        <rFont val="Arial"/>
        <family val="2"/>
      </rPr>
      <t>مفتاح جهد متوسط (RMU).</t>
    </r>
    <r>
      <rPr>
        <sz val="12"/>
        <rFont val="Arial"/>
        <family val="2"/>
      </rPr>
      <t xml:space="preserve">
توريد وتركيب واختبار مفتاح جهد متوسط (وحدة الربط الحلقى) لنقاط الفتح بين المغذيات (NOP) من النوع الخارجى  طبقا لمواصفات الشركة السعوديه للكهرباء. </t>
    </r>
  </si>
  <si>
    <r>
      <rPr>
        <b/>
        <sz val="12"/>
        <rFont val="Arial"/>
        <family val="2"/>
      </rPr>
      <t>Normal Open Point (RMU)</t>
    </r>
    <r>
      <rPr>
        <sz val="12"/>
        <rFont val="Arial"/>
        <family val="2"/>
      </rPr>
      <t xml:space="preserve">
Supply, installation and testing of medium voltage (RMU), normal open point (NOP) for outdoor type , according to the Saudi Electric Company specifications.</t>
    </r>
  </si>
  <si>
    <t>5.7</t>
  </si>
  <si>
    <r>
      <rPr>
        <b/>
        <sz val="12"/>
        <rFont val="Arial"/>
        <family val="2"/>
      </rPr>
      <t xml:space="preserve">محطات الإنارة </t>
    </r>
    <r>
      <rPr>
        <sz val="12"/>
        <rFont val="Arial"/>
        <family val="2"/>
      </rPr>
      <t xml:space="preserve">
توريد وتركيب محطات  إنارة شوارع وفق المعايير القياسية لوزارة النقل ومخططات التصميم (ما عدا وحدة الحلقات للجهد المتوسط تركب خارج  المحطة المصندقه ولكن بالقرب منها وفقا لمتطلبات ومواصفات الشركة السعودية للكهرباء.</t>
    </r>
  </si>
  <si>
    <t>Supply, installation and testing of street lighting substations as per MOT codes, specifications and drawings (excluding RMU, to be installed outside the Unit substation  but close to the substation as per Saudi Electric Company requirements).</t>
  </si>
  <si>
    <t>5.8</t>
  </si>
  <si>
    <r>
      <rPr>
        <b/>
        <sz val="12"/>
        <rFont val="Arial"/>
        <family val="2"/>
      </rPr>
      <t>كابلات الضغط المنخفض</t>
    </r>
    <r>
      <rPr>
        <sz val="12"/>
        <rFont val="Arial"/>
        <family val="2"/>
      </rPr>
      <t xml:space="preserve"> </t>
    </r>
    <r>
      <rPr>
        <b/>
        <sz val="12"/>
        <rFont val="Arial"/>
        <family val="2"/>
      </rPr>
      <t>LV</t>
    </r>
    <r>
      <rPr>
        <sz val="12"/>
        <rFont val="Arial"/>
        <family val="2"/>
      </rPr>
      <t xml:space="preserve">
توريد وتمديد وتركيب واختباركابلات  إنارة شوارع  جهد منخفض شاملا أعمال الحفر في أي حالة من التربة والتربة بمواد موافق عليها والتخلص من المخلفات، وفق المعايير القياسية  المواصفات ومخططات التصميم . </t>
    </r>
  </si>
  <si>
    <r>
      <rPr>
        <b/>
        <sz val="12"/>
        <rFont val="Arial"/>
        <family val="2"/>
      </rPr>
      <t>Low Voltage Cables</t>
    </r>
    <r>
      <rPr>
        <sz val="12"/>
        <rFont val="Arial"/>
        <family val="2"/>
      </rPr>
      <t xml:space="preserve">
Supply , installation and testing of street lighting low voltage cables Include for excavation in all types of soil, de-watering, backfill with approved material &amp; disposal of excavated material, as per specifications, standards and  drawings.</t>
    </r>
  </si>
  <si>
    <t>5.9</t>
  </si>
  <si>
    <r>
      <rPr>
        <b/>
        <sz val="12"/>
        <rFont val="Arial"/>
        <family val="2"/>
      </rPr>
      <t>أعمدة الإنارة</t>
    </r>
    <r>
      <rPr>
        <sz val="12"/>
        <rFont val="Arial"/>
        <family val="2"/>
      </rPr>
      <t xml:space="preserve">
توريد وتركيب أعمدة  إنارة طرق وفق المعايير القياسية و المواصفات ومخططات التصميم . 
ويشمل توريد وتركيب قواعد خرسانية مسلحة شامل أعمال الحفر في جميع أنواع التربة, والردم بمواد موافق عليها من قبل الأستشاري, والتخلص من مخلفات الردم , وفق المعايير القياسية و المواصفات ومخططات التصميم</t>
    </r>
  </si>
  <si>
    <r>
      <rPr>
        <b/>
        <sz val="12"/>
        <rFont val="Arial"/>
        <family val="2"/>
      </rPr>
      <t>Lighting Poles</t>
    </r>
    <r>
      <rPr>
        <sz val="12"/>
        <rFont val="Arial"/>
        <family val="2"/>
      </rPr>
      <t xml:space="preserve">
Supply and installation of road lighting poles according to specifications , standards and design drawings.
Including Supply and installation of reinforced concrete foundation including excavation in all types of soil, de-watering, backfill with approved material &amp; disposal of excavated material as per specifications, standards and drawings</t>
    </r>
  </si>
  <si>
    <t>5.10</t>
  </si>
  <si>
    <r>
      <rPr>
        <b/>
        <sz val="12"/>
        <rFont val="Arial"/>
        <family val="2"/>
      </rPr>
      <t>وحدات إنارة الطرق</t>
    </r>
    <r>
      <rPr>
        <sz val="12"/>
        <rFont val="Arial"/>
        <family val="2"/>
      </rPr>
      <t xml:space="preserve">
توريد وتركيب وحدات إنارة طرق وفق المعايير القياسية و المواصفات ومخططات التصميم .
</t>
    </r>
  </si>
  <si>
    <r>
      <rPr>
        <b/>
        <sz val="12"/>
        <rFont val="Arial"/>
        <family val="2"/>
      </rPr>
      <t>Street Lighting Luminaire</t>
    </r>
    <r>
      <rPr>
        <sz val="12"/>
        <rFont val="Arial"/>
        <family val="2"/>
      </rPr>
      <t xml:space="preserve">
Supply, installation and testing of Street Lighting Luminaire as per specifications and drawings and in accordance with authority standards.</t>
    </r>
  </si>
  <si>
    <t>5.11</t>
  </si>
  <si>
    <r>
      <rPr>
        <b/>
        <sz val="12"/>
        <rFont val="Arial"/>
        <family val="2"/>
      </rPr>
      <t xml:space="preserve"> نظام التاريض</t>
    </r>
    <r>
      <rPr>
        <sz val="12"/>
        <rFont val="Arial"/>
        <family val="2"/>
      </rPr>
      <t xml:space="preserve">
توريد وتركيب نظام التاريض  لإنارة شوارع بما يشمل أعمال حفر وردم الخندق  وقضبان  وكابلات التأريض , الخ .  وفق المعايير القياسية / المواصفات ومخططات التصميم . </t>
    </r>
  </si>
  <si>
    <r>
      <rPr>
        <b/>
        <sz val="12"/>
        <rFont val="Arial"/>
        <family val="2"/>
      </rPr>
      <t>Earthing  installation</t>
    </r>
    <r>
      <rPr>
        <sz val="12"/>
        <rFont val="Arial"/>
        <family val="2"/>
      </rPr>
      <t xml:space="preserve">
Supply, installation and testing of the earthing system complete with earthing pits , electrodes, earthing conductors , etc. as per specifications, standards and drawings .</t>
    </r>
  </si>
  <si>
    <t>5.12</t>
  </si>
  <si>
    <r>
      <rPr>
        <b/>
        <sz val="12"/>
        <rFont val="Arial"/>
        <family val="2"/>
      </rPr>
      <t xml:space="preserve">عبارات عبوركابلات الطرق </t>
    </r>
    <r>
      <rPr>
        <sz val="12"/>
        <rFont val="Arial"/>
        <family val="2"/>
      </rPr>
      <t xml:space="preserve">
توريد وحفر وتركيب وردم عبارات طرق لكوابل  إنارة شوارع عبر أنابيب ، شاملا التغليف الخرساني  وفق المعايير القياسية / المواصفات ومخططات التصميم . 
</t>
    </r>
  </si>
  <si>
    <r>
      <rPr>
        <b/>
        <sz val="12"/>
        <rFont val="Arial"/>
        <family val="2"/>
      </rPr>
      <t>Road crossing ducts</t>
    </r>
    <r>
      <rPr>
        <sz val="12"/>
        <rFont val="Arial"/>
        <family val="2"/>
      </rPr>
      <t xml:space="preserve"> 
Supply and installation of Road crossing ducts as per specifications , standards and drawings  .</t>
    </r>
  </si>
  <si>
    <t>5.13</t>
  </si>
  <si>
    <r>
      <rPr>
        <b/>
        <sz val="12"/>
        <rFont val="Arial"/>
        <family val="2"/>
      </rPr>
      <t xml:space="preserve">حفر سحب الكابلات </t>
    </r>
    <r>
      <rPr>
        <sz val="12"/>
        <rFont val="Arial"/>
        <family val="2"/>
      </rPr>
      <t xml:space="preserve">
توريد وحفر وتركيب حفرة سحب  كوابل إنارة شوارع من الخرسانة المسلحة وفق المعايير القياسية / المواصفات ومخططات التصميم ، شاملا الحفر والردم وتسوية الارض وأسلاك السحب. </t>
    </r>
  </si>
  <si>
    <r>
      <rPr>
        <b/>
        <sz val="12"/>
        <rFont val="Arial"/>
        <family val="2"/>
      </rPr>
      <t>Drawpits</t>
    </r>
    <r>
      <rPr>
        <sz val="12"/>
        <rFont val="Arial"/>
        <family val="2"/>
      </rPr>
      <t xml:space="preserve">
Supply, and installation of  street lighting drawpits including excavation , backfilling, compaction and pull wires as per specifications standards and drawings.</t>
    </r>
  </si>
  <si>
    <t>5.14</t>
  </si>
  <si>
    <t>توريد وتركيب واختبار كبائن دوائر الانارة  وفق المعايير القياسية  ومتطلبات ومواصفات الشركة السعودية للكهرباء  ودرجة حماية  IP65</t>
  </si>
  <si>
    <t xml:space="preserve">Supply, installation and testing of street lighting panels as per MOT, SEC  .codes, specifications and drawingsr , IP 65 </t>
  </si>
  <si>
    <t>5.15</t>
  </si>
  <si>
    <t>توريد وتركيب واختبار كبائن توزيع لمغذي منخفض وفق المعايير القياسية  ومتطلبات ومواصفات الشركة السعودية للكهرباء  ودرجة حماية  IP65</t>
  </si>
  <si>
    <t xml:space="preserve">Supply, installation and testing of Feeder Pillar as per SEC codes, specifications and drawingsr . IP 65 </t>
  </si>
  <si>
    <t>Telecom</t>
  </si>
  <si>
    <t>Ducts</t>
  </si>
  <si>
    <t>5.16</t>
  </si>
  <si>
    <t>تشمل أعمال مد عبارات الاتصالات في الخنادق المخصصة لذلك أعمال الحفر والردم والدمك  وإزالة المخلفات والصبات والمواسيروأغطية الحماية وإعادة الشئ لأصله والأشرطة التحذيرية والاختبارات وذلك طبقا لإجراءات الجهات المختصة والمواصفات والمخططات</t>
  </si>
  <si>
    <t xml:space="preserve">Laying of Telecommunication ducts in trenches shall include all related excavations, backfilling, other fillings, compaction, disposal,  protection covers, reinstatement, draw ropes,   warning tapes, testing, all as per authority requirements, specifications and drawings </t>
  </si>
  <si>
    <t>عبارات الطرق</t>
  </si>
  <si>
    <t>5.17</t>
  </si>
  <si>
    <t>تشمل أعمال مد عبارات الاتصالات في عبور الطرق أعمال الحفر والردم والدمك  وإزالة المخلفات والأعمال الخرسانية والصبات والمواسيروأغطية الحماية وإعادة الشئ لأصله والأشرطة التحذيرية والاختبارات وذلك طبقا لإجراءات الجهات المختصة والمواصفات والمخططات</t>
  </si>
  <si>
    <t xml:space="preserve">Laying of Telecommunication ducts on road crossing shall include all related excavations, backfilling, other fillings, compaction, disposal, concrete work, encasements, protection covers, reinstatement, draw ropes, warning tapes, testing, all as per authority requirements, specifications and drawings </t>
  </si>
  <si>
    <t>أعمال الموقع والأعمال الزراعية</t>
  </si>
  <si>
    <t>Site and Landscaping Works</t>
  </si>
  <si>
    <t>6.1</t>
  </si>
  <si>
    <t>يشمل سعر زراعة النباتات و الاشجار الحفريات واستيراد ومد طبقة من التربة الناعمة، والأسمدة، والتدعيم والتسوية والتنسيق مع أعمال الإضاءة والري واستكمالها... الخ. وتنسيق الأعمال وربطها لتتلاءم مع كافة مواصفات الأسطح المعدة للزراعة والبنى التحتية كما تشمل جميع المتطلبات والشروط الخاصة والتشكيل والتصنيف (الفرز) وإتمام أعمال التسوية على الأسطح المجاورة واستكمال الحفر المعدة للأشجار.</t>
  </si>
  <si>
    <t xml:space="preserve">The rate for planting trees and shrubs deemed to be including excavation, importing and laying sweet soil, fertilizers, anchors, stabilisation, coordination with irrigation, lighting, etc. complete. Coordinate work with all surface features of landscaping and infrastructure and include all requirements, special conditions, shaping, grading, finishing and adjusting to adjoining surfaces. Tree pits are to be complete. </t>
  </si>
  <si>
    <t>6.2</t>
  </si>
  <si>
    <t>يعتبر المقاول من خلال زيارته للموقع بأنه قام بفحص واستكشاف الموقع ومحيطه وأنه قام بتحديد والأخذ بعين الاعتبار عند إعطاء أسعاره كافة التكاليف الإضافية المتعلقة بهدم (بشكل حذر) المنشآت القائمة وطرق الوصول إلى الموقع وإزالة طبقات الأعشاب الموجودة والخرسانة والأرصفة وطبقات الرصف والاسفلت وأحجار الارصفة و التربة العلوية والسياج  وحماية خطوط الخدمات القائمة وكافة ملحقاتها وإعادة الوضع كما كان عليه...الخ.</t>
  </si>
  <si>
    <t>The Contractor shall be deemed to have inspected and examined the Site and it's surroundings, and identified, considered and deemed to included all costs related to (carefully) demolition of existing structures, access roads, existing turfs, concrete, flagging, paving, curbing, road-metalling, topsoil, fencing, demolish and seal existing services, protection of existing service lines, accessories etc., and cart away debris, as directed by the Engineer and return of surface to its original conditions.</t>
  </si>
  <si>
    <t>6.3</t>
  </si>
  <si>
    <t xml:space="preserve">يشمل الهدم وإخلاء الموقع أيضا التخلص من المواد الناتجة وردم الفراغات باستخدام المواد المناسبة ما لم يتم التوجيه بغير ذلك. بالاعتماد على زيارة الموقع والمعلومات المتوفرة، على المتقدم للعطاء أن يشمل سعره تكاليف إزالة المخلفات الملقاة وإزالة طبقات الرصف في الأرصفة والجزر الوسطية... ألخ. والتخلص من المخلفات إلى الأمكان العمومية  المسموح بها حسب تعليمات المهندس وإعادة السطح إلى حالته الأصلية باستثناء ما تم قياسه بشكل منفرد أو تم وصفه في مكان آخر. يجب على المتقدم للعطاء أن يشمل في سعره جميع التكاليف الإضافية والناتجة عن إزالة خطوط الخدمات والمياه والكهرباء وصرف مياه الأمطار والصرف الصحي والهاتف ...ألخ.  وتعديل مسارها في حال استخدامها من أجل تشغيل مباني قائمة أخرى كما تشمل إعادة السطح إلى حالته الأصلية باستثناء ما تم قياسه بشكل منفرد أو تم وصفه في مكان آخر. </t>
  </si>
  <si>
    <t>Item for Demolition and Site clearance shall also include disposal of the materials arising and backfilling of voids with suitable material except as otherwise directed. Based on site visit &amp; available information, the tenderer shall allow in his rates for all Removal of dumped rubbish, removal of sidewalk &amp; median pavements etc, and cart away debris, as directed by the Engineer and return of surface to its original conditions , unless otherwise measured separately or specified elsewhere. The tenderer shall allow in his rates for all extra costs for removal of underground utility lines, water, electrical, storm, sanitary, telephone, etc., including return of surface to its original conditions, unless otherwise measured separately or specified elsewhere. as well as ultimate development/design requirements, and to price comprehensively.</t>
  </si>
  <si>
    <t>6.4</t>
  </si>
  <si>
    <t>6.5</t>
  </si>
  <si>
    <t xml:space="preserve">أسعار الحفر (في مناطق القطع) تشمل تثبيت مستوى السطح النهائي المتكون طبقا للمواصفات. على المتقدمين للمناقصة الرجوع إلى المعلومات والتقارير الجيولوجية المتوفرة بخصوص حالة التربة والقيام باستكشاف الموقع بشكل ملائم للحصول على فهم كامل لحالة الارض و التربة في الموقع قبل وضع الأسعار في جدول الكميات ويجب تضمين أية تكلفة أضافية متعلقة بفحص التربة وبأعمال الحفر. ويتضمن البند الحفر في جميع أنواع التربة (ترابية أو صخرية).
</t>
  </si>
  <si>
    <t xml:space="preserve">Excavation  prices (in cut areas) includes installing the final surface formed according to the specifications. The Tenderers are to refer to the information and geological reports that are available relating to the condition of the soil as well as exploring the site properly to get a full understanding of the status of the land and soil at the site before pricing of the bill of quantities. Rates must include any additional costs related to examination of the soil and excavation work. The item includes excavation in all types of soil (including rocks and hard material that requires special equipment).
</t>
  </si>
  <si>
    <t>6.6</t>
  </si>
  <si>
    <t xml:space="preserve">تعتبر تكاليف أعمال الحفر في مناطق القطع متضمنة لجميع الموارد المطلوبة الإضافية والمصاريف المتعلقة بالحفر لجميع الأعماق ما لم يتم قياسها بشكل منفرد. </t>
  </si>
  <si>
    <t>6.7</t>
  </si>
  <si>
    <t>6.8</t>
  </si>
  <si>
    <t>6.9</t>
  </si>
  <si>
    <t>6.10</t>
  </si>
  <si>
    <t>6.11</t>
  </si>
  <si>
    <t>6.12</t>
  </si>
  <si>
    <t>The price of the contractor must include costs for  materials disposal to public landfills approved by the competent authorities</t>
  </si>
  <si>
    <t>6.13</t>
  </si>
  <si>
    <t>يجب أن تشمل أسعار الانترلوك والبلاطات جميع المواد من بلاطات ورمل وطبقات الردم وجميع الأعمال اللازمه طبقا للمخططات والمخططات التفصيليه.</t>
  </si>
  <si>
    <t>The price of the interlock and pavings must include costs for the paving material, sand, bedding, backfilling layers and all the related works according to the drawings and the standard details</t>
  </si>
  <si>
    <t xml:space="preserve"> أعمال المواسير والتركيبات والصمامات لأعمال الزراعة</t>
  </si>
  <si>
    <t>PIPEWORK , PIPES AND FITTINGS AND VALVES FOR LANDSCAPE WORKS</t>
  </si>
  <si>
    <t>7.1</t>
  </si>
  <si>
    <t xml:space="preserve">يشمل سعر مواسير كلوريد البوليفينيل  في الخنادق المخصصة توريد وتركيب وتوصيل واختبار وتشغيل المواسير و الحفر فى جميع انواع التربة عدا التربة الصخرية والردم والدمك والقطع والتوصيل والملحقات والتخلص من المخلفات والأشرطة التحذيرية من النوع الممغنط ونزح المياه وسند جوانب الحفر والغسيل والتعقيم و جميع الاعمال اللازمة لاتمام العمل طبقا للإجراءات مدن  والمواصفات والمخططات وأصول الصناعه </t>
  </si>
  <si>
    <t xml:space="preserve">The rate for uPVC  pipes beemed to be  including supply, lay, joint, test, commission  excavation and backfill in all types of soil (excluding rock), compaction,pipe fittings (gate valves, flushing valves and air release valves) and accessories  disposal of excavated material, installation of magnetic warning tape, excavation supports and dewatering, washing and sterilization, and all works required, all in accordance  with MODON regulation, specfication manufacturer guidelines. </t>
  </si>
  <si>
    <t>7.2</t>
  </si>
  <si>
    <t>يشمل سعر أنابيب مواسير من البولي إيتلين قليل الكثافة  (PN 4) توريدها وتركيبها بما في ذلك تركيبات االأسرجة وقطع التركيب وجميع المستلزمات الأخرى اللازمة لإنجاز الأعمال وفقًا للمواصفات والرسومات.</t>
  </si>
  <si>
    <t>The rate for LDPE plain pipes (PN 4) deemed to be including Supply and install compression fittings, saddles and all other accessories necessary to complete the works in accordance with specifications and drawings.</t>
  </si>
  <si>
    <t>7.3</t>
  </si>
  <si>
    <t>يشمل سعر الملحقات وقطع التركيب الخاصة بالمواسير توريدها وتركيبها طبقا للإجراءات الخاصة بالجهة المعنية والمواصفات والمخططات</t>
  </si>
  <si>
    <t>The rate for pipe fittings and accessories deemed to be including Supply and installation of pipes all in accordance with authority, regulations, specifications and drawings</t>
  </si>
  <si>
    <t>7.4</t>
  </si>
  <si>
    <t>يشمل سعر صمامات كهربائية توريد وتركيب وتوصيل الصمامات وغرف صمامات بما يشمل منظم الضغط والمناسب لمياه (TSE) ومرشحات متوازية وصمامات كرة بلاستك وصندوق صمامات مع الغطاء وجميع المستلزمات الأخرى الضرورية لاستكمال الأعمال طبقاً للمواصفات والمخططات.</t>
  </si>
  <si>
    <t>The rate of solenoid valve assembly deemed to be including supply, install, and connect them,  the assembly shall include solenoid valve globe type normally closed, electronically actuated, diaphragm operated, equipped with pressure regulator module, manual bleeding, flow control, expedient for TSE water, in line filter, manual valve, valve box with cover, and all other accessories necessary to complete the works in accordance with specification and drawings.</t>
  </si>
  <si>
    <t>7.5</t>
  </si>
  <si>
    <t>يشمل سعر صمامات وصندوق صمامات توريدها وتركيبها بما يشمل ذراع الحركة وقطع التركيب وجميع المستلزمات الأخرى الضرورية لاستكمال الأعمال طبقاً للمواصفات والمخططات</t>
  </si>
  <si>
    <t>The rate of valves and valve box deemed to be including supply and install them, including swing arm 1", fittings,  and all other accessories necessary to complete the works in accordance with specifications and drawings.</t>
  </si>
  <si>
    <t>7.6</t>
  </si>
  <si>
    <t>يشمل السعر تزويد نقاطات وتثبيت أنابيب التنقيط بما في ذلك قطع التركيب وجميع الملحقات الأخرى اللازمة لإكمال الأعمال وفقًا للمواصفات والرسومات.</t>
  </si>
  <si>
    <t>The rate of pressure compensating drippers deemed to be including supply and install them and all accessories necessary to complete the works in accordance with specifications and drawings.</t>
  </si>
  <si>
    <t>7.7</t>
  </si>
  <si>
    <t>يشمل سعر نظام التحكم المركزي توريد وتركيب النظام بما في ذلك جميع الأجهزة المطلوبة والاختبار والتكليف كاملة وفقا للمواصفات والرسومات</t>
  </si>
  <si>
    <t>The rate of central control system deemed to be including supply and installation and all required instrumentation, testing and commissioning complete in accordance with specification and drawings</t>
  </si>
  <si>
    <t>7.8</t>
  </si>
  <si>
    <t>في حالة عدم توفر التحكم المركزي في الموقع ، يجب توفير التحكم المركزي وتركيبه من قبل المقاول لخدمة كل من مواقع الأحساء الحالية والتوسعة حسب جدول الكميات ، وإذا كان التحكم المركزي متاحًا في الموقع ، فلن يتم تركيبه وسيتم توصيل التحكم الميداني بالتحكم المركزي الحالي.</t>
  </si>
  <si>
    <t>In case of central control is not available on site, central control shall be supplied and installed by the contractor to serve both Al Hasa existing and Extension sites as per the BOQ, and if the central control is available on site, it shall not be supplied and the field control will be connected to the existing central control.</t>
  </si>
  <si>
    <t>7.9</t>
  </si>
  <si>
    <t>يشمل سعر جهاز تحكم ميداني كهربائي توريد وتركيب الجهاز ، طبقًا لمواصفات ووثائق التصميم والمناقصة ، مزود بالكابلات الكهربائية المدرعة ، مع موانع الصواعق وقضبان التأريض المثبتة على فترات 150 متر و موصل بنظام التحكم المركزي</t>
  </si>
  <si>
    <t>The rate of electric field controller deemed to be including supply and installation , according to the design drawing and tender specifications and documents,Electrical Armoured Cable, with Surge Arrestors and Grounding Rods Installed at 150 meters intervals from the central controller</t>
  </si>
  <si>
    <t>7.10</t>
  </si>
  <si>
    <t>يشمل سعر ديكودر فردى لنقل الاشارة بين الصمامات  و وحدة التحكم الميدانية توريدها وتركيبها  بما يشمل موصلات مقاومة للمياه وجميع المستلزمات الأخرى الضرورية اللازمة لاستكمال الأعمال طبقاً للمخططات والمواصفات</t>
  </si>
  <si>
    <t>The rate of single station decoder for valve connection to field controller deemed to be including supply and install them,  waterproof connectors and all other accessories necessary to complete the works in accordance with specifications and drawings.</t>
  </si>
  <si>
    <t>7.11</t>
  </si>
  <si>
    <t>يشمل سعر كيبل ري بسلك اتجاهين بما يشمل توريد وتركيب كيبل و التوصيل وصناديق السحب والحماية من ارتفاع الجهد المفاجئ كل 200 متر وقطع التركيب وتأريض 5/8 بوصة وجميع الأعمال ذات الصلة اللازمة لاستكمال الأعمال طبقاً للمواصفات والمخططات</t>
  </si>
  <si>
    <t>The rate of Irrigation  cable two way wire between field controller and valves deemed to be including supply and install cables, connection, pull boxes, surge protection each 200 m, fittings, 5/8" grounding and all other associated works to complete in accordance with specifications and drawings.</t>
  </si>
  <si>
    <t>المرحلة A</t>
  </si>
  <si>
    <t>Phase A</t>
  </si>
  <si>
    <t>المدينة الصناعية الأولى بالخرج</t>
  </si>
  <si>
    <r>
      <t>Kharj 1st</t>
    </r>
    <r>
      <rPr>
        <b/>
        <u/>
        <sz val="16"/>
        <color rgb="FFFF0000"/>
        <rFont val="Arial"/>
        <family val="2"/>
      </rPr>
      <t xml:space="preserve"> </t>
    </r>
    <r>
      <rPr>
        <b/>
        <sz val="16"/>
        <color rgb="FFFF0000"/>
        <rFont val="Arial"/>
        <family val="2"/>
      </rPr>
      <t xml:space="preserve">Industrial City </t>
    </r>
  </si>
  <si>
    <t>مبنى المسجد ومهبط الطائرات</t>
  </si>
  <si>
    <t>Mosque and helipad</t>
  </si>
  <si>
    <t>The price  of the contractor must include costs for  materials disposal  to  public landfills approved by the competent authorities</t>
  </si>
  <si>
    <t>The rates for pre-cast concrete shall include shuttering or moulds, bedding, pointing, expansion material, cover strips, damp proof membranes, special sealing and special pointing between units and units and structure, anchor bolts, casting, other fixing devices, grouting and pre &amp; final finishes</t>
  </si>
  <si>
    <t xml:space="preserve">Laying of Telecommunication ducts on road crossing shall include all related excavations, backfilling, other fillings, compaction, disposal, concrete work, encasements, protection covers, reinstatement, draw ropes,   warning tapes, testing, all as per authority requirements, specifications and drawings </t>
  </si>
  <si>
    <t>Material</t>
  </si>
  <si>
    <t>Cables</t>
  </si>
  <si>
    <t>Conduits</t>
  </si>
  <si>
    <t>Labors</t>
  </si>
  <si>
    <t>Manpower</t>
  </si>
  <si>
    <t>lot</t>
  </si>
  <si>
    <t>Price list</t>
  </si>
  <si>
    <t>Ref.Q</t>
  </si>
  <si>
    <t>دعواتك  للعطار</t>
  </si>
  <si>
    <t>Drawing Refrence</t>
  </si>
  <si>
    <t>SE-118</t>
  </si>
  <si>
    <t>SE-119</t>
  </si>
  <si>
    <t>TYPE 1</t>
  </si>
  <si>
    <t>TYPE 2</t>
  </si>
  <si>
    <t>inputs</t>
  </si>
  <si>
    <t>Desc</t>
  </si>
  <si>
    <t xml:space="preserve">unit </t>
  </si>
  <si>
    <t>QTY</t>
  </si>
  <si>
    <t>Length (net)</t>
  </si>
  <si>
    <t>Width (net)</t>
  </si>
  <si>
    <t>Depth (net)+fixed dim 350 mm</t>
  </si>
  <si>
    <t>wall Thickness</t>
  </si>
  <si>
    <t>Slab Thickness</t>
  </si>
  <si>
    <t>Footing Thickness</t>
  </si>
  <si>
    <t>Footing extention</t>
  </si>
  <si>
    <t>Hunched for footing vertical</t>
  </si>
  <si>
    <t>Hunched for footing horizontal</t>
  </si>
  <si>
    <t>PC thickness</t>
  </si>
  <si>
    <t>valve Support len</t>
  </si>
  <si>
    <t>Valve support width</t>
  </si>
  <si>
    <t>valve Support thick</t>
  </si>
  <si>
    <t>Earth Work</t>
  </si>
  <si>
    <t>Output</t>
  </si>
  <si>
    <t xml:space="preserve">Excavation </t>
  </si>
  <si>
    <t>Filling</t>
  </si>
  <si>
    <t>Concrete</t>
  </si>
  <si>
    <t xml:space="preserve">PC </t>
  </si>
  <si>
    <t>RC</t>
  </si>
  <si>
    <t xml:space="preserve">footing </t>
  </si>
  <si>
    <t>additional</t>
  </si>
  <si>
    <t>walls</t>
  </si>
  <si>
    <t>additional wall</t>
  </si>
  <si>
    <t>slab</t>
  </si>
  <si>
    <t>additional Beams</t>
  </si>
  <si>
    <t>Vlave support</t>
  </si>
  <si>
    <t xml:space="preserve">Steel </t>
  </si>
  <si>
    <t>Ton</t>
  </si>
  <si>
    <t>per for footing</t>
  </si>
  <si>
    <t>per for walls</t>
  </si>
  <si>
    <t>per for slab</t>
  </si>
  <si>
    <t>per for add and valve support</t>
  </si>
  <si>
    <t>Insulation and paints</t>
  </si>
  <si>
    <t>waterproof (out side) with protection board</t>
  </si>
  <si>
    <t>m2</t>
  </si>
  <si>
    <t>footing</t>
  </si>
  <si>
    <t>Sand mortat screed above membrane 25 mm</t>
  </si>
  <si>
    <t>epoxy (inside)</t>
  </si>
  <si>
    <t>polyethylene</t>
  </si>
  <si>
    <t>Miscellaneous</t>
  </si>
  <si>
    <t>Ladder (check type)</t>
  </si>
  <si>
    <t>Nr/len</t>
  </si>
  <si>
    <t>Vent Pipe</t>
  </si>
  <si>
    <t>Nr</t>
  </si>
  <si>
    <t>Puddle Flange</t>
  </si>
  <si>
    <t>Nr/Phi</t>
  </si>
  <si>
    <t>Cover IR steel</t>
  </si>
  <si>
    <t>Cover Precast</t>
  </si>
  <si>
    <t>Nr/m2</t>
  </si>
  <si>
    <t>wall stopper</t>
  </si>
  <si>
    <t>M</t>
  </si>
  <si>
    <t>Footing</t>
  </si>
  <si>
    <t>اسم المشروع: تطوير شبكات البنية التحتية في المدينة الصناعية بالخرج</t>
  </si>
  <si>
    <t>Development of Infrastructure in Kharj Industrial City</t>
  </si>
  <si>
    <t>رقم المشروع:KHJ1-02-007</t>
  </si>
  <si>
    <t>KHJ1-02-007</t>
  </si>
  <si>
    <t>نوفمبر 2025</t>
  </si>
  <si>
    <t>رقم المشروع: KHJ1-02-007</t>
  </si>
  <si>
    <t>نوفمبر- 25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</si>
</sst>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0.00_-;\-* #,##0.00_-;_-* &quot;-&quot;??_-;_-@_-"/>
    <numFmt numFmtId="166" formatCode="#,##0.0"/>
    <numFmt numFmtId="167" formatCode="_-* #,##0_-;\-* #,##0_-;_-* &quot;-&quot;??_-;_-@_-"/>
    <numFmt numFmtId="168" formatCode="0.000"/>
  </numFmts>
  <fonts count="85" x14ac:knownFonts="1">
    <font>
      <sz val="10"/>
      <name val="Arial"/>
      <charset val="17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1"/>
      <name val="Arial"/>
      <family val="2"/>
    </font>
    <font>
      <sz val="11"/>
      <color theme="1"/>
      <name val="Calibri"/>
      <family val="2"/>
      <charset val="178"/>
      <scheme val="minor"/>
    </font>
    <font>
      <b/>
      <u/>
      <sz val="10"/>
      <name val="Arial"/>
      <family val="2"/>
    </font>
    <font>
      <sz val="11"/>
      <color theme="1"/>
      <name val="Arial"/>
      <family val="2"/>
      <charset val="178"/>
    </font>
    <font>
      <u/>
      <sz val="10"/>
      <name val="Arial"/>
      <family val="2"/>
    </font>
    <font>
      <sz val="10"/>
      <color theme="1"/>
      <name val="Arial"/>
      <family val="2"/>
    </font>
    <font>
      <b/>
      <sz val="12"/>
      <name val="Arial"/>
      <family val="2"/>
    </font>
    <font>
      <sz val="12"/>
      <name val="Times New Roman"/>
      <family val="1"/>
    </font>
    <font>
      <b/>
      <sz val="10"/>
      <color theme="1"/>
      <name val="Arial"/>
      <family val="2"/>
    </font>
    <font>
      <sz val="8"/>
      <name val="Arial"/>
      <family val="2"/>
    </font>
    <font>
      <b/>
      <sz val="11"/>
      <color theme="1"/>
      <name val="Arial"/>
      <family val="2"/>
    </font>
    <font>
      <sz val="12"/>
      <color theme="1"/>
      <name val="Arial"/>
      <family val="2"/>
    </font>
    <font>
      <sz val="11"/>
      <color theme="1"/>
      <name val="Arial"/>
      <family val="2"/>
    </font>
    <font>
      <sz val="11"/>
      <name val="Times New Roman"/>
      <family val="1"/>
    </font>
    <font>
      <b/>
      <sz val="12"/>
      <color theme="1"/>
      <name val="Arial Narrow"/>
      <family val="2"/>
    </font>
    <font>
      <sz val="10"/>
      <name val="Arial Narrow"/>
      <family val="2"/>
    </font>
    <font>
      <sz val="10"/>
      <color theme="1"/>
      <name val="Arial Narrow"/>
      <family val="2"/>
    </font>
    <font>
      <sz val="11"/>
      <color theme="1"/>
      <name val="Arial Narrow"/>
      <family val="2"/>
    </font>
    <font>
      <b/>
      <sz val="10"/>
      <color theme="1"/>
      <name val="Arial Narrow"/>
      <family val="2"/>
    </font>
    <font>
      <b/>
      <sz val="11"/>
      <color theme="1"/>
      <name val="Arial Narrow"/>
      <family val="2"/>
    </font>
    <font>
      <b/>
      <sz val="14"/>
      <color theme="1"/>
      <name val="Arial Narrow"/>
      <family val="2"/>
    </font>
    <font>
      <sz val="10"/>
      <name val="Arial"/>
    </font>
    <font>
      <b/>
      <u/>
      <sz val="12"/>
      <color rgb="FF000000"/>
      <name val="Arial Narrow"/>
      <family val="2"/>
    </font>
    <font>
      <sz val="12"/>
      <name val="Arial Narrow"/>
      <family val="2"/>
    </font>
    <font>
      <b/>
      <u/>
      <sz val="12"/>
      <name val="Arial Narrow"/>
      <family val="2"/>
    </font>
    <font>
      <sz val="11"/>
      <name val="Arial"/>
      <family val="2"/>
    </font>
    <font>
      <vertAlign val="superscript"/>
      <sz val="10"/>
      <name val="Times New Roman"/>
      <family val="1"/>
    </font>
    <font>
      <b/>
      <u/>
      <sz val="12"/>
      <color theme="1"/>
      <name val="Arial Narrow"/>
      <family val="2"/>
    </font>
    <font>
      <sz val="12"/>
      <color theme="1"/>
      <name val="Arial Narrow"/>
      <family val="2"/>
    </font>
    <font>
      <b/>
      <sz val="12"/>
      <name val="Arial Narrow"/>
      <family val="2"/>
    </font>
    <font>
      <u/>
      <sz val="12"/>
      <color theme="1"/>
      <name val="Arial Narrow"/>
      <family val="2"/>
    </font>
    <font>
      <u/>
      <sz val="10"/>
      <name val="Arial Narrow"/>
      <family val="2"/>
    </font>
    <font>
      <b/>
      <sz val="10"/>
      <name val="Arial Narrow"/>
      <family val="2"/>
    </font>
    <font>
      <b/>
      <u/>
      <sz val="10"/>
      <name val="Arial Narrow"/>
      <family val="2"/>
    </font>
    <font>
      <sz val="10"/>
      <name val="Arial"/>
      <family val="2"/>
      <charset val="178"/>
    </font>
    <font>
      <vertAlign val="superscript"/>
      <sz val="10"/>
      <name val="Arial Narrow"/>
      <family val="2"/>
    </font>
    <font>
      <u/>
      <sz val="12"/>
      <name val="Arial Narrow"/>
      <family val="2"/>
    </font>
    <font>
      <b/>
      <u/>
      <sz val="10"/>
      <color theme="1"/>
      <name val="Arial Narrow"/>
      <family val="2"/>
    </font>
    <font>
      <b/>
      <sz val="16"/>
      <name val="Arial"/>
      <family val="2"/>
    </font>
    <font>
      <b/>
      <sz val="14"/>
      <name val="Arial"/>
      <family val="2"/>
    </font>
    <font>
      <sz val="12"/>
      <name val="Arial"/>
      <family val="2"/>
    </font>
    <font>
      <b/>
      <u/>
      <sz val="12"/>
      <name val="Arial"/>
      <family val="2"/>
    </font>
    <font>
      <u/>
      <sz val="12"/>
      <name val="Arial"/>
      <family val="2"/>
    </font>
    <font>
      <vertAlign val="superscript"/>
      <sz val="10"/>
      <color theme="1"/>
      <name val="Arial"/>
      <family val="2"/>
    </font>
    <font>
      <sz val="10"/>
      <color rgb="FFFF0000"/>
      <name val="Arial"/>
      <family val="2"/>
    </font>
    <font>
      <b/>
      <sz val="10"/>
      <color rgb="FFFF0000"/>
      <name val="Arial"/>
      <family val="2"/>
    </font>
    <font>
      <b/>
      <u/>
      <sz val="10"/>
      <color theme="1"/>
      <name val="Arial"/>
      <family val="2"/>
    </font>
    <font>
      <u/>
      <sz val="10"/>
      <color theme="1"/>
      <name val="Arial"/>
      <family val="2"/>
    </font>
    <font>
      <b/>
      <sz val="20"/>
      <name val="Arial"/>
      <family val="2"/>
    </font>
    <font>
      <sz val="10"/>
      <name val="Times New Roman"/>
      <family val="1"/>
      <charset val="178"/>
    </font>
    <font>
      <u/>
      <sz val="10"/>
      <name val="Arial"/>
      <family val="2"/>
      <charset val="178"/>
    </font>
    <font>
      <u/>
      <sz val="10"/>
      <name val="Times New Roman"/>
      <family val="1"/>
    </font>
    <font>
      <sz val="10"/>
      <name val="Times New Roman"/>
      <family val="1"/>
    </font>
    <font>
      <b/>
      <u/>
      <sz val="10"/>
      <name val="Times New Roman"/>
      <family val="1"/>
    </font>
    <font>
      <b/>
      <sz val="10"/>
      <name val="Times New Roman"/>
      <family val="1"/>
    </font>
    <font>
      <b/>
      <sz val="12"/>
      <color theme="1"/>
      <name val="Arial"/>
      <family val="2"/>
    </font>
    <font>
      <b/>
      <sz val="16"/>
      <color theme="1"/>
      <name val="Arial"/>
      <family val="2"/>
    </font>
    <font>
      <b/>
      <sz val="14"/>
      <color theme="1"/>
      <name val="Arial"/>
      <family val="2"/>
    </font>
    <font>
      <sz val="16"/>
      <color theme="1"/>
      <name val="Arial"/>
      <family val="2"/>
    </font>
    <font>
      <sz val="14"/>
      <name val="Arial"/>
      <family val="2"/>
    </font>
    <font>
      <b/>
      <u/>
      <sz val="16"/>
      <name val="Arial"/>
      <family val="2"/>
    </font>
    <font>
      <sz val="12"/>
      <color rgb="FFFF0000"/>
      <name val="Arial"/>
      <family val="2"/>
    </font>
    <font>
      <u/>
      <sz val="12"/>
      <color theme="1"/>
      <name val="Arial"/>
      <family val="2"/>
    </font>
    <font>
      <b/>
      <sz val="14"/>
      <color rgb="FFFF0000"/>
      <name val="Arial"/>
      <family val="2"/>
    </font>
    <font>
      <b/>
      <sz val="16"/>
      <color rgb="FFFF0000"/>
      <name val="Arial"/>
      <family val="2"/>
    </font>
    <font>
      <b/>
      <u/>
      <sz val="16"/>
      <color rgb="FFFF0000"/>
      <name val="Arial"/>
      <family val="2"/>
    </font>
    <font>
      <sz val="16"/>
      <name val="Arial"/>
      <family val="2"/>
    </font>
    <font>
      <sz val="10"/>
      <name val="Arial"/>
      <charset val="178"/>
    </font>
    <font>
      <sz val="11"/>
      <color theme="0"/>
      <name val="Calibri"/>
      <family val="2"/>
    </font>
    <font>
      <sz val="11"/>
      <color rgb="FF000000"/>
      <name val="Calibri"/>
      <family val="2"/>
    </font>
    <font>
      <sz val="9"/>
      <color theme="1"/>
      <name val="Calibri"/>
      <family val="2"/>
    </font>
    <font>
      <sz val="11"/>
      <color rgb="FF000000"/>
      <name val="Calibri"/>
    </font>
    <font>
      <sz val="11"/>
      <color theme="1"/>
      <name val="Calibri"/>
      <family val="2"/>
    </font>
    <font>
      <b/>
      <sz val="11"/>
      <color theme="1"/>
      <name val="Calibri"/>
      <family val="2"/>
    </font>
    <font>
      <b/>
      <sz val="11"/>
      <color theme="0"/>
      <name val="Calibri"/>
      <family val="2"/>
    </font>
  </fonts>
  <fills count="11">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theme="4"/>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34998626667073579"/>
        <bgColor indexed="64"/>
      </patternFill>
    </fill>
  </fills>
  <borders count="5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thin">
        <color indexed="64"/>
      </top>
      <bottom style="thin">
        <color indexed="64"/>
      </bottom>
      <diagonal/>
    </border>
    <border>
      <left/>
      <right/>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bottom style="hair">
        <color indexed="64"/>
      </bottom>
      <diagonal/>
    </border>
    <border>
      <left style="thin">
        <color indexed="64"/>
      </left>
      <right style="thin">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ashed">
        <color auto="1"/>
      </left>
      <right style="dashed">
        <color auto="1"/>
      </right>
      <top/>
      <bottom style="dashed">
        <color auto="1"/>
      </bottom>
      <diagonal/>
    </border>
    <border>
      <left style="thick">
        <color indexed="64"/>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dashed">
        <color auto="1"/>
      </left>
      <right/>
      <top style="dashed">
        <color auto="1"/>
      </top>
      <bottom style="dashed">
        <color auto="1"/>
      </bottom>
      <diagonal/>
    </border>
    <border>
      <left style="thin">
        <color rgb="FF000000"/>
      </left>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medium">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auto="1"/>
      </left>
      <right style="thin">
        <color auto="1"/>
      </right>
      <top style="medium">
        <color indexed="64"/>
      </top>
      <bottom style="medium">
        <color indexed="64"/>
      </bottom>
      <diagonal/>
    </border>
    <border>
      <left style="medium">
        <color auto="1"/>
      </left>
      <right style="thin">
        <color auto="1"/>
      </right>
      <top/>
      <bottom/>
      <diagonal/>
    </border>
  </borders>
  <cellStyleXfs count="59">
    <xf numFmtId="0" fontId="0" fillId="0" borderId="0"/>
    <xf numFmtId="0" fontId="8" fillId="0" borderId="0"/>
    <xf numFmtId="0" fontId="8" fillId="0" borderId="0"/>
    <xf numFmtId="0" fontId="11" fillId="0" borderId="0"/>
    <xf numFmtId="0" fontId="11" fillId="0" borderId="0"/>
    <xf numFmtId="0" fontId="8" fillId="0" borderId="0"/>
    <xf numFmtId="0" fontId="8" fillId="0" borderId="0"/>
    <xf numFmtId="0" fontId="7" fillId="0" borderId="0"/>
    <xf numFmtId="0" fontId="13" fillId="0" borderId="0"/>
    <xf numFmtId="0" fontId="11" fillId="0" borderId="0"/>
    <xf numFmtId="0" fontId="8"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7" fillId="0" borderId="0"/>
    <xf numFmtId="0" fontId="8" fillId="0" borderId="0"/>
    <xf numFmtId="0" fontId="8" fillId="0" borderId="0"/>
    <xf numFmtId="0" fontId="6" fillId="0" borderId="0"/>
    <xf numFmtId="0" fontId="5" fillId="0" borderId="0"/>
    <xf numFmtId="43" fontId="5" fillId="0" borderId="0" applyFont="0" applyFill="0" applyBorder="0" applyAlignment="0" applyProtection="0"/>
    <xf numFmtId="0" fontId="5" fillId="0" borderId="0"/>
    <xf numFmtId="0" fontId="4" fillId="0" borderId="0"/>
    <xf numFmtId="43" fontId="4"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43" fontId="2" fillId="0" borderId="0" applyFont="0" applyFill="0" applyBorder="0" applyAlignment="0" applyProtection="0"/>
    <xf numFmtId="0" fontId="23" fillId="0" borderId="0"/>
    <xf numFmtId="0" fontId="8" fillId="0" borderId="0"/>
    <xf numFmtId="43" fontId="8" fillId="0" borderId="0" applyFont="0" applyFill="0" applyBorder="0" applyAlignment="0" applyProtection="0"/>
    <xf numFmtId="0" fontId="31" fillId="0" borderId="0"/>
    <xf numFmtId="43" fontId="8" fillId="0" borderId="0" applyFont="0" applyFill="0" applyBorder="0" applyAlignment="0" applyProtection="0"/>
    <xf numFmtId="165" fontId="8" fillId="0" borderId="0" applyFont="0" applyFill="0" applyBorder="0" applyAlignment="0" applyProtection="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1" fillId="0" borderId="0"/>
    <xf numFmtId="43" fontId="1" fillId="0" borderId="0" applyFont="0" applyFill="0" applyBorder="0" applyAlignment="0" applyProtection="0"/>
    <xf numFmtId="0" fontId="1" fillId="0" borderId="0"/>
    <xf numFmtId="165" fontId="8" fillId="0" borderId="0" applyFont="0" applyFill="0" applyBorder="0" applyAlignment="0" applyProtection="0"/>
    <xf numFmtId="0" fontId="8" fillId="0" borderId="0"/>
    <xf numFmtId="43" fontId="8" fillId="0" borderId="0" applyFont="0" applyFill="0" applyBorder="0" applyAlignment="0" applyProtection="0"/>
    <xf numFmtId="43" fontId="77" fillId="0" borderId="0" applyFont="0" applyFill="0" applyBorder="0" applyAlignment="0" applyProtection="0"/>
    <xf numFmtId="0" fontId="82" fillId="0" borderId="0"/>
  </cellStyleXfs>
  <cellXfs count="1140">
    <xf numFmtId="0" fontId="0" fillId="0" borderId="0" xfId="0"/>
    <xf numFmtId="0" fontId="9" fillId="0" borderId="2" xfId="6" applyFont="1" applyBorder="1" applyAlignment="1">
      <alignment vertical="center"/>
    </xf>
    <xf numFmtId="0" fontId="9" fillId="0" borderId="0" xfId="6" applyFont="1" applyAlignment="1">
      <alignment vertical="center"/>
    </xf>
    <xf numFmtId="0" fontId="9" fillId="0" borderId="7" xfId="6" applyFont="1" applyBorder="1" applyAlignment="1">
      <alignment vertical="top"/>
    </xf>
    <xf numFmtId="0" fontId="15" fillId="0" borderId="0" xfId="26" applyFont="1"/>
    <xf numFmtId="0" fontId="15" fillId="0" borderId="3" xfId="6" applyFont="1" applyBorder="1" applyAlignment="1">
      <alignment vertical="center"/>
    </xf>
    <xf numFmtId="0" fontId="15" fillId="0" borderId="5" xfId="6" applyFont="1" applyBorder="1" applyAlignment="1">
      <alignment vertical="center" wrapText="1"/>
    </xf>
    <xf numFmtId="0" fontId="15" fillId="0" borderId="5" xfId="6" applyFont="1" applyBorder="1" applyAlignment="1">
      <alignment vertical="center"/>
    </xf>
    <xf numFmtId="0" fontId="15" fillId="0" borderId="8" xfId="6" applyFont="1" applyBorder="1" applyAlignment="1">
      <alignment vertical="center"/>
    </xf>
    <xf numFmtId="0" fontId="15" fillId="0" borderId="1" xfId="26" applyFont="1" applyBorder="1" applyAlignment="1">
      <alignment horizontal="center" vertical="center"/>
    </xf>
    <xf numFmtId="0" fontId="15" fillId="0" borderId="2" xfId="26" applyFont="1" applyBorder="1" applyAlignment="1">
      <alignment horizontal="center"/>
    </xf>
    <xf numFmtId="0" fontId="15" fillId="0" borderId="0" xfId="26" applyFont="1" applyAlignment="1">
      <alignment horizontal="center"/>
    </xf>
    <xf numFmtId="0" fontId="15" fillId="0" borderId="4" xfId="26" applyFont="1" applyBorder="1" applyAlignment="1">
      <alignment horizontal="center" vertical="center"/>
    </xf>
    <xf numFmtId="0" fontId="18" fillId="0" borderId="4" xfId="26" applyFont="1" applyBorder="1" applyAlignment="1">
      <alignment horizontal="right" vertical="center"/>
    </xf>
    <xf numFmtId="0" fontId="15" fillId="0" borderId="0" xfId="26" applyFont="1" applyAlignment="1">
      <alignment horizontal="center" vertical="center"/>
    </xf>
    <xf numFmtId="0" fontId="15" fillId="0" borderId="6" xfId="26" applyFont="1" applyBorder="1" applyAlignment="1">
      <alignment horizontal="center" vertical="center"/>
    </xf>
    <xf numFmtId="0" fontId="15" fillId="0" borderId="7" xfId="26" applyFont="1" applyBorder="1" applyAlignment="1">
      <alignment horizontal="center" vertical="center"/>
    </xf>
    <xf numFmtId="0" fontId="15" fillId="0" borderId="12" xfId="26" applyFont="1" applyBorder="1" applyAlignment="1">
      <alignment horizontal="center" vertical="center"/>
    </xf>
    <xf numFmtId="0" fontId="15" fillId="0" borderId="2" xfId="26" applyFont="1" applyBorder="1"/>
    <xf numFmtId="0" fontId="15" fillId="0" borderId="12" xfId="26" applyFont="1" applyBorder="1"/>
    <xf numFmtId="0" fontId="15" fillId="0" borderId="10" xfId="26" applyFont="1" applyBorder="1" applyAlignment="1">
      <alignment horizontal="center" vertical="center"/>
    </xf>
    <xf numFmtId="0" fontId="18" fillId="0" borderId="0" xfId="28" applyFont="1" applyAlignment="1">
      <alignment wrapText="1"/>
    </xf>
    <xf numFmtId="0" fontId="14" fillId="0" borderId="0" xfId="26" applyFont="1"/>
    <xf numFmtId="0" fontId="15" fillId="0" borderId="0" xfId="28" applyFont="1" applyAlignment="1">
      <alignment wrapText="1"/>
    </xf>
    <xf numFmtId="0" fontId="15" fillId="0" borderId="10" xfId="28" applyFont="1" applyBorder="1" applyAlignment="1">
      <alignment wrapText="1"/>
    </xf>
    <xf numFmtId="0" fontId="8" fillId="0" borderId="0" xfId="26" applyFont="1"/>
    <xf numFmtId="0" fontId="15" fillId="0" borderId="12" xfId="21" applyFont="1" applyBorder="1" applyAlignment="1">
      <alignment vertical="center" wrapText="1"/>
    </xf>
    <xf numFmtId="0" fontId="15" fillId="0" borderId="2" xfId="21" applyFont="1" applyBorder="1" applyAlignment="1">
      <alignment vertical="center"/>
    </xf>
    <xf numFmtId="0" fontId="9" fillId="0" borderId="3" xfId="21" applyFont="1" applyBorder="1" applyAlignment="1">
      <alignment horizontal="left" vertical="center"/>
    </xf>
    <xf numFmtId="0" fontId="9" fillId="0" borderId="12" xfId="21" applyFont="1" applyBorder="1" applyAlignment="1">
      <alignment horizontal="left" vertical="center"/>
    </xf>
    <xf numFmtId="0" fontId="15" fillId="0" borderId="0" xfId="21" applyFont="1"/>
    <xf numFmtId="0" fontId="15" fillId="0" borderId="10" xfId="21" applyFont="1" applyBorder="1" applyAlignment="1">
      <alignment vertical="center"/>
    </xf>
    <xf numFmtId="0" fontId="15" fillId="0" borderId="0" xfId="21" applyFont="1" applyAlignment="1">
      <alignment vertical="center"/>
    </xf>
    <xf numFmtId="0" fontId="15" fillId="0" borderId="11" xfId="21" applyFont="1" applyBorder="1" applyAlignment="1">
      <alignment vertical="center"/>
    </xf>
    <xf numFmtId="0" fontId="15" fillId="0" borderId="7" xfId="21" applyFont="1" applyBorder="1" applyAlignment="1">
      <alignment vertical="center"/>
    </xf>
    <xf numFmtId="0" fontId="15" fillId="0" borderId="8" xfId="21" applyFont="1" applyBorder="1" applyAlignment="1">
      <alignment vertical="center"/>
    </xf>
    <xf numFmtId="0" fontId="21" fillId="0" borderId="0" xfId="28" applyFont="1" applyAlignment="1">
      <alignment wrapText="1"/>
    </xf>
    <xf numFmtId="0" fontId="18" fillId="0" borderId="10" xfId="26" applyFont="1" applyBorder="1" applyAlignment="1">
      <alignment horizontal="center"/>
    </xf>
    <xf numFmtId="0" fontId="15" fillId="0" borderId="10" xfId="26" applyFont="1" applyBorder="1" applyAlignment="1">
      <alignment horizontal="center"/>
    </xf>
    <xf numFmtId="0" fontId="15" fillId="0" borderId="10" xfId="28" applyFont="1" applyBorder="1"/>
    <xf numFmtId="0" fontId="21" fillId="0" borderId="10" xfId="28" applyFont="1" applyBorder="1"/>
    <xf numFmtId="0" fontId="10" fillId="0" borderId="1" xfId="6" applyFont="1" applyBorder="1" applyAlignment="1">
      <alignment horizontal="left" vertical="center"/>
    </xf>
    <xf numFmtId="0" fontId="10" fillId="0" borderId="4" xfId="6" applyFont="1" applyBorder="1" applyAlignment="1">
      <alignment horizontal="left" vertical="center"/>
    </xf>
    <xf numFmtId="0" fontId="10" fillId="0" borderId="6" xfId="6" applyFont="1" applyBorder="1" applyAlignment="1">
      <alignment horizontal="left" vertical="top"/>
    </xf>
    <xf numFmtId="49" fontId="20" fillId="2" borderId="1" xfId="6" applyNumberFormat="1" applyFont="1" applyFill="1" applyBorder="1" applyAlignment="1">
      <alignment vertical="top" wrapText="1"/>
    </xf>
    <xf numFmtId="49" fontId="20" fillId="2" borderId="4" xfId="6" applyNumberFormat="1" applyFont="1" applyFill="1" applyBorder="1" applyAlignment="1">
      <alignment vertical="top" wrapText="1"/>
    </xf>
    <xf numFmtId="49" fontId="20" fillId="2" borderId="6" xfId="6" applyNumberFormat="1" applyFont="1" applyFill="1" applyBorder="1" applyAlignment="1">
      <alignment vertical="top" wrapText="1"/>
    </xf>
    <xf numFmtId="0" fontId="22" fillId="0" borderId="10" xfId="26" applyFont="1" applyBorder="1" applyAlignment="1">
      <alignment horizontal="right"/>
    </xf>
    <xf numFmtId="0" fontId="10" fillId="0" borderId="12" xfId="6" applyFont="1" applyBorder="1" applyAlignment="1">
      <alignment vertical="center"/>
    </xf>
    <xf numFmtId="0" fontId="10" fillId="0" borderId="10" xfId="6" applyFont="1" applyBorder="1" applyAlignment="1">
      <alignment vertical="center" wrapText="1"/>
    </xf>
    <xf numFmtId="0" fontId="10" fillId="2" borderId="10" xfId="6" applyFont="1" applyFill="1" applyBorder="1" applyAlignment="1">
      <alignment vertical="center" wrapText="1"/>
    </xf>
    <xf numFmtId="0" fontId="10" fillId="0" borderId="11" xfId="6" applyFont="1" applyBorder="1" applyAlignment="1">
      <alignment vertical="top" wrapText="1"/>
    </xf>
    <xf numFmtId="0" fontId="16" fillId="0" borderId="5" xfId="21" applyFont="1" applyBorder="1" applyAlignment="1">
      <alignment horizontal="left" vertical="top"/>
    </xf>
    <xf numFmtId="0" fontId="16" fillId="0" borderId="10" xfId="21" applyFont="1" applyBorder="1" applyAlignment="1">
      <alignment horizontal="right" vertical="top"/>
    </xf>
    <xf numFmtId="0" fontId="18" fillId="0" borderId="10" xfId="28" applyFont="1" applyBorder="1" applyAlignment="1">
      <alignment vertical="top"/>
    </xf>
    <xf numFmtId="0" fontId="18" fillId="0" borderId="0" xfId="26" applyFont="1" applyAlignment="1">
      <alignment horizontal="center"/>
    </xf>
    <xf numFmtId="0" fontId="9" fillId="0" borderId="0" xfId="26" applyFont="1" applyAlignment="1">
      <alignment vertical="top"/>
    </xf>
    <xf numFmtId="0" fontId="18" fillId="0" borderId="10" xfId="28" applyFont="1" applyBorder="1"/>
    <xf numFmtId="0" fontId="12" fillId="0" borderId="0" xfId="26" applyFont="1"/>
    <xf numFmtId="0" fontId="18" fillId="2" borderId="0" xfId="28" applyFont="1" applyFill="1" applyAlignment="1">
      <alignment vertical="center" wrapText="1"/>
    </xf>
    <xf numFmtId="0" fontId="18" fillId="0" borderId="0" xfId="28" applyFont="1" applyAlignment="1">
      <alignment vertical="center" wrapText="1"/>
    </xf>
    <xf numFmtId="0" fontId="18" fillId="0" borderId="10" xfId="28" applyFont="1" applyBorder="1" applyAlignment="1">
      <alignment vertical="top" wrapText="1"/>
    </xf>
    <xf numFmtId="0" fontId="18" fillId="0" borderId="10" xfId="26" applyFont="1" applyBorder="1" applyAlignment="1">
      <alignment horizontal="center" vertical="center"/>
    </xf>
    <xf numFmtId="4" fontId="24" fillId="0" borderId="2" xfId="38" applyNumberFormat="1" applyFont="1" applyBorder="1" applyAlignment="1">
      <alignment vertical="center"/>
    </xf>
    <xf numFmtId="0" fontId="26" fillId="0" borderId="15" xfId="39" applyFont="1" applyBorder="1"/>
    <xf numFmtId="0" fontId="24" fillId="0" borderId="4" xfId="38" applyFont="1" applyBorder="1" applyAlignment="1">
      <alignment horizontal="right" vertical="center"/>
    </xf>
    <xf numFmtId="0" fontId="24" fillId="0" borderId="0" xfId="38" applyFont="1" applyAlignment="1">
      <alignment horizontal="right" vertical="center"/>
    </xf>
    <xf numFmtId="4" fontId="24" fillId="0" borderId="0" xfId="38" applyNumberFormat="1" applyFont="1" applyAlignment="1">
      <alignment vertical="center"/>
    </xf>
    <xf numFmtId="2" fontId="24" fillId="0" borderId="4" xfId="38" applyNumberFormat="1" applyFont="1" applyBorder="1" applyAlignment="1">
      <alignment horizontal="right" vertical="center"/>
    </xf>
    <xf numFmtId="0" fontId="27" fillId="0" borderId="7" xfId="38" applyFont="1" applyBorder="1" applyAlignment="1">
      <alignment horizontal="right" vertical="center"/>
    </xf>
    <xf numFmtId="43" fontId="28" fillId="0" borderId="7" xfId="40" applyFont="1" applyFill="1" applyBorder="1" applyAlignment="1">
      <alignment vertical="center"/>
    </xf>
    <xf numFmtId="0" fontId="28" fillId="0" borderId="9" xfId="38" applyFont="1" applyBorder="1" applyAlignment="1">
      <alignment horizontal="center" vertical="center" wrapText="1"/>
    </xf>
    <xf numFmtId="3" fontId="28" fillId="0" borderId="9" xfId="38" applyNumberFormat="1" applyFont="1" applyBorder="1" applyAlignment="1">
      <alignment horizontal="center" vertical="center" wrapText="1"/>
    </xf>
    <xf numFmtId="0" fontId="25" fillId="0" borderId="17" xfId="41" applyFont="1" applyBorder="1" applyAlignment="1">
      <alignment horizontal="center" vertical="center" wrapText="1"/>
    </xf>
    <xf numFmtId="0" fontId="32" fillId="0" borderId="17" xfId="41" applyFont="1" applyBorder="1" applyAlignment="1">
      <alignment horizontal="right" vertical="center" wrapText="1"/>
    </xf>
    <xf numFmtId="0" fontId="33" fillId="0" borderId="17" xfId="41" applyFont="1" applyBorder="1" applyAlignment="1">
      <alignment horizontal="center" vertical="center" wrapText="1"/>
    </xf>
    <xf numFmtId="43" fontId="33" fillId="0" borderId="17" xfId="41" applyNumberFormat="1" applyFont="1" applyBorder="1" applyAlignment="1">
      <alignment vertical="center" wrapText="1"/>
    </xf>
    <xf numFmtId="3" fontId="33" fillId="0" borderId="17" xfId="41" applyNumberFormat="1" applyFont="1" applyBorder="1" applyAlignment="1">
      <alignment horizontal="center" vertical="center" wrapText="1"/>
    </xf>
    <xf numFmtId="0" fontId="34" fillId="0" borderId="17" xfId="41" applyFont="1" applyBorder="1" applyAlignment="1">
      <alignment horizontal="left" vertical="center"/>
    </xf>
    <xf numFmtId="0" fontId="31" fillId="0" borderId="0" xfId="41"/>
    <xf numFmtId="0" fontId="35" fillId="0" borderId="17" xfId="41" applyFont="1" applyBorder="1" applyAlignment="1">
      <alignment horizontal="right" vertical="center" wrapText="1"/>
    </xf>
    <xf numFmtId="0" fontId="8" fillId="0" borderId="17" xfId="41" applyFont="1" applyBorder="1" applyAlignment="1">
      <alignment horizontal="center" vertical="center" wrapText="1"/>
    </xf>
    <xf numFmtId="3" fontId="25" fillId="0" borderId="17" xfId="41" applyNumberFormat="1" applyFont="1" applyBorder="1" applyAlignment="1">
      <alignment horizontal="center" vertical="center" wrapText="1"/>
    </xf>
    <xf numFmtId="0" fontId="25" fillId="0" borderId="17" xfId="41" applyFont="1" applyBorder="1" applyAlignment="1">
      <alignment horizontal="left" vertical="center" wrapText="1"/>
    </xf>
    <xf numFmtId="0" fontId="26" fillId="0" borderId="9" xfId="6" applyFont="1" applyBorder="1" applyAlignment="1">
      <alignment horizontal="center" vertical="center" wrapText="1"/>
    </xf>
    <xf numFmtId="0" fontId="37" fillId="0" borderId="9" xfId="6" applyFont="1" applyBorder="1" applyAlignment="1">
      <alignment horizontal="right" vertical="center" wrapText="1"/>
    </xf>
    <xf numFmtId="0" fontId="38" fillId="0" borderId="9" xfId="6" applyFont="1" applyBorder="1" applyAlignment="1">
      <alignment horizontal="center" vertical="center" wrapText="1"/>
    </xf>
    <xf numFmtId="3" fontId="38" fillId="0" borderId="9" xfId="6" applyNumberFormat="1" applyFont="1" applyBorder="1" applyAlignment="1">
      <alignment horizontal="center" vertical="center" wrapText="1"/>
    </xf>
    <xf numFmtId="0" fontId="37" fillId="0" borderId="9" xfId="5" applyFont="1" applyBorder="1" applyAlignment="1">
      <alignment horizontal="left" vertical="center"/>
    </xf>
    <xf numFmtId="0" fontId="26" fillId="0" borderId="9" xfId="5" applyFont="1" applyBorder="1" applyAlignment="1">
      <alignment horizontal="center" vertical="center"/>
    </xf>
    <xf numFmtId="0" fontId="26" fillId="0" borderId="9" xfId="6" applyFont="1" applyBorder="1" applyAlignment="1">
      <alignment horizontal="right" vertical="center" wrapText="1"/>
    </xf>
    <xf numFmtId="3" fontId="26" fillId="0" borderId="9" xfId="6" applyNumberFormat="1" applyFont="1" applyBorder="1" applyAlignment="1">
      <alignment horizontal="center" vertical="center" wrapText="1"/>
    </xf>
    <xf numFmtId="3" fontId="26" fillId="0" borderId="9" xfId="39" applyNumberFormat="1" applyFont="1" applyBorder="1" applyAlignment="1">
      <alignment horizontal="center" vertical="center" wrapText="1"/>
    </xf>
    <xf numFmtId="0" fontId="26" fillId="0" borderId="9" xfId="5" applyFont="1" applyBorder="1" applyAlignment="1">
      <alignment horizontal="left" vertical="center" wrapText="1"/>
    </xf>
    <xf numFmtId="3" fontId="26" fillId="0" borderId="15" xfId="39" applyNumberFormat="1" applyFont="1" applyBorder="1"/>
    <xf numFmtId="3" fontId="26" fillId="0" borderId="15" xfId="39" applyNumberFormat="1" applyFont="1" applyBorder="1" applyAlignment="1">
      <alignment vertical="top"/>
    </xf>
    <xf numFmtId="0" fontId="26" fillId="0" borderId="15" xfId="39" applyFont="1" applyBorder="1" applyAlignment="1">
      <alignment vertical="top"/>
    </xf>
    <xf numFmtId="0" fontId="26" fillId="0" borderId="9" xfId="5" applyFont="1" applyBorder="1" applyAlignment="1">
      <alignment horizontal="right" vertical="center" wrapText="1"/>
    </xf>
    <xf numFmtId="0" fontId="26" fillId="0" borderId="15" xfId="39" applyFont="1" applyBorder="1" applyAlignment="1">
      <alignment vertical="top" wrapText="1"/>
    </xf>
    <xf numFmtId="3" fontId="37" fillId="0" borderId="9" xfId="5" applyNumberFormat="1" applyFont="1" applyBorder="1" applyAlignment="1">
      <alignment horizontal="center" vertical="center"/>
    </xf>
    <xf numFmtId="0" fontId="37" fillId="0" borderId="9" xfId="5" applyFont="1" applyBorder="1" applyAlignment="1">
      <alignment horizontal="left" vertical="center" wrapText="1"/>
    </xf>
    <xf numFmtId="0" fontId="26" fillId="0" borderId="15" xfId="39" applyFont="1" applyBorder="1" applyAlignment="1">
      <alignment vertical="center" wrapText="1"/>
    </xf>
    <xf numFmtId="0" fontId="37" fillId="0" borderId="9" xfId="5" applyFont="1" applyBorder="1" applyAlignment="1">
      <alignment horizontal="right" vertical="center"/>
    </xf>
    <xf numFmtId="0" fontId="26" fillId="0" borderId="9" xfId="5" applyFont="1" applyBorder="1" applyAlignment="1">
      <alignment horizontal="center" vertical="center" wrapText="1"/>
    </xf>
    <xf numFmtId="0" fontId="26" fillId="0" borderId="15" xfId="39" applyFont="1" applyBorder="1" applyAlignment="1">
      <alignment wrapText="1"/>
    </xf>
    <xf numFmtId="0" fontId="26" fillId="0" borderId="9" xfId="39" applyFont="1" applyBorder="1" applyAlignment="1">
      <alignment horizontal="center" vertical="center"/>
    </xf>
    <xf numFmtId="0" fontId="24" fillId="0" borderId="9" xfId="39" applyFont="1" applyBorder="1" applyAlignment="1">
      <alignment horizontal="right" vertical="center"/>
    </xf>
    <xf numFmtId="0" fontId="24" fillId="0" borderId="9" xfId="39" applyFont="1" applyBorder="1" applyAlignment="1">
      <alignment horizontal="center" vertical="center"/>
    </xf>
    <xf numFmtId="3" fontId="24" fillId="0" borderId="9" xfId="39" applyNumberFormat="1" applyFont="1" applyBorder="1" applyAlignment="1">
      <alignment horizontal="center" vertical="center"/>
    </xf>
    <xf numFmtId="0" fontId="24" fillId="0" borderId="9" xfId="39" applyFont="1" applyBorder="1" applyAlignment="1">
      <alignment horizontal="left" vertical="center"/>
    </xf>
    <xf numFmtId="0" fontId="26" fillId="0" borderId="15" xfId="39" applyFont="1" applyBorder="1" applyAlignment="1">
      <alignment vertical="center"/>
    </xf>
    <xf numFmtId="0" fontId="37" fillId="0" borderId="9" xfId="5" applyFont="1" applyBorder="1" applyAlignment="1">
      <alignment horizontal="right" vertical="center" wrapText="1"/>
    </xf>
    <xf numFmtId="0" fontId="38" fillId="0" borderId="9" xfId="5" applyFont="1" applyBorder="1" applyAlignment="1">
      <alignment horizontal="center" vertical="center" wrapText="1"/>
    </xf>
    <xf numFmtId="3" fontId="25" fillId="0" borderId="9" xfId="6" applyNumberFormat="1" applyFont="1" applyBorder="1" applyAlignment="1">
      <alignment horizontal="center" vertical="center" wrapText="1"/>
    </xf>
    <xf numFmtId="0" fontId="25" fillId="0" borderId="9" xfId="5" applyFont="1" applyBorder="1" applyAlignment="1">
      <alignment horizontal="left" vertical="center" wrapText="1"/>
    </xf>
    <xf numFmtId="0" fontId="26" fillId="0" borderId="9" xfId="39" applyFont="1" applyBorder="1" applyAlignment="1">
      <alignment horizontal="center" vertical="center" wrapText="1"/>
    </xf>
    <xf numFmtId="0" fontId="38" fillId="0" borderId="9" xfId="39" applyFont="1" applyBorder="1" applyAlignment="1">
      <alignment horizontal="center" vertical="center" wrapText="1"/>
    </xf>
    <xf numFmtId="3" fontId="38" fillId="0" borderId="9" xfId="42" applyNumberFormat="1" applyFont="1" applyFill="1" applyBorder="1" applyAlignment="1">
      <alignment horizontal="center" vertical="center" wrapText="1"/>
    </xf>
    <xf numFmtId="0" fontId="37" fillId="0" borderId="9" xfId="39" applyFont="1" applyBorder="1" applyAlignment="1">
      <alignment vertical="center" wrapText="1"/>
    </xf>
    <xf numFmtId="0" fontId="26" fillId="0" borderId="9" xfId="5" applyFont="1" applyBorder="1" applyAlignment="1">
      <alignment horizontal="center" vertical="center" wrapText="1" readingOrder="1"/>
    </xf>
    <xf numFmtId="0" fontId="38" fillId="0" borderId="0" xfId="38" applyFont="1" applyAlignment="1">
      <alignment vertical="center"/>
    </xf>
    <xf numFmtId="3" fontId="26" fillId="0" borderId="9" xfId="24" applyNumberFormat="1" applyFont="1" applyBorder="1" applyAlignment="1">
      <alignment horizontal="center" vertical="center"/>
    </xf>
    <xf numFmtId="0" fontId="26" fillId="0" borderId="0" xfId="39" applyFont="1" applyAlignment="1">
      <alignment vertical="center" wrapText="1"/>
    </xf>
    <xf numFmtId="0" fontId="26" fillId="0" borderId="9" xfId="6" applyFont="1" applyBorder="1" applyAlignment="1">
      <alignment vertical="center" wrapText="1"/>
    </xf>
    <xf numFmtId="0" fontId="25" fillId="0" borderId="9" xfId="6" applyFont="1" applyBorder="1" applyAlignment="1">
      <alignment vertical="center" wrapText="1"/>
    </xf>
    <xf numFmtId="0" fontId="38" fillId="0" borderId="0" xfId="39" applyFont="1" applyAlignment="1">
      <alignment vertical="center" wrapText="1"/>
    </xf>
    <xf numFmtId="0" fontId="26" fillId="0" borderId="9" xfId="39" applyFont="1" applyBorder="1" applyAlignment="1">
      <alignment vertical="center" wrapText="1"/>
    </xf>
    <xf numFmtId="0" fontId="25" fillId="0" borderId="9" xfId="5" applyFont="1" applyBorder="1" applyAlignment="1">
      <alignment horizontal="right" vertical="center" wrapText="1"/>
    </xf>
    <xf numFmtId="3" fontId="25" fillId="0" borderId="9" xfId="39" applyNumberFormat="1" applyFont="1" applyBorder="1" applyAlignment="1">
      <alignment horizontal="center" vertical="center" wrapText="1"/>
    </xf>
    <xf numFmtId="0" fontId="25" fillId="0" borderId="9" xfId="5" applyFont="1" applyBorder="1" applyAlignment="1">
      <alignment vertical="center" wrapText="1"/>
    </xf>
    <xf numFmtId="0" fontId="26" fillId="0" borderId="9" xfId="6" applyFont="1" applyBorder="1" applyAlignment="1">
      <alignment vertical="top"/>
    </xf>
    <xf numFmtId="0" fontId="24" fillId="0" borderId="9" xfId="39" applyFont="1" applyBorder="1" applyAlignment="1">
      <alignment vertical="center" wrapText="1"/>
    </xf>
    <xf numFmtId="0" fontId="38" fillId="0" borderId="0" xfId="39" applyFont="1" applyAlignment="1">
      <alignment vertical="top" wrapText="1"/>
    </xf>
    <xf numFmtId="0" fontId="34" fillId="0" borderId="18" xfId="5" applyFont="1" applyBorder="1" applyAlignment="1">
      <alignment horizontal="right" vertical="center" wrapText="1"/>
    </xf>
    <xf numFmtId="0" fontId="25" fillId="0" borderId="9" xfId="39" applyFont="1" applyBorder="1" applyAlignment="1">
      <alignment horizontal="center" vertical="center" wrapText="1"/>
    </xf>
    <xf numFmtId="3" fontId="25" fillId="0" borderId="9" xfId="43" applyNumberFormat="1" applyFont="1" applyFill="1" applyBorder="1" applyAlignment="1">
      <alignment horizontal="center" vertical="center" wrapText="1"/>
    </xf>
    <xf numFmtId="0" fontId="34" fillId="0" borderId="10" xfId="39" applyFont="1" applyBorder="1" applyAlignment="1">
      <alignment vertical="center" wrapText="1"/>
    </xf>
    <xf numFmtId="166" fontId="26" fillId="0" borderId="9" xfId="39" applyNumberFormat="1" applyFont="1" applyBorder="1" applyAlignment="1">
      <alignment horizontal="center" vertical="center" wrapText="1"/>
    </xf>
    <xf numFmtId="0" fontId="25" fillId="0" borderId="9" xfId="6" applyFont="1" applyBorder="1" applyAlignment="1">
      <alignment horizontal="right" vertical="center" wrapText="1"/>
    </xf>
    <xf numFmtId="0" fontId="28" fillId="0" borderId="9" xfId="6" applyFont="1" applyBorder="1" applyAlignment="1">
      <alignment horizontal="center" vertical="center" wrapText="1"/>
    </xf>
    <xf numFmtId="0" fontId="37" fillId="0" borderId="9" xfId="24" applyFont="1" applyBorder="1" applyAlignment="1">
      <alignment horizontal="right" vertical="center"/>
    </xf>
    <xf numFmtId="0" fontId="37" fillId="0" borderId="9" xfId="24" applyFont="1" applyBorder="1" applyAlignment="1">
      <alignment horizontal="left" vertical="center"/>
    </xf>
    <xf numFmtId="0" fontId="26" fillId="0" borderId="0" xfId="39" applyFont="1" applyAlignment="1">
      <alignment vertical="center"/>
    </xf>
    <xf numFmtId="0" fontId="26" fillId="0" borderId="9" xfId="44" applyFont="1" applyBorder="1" applyAlignment="1">
      <alignment horizontal="right" vertical="center" wrapText="1"/>
    </xf>
    <xf numFmtId="0" fontId="26" fillId="0" borderId="9" xfId="45" applyFont="1" applyBorder="1" applyAlignment="1">
      <alignment horizontal="left" vertical="center" wrapText="1"/>
    </xf>
    <xf numFmtId="0" fontId="26" fillId="0" borderId="0" xfId="39" applyFont="1" applyAlignment="1">
      <alignment vertical="top" wrapText="1"/>
    </xf>
    <xf numFmtId="0" fontId="37" fillId="0" borderId="9" xfId="6" applyFont="1" applyBorder="1" applyAlignment="1">
      <alignment vertical="center" wrapText="1"/>
    </xf>
    <xf numFmtId="3" fontId="38" fillId="0" borderId="9" xfId="39" applyNumberFormat="1" applyFont="1" applyBorder="1" applyAlignment="1">
      <alignment horizontal="center" vertical="center" wrapText="1"/>
    </xf>
    <xf numFmtId="0" fontId="26" fillId="0" borderId="9" xfId="45" applyFont="1" applyBorder="1" applyAlignment="1">
      <alignment vertical="center" wrapText="1"/>
    </xf>
    <xf numFmtId="0" fontId="37" fillId="0" borderId="9" xfId="44" applyFont="1" applyBorder="1" applyAlignment="1">
      <alignment horizontal="right" vertical="center" wrapText="1"/>
    </xf>
    <xf numFmtId="0" fontId="26" fillId="0" borderId="9" xfId="44" applyFont="1" applyBorder="1" applyAlignment="1">
      <alignment vertical="center" wrapText="1"/>
    </xf>
    <xf numFmtId="0" fontId="26" fillId="0" borderId="9" xfId="39" applyFont="1" applyBorder="1" applyAlignment="1">
      <alignment horizontal="left" vertical="center" wrapText="1"/>
    </xf>
    <xf numFmtId="0" fontId="33" fillId="0" borderId="9" xfId="5" applyFont="1" applyBorder="1" applyAlignment="1">
      <alignment horizontal="center" vertical="center" wrapText="1" readingOrder="1"/>
    </xf>
    <xf numFmtId="0" fontId="39" fillId="0" borderId="9" xfId="6" applyFont="1" applyBorder="1" applyAlignment="1">
      <alignment vertical="center" wrapText="1"/>
    </xf>
    <xf numFmtId="0" fontId="33" fillId="0" borderId="9" xfId="6" applyFont="1" applyBorder="1" applyAlignment="1">
      <alignment horizontal="center" vertical="center" wrapText="1"/>
    </xf>
    <xf numFmtId="3" fontId="33" fillId="0" borderId="9" xfId="42" applyNumberFormat="1" applyFont="1" applyFill="1" applyBorder="1" applyAlignment="1">
      <alignment horizontal="center" wrapText="1"/>
    </xf>
    <xf numFmtId="0" fontId="34" fillId="0" borderId="9" xfId="39" applyFont="1" applyBorder="1" applyAlignment="1">
      <alignment vertical="center" wrapText="1"/>
    </xf>
    <xf numFmtId="0" fontId="25" fillId="0" borderId="9" xfId="39" applyFont="1" applyBorder="1" applyAlignment="1">
      <alignment vertical="center" wrapText="1"/>
    </xf>
    <xf numFmtId="0" fontId="25" fillId="0" borderId="9" xfId="6" applyFont="1" applyBorder="1" applyAlignment="1">
      <alignment horizontal="center" vertical="center" wrapText="1"/>
    </xf>
    <xf numFmtId="0" fontId="25" fillId="0" borderId="9" xfId="39" applyFont="1" applyBorder="1" applyAlignment="1">
      <alignment horizontal="left" vertical="center" wrapText="1"/>
    </xf>
    <xf numFmtId="0" fontId="37" fillId="0" borderId="9" xfId="38" applyFont="1" applyBorder="1" applyAlignment="1">
      <alignment horizontal="right" vertical="center"/>
    </xf>
    <xf numFmtId="0" fontId="38" fillId="0" borderId="19" xfId="39" applyFont="1" applyBorder="1" applyAlignment="1">
      <alignment vertical="center" wrapText="1"/>
    </xf>
    <xf numFmtId="0" fontId="26" fillId="0" borderId="19" xfId="39" applyFont="1" applyBorder="1" applyAlignment="1">
      <alignment vertical="center" wrapText="1"/>
    </xf>
    <xf numFmtId="0" fontId="37" fillId="0" borderId="9" xfId="6" applyFont="1" applyBorder="1" applyAlignment="1">
      <alignment horizontal="right" vertical="center"/>
    </xf>
    <xf numFmtId="0" fontId="38" fillId="0" borderId="9" xfId="39" applyFont="1" applyBorder="1" applyAlignment="1">
      <alignment horizontal="center" vertical="center"/>
    </xf>
    <xf numFmtId="3" fontId="38" fillId="0" borderId="9" xfId="39" applyNumberFormat="1" applyFont="1" applyBorder="1" applyAlignment="1">
      <alignment horizontal="center" vertical="center"/>
    </xf>
    <xf numFmtId="0" fontId="37" fillId="0" borderId="9" xfId="6" applyFont="1" applyBorder="1" applyAlignment="1">
      <alignment horizontal="left" vertical="center" wrapText="1"/>
    </xf>
    <xf numFmtId="0" fontId="26" fillId="0" borderId="9" xfId="39" applyFont="1" applyBorder="1" applyAlignment="1">
      <alignment vertical="center"/>
    </xf>
    <xf numFmtId="0" fontId="38" fillId="0" borderId="15" xfId="39" applyFont="1" applyBorder="1" applyAlignment="1">
      <alignment vertical="center"/>
    </xf>
    <xf numFmtId="0" fontId="37" fillId="0" borderId="9" xfId="5" applyFont="1" applyBorder="1" applyAlignment="1">
      <alignment horizontal="right" vertical="center" wrapText="1" readingOrder="2"/>
    </xf>
    <xf numFmtId="4" fontId="26" fillId="0" borderId="9" xfId="43" applyNumberFormat="1" applyFont="1" applyFill="1" applyBorder="1" applyAlignment="1">
      <alignment horizontal="right" vertical="center" wrapText="1"/>
    </xf>
    <xf numFmtId="0" fontId="26" fillId="0" borderId="9" xfId="6" applyFont="1" applyBorder="1" applyAlignment="1">
      <alignment horizontal="left" vertical="center" wrapText="1"/>
    </xf>
    <xf numFmtId="0" fontId="26" fillId="0" borderId="9" xfId="39" applyFont="1" applyBorder="1" applyAlignment="1">
      <alignment horizontal="left" vertical="center"/>
    </xf>
    <xf numFmtId="0" fontId="26" fillId="0" borderId="0" xfId="39" applyFont="1"/>
    <xf numFmtId="0" fontId="38" fillId="0" borderId="15" xfId="39" applyFont="1" applyBorder="1" applyAlignment="1">
      <alignment vertical="center" wrapText="1"/>
    </xf>
    <xf numFmtId="0" fontId="26" fillId="0" borderId="9" xfId="6" applyFont="1" applyBorder="1" applyAlignment="1">
      <alignment horizontal="center" vertical="center"/>
    </xf>
    <xf numFmtId="0" fontId="26" fillId="0" borderId="9" xfId="6" applyFont="1" applyBorder="1" applyAlignment="1">
      <alignment vertical="center"/>
    </xf>
    <xf numFmtId="0" fontId="40" fillId="0" borderId="9" xfId="39" applyFont="1" applyBorder="1" applyAlignment="1">
      <alignment horizontal="center" vertical="center" wrapText="1"/>
    </xf>
    <xf numFmtId="3" fontId="40" fillId="0" borderId="9" xfId="40" applyNumberFormat="1" applyFont="1" applyFill="1" applyBorder="1" applyAlignment="1">
      <alignment horizontal="center" vertical="center"/>
    </xf>
    <xf numFmtId="0" fontId="26" fillId="0" borderId="7" xfId="39" applyFont="1" applyBorder="1" applyAlignment="1">
      <alignment vertical="center" wrapText="1"/>
    </xf>
    <xf numFmtId="3" fontId="28" fillId="0" borderId="16" xfId="38" applyNumberFormat="1" applyFont="1" applyBorder="1" applyAlignment="1">
      <alignment vertical="center" wrapText="1"/>
    </xf>
    <xf numFmtId="3" fontId="28" fillId="0" borderId="13" xfId="38" applyNumberFormat="1" applyFont="1" applyBorder="1" applyAlignment="1">
      <alignment horizontal="center" vertical="center" wrapText="1"/>
    </xf>
    <xf numFmtId="0" fontId="24" fillId="0" borderId="13" xfId="38" applyFont="1" applyBorder="1" applyAlignment="1">
      <alignment vertical="center"/>
    </xf>
    <xf numFmtId="0" fontId="40" fillId="0" borderId="9" xfId="39" applyFont="1" applyBorder="1" applyAlignment="1">
      <alignment horizontal="center" vertical="center"/>
    </xf>
    <xf numFmtId="3" fontId="40" fillId="0" borderId="9" xfId="39" applyNumberFormat="1" applyFont="1" applyBorder="1" applyAlignment="1">
      <alignment horizontal="center" vertical="center"/>
    </xf>
    <xf numFmtId="0" fontId="38" fillId="0" borderId="9" xfId="39" applyFont="1" applyBorder="1" applyAlignment="1">
      <alignment vertical="center"/>
    </xf>
    <xf numFmtId="0" fontId="38" fillId="0" borderId="0" xfId="39" applyFont="1" applyAlignment="1">
      <alignment vertical="center"/>
    </xf>
    <xf numFmtId="3" fontId="37" fillId="0" borderId="9" xfId="39" applyNumberFormat="1" applyFont="1" applyBorder="1" applyAlignment="1">
      <alignment horizontal="center" vertical="center" wrapText="1"/>
    </xf>
    <xf numFmtId="0" fontId="37" fillId="0" borderId="9" xfId="6" applyFont="1" applyBorder="1" applyAlignment="1">
      <alignment vertical="center"/>
    </xf>
    <xf numFmtId="0" fontId="26" fillId="0" borderId="9" xfId="39" applyFont="1" applyBorder="1" applyAlignment="1">
      <alignment horizontal="right" vertical="center" wrapText="1"/>
    </xf>
    <xf numFmtId="0" fontId="38" fillId="0" borderId="9" xfId="39" applyFont="1" applyBorder="1" applyAlignment="1">
      <alignment horizontal="left" vertical="center"/>
    </xf>
    <xf numFmtId="0" fontId="38" fillId="0" borderId="0" xfId="39" applyFont="1"/>
    <xf numFmtId="3" fontId="28" fillId="0" borderId="9" xfId="38" applyNumberFormat="1" applyFont="1" applyBorder="1" applyAlignment="1">
      <alignment vertical="center" wrapText="1"/>
    </xf>
    <xf numFmtId="0" fontId="37" fillId="0" borderId="9" xfId="39" applyFont="1" applyBorder="1" applyAlignment="1">
      <alignment horizontal="right" vertical="center" wrapText="1"/>
    </xf>
    <xf numFmtId="0" fontId="24" fillId="0" borderId="9" xfId="39" applyFont="1" applyBorder="1" applyAlignment="1">
      <alignment vertical="center"/>
    </xf>
    <xf numFmtId="0" fontId="26" fillId="0" borderId="9" xfId="6" quotePrefix="1" applyFont="1" applyBorder="1" applyAlignment="1">
      <alignment horizontal="right" vertical="center" wrapText="1"/>
    </xf>
    <xf numFmtId="3" fontId="26" fillId="0" borderId="9" xfId="40" applyNumberFormat="1" applyFont="1" applyFill="1" applyBorder="1" applyAlignment="1">
      <alignment horizontal="center" vertical="center" wrapText="1"/>
    </xf>
    <xf numFmtId="0" fontId="40" fillId="0" borderId="9" xfId="6" applyFont="1" applyBorder="1" applyAlignment="1">
      <alignment horizontal="center" vertical="center" wrapText="1"/>
    </xf>
    <xf numFmtId="3" fontId="40" fillId="0" borderId="9" xfId="6" applyNumberFormat="1" applyFont="1" applyBorder="1" applyAlignment="1">
      <alignment horizontal="center" vertical="center" wrapText="1"/>
    </xf>
    <xf numFmtId="0" fontId="37" fillId="0" borderId="9" xfId="6" applyFont="1" applyBorder="1" applyAlignment="1">
      <alignment horizontal="center" vertical="center" wrapText="1"/>
    </xf>
    <xf numFmtId="3" fontId="37" fillId="0" borderId="9" xfId="6" applyNumberFormat="1" applyFont="1" applyBorder="1" applyAlignment="1">
      <alignment horizontal="center" vertical="center" wrapText="1"/>
    </xf>
    <xf numFmtId="0" fontId="25" fillId="0" borderId="9" xfId="6" applyFont="1" applyBorder="1" applyAlignment="1">
      <alignment horizontal="left" vertical="center" wrapText="1"/>
    </xf>
    <xf numFmtId="3" fontId="26" fillId="0" borderId="15" xfId="39" applyNumberFormat="1" applyFont="1" applyBorder="1" applyAlignment="1">
      <alignment vertical="center"/>
    </xf>
    <xf numFmtId="3" fontId="25" fillId="0" borderId="9" xfId="41" applyNumberFormat="1" applyFont="1" applyBorder="1" applyAlignment="1">
      <alignment horizontal="center" vertical="center"/>
    </xf>
    <xf numFmtId="0" fontId="25" fillId="0" borderId="13" xfId="46" applyFont="1" applyBorder="1" applyAlignment="1">
      <alignment vertical="center" wrapText="1"/>
    </xf>
    <xf numFmtId="3" fontId="25" fillId="0" borderId="9" xfId="40" applyNumberFormat="1" applyFont="1" applyFill="1" applyBorder="1" applyAlignment="1" applyProtection="1">
      <alignment horizontal="center" vertical="center"/>
      <protection locked="0"/>
    </xf>
    <xf numFmtId="0" fontId="34" fillId="0" borderId="14" xfId="38" applyFont="1" applyBorder="1" applyAlignment="1">
      <alignment vertical="center"/>
    </xf>
    <xf numFmtId="0" fontId="41" fillId="0" borderId="9" xfId="47" applyFont="1" applyBorder="1" applyAlignment="1">
      <alignment horizontal="center" vertical="center"/>
    </xf>
    <xf numFmtId="3" fontId="41" fillId="0" borderId="9" xfId="48" applyNumberFormat="1" applyFont="1" applyBorder="1" applyAlignment="1">
      <alignment horizontal="center" vertical="center"/>
    </xf>
    <xf numFmtId="4" fontId="41" fillId="0" borderId="9" xfId="6" applyNumberFormat="1" applyFont="1" applyBorder="1" applyAlignment="1">
      <alignment horizontal="center" vertical="center" wrapText="1"/>
    </xf>
    <xf numFmtId="0" fontId="34" fillId="0" borderId="16" xfId="49" applyFont="1" applyBorder="1" applyAlignment="1">
      <alignment horizontal="left" vertical="center" wrapText="1"/>
    </xf>
    <xf numFmtId="0" fontId="42" fillId="0" borderId="9" xfId="49" applyFont="1" applyBorder="1" applyAlignment="1">
      <alignment horizontal="center" vertical="center" wrapText="1"/>
    </xf>
    <xf numFmtId="0" fontId="25" fillId="0" borderId="20" xfId="39" applyFont="1" applyBorder="1" applyAlignment="1">
      <alignment wrapText="1"/>
    </xf>
    <xf numFmtId="0" fontId="25" fillId="0" borderId="15" xfId="39" applyFont="1" applyBorder="1" applyAlignment="1">
      <alignment wrapText="1"/>
    </xf>
    <xf numFmtId="49" fontId="25" fillId="0" borderId="9" xfId="49" quotePrefix="1" applyNumberFormat="1" applyFont="1" applyBorder="1" applyAlignment="1">
      <alignment horizontal="center" vertical="center" wrapText="1"/>
    </xf>
    <xf numFmtId="0" fontId="34" fillId="0" borderId="14" xfId="6" applyFont="1" applyBorder="1" applyAlignment="1">
      <alignment vertical="center" wrapText="1"/>
    </xf>
    <xf numFmtId="0" fontId="43" fillId="0" borderId="9" xfId="5" applyFont="1" applyBorder="1" applyAlignment="1">
      <alignment horizontal="center" vertical="center"/>
    </xf>
    <xf numFmtId="4" fontId="43" fillId="0" borderId="9" xfId="6" applyNumberFormat="1" applyFont="1" applyBorder="1" applyAlignment="1">
      <alignment horizontal="center" vertical="center" wrapText="1"/>
    </xf>
    <xf numFmtId="0" fontId="34" fillId="0" borderId="9" xfId="5" applyFont="1" applyBorder="1" applyAlignment="1">
      <alignment horizontal="left" vertical="center" wrapText="1"/>
    </xf>
    <xf numFmtId="49" fontId="42" fillId="0" borderId="9" xfId="49" quotePrefix="1" applyNumberFormat="1" applyFont="1" applyBorder="1" applyAlignment="1">
      <alignment horizontal="center" vertical="center" wrapText="1"/>
    </xf>
    <xf numFmtId="0" fontId="25" fillId="0" borderId="14" xfId="47" applyFont="1" applyBorder="1" applyAlignment="1">
      <alignment vertical="center"/>
    </xf>
    <xf numFmtId="0" fontId="25" fillId="0" borderId="9" xfId="5" applyFont="1" applyBorder="1" applyAlignment="1">
      <alignment horizontal="center" vertical="center"/>
    </xf>
    <xf numFmtId="4" fontId="25" fillId="0" borderId="9" xfId="6" applyNumberFormat="1" applyFont="1" applyBorder="1" applyAlignment="1">
      <alignment horizontal="center" vertical="center" wrapText="1"/>
    </xf>
    <xf numFmtId="0" fontId="25" fillId="0" borderId="16" xfId="47" applyFont="1" applyBorder="1" applyAlignment="1">
      <alignment horizontal="left" vertical="center" wrapText="1"/>
    </xf>
    <xf numFmtId="0" fontId="41" fillId="0" borderId="9" xfId="5" applyFont="1" applyBorder="1" applyAlignment="1">
      <alignment horizontal="center" vertical="center"/>
    </xf>
    <xf numFmtId="3" fontId="41" fillId="0" borderId="9" xfId="5" applyNumberFormat="1" applyFont="1" applyBorder="1" applyAlignment="1">
      <alignment horizontal="center" vertical="center"/>
    </xf>
    <xf numFmtId="3" fontId="25" fillId="0" borderId="9" xfId="5" applyNumberFormat="1" applyFont="1" applyBorder="1" applyAlignment="1">
      <alignment horizontal="center" vertical="center"/>
    </xf>
    <xf numFmtId="3" fontId="41" fillId="0" borderId="9" xfId="6" applyNumberFormat="1" applyFont="1" applyBorder="1" applyAlignment="1">
      <alignment horizontal="center" vertical="center" wrapText="1"/>
    </xf>
    <xf numFmtId="0" fontId="25" fillId="0" borderId="14" xfId="6" applyFont="1" applyBorder="1" applyAlignment="1">
      <alignment horizontal="right" vertical="center" wrapText="1"/>
    </xf>
    <xf numFmtId="0" fontId="25" fillId="0" borderId="14" xfId="47" applyFont="1" applyBorder="1" applyAlignment="1">
      <alignment horizontal="right" vertical="center"/>
    </xf>
    <xf numFmtId="0" fontId="25" fillId="0" borderId="9" xfId="39" applyFont="1" applyBorder="1" applyAlignment="1">
      <alignment horizontal="left" vertical="center"/>
    </xf>
    <xf numFmtId="0" fontId="39" fillId="0" borderId="14" xfId="39" applyFont="1" applyBorder="1" applyAlignment="1">
      <alignment vertical="center"/>
    </xf>
    <xf numFmtId="0" fontId="39" fillId="0" borderId="16" xfId="39" applyFont="1" applyBorder="1" applyAlignment="1">
      <alignment horizontal="left" vertical="center" wrapText="1"/>
    </xf>
    <xf numFmtId="0" fontId="34" fillId="0" borderId="9" xfId="6" applyFont="1" applyBorder="1" applyAlignment="1">
      <alignment vertical="center" wrapText="1"/>
    </xf>
    <xf numFmtId="0" fontId="25" fillId="0" borderId="9" xfId="47" applyFont="1" applyBorder="1" applyAlignment="1">
      <alignment vertical="center" wrapText="1"/>
    </xf>
    <xf numFmtId="0" fontId="46" fillId="0" borderId="9" xfId="47" applyFont="1" applyBorder="1" applyAlignment="1">
      <alignment horizontal="center" vertical="center"/>
    </xf>
    <xf numFmtId="3" fontId="46" fillId="0" borderId="9" xfId="48" applyNumberFormat="1" applyFont="1" applyBorder="1" applyAlignment="1">
      <alignment horizontal="center" vertical="center"/>
    </xf>
    <xf numFmtId="4" fontId="46" fillId="0" borderId="9" xfId="6" applyNumberFormat="1" applyFont="1" applyBorder="1" applyAlignment="1">
      <alignment horizontal="center" vertical="center" wrapText="1"/>
    </xf>
    <xf numFmtId="49" fontId="42" fillId="0" borderId="9" xfId="6" quotePrefix="1" applyNumberFormat="1" applyFont="1" applyBorder="1" applyAlignment="1">
      <alignment horizontal="center" vertical="center" wrapText="1"/>
    </xf>
    <xf numFmtId="0" fontId="34" fillId="0" borderId="9" xfId="5" applyFont="1" applyBorder="1" applyAlignment="1">
      <alignment vertical="center"/>
    </xf>
    <xf numFmtId="0" fontId="34" fillId="0" borderId="9" xfId="5" applyFont="1" applyBorder="1" applyAlignment="1">
      <alignment horizontal="center" vertical="center"/>
    </xf>
    <xf numFmtId="4" fontId="34" fillId="0" borderId="9" xfId="6" applyNumberFormat="1" applyFont="1" applyBorder="1" applyAlignment="1">
      <alignment horizontal="center" vertical="center" wrapText="1"/>
    </xf>
    <xf numFmtId="0" fontId="25" fillId="0" borderId="9" xfId="5" applyFont="1" applyBorder="1" applyAlignment="1">
      <alignment vertical="center"/>
    </xf>
    <xf numFmtId="0" fontId="43" fillId="0" borderId="9" xfId="5" applyFont="1" applyBorder="1" applyAlignment="1">
      <alignment vertical="center"/>
    </xf>
    <xf numFmtId="0" fontId="43" fillId="0" borderId="9" xfId="5" applyFont="1" applyBorder="1" applyAlignment="1">
      <alignment horizontal="left" vertical="center" wrapText="1"/>
    </xf>
    <xf numFmtId="0" fontId="33" fillId="0" borderId="9" xfId="39" applyFont="1" applyBorder="1" applyAlignment="1">
      <alignment horizontal="left" vertical="center"/>
    </xf>
    <xf numFmtId="0" fontId="42" fillId="0" borderId="9" xfId="6" applyFont="1" applyBorder="1" applyAlignment="1">
      <alignment horizontal="center" vertical="center" wrapText="1"/>
    </xf>
    <xf numFmtId="0" fontId="34" fillId="0" borderId="9" xfId="5" applyFont="1" applyBorder="1" applyAlignment="1">
      <alignment vertical="center" wrapText="1"/>
    </xf>
    <xf numFmtId="0" fontId="34" fillId="0" borderId="9" xfId="5" applyFont="1" applyBorder="1" applyAlignment="1">
      <alignment horizontal="left" vertical="center"/>
    </xf>
    <xf numFmtId="0" fontId="25" fillId="0" borderId="15" xfId="39" applyFont="1" applyBorder="1"/>
    <xf numFmtId="0" fontId="25" fillId="0" borderId="15" xfId="39" applyFont="1" applyBorder="1" applyAlignment="1">
      <alignment vertical="center" wrapText="1"/>
    </xf>
    <xf numFmtId="0" fontId="25" fillId="0" borderId="9" xfId="47" applyFont="1" applyBorder="1" applyAlignment="1">
      <alignment vertical="center" wrapText="1" shrinkToFit="1"/>
    </xf>
    <xf numFmtId="0" fontId="25" fillId="0" borderId="9" xfId="47" applyFont="1" applyBorder="1" applyAlignment="1">
      <alignment horizontal="center" vertical="center"/>
    </xf>
    <xf numFmtId="3" fontId="25" fillId="0" borderId="9" xfId="48" applyNumberFormat="1" applyFont="1" applyBorder="1" applyAlignment="1">
      <alignment horizontal="center" vertical="center"/>
    </xf>
    <xf numFmtId="4" fontId="25" fillId="0" borderId="9" xfId="43" applyNumberFormat="1" applyFont="1" applyFill="1" applyBorder="1" applyAlignment="1">
      <alignment horizontal="left" vertical="center" wrapText="1"/>
    </xf>
    <xf numFmtId="0" fontId="25" fillId="0" borderId="9" xfId="49" applyFont="1" applyBorder="1" applyAlignment="1">
      <alignment vertical="center" wrapText="1" readingOrder="2"/>
    </xf>
    <xf numFmtId="0" fontId="25" fillId="0" borderId="9" xfId="46" applyFont="1" applyBorder="1" applyAlignment="1">
      <alignment horizontal="center" vertical="center"/>
    </xf>
    <xf numFmtId="3" fontId="25" fillId="0" borderId="9" xfId="46" applyNumberFormat="1" applyFont="1" applyBorder="1" applyAlignment="1">
      <alignment horizontal="center" vertical="center"/>
    </xf>
    <xf numFmtId="0" fontId="25" fillId="0" borderId="9" xfId="49" applyFont="1" applyBorder="1" applyAlignment="1">
      <alignment horizontal="left" vertical="center" wrapText="1" readingOrder="2"/>
    </xf>
    <xf numFmtId="0" fontId="25" fillId="0" borderId="15" xfId="39" applyFont="1" applyBorder="1" applyAlignment="1">
      <alignment vertical="center"/>
    </xf>
    <xf numFmtId="3" fontId="25" fillId="0" borderId="9" xfId="40" applyNumberFormat="1" applyFont="1" applyFill="1" applyBorder="1" applyAlignment="1">
      <alignment horizontal="center" vertical="center" wrapText="1"/>
    </xf>
    <xf numFmtId="0" fontId="25" fillId="0" borderId="21" xfId="6" applyFont="1" applyBorder="1" applyAlignment="1">
      <alignment horizontal="center" vertical="center" wrapText="1"/>
    </xf>
    <xf numFmtId="3" fontId="39" fillId="0" borderId="11" xfId="43" applyNumberFormat="1" applyFont="1" applyFill="1" applyBorder="1" applyAlignment="1">
      <alignment horizontal="center" vertical="center"/>
    </xf>
    <xf numFmtId="0" fontId="8" fillId="0" borderId="0" xfId="39" applyAlignment="1">
      <alignment wrapText="1"/>
    </xf>
    <xf numFmtId="0" fontId="8" fillId="0" borderId="0" xfId="39"/>
    <xf numFmtId="0" fontId="26" fillId="0" borderId="9" xfId="6" applyFont="1" applyBorder="1" applyAlignment="1">
      <alignment horizontal="center" vertical="top"/>
    </xf>
    <xf numFmtId="0" fontId="38" fillId="0" borderId="9" xfId="6" applyFont="1" applyBorder="1" applyAlignment="1">
      <alignment horizontal="center" vertical="center"/>
    </xf>
    <xf numFmtId="3" fontId="37" fillId="0" borderId="9" xfId="6" applyNumberFormat="1" applyFont="1" applyBorder="1" applyAlignment="1">
      <alignment horizontal="right" vertical="center"/>
    </xf>
    <xf numFmtId="0" fontId="37" fillId="0" borderId="9" xfId="6" applyFont="1" applyBorder="1" applyAlignment="1">
      <alignment horizontal="left" vertical="center"/>
    </xf>
    <xf numFmtId="0" fontId="38" fillId="0" borderId="9" xfId="39" applyFont="1" applyBorder="1" applyAlignment="1">
      <alignment horizontal="right" vertical="center"/>
    </xf>
    <xf numFmtId="0" fontId="26" fillId="0" borderId="22" xfId="39" applyFont="1" applyBorder="1" applyAlignment="1">
      <alignment horizontal="center" vertical="top"/>
    </xf>
    <xf numFmtId="0" fontId="26" fillId="0" borderId="22" xfId="39" applyFont="1" applyBorder="1" applyAlignment="1">
      <alignment vertical="top"/>
    </xf>
    <xf numFmtId="0" fontId="26" fillId="0" borderId="22" xfId="39" applyFont="1" applyBorder="1" applyAlignment="1">
      <alignment horizontal="center"/>
    </xf>
    <xf numFmtId="3" fontId="26" fillId="0" borderId="22" xfId="39" applyNumberFormat="1" applyFont="1" applyBorder="1" applyAlignment="1">
      <alignment vertical="top"/>
    </xf>
    <xf numFmtId="0" fontId="26" fillId="0" borderId="22" xfId="39" applyFont="1" applyBorder="1"/>
    <xf numFmtId="0" fontId="26" fillId="0" borderId="15" xfId="39" applyFont="1" applyBorder="1" applyAlignment="1">
      <alignment horizontal="center" vertical="top"/>
    </xf>
    <xf numFmtId="0" fontId="26" fillId="0" borderId="15" xfId="39" applyFont="1" applyBorder="1" applyAlignment="1">
      <alignment horizontal="center"/>
    </xf>
    <xf numFmtId="3" fontId="26" fillId="0" borderId="15" xfId="39" applyNumberFormat="1" applyFont="1" applyBorder="1" applyAlignment="1">
      <alignment horizontal="center"/>
    </xf>
    <xf numFmtId="0" fontId="26" fillId="0" borderId="15" xfId="39" applyFont="1" applyBorder="1" applyAlignment="1">
      <alignment horizontal="left" vertical="top"/>
    </xf>
    <xf numFmtId="0" fontId="26" fillId="0" borderId="15" xfId="39" applyFont="1" applyBorder="1" applyAlignment="1">
      <alignment horizontal="right"/>
    </xf>
    <xf numFmtId="3" fontId="26" fillId="0" borderId="15" xfId="39" applyNumberFormat="1" applyFont="1" applyBorder="1" applyAlignment="1">
      <alignment horizontal="left" vertical="top"/>
    </xf>
    <xf numFmtId="4" fontId="16" fillId="0" borderId="1" xfId="38" applyNumberFormat="1" applyFont="1" applyBorder="1" applyAlignment="1">
      <alignment vertical="center"/>
    </xf>
    <xf numFmtId="0" fontId="16" fillId="0" borderId="4" xfId="38" applyFont="1" applyBorder="1" applyAlignment="1">
      <alignment horizontal="right" vertical="center"/>
    </xf>
    <xf numFmtId="0" fontId="16" fillId="0" borderId="0" xfId="38" applyFont="1" applyAlignment="1">
      <alignment horizontal="right" vertical="center"/>
    </xf>
    <xf numFmtId="4" fontId="16" fillId="0" borderId="4" xfId="38" applyNumberFormat="1" applyFont="1" applyBorder="1" applyAlignment="1">
      <alignment vertical="center"/>
    </xf>
    <xf numFmtId="0" fontId="16" fillId="0" borderId="5" xfId="38" applyFont="1" applyBorder="1" applyAlignment="1">
      <alignment vertical="center"/>
    </xf>
    <xf numFmtId="2" fontId="16" fillId="0" borderId="4" xfId="38" applyNumberFormat="1" applyFont="1" applyBorder="1" applyAlignment="1">
      <alignment horizontal="right" vertical="center"/>
    </xf>
    <xf numFmtId="0" fontId="35" fillId="0" borderId="7" xfId="38" applyFont="1" applyBorder="1" applyAlignment="1">
      <alignment horizontal="right" vertical="center"/>
    </xf>
    <xf numFmtId="43" fontId="9" fillId="0" borderId="6" xfId="42" applyFont="1" applyFill="1" applyBorder="1" applyAlignment="1">
      <alignment vertical="center"/>
    </xf>
    <xf numFmtId="0" fontId="9" fillId="0" borderId="9" xfId="38" applyFont="1" applyBorder="1" applyAlignment="1">
      <alignment horizontal="center" vertical="center" wrapText="1"/>
    </xf>
    <xf numFmtId="3" fontId="9" fillId="0" borderId="9" xfId="38" applyNumberFormat="1" applyFont="1" applyBorder="1" applyAlignment="1">
      <alignment horizontal="center" vertical="center" wrapText="1"/>
    </xf>
    <xf numFmtId="3" fontId="9" fillId="0" borderId="9" xfId="42" applyNumberFormat="1" applyFont="1" applyFill="1" applyBorder="1" applyAlignment="1">
      <alignment horizontal="center" vertical="center" wrapText="1"/>
    </xf>
    <xf numFmtId="0" fontId="8" fillId="0" borderId="0" xfId="39" applyAlignment="1">
      <alignment horizontal="left"/>
    </xf>
    <xf numFmtId="0" fontId="8" fillId="0" borderId="9" xfId="6" applyBorder="1" applyAlignment="1">
      <alignment horizontal="center" vertical="center" wrapText="1"/>
    </xf>
    <xf numFmtId="0" fontId="34" fillId="0" borderId="17" xfId="41" applyFont="1" applyBorder="1" applyAlignment="1">
      <alignment horizontal="right" vertical="center" wrapText="1"/>
    </xf>
    <xf numFmtId="3" fontId="50" fillId="0" borderId="9" xfId="6" applyNumberFormat="1" applyFont="1" applyBorder="1" applyAlignment="1">
      <alignment horizontal="center" vertical="center" wrapText="1"/>
    </xf>
    <xf numFmtId="0" fontId="51" fillId="0" borderId="9" xfId="5" applyFont="1" applyBorder="1" applyAlignment="1">
      <alignment horizontal="left" vertical="center"/>
    </xf>
    <xf numFmtId="0" fontId="8" fillId="0" borderId="9" xfId="5" applyBorder="1" applyAlignment="1">
      <alignment horizontal="center" vertical="center"/>
    </xf>
    <xf numFmtId="0" fontId="8" fillId="0" borderId="9" xfId="6" applyBorder="1" applyAlignment="1">
      <alignment horizontal="right" vertical="center" wrapText="1"/>
    </xf>
    <xf numFmtId="3" fontId="9" fillId="0" borderId="9" xfId="6" applyNumberFormat="1" applyFont="1" applyBorder="1" applyAlignment="1">
      <alignment horizontal="center" vertical="center" wrapText="1"/>
    </xf>
    <xf numFmtId="0" fontId="8" fillId="0" borderId="9" xfId="5" applyBorder="1" applyAlignment="1">
      <alignment horizontal="left" vertical="center" wrapText="1"/>
    </xf>
    <xf numFmtId="0" fontId="51" fillId="0" borderId="9" xfId="6" applyFont="1" applyBorder="1" applyAlignment="1">
      <alignment horizontal="right" vertical="center" wrapText="1"/>
    </xf>
    <xf numFmtId="0" fontId="50" fillId="0" borderId="9" xfId="6" applyFont="1" applyBorder="1" applyAlignment="1">
      <alignment horizontal="center" vertical="center" wrapText="1"/>
    </xf>
    <xf numFmtId="3" fontId="8" fillId="0" borderId="0" xfId="39" applyNumberFormat="1"/>
    <xf numFmtId="3" fontId="8" fillId="0" borderId="0" xfId="39" applyNumberFormat="1" applyAlignment="1">
      <alignment vertical="top"/>
    </xf>
    <xf numFmtId="0" fontId="8" fillId="0" borderId="0" xfId="39" applyAlignment="1">
      <alignment vertical="top"/>
    </xf>
    <xf numFmtId="0" fontId="8" fillId="0" borderId="9" xfId="5" applyBorder="1" applyAlignment="1">
      <alignment horizontal="right" vertical="center" wrapText="1"/>
    </xf>
    <xf numFmtId="0" fontId="8" fillId="0" borderId="0" xfId="39" applyAlignment="1">
      <alignment vertical="top" wrapText="1"/>
    </xf>
    <xf numFmtId="3" fontId="51" fillId="0" borderId="9" xfId="5" applyNumberFormat="1" applyFont="1" applyBorder="1" applyAlignment="1">
      <alignment horizontal="center" vertical="center"/>
    </xf>
    <xf numFmtId="0" fontId="51" fillId="0" borderId="9" xfId="5" applyFont="1" applyBorder="1" applyAlignment="1">
      <alignment horizontal="left" vertical="center" wrapText="1"/>
    </xf>
    <xf numFmtId="0" fontId="8" fillId="0" borderId="0" xfId="39" applyAlignment="1">
      <alignment vertical="center" wrapText="1"/>
    </xf>
    <xf numFmtId="0" fontId="51" fillId="0" borderId="9" xfId="5" applyFont="1" applyBorder="1" applyAlignment="1">
      <alignment horizontal="right" vertical="center"/>
    </xf>
    <xf numFmtId="3" fontId="16" fillId="0" borderId="9" xfId="6" applyNumberFormat="1" applyFont="1" applyBorder="1" applyAlignment="1">
      <alignment horizontal="center" vertical="center" wrapText="1"/>
    </xf>
    <xf numFmtId="3" fontId="33" fillId="0" borderId="9" xfId="6" applyNumberFormat="1" applyFont="1" applyBorder="1" applyAlignment="1">
      <alignment horizontal="center" vertical="center" wrapText="1"/>
    </xf>
    <xf numFmtId="0" fontId="8" fillId="0" borderId="9" xfId="5" applyBorder="1" applyAlignment="1">
      <alignment horizontal="center" vertical="center" wrapText="1"/>
    </xf>
    <xf numFmtId="0" fontId="51" fillId="0" borderId="9" xfId="5" applyFont="1" applyBorder="1" applyAlignment="1">
      <alignment horizontal="right" vertical="center" wrapText="1"/>
    </xf>
    <xf numFmtId="0" fontId="50" fillId="0" borderId="9" xfId="5" applyFont="1" applyBorder="1" applyAlignment="1">
      <alignment horizontal="center" vertical="center" wrapText="1"/>
    </xf>
    <xf numFmtId="3" fontId="50" fillId="0" borderId="9" xfId="5" applyNumberFormat="1" applyFont="1" applyBorder="1" applyAlignment="1">
      <alignment horizontal="center" vertical="center" wrapText="1"/>
    </xf>
    <xf numFmtId="0" fontId="25" fillId="0" borderId="9" xfId="5" applyFont="1" applyBorder="1" applyAlignment="1">
      <alignment horizontal="center" vertical="center" wrapText="1"/>
    </xf>
    <xf numFmtId="3" fontId="8" fillId="0" borderId="9" xfId="6" applyNumberFormat="1" applyBorder="1" applyAlignment="1">
      <alignment horizontal="center" vertical="center" wrapText="1"/>
    </xf>
    <xf numFmtId="0" fontId="8" fillId="0" borderId="9" xfId="39" applyBorder="1" applyAlignment="1">
      <alignment horizontal="center" vertical="center"/>
    </xf>
    <xf numFmtId="0" fontId="16" fillId="0" borderId="9" xfId="39" applyFont="1" applyBorder="1" applyAlignment="1">
      <alignment horizontal="right" vertical="center"/>
    </xf>
    <xf numFmtId="0" fontId="16" fillId="0" borderId="9" xfId="39" applyFont="1" applyBorder="1" applyAlignment="1">
      <alignment horizontal="center" vertical="center"/>
    </xf>
    <xf numFmtId="3" fontId="16" fillId="0" borderId="9" xfId="39" applyNumberFormat="1" applyFont="1" applyBorder="1" applyAlignment="1">
      <alignment horizontal="center" vertical="center"/>
    </xf>
    <xf numFmtId="0" fontId="16" fillId="0" borderId="9" xfId="39" applyFont="1" applyBorder="1" applyAlignment="1">
      <alignment horizontal="left" vertical="center"/>
    </xf>
    <xf numFmtId="0" fontId="9" fillId="0" borderId="9" xfId="39" applyFont="1" applyBorder="1" applyAlignment="1">
      <alignment horizontal="left" vertical="center"/>
    </xf>
    <xf numFmtId="0" fontId="8" fillId="0" borderId="0" xfId="39" applyAlignment="1">
      <alignment vertical="center"/>
    </xf>
    <xf numFmtId="0" fontId="8" fillId="0" borderId="9" xfId="39" applyBorder="1" applyAlignment="1">
      <alignment horizontal="center" vertical="center" wrapText="1"/>
    </xf>
    <xf numFmtId="0" fontId="50" fillId="0" borderId="9" xfId="39" applyFont="1" applyBorder="1" applyAlignment="1">
      <alignment horizontal="center" vertical="center" wrapText="1"/>
    </xf>
    <xf numFmtId="3" fontId="50" fillId="0" borderId="9" xfId="42" applyNumberFormat="1" applyFont="1" applyFill="1" applyBorder="1" applyAlignment="1">
      <alignment horizontal="center" vertical="center" wrapText="1"/>
    </xf>
    <xf numFmtId="3" fontId="50" fillId="0" borderId="9" xfId="43" applyNumberFormat="1" applyFont="1" applyFill="1" applyBorder="1" applyAlignment="1">
      <alignment horizontal="center" vertical="center" wrapText="1"/>
    </xf>
    <xf numFmtId="0" fontId="51" fillId="0" borderId="9" xfId="39" applyFont="1" applyBorder="1" applyAlignment="1">
      <alignment vertical="center" wrapText="1"/>
    </xf>
    <xf numFmtId="0" fontId="8" fillId="0" borderId="9" xfId="5" applyBorder="1" applyAlignment="1">
      <alignment horizontal="center" vertical="center" wrapText="1" readingOrder="1"/>
    </xf>
    <xf numFmtId="0" fontId="50" fillId="0" borderId="0" xfId="38" applyFont="1" applyAlignment="1">
      <alignment vertical="center"/>
    </xf>
    <xf numFmtId="0" fontId="8" fillId="0" borderId="9" xfId="6" applyBorder="1" applyAlignment="1">
      <alignment vertical="center" wrapText="1"/>
    </xf>
    <xf numFmtId="3" fontId="8" fillId="0" borderId="9" xfId="24" applyNumberFormat="1" applyBorder="1" applyAlignment="1">
      <alignment horizontal="center" vertical="center"/>
    </xf>
    <xf numFmtId="3" fontId="8" fillId="0" borderId="9" xfId="39" applyNumberFormat="1" applyBorder="1" applyAlignment="1">
      <alignment horizontal="center" vertical="center" wrapText="1"/>
    </xf>
    <xf numFmtId="3" fontId="25" fillId="0" borderId="9" xfId="24" applyNumberFormat="1" applyFont="1" applyBorder="1" applyAlignment="1">
      <alignment horizontal="center" vertical="center"/>
    </xf>
    <xf numFmtId="0" fontId="50" fillId="0" borderId="0" xfId="39" applyFont="1" applyAlignment="1">
      <alignment vertical="center" wrapText="1"/>
    </xf>
    <xf numFmtId="3" fontId="8" fillId="0" borderId="9" xfId="43" applyNumberFormat="1" applyFont="1" applyFill="1" applyBorder="1" applyAlignment="1">
      <alignment horizontal="center" vertical="center" wrapText="1"/>
    </xf>
    <xf numFmtId="0" fontId="8" fillId="0" borderId="9" xfId="39" applyBorder="1" applyAlignment="1">
      <alignment vertical="center" wrapText="1"/>
    </xf>
    <xf numFmtId="3" fontId="8" fillId="0" borderId="10" xfId="41" applyNumberFormat="1" applyFont="1" applyBorder="1" applyAlignment="1">
      <alignment horizontal="center" vertical="center"/>
    </xf>
    <xf numFmtId="0" fontId="8" fillId="0" borderId="9" xfId="5" applyBorder="1" applyAlignment="1">
      <alignment vertical="center" wrapText="1"/>
    </xf>
    <xf numFmtId="0" fontId="12" fillId="0" borderId="9" xfId="50" applyFont="1" applyBorder="1" applyAlignment="1">
      <alignment horizontal="right" vertical="center" wrapText="1"/>
    </xf>
    <xf numFmtId="0" fontId="50" fillId="0" borderId="0" xfId="39" applyFont="1" applyAlignment="1">
      <alignment vertical="top" wrapText="1"/>
    </xf>
    <xf numFmtId="0" fontId="8" fillId="0" borderId="10" xfId="50" applyBorder="1" applyAlignment="1">
      <alignment horizontal="right" vertical="center" wrapText="1"/>
    </xf>
    <xf numFmtId="0" fontId="8" fillId="0" borderId="10" xfId="50" applyBorder="1" applyAlignment="1">
      <alignment horizontal="left" vertical="center" wrapText="1"/>
    </xf>
    <xf numFmtId="166" fontId="8" fillId="0" borderId="9" xfId="39" applyNumberFormat="1" applyBorder="1" applyAlignment="1">
      <alignment horizontal="center" vertical="center" wrapText="1"/>
    </xf>
    <xf numFmtId="0" fontId="8" fillId="0" borderId="9" xfId="50" applyBorder="1" applyAlignment="1">
      <alignment horizontal="right" vertical="center" wrapText="1"/>
    </xf>
    <xf numFmtId="0" fontId="8" fillId="0" borderId="9" xfId="50" applyBorder="1" applyAlignment="1">
      <alignment horizontal="left" vertical="center" wrapText="1"/>
    </xf>
    <xf numFmtId="0" fontId="8" fillId="0" borderId="9" xfId="6" applyBorder="1" applyAlignment="1">
      <alignment vertical="top"/>
    </xf>
    <xf numFmtId="3" fontId="16" fillId="0" borderId="9" xfId="42" applyNumberFormat="1" applyFont="1" applyFill="1" applyBorder="1" applyAlignment="1">
      <alignment horizontal="center" vertical="center"/>
    </xf>
    <xf numFmtId="0" fontId="16" fillId="0" borderId="9" xfId="39" applyFont="1" applyBorder="1" applyAlignment="1">
      <alignment vertical="center" wrapText="1"/>
    </xf>
    <xf numFmtId="0" fontId="9" fillId="0" borderId="9" xfId="6" applyFont="1" applyBorder="1" applyAlignment="1">
      <alignment horizontal="center" vertical="center" wrapText="1"/>
    </xf>
    <xf numFmtId="0" fontId="51" fillId="0" borderId="9" xfId="24" applyFont="1" applyBorder="1" applyAlignment="1">
      <alignment horizontal="right" vertical="center"/>
    </xf>
    <xf numFmtId="3" fontId="16" fillId="0" borderId="9" xfId="43" applyNumberFormat="1" applyFont="1" applyFill="1" applyBorder="1" applyAlignment="1">
      <alignment horizontal="center" vertical="center"/>
    </xf>
    <xf numFmtId="0" fontId="51" fillId="0" borderId="9" xfId="24" applyFont="1" applyBorder="1" applyAlignment="1">
      <alignment horizontal="left" vertical="center"/>
    </xf>
    <xf numFmtId="0" fontId="8" fillId="0" borderId="9" xfId="44" applyBorder="1" applyAlignment="1">
      <alignment horizontal="right" vertical="center" wrapText="1"/>
    </xf>
    <xf numFmtId="0" fontId="8" fillId="0" borderId="9" xfId="45" applyFont="1" applyBorder="1" applyAlignment="1">
      <alignment horizontal="left" vertical="center" wrapText="1"/>
    </xf>
    <xf numFmtId="0" fontId="51" fillId="0" borderId="9" xfId="44" applyFont="1" applyBorder="1" applyAlignment="1">
      <alignment horizontal="right" vertical="center" wrapText="1"/>
    </xf>
    <xf numFmtId="0" fontId="51" fillId="0" borderId="9" xfId="6" applyFont="1" applyBorder="1" applyAlignment="1">
      <alignment vertical="center" wrapText="1"/>
    </xf>
    <xf numFmtId="3" fontId="50" fillId="0" borderId="9" xfId="39" applyNumberFormat="1" applyFont="1" applyBorder="1" applyAlignment="1">
      <alignment horizontal="center" vertical="center" wrapText="1"/>
    </xf>
    <xf numFmtId="0" fontId="8" fillId="0" borderId="9" xfId="45" applyFont="1" applyBorder="1" applyAlignment="1">
      <alignment vertical="center" wrapText="1"/>
    </xf>
    <xf numFmtId="0" fontId="8" fillId="0" borderId="9" xfId="44" applyBorder="1" applyAlignment="1">
      <alignment vertical="center" wrapText="1"/>
    </xf>
    <xf numFmtId="3" fontId="25" fillId="0" borderId="9" xfId="42" applyNumberFormat="1" applyFont="1" applyFill="1" applyBorder="1" applyAlignment="1">
      <alignment horizontal="center" vertical="center" wrapText="1"/>
    </xf>
    <xf numFmtId="0" fontId="8" fillId="0" borderId="9" xfId="39" applyBorder="1" applyAlignment="1">
      <alignment horizontal="left" vertical="center" wrapText="1"/>
    </xf>
    <xf numFmtId="0" fontId="51" fillId="0" borderId="9" xfId="38" applyFont="1" applyBorder="1" applyAlignment="1">
      <alignment horizontal="right" vertical="center"/>
    </xf>
    <xf numFmtId="0" fontId="16" fillId="0" borderId="9" xfId="5" applyFont="1" applyBorder="1" applyAlignment="1">
      <alignment horizontal="center" vertical="center" wrapText="1" readingOrder="1"/>
    </xf>
    <xf numFmtId="0" fontId="16" fillId="0" borderId="9" xfId="39" applyFont="1" applyBorder="1" applyAlignment="1">
      <alignment horizontal="center" vertical="center" wrapText="1"/>
    </xf>
    <xf numFmtId="3" fontId="16" fillId="0" borderId="9" xfId="42" applyNumberFormat="1" applyFont="1" applyFill="1" applyBorder="1" applyAlignment="1">
      <alignment horizontal="center" vertical="center" wrapText="1"/>
    </xf>
    <xf numFmtId="3" fontId="16" fillId="0" borderId="9" xfId="43" applyNumberFormat="1" applyFont="1" applyFill="1" applyBorder="1" applyAlignment="1">
      <alignment horizontal="center" vertical="center" wrapText="1"/>
    </xf>
    <xf numFmtId="0" fontId="8" fillId="0" borderId="9" xfId="6" applyBorder="1" applyAlignment="1">
      <alignment horizontal="center" vertical="center"/>
    </xf>
    <xf numFmtId="3" fontId="12" fillId="0" borderId="9" xfId="6" applyNumberFormat="1" applyFont="1" applyBorder="1" applyAlignment="1">
      <alignment horizontal="center" vertical="center"/>
    </xf>
    <xf numFmtId="3" fontId="8" fillId="0" borderId="9" xfId="6" applyNumberFormat="1" applyBorder="1" applyAlignment="1">
      <alignment horizontal="center" vertical="center"/>
    </xf>
    <xf numFmtId="0" fontId="51" fillId="0" borderId="9" xfId="6" applyFont="1" applyBorder="1" applyAlignment="1">
      <alignment horizontal="right" vertical="center"/>
    </xf>
    <xf numFmtId="0" fontId="50" fillId="0" borderId="9" xfId="39" applyFont="1" applyBorder="1" applyAlignment="1">
      <alignment horizontal="center" vertical="center"/>
    </xf>
    <xf numFmtId="3" fontId="50" fillId="0" borderId="9" xfId="39" applyNumberFormat="1" applyFont="1" applyBorder="1" applyAlignment="1">
      <alignment horizontal="center" vertical="center"/>
    </xf>
    <xf numFmtId="3" fontId="50" fillId="0" borderId="9" xfId="43" applyNumberFormat="1" applyFont="1" applyFill="1" applyBorder="1" applyAlignment="1">
      <alignment horizontal="center" vertical="center"/>
    </xf>
    <xf numFmtId="3" fontId="16" fillId="0" borderId="9" xfId="38" applyNumberFormat="1" applyFont="1" applyBorder="1" applyAlignment="1">
      <alignment horizontal="center" vertical="center"/>
    </xf>
    <xf numFmtId="0" fontId="51" fillId="0" borderId="9" xfId="6" applyFont="1" applyBorder="1" applyAlignment="1">
      <alignment horizontal="left" vertical="center" wrapText="1"/>
    </xf>
    <xf numFmtId="0" fontId="8" fillId="0" borderId="9" xfId="39" applyBorder="1" applyAlignment="1">
      <alignment vertical="center"/>
    </xf>
    <xf numFmtId="0" fontId="50" fillId="0" borderId="0" xfId="39" applyFont="1" applyAlignment="1">
      <alignment vertical="center"/>
    </xf>
    <xf numFmtId="0" fontId="51" fillId="0" borderId="9" xfId="5" applyFont="1" applyBorder="1" applyAlignment="1">
      <alignment horizontal="right" vertical="center" wrapText="1" readingOrder="2"/>
    </xf>
    <xf numFmtId="3" fontId="9" fillId="0" borderId="9" xfId="39" applyNumberFormat="1" applyFont="1" applyBorder="1" applyAlignment="1">
      <alignment horizontal="center" vertical="center" wrapText="1"/>
    </xf>
    <xf numFmtId="4" fontId="8" fillId="0" borderId="9" xfId="43" applyNumberFormat="1" applyFont="1" applyFill="1" applyBorder="1" applyAlignment="1">
      <alignment horizontal="right" vertical="center" wrapText="1"/>
    </xf>
    <xf numFmtId="3" fontId="25" fillId="0" borderId="9" xfId="42" applyNumberFormat="1" applyFont="1" applyFill="1" applyBorder="1" applyAlignment="1">
      <alignment horizontal="center" vertical="center"/>
    </xf>
    <xf numFmtId="0" fontId="8" fillId="0" borderId="9" xfId="6" applyBorder="1" applyAlignment="1">
      <alignment horizontal="left" vertical="center" wrapText="1"/>
    </xf>
    <xf numFmtId="0" fontId="8" fillId="0" borderId="9" xfId="6" applyBorder="1" applyAlignment="1">
      <alignment vertical="center"/>
    </xf>
    <xf numFmtId="0" fontId="34" fillId="0" borderId="9" xfId="5" applyFont="1" applyBorder="1" applyAlignment="1">
      <alignment horizontal="right" vertical="center" wrapText="1" readingOrder="2"/>
    </xf>
    <xf numFmtId="0" fontId="33" fillId="0" borderId="9" xfId="39" applyFont="1" applyBorder="1" applyAlignment="1">
      <alignment horizontal="center" vertical="center"/>
    </xf>
    <xf numFmtId="3" fontId="33" fillId="0" borderId="9" xfId="43" applyNumberFormat="1" applyFont="1" applyFill="1" applyBorder="1" applyAlignment="1">
      <alignment horizontal="center" vertical="center"/>
    </xf>
    <xf numFmtId="0" fontId="34" fillId="0" borderId="9" xfId="6" applyFont="1" applyBorder="1" applyAlignment="1">
      <alignment horizontal="left" vertical="center" wrapText="1"/>
    </xf>
    <xf numFmtId="0" fontId="25" fillId="0" borderId="9" xfId="6" applyFont="1" applyBorder="1" applyAlignment="1">
      <alignment vertical="center"/>
    </xf>
    <xf numFmtId="0" fontId="52" fillId="0" borderId="9" xfId="39" applyFont="1" applyBorder="1" applyAlignment="1">
      <alignment horizontal="center" vertical="center" wrapText="1"/>
    </xf>
    <xf numFmtId="3" fontId="52" fillId="0" borderId="9" xfId="43" applyNumberFormat="1" applyFont="1" applyFill="1" applyBorder="1" applyAlignment="1">
      <alignment horizontal="center" vertical="center" wrapText="1"/>
    </xf>
    <xf numFmtId="0" fontId="34" fillId="0" borderId="9" xfId="6" applyFont="1" applyBorder="1" applyAlignment="1">
      <alignment horizontal="right" vertical="center" wrapText="1"/>
    </xf>
    <xf numFmtId="0" fontId="46" fillId="0" borderId="9" xfId="39" applyFont="1" applyBorder="1" applyAlignment="1">
      <alignment horizontal="center" vertical="center" wrapText="1"/>
    </xf>
    <xf numFmtId="3" fontId="46" fillId="0" borderId="9" xfId="43" applyNumberFormat="1" applyFont="1" applyFill="1" applyBorder="1" applyAlignment="1">
      <alignment horizontal="center" vertical="center" wrapText="1"/>
    </xf>
    <xf numFmtId="0" fontId="8" fillId="0" borderId="16" xfId="39" applyBorder="1" applyAlignment="1">
      <alignment horizontal="center" vertical="center" wrapText="1"/>
    </xf>
    <xf numFmtId="0" fontId="8" fillId="0" borderId="16" xfId="39" applyBorder="1" applyAlignment="1">
      <alignment horizontal="left" vertical="center"/>
    </xf>
    <xf numFmtId="0" fontId="8" fillId="0" borderId="9" xfId="39" applyBorder="1" applyAlignment="1">
      <alignment horizontal="left" vertical="center"/>
    </xf>
    <xf numFmtId="0" fontId="52" fillId="0" borderId="9" xfId="39" applyFont="1" applyBorder="1" applyAlignment="1">
      <alignment horizontal="center" vertical="center"/>
    </xf>
    <xf numFmtId="3" fontId="52" fillId="0" borderId="9" xfId="39" applyNumberFormat="1" applyFont="1" applyBorder="1" applyAlignment="1">
      <alignment horizontal="center" vertical="center"/>
    </xf>
    <xf numFmtId="3" fontId="52" fillId="0" borderId="9" xfId="43" applyNumberFormat="1" applyFont="1" applyFill="1" applyBorder="1" applyAlignment="1">
      <alignment horizontal="center" vertical="center"/>
    </xf>
    <xf numFmtId="0" fontId="50" fillId="0" borderId="9" xfId="39" applyFont="1" applyBorder="1" applyAlignment="1">
      <alignment vertical="center"/>
    </xf>
    <xf numFmtId="4" fontId="51" fillId="0" borderId="14" xfId="43" applyNumberFormat="1" applyFont="1" applyFill="1" applyBorder="1" applyAlignment="1">
      <alignment horizontal="right" vertical="center"/>
    </xf>
    <xf numFmtId="3" fontId="51" fillId="0" borderId="9" xfId="39" applyNumberFormat="1" applyFont="1" applyBorder="1" applyAlignment="1">
      <alignment horizontal="center" vertical="center" wrapText="1"/>
    </xf>
    <xf numFmtId="3" fontId="51" fillId="0" borderId="9" xfId="38" applyNumberFormat="1" applyFont="1" applyBorder="1" applyAlignment="1">
      <alignment horizontal="center" vertical="center"/>
    </xf>
    <xf numFmtId="3" fontId="51" fillId="0" borderId="9" xfId="43" applyNumberFormat="1" applyFont="1" applyFill="1" applyBorder="1" applyAlignment="1">
      <alignment horizontal="center" vertical="center" wrapText="1"/>
    </xf>
    <xf numFmtId="0" fontId="51" fillId="0" borderId="9" xfId="6" applyFont="1" applyBorder="1" applyAlignment="1">
      <alignment vertical="center"/>
    </xf>
    <xf numFmtId="0" fontId="25" fillId="0" borderId="9" xfId="39" applyFont="1" applyBorder="1" applyAlignment="1">
      <alignment horizontal="center" vertical="center"/>
    </xf>
    <xf numFmtId="3" fontId="33" fillId="0" borderId="9" xfId="39" applyNumberFormat="1" applyFont="1" applyBorder="1" applyAlignment="1">
      <alignment horizontal="center" vertical="center"/>
    </xf>
    <xf numFmtId="0" fontId="8" fillId="0" borderId="9" xfId="39" applyBorder="1" applyAlignment="1">
      <alignment horizontal="right" vertical="center" wrapText="1"/>
    </xf>
    <xf numFmtId="0" fontId="25" fillId="0" borderId="9" xfId="5" applyFont="1" applyBorder="1" applyAlignment="1">
      <alignment horizontal="center" vertical="center" wrapText="1" readingOrder="1"/>
    </xf>
    <xf numFmtId="0" fontId="25" fillId="0" borderId="9" xfId="44" applyFont="1" applyBorder="1" applyAlignment="1">
      <alignment vertical="center" wrapText="1"/>
    </xf>
    <xf numFmtId="0" fontId="25" fillId="0" borderId="9" xfId="45" applyFont="1" applyBorder="1" applyAlignment="1">
      <alignment horizontal="left" vertical="center" wrapText="1"/>
    </xf>
    <xf numFmtId="0" fontId="34" fillId="0" borderId="9" xfId="6" applyFont="1" applyBorder="1" applyAlignment="1">
      <alignment horizontal="right" vertical="center"/>
    </xf>
    <xf numFmtId="0" fontId="46" fillId="0" borderId="9" xfId="39" applyFont="1" applyBorder="1" applyAlignment="1">
      <alignment horizontal="center" vertical="center"/>
    </xf>
    <xf numFmtId="3" fontId="46" fillId="0" borderId="9" xfId="43" applyNumberFormat="1" applyFont="1" applyFill="1" applyBorder="1" applyAlignment="1">
      <alignment horizontal="center" vertical="center"/>
    </xf>
    <xf numFmtId="4" fontId="25" fillId="0" borderId="9" xfId="43" applyNumberFormat="1" applyFont="1" applyFill="1" applyBorder="1" applyAlignment="1">
      <alignment horizontal="right" vertical="center" wrapText="1"/>
    </xf>
    <xf numFmtId="0" fontId="50" fillId="0" borderId="0" xfId="39" applyFont="1"/>
    <xf numFmtId="0" fontId="9" fillId="0" borderId="9" xfId="44" applyFont="1" applyBorder="1" applyAlignment="1">
      <alignment vertical="center" wrapText="1"/>
    </xf>
    <xf numFmtId="0" fontId="50" fillId="0" borderId="9" xfId="39" applyFont="1" applyBorder="1" applyAlignment="1">
      <alignment horizontal="left" vertical="center"/>
    </xf>
    <xf numFmtId="0" fontId="50" fillId="0" borderId="9" xfId="39" applyFont="1" applyBorder="1" applyAlignment="1">
      <alignment horizontal="center" vertical="top"/>
    </xf>
    <xf numFmtId="0" fontId="51" fillId="0" borderId="9" xfId="39" applyFont="1" applyBorder="1" applyAlignment="1">
      <alignment horizontal="right" vertical="center" wrapText="1"/>
    </xf>
    <xf numFmtId="0" fontId="16" fillId="0" borderId="9" xfId="39" applyFont="1" applyBorder="1" applyAlignment="1">
      <alignment vertical="center"/>
    </xf>
    <xf numFmtId="0" fontId="8" fillId="0" borderId="9" xfId="6" quotePrefix="1" applyBorder="1" applyAlignment="1">
      <alignment horizontal="right" vertical="center" wrapText="1"/>
    </xf>
    <xf numFmtId="0" fontId="52" fillId="0" borderId="9" xfId="6" applyFont="1" applyBorder="1" applyAlignment="1">
      <alignment horizontal="center" vertical="center" wrapText="1"/>
    </xf>
    <xf numFmtId="3" fontId="52" fillId="0" borderId="9" xfId="6" applyNumberFormat="1" applyFont="1" applyBorder="1" applyAlignment="1">
      <alignment horizontal="center" vertical="center" wrapText="1"/>
    </xf>
    <xf numFmtId="0" fontId="51" fillId="0" borderId="9" xfId="6" applyFont="1" applyBorder="1" applyAlignment="1">
      <alignment horizontal="center" vertical="center" wrapText="1"/>
    </xf>
    <xf numFmtId="3" fontId="51" fillId="0" borderId="9" xfId="6" applyNumberFormat="1" applyFont="1" applyBorder="1" applyAlignment="1">
      <alignment horizontal="center" vertical="center" wrapText="1"/>
    </xf>
    <xf numFmtId="0" fontId="8" fillId="0" borderId="14" xfId="6" applyBorder="1" applyAlignment="1">
      <alignment horizontal="right" vertical="center" wrapText="1"/>
    </xf>
    <xf numFmtId="3" fontId="9" fillId="0" borderId="13" xfId="39" applyNumberFormat="1" applyFont="1" applyBorder="1" applyAlignment="1">
      <alignment horizontal="center" vertical="center" wrapText="1"/>
    </xf>
    <xf numFmtId="3" fontId="25" fillId="0" borderId="14" xfId="6" applyNumberFormat="1" applyFont="1" applyBorder="1" applyAlignment="1">
      <alignment horizontal="center" vertical="center" wrapText="1"/>
    </xf>
    <xf numFmtId="0" fontId="8" fillId="0" borderId="16" xfId="6" applyBorder="1" applyAlignment="1">
      <alignment horizontal="left" vertical="center" wrapText="1"/>
    </xf>
    <xf numFmtId="0" fontId="16" fillId="0" borderId="14" xfId="39" applyFont="1" applyBorder="1" applyAlignment="1">
      <alignment vertical="center"/>
    </xf>
    <xf numFmtId="0" fontId="16" fillId="0" borderId="16" xfId="39" applyFont="1" applyBorder="1" applyAlignment="1">
      <alignment horizontal="left" vertical="center" wrapText="1"/>
    </xf>
    <xf numFmtId="4" fontId="41" fillId="0" borderId="9" xfId="43" applyNumberFormat="1" applyFont="1" applyFill="1" applyBorder="1" applyAlignment="1">
      <alignment vertical="center" wrapText="1"/>
    </xf>
    <xf numFmtId="0" fontId="25" fillId="0" borderId="0" xfId="39" applyFont="1" applyAlignment="1">
      <alignment wrapText="1"/>
    </xf>
    <xf numFmtId="4" fontId="43" fillId="0" borderId="9" xfId="43" applyNumberFormat="1" applyFont="1" applyFill="1" applyBorder="1" applyAlignment="1">
      <alignment vertical="center" wrapText="1"/>
    </xf>
    <xf numFmtId="4" fontId="25" fillId="0" borderId="9" xfId="43" applyNumberFormat="1" applyFont="1" applyFill="1" applyBorder="1" applyAlignment="1">
      <alignment vertical="center" wrapText="1"/>
    </xf>
    <xf numFmtId="0" fontId="25" fillId="0" borderId="14" xfId="5" applyFont="1" applyBorder="1" applyAlignment="1">
      <alignment horizontal="right" vertical="center" wrapText="1"/>
    </xf>
    <xf numFmtId="0" fontId="39" fillId="0" borderId="9" xfId="6" applyFont="1" applyBorder="1" applyAlignment="1">
      <alignment horizontal="center" vertical="center" wrapText="1"/>
    </xf>
    <xf numFmtId="49" fontId="39" fillId="0" borderId="9" xfId="49" quotePrefix="1" applyNumberFormat="1" applyFont="1" applyBorder="1" applyAlignment="1">
      <alignment horizontal="center" vertical="center" wrapText="1"/>
    </xf>
    <xf numFmtId="0" fontId="25" fillId="0" borderId="14" xfId="47" applyFont="1" applyBorder="1" applyAlignment="1">
      <alignment vertical="center" wrapText="1"/>
    </xf>
    <xf numFmtId="0" fontId="25" fillId="0" borderId="14" xfId="47" applyFont="1" applyBorder="1" applyAlignment="1">
      <alignment horizontal="right" vertical="center" wrapText="1" readingOrder="2"/>
    </xf>
    <xf numFmtId="0" fontId="34" fillId="0" borderId="14" xfId="47" applyFont="1" applyBorder="1" applyAlignment="1">
      <alignment vertical="center" wrapText="1"/>
    </xf>
    <xf numFmtId="0" fontId="25" fillId="0" borderId="16" xfId="5" applyFont="1" applyBorder="1" applyAlignment="1">
      <alignment horizontal="left" vertical="center" wrapText="1"/>
    </xf>
    <xf numFmtId="4" fontId="34" fillId="0" borderId="9" xfId="43" applyNumberFormat="1" applyFont="1" applyFill="1" applyBorder="1" applyAlignment="1">
      <alignment vertical="center" wrapText="1"/>
    </xf>
    <xf numFmtId="3" fontId="39" fillId="0" borderId="9" xfId="43" applyNumberFormat="1" applyFont="1" applyFill="1" applyBorder="1" applyAlignment="1">
      <alignment horizontal="center" vertical="center"/>
    </xf>
    <xf numFmtId="0" fontId="8" fillId="0" borderId="9" xfId="6" applyBorder="1" applyAlignment="1">
      <alignment horizontal="center" vertical="top"/>
    </xf>
    <xf numFmtId="0" fontId="50" fillId="0" borderId="9" xfId="6" applyFont="1" applyBorder="1" applyAlignment="1">
      <alignment horizontal="center" vertical="center"/>
    </xf>
    <xf numFmtId="3" fontId="51" fillId="0" borderId="9" xfId="6" applyNumberFormat="1" applyFont="1" applyBorder="1" applyAlignment="1">
      <alignment horizontal="right" vertical="center"/>
    </xf>
    <xf numFmtId="3" fontId="50" fillId="0" borderId="9" xfId="6" applyNumberFormat="1" applyFont="1" applyBorder="1" applyAlignment="1">
      <alignment horizontal="center" vertical="center"/>
    </xf>
    <xf numFmtId="0" fontId="51" fillId="0" borderId="9" xfId="6" applyFont="1" applyBorder="1" applyAlignment="1">
      <alignment horizontal="left" vertical="center"/>
    </xf>
    <xf numFmtId="0" fontId="12" fillId="0" borderId="9" xfId="6" applyFont="1" applyBorder="1" applyAlignment="1">
      <alignment horizontal="left" vertical="center"/>
    </xf>
    <xf numFmtId="0" fontId="50" fillId="0" borderId="9" xfId="39" applyFont="1" applyBorder="1" applyAlignment="1">
      <alignment horizontal="right" vertical="center"/>
    </xf>
    <xf numFmtId="3" fontId="16" fillId="0" borderId="9" xfId="6" applyNumberFormat="1" applyFont="1" applyBorder="1" applyAlignment="1">
      <alignment horizontal="center" vertical="center"/>
    </xf>
    <xf numFmtId="0" fontId="8" fillId="0" borderId="9" xfId="39" applyBorder="1" applyAlignment="1">
      <alignment horizontal="right" vertical="center"/>
    </xf>
    <xf numFmtId="0" fontId="9" fillId="0" borderId="9" xfId="6" applyFont="1" applyBorder="1" applyAlignment="1">
      <alignment horizontal="left" vertical="center"/>
    </xf>
    <xf numFmtId="0" fontId="8" fillId="0" borderId="0" xfId="39" applyAlignment="1">
      <alignment horizontal="center" vertical="top"/>
    </xf>
    <xf numFmtId="0" fontId="8" fillId="0" borderId="0" xfId="39" applyAlignment="1">
      <alignment horizontal="center"/>
    </xf>
    <xf numFmtId="3" fontId="8" fillId="0" borderId="0" xfId="39" applyNumberFormat="1" applyAlignment="1">
      <alignment horizontal="center"/>
    </xf>
    <xf numFmtId="3" fontId="8" fillId="0" borderId="0" xfId="39" applyNumberFormat="1" applyAlignment="1">
      <alignment vertical="center"/>
    </xf>
    <xf numFmtId="0" fontId="8" fillId="0" borderId="0" xfId="39" applyAlignment="1">
      <alignment horizontal="left" vertical="top"/>
    </xf>
    <xf numFmtId="0" fontId="8" fillId="0" borderId="0" xfId="39" applyAlignment="1">
      <alignment horizontal="right"/>
    </xf>
    <xf numFmtId="3" fontId="8" fillId="0" borderId="0" xfId="39" applyNumberFormat="1" applyAlignment="1">
      <alignment horizontal="left" vertical="top"/>
    </xf>
    <xf numFmtId="0" fontId="15" fillId="0" borderId="0" xfId="51" applyFont="1"/>
    <xf numFmtId="0" fontId="1" fillId="0" borderId="0" xfId="51"/>
    <xf numFmtId="0" fontId="9" fillId="0" borderId="1" xfId="6" applyFont="1" applyBorder="1" applyAlignment="1">
      <alignment horizontal="left" vertical="top"/>
    </xf>
    <xf numFmtId="49" fontId="18" fillId="0" borderId="2" xfId="6" applyNumberFormat="1" applyFont="1" applyBorder="1" applyAlignment="1">
      <alignment vertical="top" wrapText="1"/>
    </xf>
    <xf numFmtId="0" fontId="9" fillId="0" borderId="4" xfId="6" applyFont="1" applyBorder="1" applyAlignment="1">
      <alignment horizontal="left" vertical="top"/>
    </xf>
    <xf numFmtId="49" fontId="18" fillId="0" borderId="0" xfId="6" applyNumberFormat="1" applyFont="1" applyAlignment="1">
      <alignment vertical="top" wrapText="1"/>
    </xf>
    <xf numFmtId="0" fontId="9" fillId="0" borderId="0" xfId="6" applyFont="1" applyAlignment="1">
      <alignment vertical="center" wrapText="1"/>
    </xf>
    <xf numFmtId="0" fontId="9" fillId="0" borderId="6" xfId="6" applyFont="1" applyBorder="1" applyAlignment="1">
      <alignment horizontal="left" vertical="top"/>
    </xf>
    <xf numFmtId="0" fontId="9" fillId="0" borderId="7" xfId="6" applyFont="1" applyBorder="1" applyAlignment="1">
      <alignment vertical="top" wrapText="1"/>
    </xf>
    <xf numFmtId="49" fontId="18" fillId="0" borderId="7" xfId="6" applyNumberFormat="1" applyFont="1" applyBorder="1" applyAlignment="1">
      <alignment vertical="top" wrapText="1"/>
    </xf>
    <xf numFmtId="0" fontId="15" fillId="0" borderId="1" xfId="51" applyFont="1" applyBorder="1" applyAlignment="1">
      <alignment horizontal="center" vertical="center"/>
    </xf>
    <xf numFmtId="0" fontId="15" fillId="0" borderId="3" xfId="51" applyFont="1" applyBorder="1" applyAlignment="1">
      <alignment horizontal="center" vertical="center"/>
    </xf>
    <xf numFmtId="0" fontId="15" fillId="0" borderId="12" xfId="51" applyFont="1" applyBorder="1" applyAlignment="1">
      <alignment horizontal="center" vertical="center"/>
    </xf>
    <xf numFmtId="0" fontId="15" fillId="0" borderId="0" xfId="51" applyFont="1" applyAlignment="1">
      <alignment horizontal="center" vertical="center"/>
    </xf>
    <xf numFmtId="0" fontId="15" fillId="0" borderId="6" xfId="51" applyFont="1" applyBorder="1" applyAlignment="1">
      <alignment horizontal="center" vertical="center"/>
    </xf>
    <xf numFmtId="0" fontId="18" fillId="0" borderId="8" xfId="51" applyFont="1" applyBorder="1" applyAlignment="1">
      <alignment horizontal="right" vertical="center"/>
    </xf>
    <xf numFmtId="0" fontId="15" fillId="0" borderId="11" xfId="51" applyFont="1" applyBorder="1" applyAlignment="1">
      <alignment horizontal="center" vertical="center"/>
    </xf>
    <xf numFmtId="0" fontId="15" fillId="0" borderId="10" xfId="51" applyFont="1" applyBorder="1" applyAlignment="1">
      <alignment horizontal="center" vertical="center"/>
    </xf>
    <xf numFmtId="0" fontId="15" fillId="0" borderId="4" xfId="51" applyFont="1" applyBorder="1" applyAlignment="1">
      <alignment horizontal="center" vertical="center"/>
    </xf>
    <xf numFmtId="0" fontId="15" fillId="0" borderId="5" xfId="51" applyFont="1" applyBorder="1" applyAlignment="1">
      <alignment horizontal="center" vertical="center"/>
    </xf>
    <xf numFmtId="0" fontId="18" fillId="0" borderId="4" xfId="51" applyFont="1" applyBorder="1" applyAlignment="1">
      <alignment horizontal="center" vertical="center"/>
    </xf>
    <xf numFmtId="0" fontId="18" fillId="0" borderId="5" xfId="51" applyFont="1" applyBorder="1" applyAlignment="1">
      <alignment horizontal="right" vertical="center"/>
    </xf>
    <xf numFmtId="43" fontId="15" fillId="0" borderId="10" xfId="52" applyFont="1" applyFill="1" applyBorder="1" applyAlignment="1">
      <alignment horizontal="center" vertical="center" wrapText="1"/>
    </xf>
    <xf numFmtId="164" fontId="8" fillId="0" borderId="10" xfId="52" applyNumberFormat="1" applyFont="1" applyFill="1" applyBorder="1" applyAlignment="1">
      <alignment horizontal="center" vertical="center" wrapText="1"/>
    </xf>
    <xf numFmtId="43" fontId="8" fillId="0" borderId="10" xfId="52" applyFont="1" applyFill="1" applyBorder="1" applyAlignment="1">
      <alignment horizontal="center" vertical="center" wrapText="1"/>
    </xf>
    <xf numFmtId="0" fontId="18" fillId="0" borderId="10" xfId="51" applyFont="1" applyBorder="1" applyAlignment="1">
      <alignment horizontal="center" vertical="center"/>
    </xf>
    <xf numFmtId="0" fontId="12" fillId="0" borderId="5" xfId="51" applyFont="1" applyBorder="1" applyAlignment="1">
      <alignment wrapText="1"/>
    </xf>
    <xf numFmtId="0" fontId="12" fillId="0" borderId="4" xfId="51" applyFont="1" applyBorder="1" applyAlignment="1">
      <alignment wrapText="1"/>
    </xf>
    <xf numFmtId="0" fontId="9" fillId="0" borderId="5" xfId="51" applyFont="1" applyBorder="1" applyAlignment="1">
      <alignment wrapText="1"/>
    </xf>
    <xf numFmtId="0" fontId="15" fillId="0" borderId="10" xfId="51" applyFont="1" applyBorder="1" applyAlignment="1">
      <alignment vertical="center"/>
    </xf>
    <xf numFmtId="0" fontId="15" fillId="0" borderId="5" xfId="53" applyFont="1" applyBorder="1" applyAlignment="1">
      <alignment vertical="top" wrapText="1"/>
    </xf>
    <xf numFmtId="0" fontId="15" fillId="0" borderId="4" xfId="53" applyFont="1" applyBorder="1" applyAlignment="1">
      <alignment vertical="top" wrapText="1"/>
    </xf>
    <xf numFmtId="164" fontId="15" fillId="0" borderId="10" xfId="51" applyNumberFormat="1" applyFont="1" applyBorder="1" applyAlignment="1">
      <alignment vertical="center"/>
    </xf>
    <xf numFmtId="0" fontId="18" fillId="0" borderId="5" xfId="53" applyFont="1" applyBorder="1" applyAlignment="1">
      <alignment vertical="top" wrapText="1"/>
    </xf>
    <xf numFmtId="0" fontId="18" fillId="0" borderId="4" xfId="53" applyFont="1" applyBorder="1" applyAlignment="1">
      <alignment vertical="top" wrapText="1"/>
    </xf>
    <xf numFmtId="0" fontId="15" fillId="0" borderId="5" xfId="53" applyFont="1" applyBorder="1" applyAlignment="1">
      <alignment vertical="center" wrapText="1"/>
    </xf>
    <xf numFmtId="0" fontId="15" fillId="0" borderId="4" xfId="53" applyFont="1" applyBorder="1" applyAlignment="1">
      <alignment vertical="center" wrapText="1"/>
    </xf>
    <xf numFmtId="164" fontId="8" fillId="0" borderId="10" xfId="51" applyNumberFormat="1" applyFont="1" applyBorder="1" applyAlignment="1">
      <alignment vertical="center"/>
    </xf>
    <xf numFmtId="164" fontId="9" fillId="0" borderId="10" xfId="52" applyNumberFormat="1" applyFont="1" applyFill="1" applyBorder="1" applyAlignment="1">
      <alignment vertical="center"/>
    </xf>
    <xf numFmtId="164" fontId="9" fillId="0" borderId="10" xfId="51" applyNumberFormat="1" applyFont="1" applyBorder="1" applyAlignment="1">
      <alignment vertical="center" wrapText="1"/>
    </xf>
    <xf numFmtId="0" fontId="15" fillId="0" borderId="0" xfId="51" applyFont="1" applyAlignment="1">
      <alignment vertical="center"/>
    </xf>
    <xf numFmtId="164" fontId="9" fillId="0" borderId="10" xfId="51" applyNumberFormat="1" applyFont="1" applyBorder="1" applyAlignment="1">
      <alignment vertical="center"/>
    </xf>
    <xf numFmtId="164" fontId="54" fillId="0" borderId="10" xfId="51" applyNumberFormat="1" applyFont="1" applyBorder="1" applyAlignment="1">
      <alignment vertical="center"/>
    </xf>
    <xf numFmtId="0" fontId="9" fillId="0" borderId="12" xfId="21" applyFont="1" applyBorder="1" applyAlignment="1" applyProtection="1">
      <alignment vertical="center"/>
      <protection locked="0"/>
    </xf>
    <xf numFmtId="0" fontId="9" fillId="0" borderId="1" xfId="21" applyFont="1" applyBorder="1" applyAlignment="1" applyProtection="1">
      <alignment horizontal="right" vertical="center" indent="1"/>
      <protection locked="0"/>
    </xf>
    <xf numFmtId="0" fontId="9" fillId="0" borderId="3" xfId="21" applyFont="1" applyBorder="1" applyAlignment="1">
      <alignment vertical="top"/>
    </xf>
    <xf numFmtId="0" fontId="9" fillId="0" borderId="1" xfId="21" applyFont="1" applyBorder="1" applyAlignment="1">
      <alignment vertical="top"/>
    </xf>
    <xf numFmtId="0" fontId="9" fillId="0" borderId="12" xfId="21" applyFont="1" applyBorder="1" applyAlignment="1" applyProtection="1">
      <alignment horizontal="center" vertical="center"/>
      <protection locked="0"/>
    </xf>
    <xf numFmtId="164" fontId="55" fillId="0" borderId="12" xfId="21" applyNumberFormat="1" applyFont="1" applyBorder="1" applyAlignment="1" applyProtection="1">
      <alignment horizontal="right" vertical="center"/>
      <protection locked="0"/>
    </xf>
    <xf numFmtId="0" fontId="9" fillId="0" borderId="0" xfId="21" applyFont="1"/>
    <xf numFmtId="0" fontId="9" fillId="0" borderId="10" xfId="21" applyFont="1" applyBorder="1" applyAlignment="1" applyProtection="1">
      <alignment vertical="center"/>
      <protection locked="0"/>
    </xf>
    <xf numFmtId="0" fontId="9" fillId="0" borderId="4" xfId="21" applyFont="1" applyBorder="1" applyAlignment="1" applyProtection="1">
      <alignment horizontal="right" vertical="center" indent="1"/>
      <protection locked="0"/>
    </xf>
    <xf numFmtId="0" fontId="9" fillId="0" borderId="5" xfId="21" applyFont="1" applyBorder="1" applyAlignment="1">
      <alignment vertical="top"/>
    </xf>
    <xf numFmtId="0" fontId="9" fillId="0" borderId="4" xfId="21" applyFont="1" applyBorder="1" applyAlignment="1">
      <alignment vertical="top"/>
    </xf>
    <xf numFmtId="0" fontId="9" fillId="0" borderId="10" xfId="21" applyFont="1" applyBorder="1" applyAlignment="1" applyProtection="1">
      <alignment horizontal="center" vertical="center"/>
      <protection locked="0"/>
    </xf>
    <xf numFmtId="164" fontId="55" fillId="0" borderId="10" xfId="21" applyNumberFormat="1" applyFont="1" applyBorder="1" applyAlignment="1" applyProtection="1">
      <alignment horizontal="right" vertical="center"/>
      <protection locked="0"/>
    </xf>
    <xf numFmtId="0" fontId="9" fillId="0" borderId="11" xfId="21" applyFont="1" applyBorder="1" applyAlignment="1" applyProtection="1">
      <alignment horizontal="right" vertical="center"/>
      <protection locked="0"/>
    </xf>
    <xf numFmtId="0" fontId="9" fillId="0" borderId="6" xfId="21" applyFont="1" applyBorder="1" applyAlignment="1" applyProtection="1">
      <alignment horizontal="right" vertical="center" indent="1"/>
      <protection locked="0"/>
    </xf>
    <xf numFmtId="0" fontId="9" fillId="0" borderId="8" xfId="21" applyFont="1" applyBorder="1" applyAlignment="1" applyProtection="1">
      <alignment vertical="top"/>
      <protection locked="0"/>
    </xf>
    <xf numFmtId="0" fontId="9" fillId="0" borderId="6" xfId="21" applyFont="1" applyBorder="1" applyAlignment="1" applyProtection="1">
      <alignment vertical="top"/>
      <protection locked="0"/>
    </xf>
    <xf numFmtId="0" fontId="9" fillId="0" borderId="11" xfId="21" applyFont="1" applyBorder="1" applyAlignment="1" applyProtection="1">
      <alignment horizontal="center" vertical="center"/>
      <protection locked="0"/>
    </xf>
    <xf numFmtId="0" fontId="55" fillId="0" borderId="11" xfId="21" applyFont="1" applyBorder="1" applyAlignment="1" applyProtection="1">
      <alignment horizontal="right" vertical="center"/>
      <protection locked="0"/>
    </xf>
    <xf numFmtId="0" fontId="9" fillId="0" borderId="12" xfId="21" applyFont="1" applyBorder="1" applyAlignment="1" applyProtection="1">
      <alignment horizontal="right" vertical="center"/>
      <protection locked="0"/>
    </xf>
    <xf numFmtId="0" fontId="9" fillId="0" borderId="5" xfId="21" applyFont="1" applyBorder="1" applyAlignment="1" applyProtection="1">
      <alignment vertical="top"/>
      <protection locked="0"/>
    </xf>
    <xf numFmtId="0" fontId="9" fillId="0" borderId="4" xfId="21" applyFont="1" applyBorder="1" applyAlignment="1" applyProtection="1">
      <alignment vertical="top"/>
      <protection locked="0"/>
    </xf>
    <xf numFmtId="0" fontId="55" fillId="0" borderId="10" xfId="21" applyFont="1" applyBorder="1" applyAlignment="1" applyProtection="1">
      <alignment horizontal="right" vertical="center"/>
      <protection locked="0"/>
    </xf>
    <xf numFmtId="0" fontId="56" fillId="0" borderId="5" xfId="53" applyFont="1" applyBorder="1" applyAlignment="1">
      <alignment vertical="top" wrapText="1"/>
    </xf>
    <xf numFmtId="0" fontId="56" fillId="0" borderId="4" xfId="53" applyFont="1" applyBorder="1" applyAlignment="1">
      <alignment vertical="top" wrapText="1"/>
    </xf>
    <xf numFmtId="164" fontId="8" fillId="0" borderId="10" xfId="52" applyNumberFormat="1" applyFont="1" applyFill="1" applyBorder="1" applyAlignment="1">
      <alignment vertical="center"/>
    </xf>
    <xf numFmtId="164" fontId="8" fillId="0" borderId="10" xfId="51" applyNumberFormat="1" applyFont="1" applyBorder="1" applyAlignment="1">
      <alignment horizontal="right" vertical="center"/>
    </xf>
    <xf numFmtId="0" fontId="57" fillId="0" borderId="5" xfId="53" applyFont="1" applyBorder="1" applyAlignment="1">
      <alignment vertical="top" wrapText="1"/>
    </xf>
    <xf numFmtId="0" fontId="57" fillId="0" borderId="4" xfId="53" applyFont="1" applyBorder="1" applyAlignment="1">
      <alignment vertical="top" wrapText="1"/>
    </xf>
    <xf numFmtId="0" fontId="15" fillId="0" borderId="4" xfId="53" applyFont="1" applyBorder="1" applyAlignment="1">
      <alignment horizontal="right" vertical="center" wrapText="1"/>
    </xf>
    <xf numFmtId="0" fontId="15" fillId="0" borderId="5" xfId="53" applyFont="1" applyBorder="1" applyAlignment="1">
      <alignment horizontal="right" vertical="center" wrapText="1"/>
    </xf>
    <xf numFmtId="0" fontId="15" fillId="0" borderId="4" xfId="53" applyFont="1" applyBorder="1" applyAlignment="1">
      <alignment horizontal="right" vertical="top" wrapText="1"/>
    </xf>
    <xf numFmtId="0" fontId="15" fillId="0" borderId="5" xfId="53" applyFont="1" applyBorder="1" applyAlignment="1">
      <alignment horizontal="right" vertical="top" wrapText="1"/>
    </xf>
    <xf numFmtId="0" fontId="8" fillId="0" borderId="5" xfId="53" applyFont="1" applyBorder="1" applyAlignment="1">
      <alignment vertical="center" wrapText="1"/>
    </xf>
    <xf numFmtId="0" fontId="8" fillId="0" borderId="4" xfId="53" applyFont="1" applyBorder="1" applyAlignment="1">
      <alignment vertical="center" wrapText="1"/>
    </xf>
    <xf numFmtId="164" fontId="9" fillId="0" borderId="12" xfId="21" applyNumberFormat="1" applyFont="1" applyBorder="1" applyAlignment="1" applyProtection="1">
      <alignment horizontal="right" vertical="center"/>
      <protection locked="0"/>
    </xf>
    <xf numFmtId="164" fontId="9" fillId="0" borderId="10" xfId="21" applyNumberFormat="1" applyFont="1" applyBorder="1" applyAlignment="1" applyProtection="1">
      <alignment horizontal="right" vertical="center"/>
      <protection locked="0"/>
    </xf>
    <xf numFmtId="0" fontId="57" fillId="0" borderId="5" xfId="53" applyFont="1" applyBorder="1" applyAlignment="1">
      <alignment vertical="center" wrapText="1"/>
    </xf>
    <xf numFmtId="0" fontId="57" fillId="0" borderId="4" xfId="53" applyFont="1" applyBorder="1" applyAlignment="1">
      <alignment vertical="center" wrapText="1"/>
    </xf>
    <xf numFmtId="0" fontId="44" fillId="0" borderId="10" xfId="51" applyFont="1" applyBorder="1" applyAlignment="1">
      <alignment horizontal="center" vertical="center"/>
    </xf>
    <xf numFmtId="0" fontId="9" fillId="0" borderId="10" xfId="21" applyFont="1" applyBorder="1" applyAlignment="1" applyProtection="1">
      <alignment horizontal="right" vertical="center"/>
      <protection locked="0"/>
    </xf>
    <xf numFmtId="0" fontId="44" fillId="0" borderId="5" xfId="53" applyFont="1" applyBorder="1" applyAlignment="1">
      <alignment vertical="top" wrapText="1"/>
    </xf>
    <xf numFmtId="0" fontId="59" fillId="0" borderId="4" xfId="53" applyFont="1" applyBorder="1" applyAlignment="1">
      <alignment vertical="top" wrapText="1"/>
    </xf>
    <xf numFmtId="0" fontId="59" fillId="0" borderId="5" xfId="53" applyFont="1" applyBorder="1" applyAlignment="1">
      <alignment vertical="top" wrapText="1"/>
    </xf>
    <xf numFmtId="0" fontId="44" fillId="0" borderId="4" xfId="53" applyFont="1" applyBorder="1" applyAlignment="1">
      <alignment vertical="top" wrapText="1"/>
    </xf>
    <xf numFmtId="0" fontId="60" fillId="0" borderId="5" xfId="53" applyFont="1" applyBorder="1" applyAlignment="1">
      <alignment vertical="top" wrapText="1"/>
    </xf>
    <xf numFmtId="0" fontId="61" fillId="0" borderId="4" xfId="51" applyFont="1" applyBorder="1" applyAlignment="1">
      <alignment horizontal="right" vertical="top" wrapText="1"/>
    </xf>
    <xf numFmtId="0" fontId="61" fillId="0" borderId="5" xfId="51" applyFont="1" applyBorder="1" applyAlignment="1">
      <alignment horizontal="right" vertical="top" wrapText="1"/>
    </xf>
    <xf numFmtId="0" fontId="62" fillId="0" borderId="4" xfId="51" applyFont="1" applyBorder="1" applyAlignment="1">
      <alignment horizontal="right" vertical="top" wrapText="1"/>
    </xf>
    <xf numFmtId="0" fontId="62" fillId="0" borderId="5" xfId="51" applyFont="1" applyBorder="1" applyAlignment="1">
      <alignment horizontal="right" vertical="top" wrapText="1"/>
    </xf>
    <xf numFmtId="0" fontId="63" fillId="0" borderId="4" xfId="53" applyFont="1" applyBorder="1" applyAlignment="1">
      <alignment vertical="top" wrapText="1"/>
    </xf>
    <xf numFmtId="0" fontId="63" fillId="0" borderId="5" xfId="53" applyFont="1" applyBorder="1" applyAlignment="1">
      <alignment vertical="top" wrapText="1"/>
    </xf>
    <xf numFmtId="0" fontId="44" fillId="0" borderId="5" xfId="53" applyFont="1" applyBorder="1" applyAlignment="1">
      <alignment vertical="center" wrapText="1"/>
    </xf>
    <xf numFmtId="0" fontId="62" fillId="0" borderId="4" xfId="53" applyFont="1" applyBorder="1" applyAlignment="1">
      <alignment vertical="center" wrapText="1"/>
    </xf>
    <xf numFmtId="0" fontId="62" fillId="0" borderId="5" xfId="53" applyFont="1" applyBorder="1" applyAlignment="1">
      <alignment vertical="center" wrapText="1"/>
    </xf>
    <xf numFmtId="0" fontId="44" fillId="0" borderId="4" xfId="53" applyFont="1" applyBorder="1" applyAlignment="1">
      <alignment vertical="center" wrapText="1"/>
    </xf>
    <xf numFmtId="0" fontId="63" fillId="0" borderId="4" xfId="51" applyFont="1" applyBorder="1" applyAlignment="1">
      <alignment horizontal="right" vertical="top" wrapText="1"/>
    </xf>
    <xf numFmtId="0" fontId="63" fillId="0" borderId="5" xfId="51" applyFont="1" applyBorder="1" applyAlignment="1">
      <alignment horizontal="right" vertical="top" wrapText="1"/>
    </xf>
    <xf numFmtId="0" fontId="44" fillId="0" borderId="11" xfId="51" applyFont="1" applyBorder="1" applyAlignment="1">
      <alignment horizontal="center" vertical="center"/>
    </xf>
    <xf numFmtId="0" fontId="15" fillId="0" borderId="1" xfId="53" applyFont="1" applyBorder="1" applyAlignment="1">
      <alignment vertical="top" wrapText="1"/>
    </xf>
    <xf numFmtId="0" fontId="18" fillId="0" borderId="0" xfId="51" applyFont="1"/>
    <xf numFmtId="3" fontId="62" fillId="0" borderId="4" xfId="51" applyNumberFormat="1" applyFont="1" applyBorder="1" applyAlignment="1">
      <alignment horizontal="center" vertical="center"/>
    </xf>
    <xf numFmtId="0" fontId="15" fillId="0" borderId="6" xfId="53" applyFont="1" applyBorder="1" applyAlignment="1">
      <alignment vertical="center" wrapText="1"/>
    </xf>
    <xf numFmtId="0" fontId="15" fillId="0" borderId="8" xfId="53" applyFont="1" applyBorder="1" applyAlignment="1">
      <alignment vertical="center" wrapText="1"/>
    </xf>
    <xf numFmtId="0" fontId="15" fillId="0" borderId="5" xfId="53" applyFont="1" applyBorder="1" applyAlignment="1">
      <alignment horizontal="left" vertical="top" wrapText="1"/>
    </xf>
    <xf numFmtId="0" fontId="15" fillId="0" borderId="6" xfId="53" applyFont="1" applyBorder="1" applyAlignment="1">
      <alignment vertical="top" wrapText="1"/>
    </xf>
    <xf numFmtId="0" fontId="15" fillId="0" borderId="8" xfId="53" applyFont="1" applyBorder="1" applyAlignment="1">
      <alignment vertical="top" wrapText="1"/>
    </xf>
    <xf numFmtId="0" fontId="9" fillId="0" borderId="8" xfId="21" applyFont="1" applyBorder="1"/>
    <xf numFmtId="0" fontId="9" fillId="0" borderId="6" xfId="21" applyFont="1" applyBorder="1"/>
    <xf numFmtId="0" fontId="8" fillId="0" borderId="5" xfId="51" applyFont="1" applyBorder="1" applyAlignment="1">
      <alignment vertical="top" wrapText="1"/>
    </xf>
    <xf numFmtId="0" fontId="9" fillId="0" borderId="1" xfId="21" applyFont="1" applyBorder="1" applyAlignment="1" applyProtection="1">
      <alignment vertical="top"/>
      <protection locked="0"/>
    </xf>
    <xf numFmtId="0" fontId="9" fillId="0" borderId="3" xfId="21" applyFont="1" applyBorder="1" applyAlignment="1" applyProtection="1">
      <alignment vertical="top"/>
      <protection locked="0"/>
    </xf>
    <xf numFmtId="164" fontId="9" fillId="0" borderId="10" xfId="52" applyNumberFormat="1" applyFont="1" applyFill="1" applyBorder="1" applyAlignment="1">
      <alignment horizontal="center" vertical="center"/>
    </xf>
    <xf numFmtId="43" fontId="9" fillId="0" borderId="10" xfId="52" applyFont="1" applyFill="1" applyBorder="1" applyAlignment="1">
      <alignment horizontal="center" vertical="center"/>
    </xf>
    <xf numFmtId="164" fontId="8" fillId="0" borderId="10" xfId="52" applyNumberFormat="1" applyFont="1" applyFill="1" applyBorder="1" applyAlignment="1">
      <alignment horizontal="center" vertical="center"/>
    </xf>
    <xf numFmtId="164" fontId="8" fillId="0" borderId="10" xfId="51" applyNumberFormat="1" applyFont="1" applyBorder="1" applyAlignment="1">
      <alignment horizontal="center" vertical="center"/>
    </xf>
    <xf numFmtId="0" fontId="15" fillId="0" borderId="3" xfId="53" applyFont="1" applyBorder="1" applyAlignment="1">
      <alignment vertical="top" wrapText="1"/>
    </xf>
    <xf numFmtId="164" fontId="8" fillId="0" borderId="12" xfId="51" applyNumberFormat="1" applyFont="1" applyBorder="1" applyAlignment="1">
      <alignment vertical="center"/>
    </xf>
    <xf numFmtId="0" fontId="55" fillId="0" borderId="5" xfId="53" applyFont="1" applyBorder="1" applyAlignment="1">
      <alignment vertical="center" wrapText="1"/>
    </xf>
    <xf numFmtId="0" fontId="8" fillId="0" borderId="4" xfId="53" applyFont="1" applyBorder="1" applyAlignment="1">
      <alignment vertical="top" wrapText="1"/>
    </xf>
    <xf numFmtId="0" fontId="55" fillId="0" borderId="5" xfId="53" applyFont="1" applyBorder="1" applyAlignment="1">
      <alignment vertical="top" wrapText="1"/>
    </xf>
    <xf numFmtId="0" fontId="18" fillId="0" borderId="11" xfId="51" applyFont="1" applyBorder="1" applyAlignment="1">
      <alignment horizontal="center" vertical="center"/>
    </xf>
    <xf numFmtId="49" fontId="15" fillId="0" borderId="10" xfId="51" applyNumberFormat="1" applyFont="1" applyBorder="1" applyAlignment="1">
      <alignment horizontal="center" vertical="center"/>
    </xf>
    <xf numFmtId="0" fontId="56" fillId="0" borderId="5" xfId="51" applyFont="1" applyBorder="1" applyAlignment="1">
      <alignment vertical="top"/>
    </xf>
    <xf numFmtId="0" fontId="56" fillId="0" borderId="4" xfId="51" applyFont="1" applyBorder="1" applyAlignment="1">
      <alignment vertical="top"/>
    </xf>
    <xf numFmtId="0" fontId="15" fillId="0" borderId="5" xfId="51" applyFont="1" applyBorder="1" applyAlignment="1">
      <alignment vertical="top"/>
    </xf>
    <xf numFmtId="0" fontId="18" fillId="0" borderId="5" xfId="53" applyFont="1" applyBorder="1" applyAlignment="1">
      <alignment vertical="top"/>
    </xf>
    <xf numFmtId="0" fontId="18" fillId="0" borderId="4" xfId="53" applyFont="1" applyBorder="1" applyAlignment="1">
      <alignment vertical="top"/>
    </xf>
    <xf numFmtId="0" fontId="54" fillId="0" borderId="10" xfId="51" applyFont="1" applyBorder="1" applyAlignment="1">
      <alignment vertical="center"/>
    </xf>
    <xf numFmtId="0" fontId="15" fillId="0" borderId="4" xfId="51" applyFont="1" applyBorder="1" applyAlignment="1">
      <alignment horizontal="center" vertical="top"/>
    </xf>
    <xf numFmtId="0" fontId="15" fillId="0" borderId="0" xfId="51" applyFont="1" applyAlignment="1">
      <alignment vertical="top"/>
    </xf>
    <xf numFmtId="0" fontId="12" fillId="0" borderId="5" xfId="21" applyFont="1" applyBorder="1" applyAlignment="1" applyProtection="1">
      <alignment vertical="top"/>
      <protection locked="0"/>
    </xf>
    <xf numFmtId="0" fontId="12" fillId="0" borderId="4" xfId="21" applyFont="1" applyBorder="1" applyAlignment="1" applyProtection="1">
      <alignment vertical="top"/>
      <protection locked="0"/>
    </xf>
    <xf numFmtId="0" fontId="8" fillId="0" borderId="5" xfId="21" applyBorder="1" applyAlignment="1" applyProtection="1">
      <alignment vertical="top"/>
      <protection locked="0"/>
    </xf>
    <xf numFmtId="0" fontId="56" fillId="0" borderId="5" xfId="53" applyFont="1" applyBorder="1" applyAlignment="1">
      <alignment vertical="center" wrapText="1"/>
    </xf>
    <xf numFmtId="0" fontId="56" fillId="0" borderId="4" xfId="53" applyFont="1" applyBorder="1" applyAlignment="1">
      <alignment vertical="center" wrapText="1"/>
    </xf>
    <xf numFmtId="0" fontId="15" fillId="0" borderId="4" xfId="51" applyFont="1" applyBorder="1" applyAlignment="1">
      <alignment vertical="top"/>
    </xf>
    <xf numFmtId="0" fontId="44" fillId="0" borderId="5" xfId="53" applyFont="1" applyBorder="1" applyAlignment="1">
      <alignment wrapText="1"/>
    </xf>
    <xf numFmtId="0" fontId="44" fillId="0" borderId="4" xfId="53" applyFont="1" applyBorder="1" applyAlignment="1">
      <alignment wrapText="1"/>
    </xf>
    <xf numFmtId="0" fontId="12" fillId="0" borderId="4" xfId="5" applyFont="1" applyBorder="1" applyAlignment="1">
      <alignment horizontal="right" vertical="top" wrapText="1"/>
    </xf>
    <xf numFmtId="0" fontId="12" fillId="0" borderId="5" xfId="5" applyFont="1" applyBorder="1" applyAlignment="1">
      <alignment horizontal="right" vertical="top" wrapText="1"/>
    </xf>
    <xf numFmtId="0" fontId="9" fillId="0" borderId="5" xfId="5" applyFont="1" applyBorder="1" applyAlignment="1">
      <alignment horizontal="left" vertical="top" wrapText="1"/>
    </xf>
    <xf numFmtId="0" fontId="8" fillId="0" borderId="10" xfId="51" applyFont="1" applyBorder="1" applyAlignment="1">
      <alignment vertical="center"/>
    </xf>
    <xf numFmtId="0" fontId="18" fillId="0" borderId="5" xfId="53" applyFont="1" applyBorder="1" applyAlignment="1">
      <alignment vertical="center" wrapText="1"/>
    </xf>
    <xf numFmtId="0" fontId="18" fillId="0" borderId="4" xfId="53" applyFont="1" applyBorder="1" applyAlignment="1">
      <alignment vertical="center" wrapText="1"/>
    </xf>
    <xf numFmtId="0" fontId="9" fillId="0" borderId="10" xfId="51" applyFont="1" applyBorder="1" applyAlignment="1">
      <alignment horizontal="center" vertical="center"/>
    </xf>
    <xf numFmtId="0" fontId="8" fillId="0" borderId="4" xfId="51" applyFont="1" applyBorder="1" applyAlignment="1">
      <alignment horizontal="center"/>
    </xf>
    <xf numFmtId="0" fontId="12" fillId="0" borderId="5" xfId="24" applyFont="1" applyBorder="1" applyAlignment="1">
      <alignment horizontal="justify" vertical="top" wrapText="1"/>
    </xf>
    <xf numFmtId="0" fontId="56" fillId="0" borderId="4" xfId="53" applyFont="1" applyBorder="1" applyAlignment="1">
      <alignment vertical="top"/>
    </xf>
    <xf numFmtId="0" fontId="8" fillId="0" borderId="10" xfId="51" applyFont="1" applyBorder="1" applyAlignment="1">
      <alignment horizontal="center" vertical="center"/>
    </xf>
    <xf numFmtId="0" fontId="8" fillId="0" borderId="0" xfId="51" applyFont="1"/>
    <xf numFmtId="0" fontId="9" fillId="0" borderId="5" xfId="24" applyFont="1" applyBorder="1" applyAlignment="1">
      <alignment horizontal="justify" vertical="top" wrapText="1"/>
    </xf>
    <xf numFmtId="0" fontId="12" fillId="0" borderId="5" xfId="5" applyFont="1" applyBorder="1" applyAlignment="1">
      <alignment horizontal="left" vertical="top" wrapText="1"/>
    </xf>
    <xf numFmtId="0" fontId="15" fillId="0" borderId="5" xfId="53" applyFont="1" applyBorder="1" applyAlignment="1">
      <alignment vertical="center" wrapText="1" readingOrder="1"/>
    </xf>
    <xf numFmtId="0" fontId="15" fillId="0" borderId="4" xfId="53" applyFont="1" applyBorder="1" applyAlignment="1">
      <alignment horizontal="center" vertical="center" wrapText="1"/>
    </xf>
    <xf numFmtId="0" fontId="15" fillId="0" borderId="5" xfId="53" applyFont="1" applyBorder="1" applyAlignment="1">
      <alignment horizontal="center" vertical="center" wrapText="1"/>
    </xf>
    <xf numFmtId="49" fontId="18" fillId="0" borderId="10" xfId="51" applyNumberFormat="1" applyFont="1" applyBorder="1" applyAlignment="1">
      <alignment horizontal="center" vertical="center"/>
    </xf>
    <xf numFmtId="0" fontId="18" fillId="0" borderId="10" xfId="51" applyFont="1" applyBorder="1" applyAlignment="1">
      <alignment vertical="center"/>
    </xf>
    <xf numFmtId="0" fontId="15" fillId="0" borderId="3" xfId="51" applyFont="1" applyBorder="1" applyAlignment="1">
      <alignment vertical="top"/>
    </xf>
    <xf numFmtId="0" fontId="15" fillId="0" borderId="1" xfId="53" applyFont="1" applyBorder="1" applyAlignment="1">
      <alignment vertical="center" wrapText="1"/>
    </xf>
    <xf numFmtId="0" fontId="15" fillId="0" borderId="3" xfId="53" applyFont="1" applyBorder="1" applyAlignment="1">
      <alignment vertical="center" wrapText="1"/>
    </xf>
    <xf numFmtId="0" fontId="15" fillId="0" borderId="12" xfId="51" applyFont="1" applyBorder="1" applyAlignment="1">
      <alignment vertical="center"/>
    </xf>
    <xf numFmtId="0" fontId="64" fillId="0" borderId="5" xfId="53" applyFont="1" applyBorder="1" applyAlignment="1">
      <alignment vertical="top"/>
    </xf>
    <xf numFmtId="0" fontId="64" fillId="0" borderId="4" xfId="53" applyFont="1" applyBorder="1" applyAlignment="1">
      <alignment vertical="center"/>
    </xf>
    <xf numFmtId="0" fontId="64" fillId="0" borderId="5" xfId="53" applyFont="1" applyBorder="1" applyAlignment="1">
      <alignment vertical="center"/>
    </xf>
    <xf numFmtId="0" fontId="15" fillId="0" borderId="8" xfId="51" applyFont="1" applyBorder="1" applyAlignment="1">
      <alignment vertical="top"/>
    </xf>
    <xf numFmtId="0" fontId="62" fillId="0" borderId="6" xfId="53" applyFont="1" applyBorder="1" applyAlignment="1">
      <alignment vertical="center" wrapText="1"/>
    </xf>
    <xf numFmtId="0" fontId="62" fillId="0" borderId="8" xfId="53" applyFont="1" applyBorder="1" applyAlignment="1">
      <alignment vertical="center" wrapText="1"/>
    </xf>
    <xf numFmtId="0" fontId="15" fillId="0" borderId="11" xfId="51" applyFont="1" applyBorder="1" applyAlignment="1">
      <alignment vertical="center"/>
    </xf>
    <xf numFmtId="0" fontId="15" fillId="0" borderId="0" xfId="53" applyFont="1" applyAlignment="1">
      <alignment vertical="center" wrapText="1"/>
    </xf>
    <xf numFmtId="0" fontId="15" fillId="0" borderId="0" xfId="51" applyFont="1" applyAlignment="1">
      <alignment horizontal="center" vertical="top"/>
    </xf>
    <xf numFmtId="0" fontId="15" fillId="0" borderId="0" xfId="41" applyFont="1" applyAlignment="1">
      <alignment horizontal="center" vertical="top"/>
    </xf>
    <xf numFmtId="0" fontId="15" fillId="0" borderId="0" xfId="41" applyFont="1"/>
    <xf numFmtId="0" fontId="15" fillId="0" borderId="0" xfId="41" applyFont="1" applyAlignment="1">
      <alignment horizontal="right"/>
    </xf>
    <xf numFmtId="165" fontId="15" fillId="0" borderId="0" xfId="54" applyFont="1" applyFill="1" applyBorder="1"/>
    <xf numFmtId="0" fontId="15" fillId="0" borderId="0" xfId="41" applyFont="1" applyAlignment="1">
      <alignment horizontal="center" vertical="top" wrapText="1"/>
    </xf>
    <xf numFmtId="0" fontId="65" fillId="0" borderId="0" xfId="41" applyFont="1" applyAlignment="1">
      <alignment vertical="top" wrapText="1"/>
    </xf>
    <xf numFmtId="0" fontId="66" fillId="0" borderId="0" xfId="41" applyFont="1" applyAlignment="1">
      <alignment horizontal="center"/>
    </xf>
    <xf numFmtId="0" fontId="15" fillId="0" borderId="0" xfId="41" applyFont="1" applyAlignment="1">
      <alignment vertical="center" wrapText="1"/>
    </xf>
    <xf numFmtId="0" fontId="15" fillId="0" borderId="0" xfId="41" applyFont="1" applyAlignment="1">
      <alignment vertical="center"/>
    </xf>
    <xf numFmtId="0" fontId="67" fillId="0" borderId="0" xfId="41" applyFont="1" applyAlignment="1">
      <alignment horizontal="center" vertical="top" wrapText="1"/>
    </xf>
    <xf numFmtId="0" fontId="67" fillId="0" borderId="0" xfId="41" applyFont="1" applyAlignment="1">
      <alignment vertical="top" wrapText="1"/>
    </xf>
    <xf numFmtId="0" fontId="68" fillId="0" borderId="0" xfId="41" applyFont="1"/>
    <xf numFmtId="0" fontId="66" fillId="0" borderId="0" xfId="41" applyFont="1" applyAlignment="1">
      <alignment horizontal="center" wrapText="1"/>
    </xf>
    <xf numFmtId="0" fontId="67" fillId="0" borderId="0" xfId="41" applyFont="1"/>
    <xf numFmtId="0" fontId="18" fillId="0" borderId="0" xfId="41" applyFont="1" applyAlignment="1">
      <alignment horizontal="center"/>
    </xf>
    <xf numFmtId="0" fontId="67" fillId="0" borderId="0" xfId="41" applyFont="1" applyAlignment="1">
      <alignment horizontal="center"/>
    </xf>
    <xf numFmtId="0" fontId="65" fillId="0" borderId="0" xfId="41" applyFont="1" applyAlignment="1">
      <alignment wrapText="1"/>
    </xf>
    <xf numFmtId="0" fontId="67" fillId="0" borderId="0" xfId="41" applyFont="1" applyAlignment="1">
      <alignment horizontal="center" wrapText="1"/>
    </xf>
    <xf numFmtId="0" fontId="18" fillId="0" borderId="0" xfId="41" applyFont="1"/>
    <xf numFmtId="49" fontId="49" fillId="0" borderId="23" xfId="42" applyNumberFormat="1" applyFont="1" applyFill="1" applyBorder="1" applyAlignment="1">
      <alignment horizontal="right" vertical="center"/>
    </xf>
    <xf numFmtId="0" fontId="69" fillId="0" borderId="24" xfId="41" applyFont="1" applyBorder="1" applyAlignment="1">
      <alignment horizontal="right" vertical="top" wrapText="1"/>
    </xf>
    <xf numFmtId="0" fontId="69" fillId="0" borderId="24" xfId="41" applyFont="1" applyBorder="1" applyAlignment="1">
      <alignment wrapText="1"/>
    </xf>
    <xf numFmtId="0" fontId="69" fillId="0" borderId="26" xfId="41" applyFont="1" applyBorder="1" applyAlignment="1">
      <alignment wrapText="1"/>
    </xf>
    <xf numFmtId="0" fontId="69" fillId="0" borderId="27" xfId="41" applyFont="1" applyBorder="1" applyAlignment="1">
      <alignment wrapText="1"/>
    </xf>
    <xf numFmtId="49" fontId="49" fillId="0" borderId="28" xfId="42" applyNumberFormat="1" applyFont="1" applyFill="1" applyBorder="1" applyAlignment="1">
      <alignment horizontal="right" vertical="center"/>
    </xf>
    <xf numFmtId="43" fontId="49" fillId="0" borderId="0" xfId="42" applyFont="1" applyFill="1" applyBorder="1" applyAlignment="1">
      <alignment vertical="center"/>
    </xf>
    <xf numFmtId="43" fontId="49" fillId="0" borderId="29" xfId="42" applyFont="1" applyFill="1" applyBorder="1" applyAlignment="1">
      <alignment vertical="center"/>
    </xf>
    <xf numFmtId="49" fontId="49" fillId="0" borderId="28" xfId="42" applyNumberFormat="1" applyFont="1" applyFill="1" applyBorder="1" applyAlignment="1">
      <alignment vertical="center"/>
    </xf>
    <xf numFmtId="0" fontId="69" fillId="0" borderId="26" xfId="6" applyFont="1" applyBorder="1" applyAlignment="1">
      <alignment wrapText="1"/>
    </xf>
    <xf numFmtId="0" fontId="69" fillId="0" borderId="27" xfId="6" applyFont="1" applyBorder="1" applyAlignment="1">
      <alignment wrapText="1"/>
    </xf>
    <xf numFmtId="43" fontId="49" fillId="0" borderId="30" xfId="42" applyFont="1" applyFill="1" applyBorder="1" applyAlignment="1">
      <alignment vertical="center"/>
    </xf>
    <xf numFmtId="49" fontId="16" fillId="0" borderId="31" xfId="6" applyNumberFormat="1" applyFont="1" applyBorder="1" applyAlignment="1">
      <alignment horizontal="center" vertical="center" wrapText="1"/>
    </xf>
    <xf numFmtId="43" fontId="48" fillId="0" borderId="32" xfId="42" applyFont="1" applyFill="1" applyBorder="1" applyAlignment="1">
      <alignment horizontal="center" vertical="center"/>
    </xf>
    <xf numFmtId="0" fontId="70" fillId="0" borderId="32" xfId="6" applyFont="1" applyBorder="1" applyAlignment="1">
      <alignment horizontal="center" vertical="center" wrapText="1"/>
    </xf>
    <xf numFmtId="49" fontId="16" fillId="0" borderId="33" xfId="6" applyNumberFormat="1" applyFont="1" applyBorder="1" applyAlignment="1">
      <alignment horizontal="center" vertical="center" wrapText="1"/>
    </xf>
    <xf numFmtId="0" fontId="8" fillId="0" borderId="26" xfId="6" applyBorder="1" applyAlignment="1">
      <alignment vertical="center" wrapText="1"/>
    </xf>
    <xf numFmtId="0" fontId="8" fillId="0" borderId="27" xfId="6" applyBorder="1" applyAlignment="1">
      <alignment vertical="center" wrapText="1"/>
    </xf>
    <xf numFmtId="49" fontId="50" fillId="0" borderId="34" xfId="6" applyNumberFormat="1" applyFont="1" applyBorder="1" applyAlignment="1">
      <alignment horizontal="center" vertical="top" wrapText="1"/>
    </xf>
    <xf numFmtId="0" fontId="50" fillId="0" borderId="9" xfId="6" applyFont="1" applyBorder="1" applyAlignment="1">
      <alignment horizontal="right" vertical="top" wrapText="1"/>
    </xf>
    <xf numFmtId="0" fontId="50" fillId="0" borderId="9" xfId="6" applyFont="1" applyBorder="1" applyAlignment="1">
      <alignment horizontal="left" vertical="top" wrapText="1"/>
    </xf>
    <xf numFmtId="49" fontId="50" fillId="0" borderId="35" xfId="6" applyNumberFormat="1" applyFont="1" applyBorder="1" applyAlignment="1">
      <alignment horizontal="center" vertical="top" wrapText="1"/>
    </xf>
    <xf numFmtId="0" fontId="8" fillId="0" borderId="26" xfId="6" applyBorder="1" applyAlignment="1">
      <alignment wrapText="1"/>
    </xf>
    <xf numFmtId="0" fontId="8" fillId="0" borderId="27" xfId="6" applyBorder="1" applyAlignment="1">
      <alignment wrapText="1"/>
    </xf>
    <xf numFmtId="0" fontId="50" fillId="0" borderId="9" xfId="6" applyFont="1" applyBorder="1" applyAlignment="1">
      <alignment horizontal="right" vertical="center" wrapText="1"/>
    </xf>
    <xf numFmtId="0" fontId="50" fillId="0" borderId="9" xfId="6" applyFont="1" applyBorder="1" applyAlignment="1">
      <alignment vertical="top" wrapText="1"/>
    </xf>
    <xf numFmtId="49" fontId="16" fillId="0" borderId="34" xfId="6" applyNumberFormat="1" applyFont="1" applyBorder="1" applyAlignment="1">
      <alignment horizontal="center" vertical="top" wrapText="1"/>
    </xf>
    <xf numFmtId="0" fontId="70" fillId="0" borderId="9" xfId="6" applyFont="1" applyBorder="1" applyAlignment="1">
      <alignment horizontal="center" vertical="center" wrapText="1"/>
    </xf>
    <xf numFmtId="49" fontId="16" fillId="0" borderId="35" xfId="6" applyNumberFormat="1" applyFont="1" applyBorder="1" applyAlignment="1">
      <alignment horizontal="center" vertical="top" wrapText="1"/>
    </xf>
    <xf numFmtId="0" fontId="50" fillId="0" borderId="9" xfId="6" applyFont="1" applyBorder="1" applyAlignment="1">
      <alignment wrapText="1"/>
    </xf>
    <xf numFmtId="49" fontId="50" fillId="0" borderId="34" xfId="6" applyNumberFormat="1" applyFont="1" applyBorder="1" applyAlignment="1">
      <alignment horizontal="center" vertical="center" wrapText="1"/>
    </xf>
    <xf numFmtId="0" fontId="16" fillId="0" borderId="9" xfId="6" applyFont="1" applyBorder="1" applyAlignment="1">
      <alignment horizontal="right" vertical="center" readingOrder="2"/>
    </xf>
    <xf numFmtId="0" fontId="16" fillId="0" borderId="9" xfId="6" applyFont="1" applyBorder="1" applyAlignment="1">
      <alignment horizontal="left" vertical="center" wrapText="1"/>
    </xf>
    <xf numFmtId="49" fontId="50" fillId="0" borderId="35" xfId="6" applyNumberFormat="1" applyFont="1" applyBorder="1" applyAlignment="1">
      <alignment horizontal="center" vertical="center" wrapText="1"/>
    </xf>
    <xf numFmtId="49" fontId="50" fillId="0" borderId="34" xfId="6" applyNumberFormat="1" applyFont="1" applyBorder="1" applyAlignment="1">
      <alignment vertical="top" wrapText="1"/>
    </xf>
    <xf numFmtId="0" fontId="50" fillId="0" borderId="9" xfId="6" applyFont="1" applyBorder="1" applyAlignment="1">
      <alignment horizontal="right" vertical="center" wrapText="1" readingOrder="2"/>
    </xf>
    <xf numFmtId="0" fontId="21" fillId="0" borderId="9" xfId="6" applyFont="1" applyBorder="1" applyAlignment="1">
      <alignment horizontal="left" vertical="top" wrapText="1"/>
    </xf>
    <xf numFmtId="49" fontId="50" fillId="0" borderId="35" xfId="6" applyNumberFormat="1" applyFont="1" applyBorder="1" applyAlignment="1">
      <alignment vertical="top" wrapText="1"/>
    </xf>
    <xf numFmtId="0" fontId="21" fillId="0" borderId="9" xfId="6" applyFont="1" applyBorder="1" applyAlignment="1">
      <alignment vertical="top" wrapText="1"/>
    </xf>
    <xf numFmtId="0" fontId="50" fillId="0" borderId="9" xfId="6" applyFont="1" applyBorder="1" applyAlignment="1">
      <alignment vertical="top" wrapText="1" readingOrder="1"/>
    </xf>
    <xf numFmtId="0" fontId="70" fillId="0" borderId="9" xfId="39" applyFont="1" applyBorder="1" applyAlignment="1">
      <alignment horizontal="center" vertical="center" wrapText="1"/>
    </xf>
    <xf numFmtId="0" fontId="8" fillId="0" borderId="0" xfId="6" applyAlignment="1">
      <alignment wrapText="1"/>
    </xf>
    <xf numFmtId="0" fontId="8" fillId="0" borderId="0" xfId="6" applyAlignment="1">
      <alignment horizontal="right" wrapText="1"/>
    </xf>
    <xf numFmtId="0" fontId="16" fillId="0" borderId="9" xfId="6" applyFont="1" applyBorder="1" applyAlignment="1">
      <alignment vertical="center" wrapText="1"/>
    </xf>
    <xf numFmtId="0" fontId="50" fillId="0" borderId="9" xfId="6" applyFont="1" applyBorder="1" applyAlignment="1">
      <alignment horizontal="left" vertical="center" wrapText="1"/>
    </xf>
    <xf numFmtId="49" fontId="50" fillId="0" borderId="36" xfId="6" applyNumberFormat="1" applyFont="1" applyBorder="1" applyAlignment="1">
      <alignment horizontal="center" vertical="top" wrapText="1"/>
    </xf>
    <xf numFmtId="0" fontId="50" fillId="0" borderId="37" xfId="6" applyFont="1" applyBorder="1" applyAlignment="1">
      <alignment horizontal="right" vertical="top" wrapText="1"/>
    </xf>
    <xf numFmtId="0" fontId="50" fillId="0" borderId="37" xfId="6" applyFont="1" applyBorder="1" applyAlignment="1">
      <alignment horizontal="left" vertical="top" wrapText="1"/>
    </xf>
    <xf numFmtId="49" fontId="50" fillId="0" borderId="38" xfId="6" applyNumberFormat="1" applyFont="1" applyBorder="1" applyAlignment="1">
      <alignment horizontal="center" vertical="top" wrapText="1"/>
    </xf>
    <xf numFmtId="49" fontId="8" fillId="0" borderId="39" xfId="6" applyNumberFormat="1" applyBorder="1" applyAlignment="1">
      <alignment vertical="top" wrapText="1"/>
    </xf>
    <xf numFmtId="0" fontId="8" fillId="0" borderId="39" xfId="6" applyBorder="1" applyAlignment="1">
      <alignment horizontal="right" vertical="top" wrapText="1"/>
    </xf>
    <xf numFmtId="0" fontId="8" fillId="0" borderId="39" xfId="6" applyBorder="1" applyAlignment="1">
      <alignment wrapText="1"/>
    </xf>
    <xf numFmtId="0" fontId="8" fillId="0" borderId="39" xfId="6" applyBorder="1" applyAlignment="1">
      <alignment vertical="top" wrapText="1"/>
    </xf>
    <xf numFmtId="49" fontId="8" fillId="0" borderId="27" xfId="6" applyNumberFormat="1" applyBorder="1" applyAlignment="1">
      <alignment vertical="top" wrapText="1"/>
    </xf>
    <xf numFmtId="0" fontId="8" fillId="0" borderId="27" xfId="6" applyBorder="1" applyAlignment="1">
      <alignment horizontal="right" vertical="top" wrapText="1"/>
    </xf>
    <xf numFmtId="0" fontId="8" fillId="0" borderId="27" xfId="6" applyBorder="1" applyAlignment="1">
      <alignment vertical="top" wrapText="1"/>
    </xf>
    <xf numFmtId="0" fontId="8" fillId="0" borderId="0" xfId="55" applyAlignment="1">
      <alignment horizontal="center" vertical="top"/>
    </xf>
    <xf numFmtId="0" fontId="8" fillId="0" borderId="0" xfId="55"/>
    <xf numFmtId="0" fontId="8" fillId="0" borderId="0" xfId="55" applyAlignment="1">
      <alignment horizontal="right"/>
    </xf>
    <xf numFmtId="165" fontId="8" fillId="0" borderId="0" xfId="54" applyFont="1" applyFill="1" applyBorder="1"/>
    <xf numFmtId="0" fontId="8" fillId="0" borderId="0" xfId="55" applyAlignment="1">
      <alignment horizontal="center" vertical="top" wrapText="1"/>
    </xf>
    <xf numFmtId="0" fontId="16" fillId="0" borderId="0" xfId="55" applyFont="1" applyAlignment="1">
      <alignment vertical="top" wrapText="1"/>
    </xf>
    <xf numFmtId="0" fontId="48" fillId="0" borderId="0" xfId="55" applyFont="1" applyAlignment="1">
      <alignment horizontal="center"/>
    </xf>
    <xf numFmtId="0" fontId="8" fillId="0" borderId="0" xfId="55" applyAlignment="1">
      <alignment wrapText="1"/>
    </xf>
    <xf numFmtId="0" fontId="49" fillId="0" borderId="0" xfId="55" applyFont="1" applyAlignment="1">
      <alignment horizontal="center" vertical="top" wrapText="1"/>
    </xf>
    <xf numFmtId="0" fontId="49" fillId="0" borderId="0" xfId="55" applyFont="1" applyAlignment="1">
      <alignment vertical="top" wrapText="1"/>
    </xf>
    <xf numFmtId="0" fontId="76" fillId="0" borderId="0" xfId="55" applyFont="1"/>
    <xf numFmtId="0" fontId="49" fillId="0" borderId="0" xfId="55" applyFont="1"/>
    <xf numFmtId="0" fontId="9" fillId="0" borderId="0" xfId="55" applyFont="1" applyAlignment="1">
      <alignment horizontal="center"/>
    </xf>
    <xf numFmtId="0" fontId="49" fillId="0" borderId="0" xfId="55" applyFont="1" applyAlignment="1">
      <alignment horizontal="center"/>
    </xf>
    <xf numFmtId="0" fontId="49" fillId="0" borderId="0" xfId="55" applyFont="1" applyAlignment="1">
      <alignment horizontal="center" wrapText="1"/>
    </xf>
    <xf numFmtId="0" fontId="16" fillId="0" borderId="0" xfId="55" applyFont="1" applyAlignment="1">
      <alignment wrapText="1"/>
    </xf>
    <xf numFmtId="0" fontId="9" fillId="0" borderId="0" xfId="55" applyFont="1"/>
    <xf numFmtId="0" fontId="69" fillId="0" borderId="24" xfId="55" applyFont="1" applyBorder="1" applyAlignment="1">
      <alignment wrapText="1"/>
    </xf>
    <xf numFmtId="0" fontId="69" fillId="0" borderId="26" xfId="55" applyFont="1" applyBorder="1" applyAlignment="1">
      <alignment wrapText="1"/>
    </xf>
    <xf numFmtId="0" fontId="69" fillId="0" borderId="27" xfId="55" applyFont="1" applyBorder="1" applyAlignment="1">
      <alignment wrapText="1"/>
    </xf>
    <xf numFmtId="49" fontId="49" fillId="0" borderId="28" xfId="56" applyNumberFormat="1" applyFont="1" applyFill="1" applyBorder="1" applyAlignment="1">
      <alignment horizontal="right" vertical="center"/>
    </xf>
    <xf numFmtId="43" fontId="49" fillId="0" borderId="0" xfId="56" applyFont="1" applyFill="1" applyBorder="1" applyAlignment="1">
      <alignment vertical="center"/>
    </xf>
    <xf numFmtId="43" fontId="49" fillId="0" borderId="29" xfId="56" applyFont="1" applyFill="1" applyBorder="1" applyAlignment="1">
      <alignment vertical="center"/>
    </xf>
    <xf numFmtId="49" fontId="49" fillId="0" borderId="28" xfId="56" applyNumberFormat="1" applyFont="1" applyFill="1" applyBorder="1" applyAlignment="1">
      <alignment vertical="center"/>
    </xf>
    <xf numFmtId="43" fontId="49" fillId="0" borderId="30" xfId="56" applyFont="1" applyFill="1" applyBorder="1" applyAlignment="1">
      <alignment vertical="center"/>
    </xf>
    <xf numFmtId="49" fontId="16" fillId="0" borderId="40" xfId="6" applyNumberFormat="1" applyFont="1" applyBorder="1" applyAlignment="1">
      <alignment horizontal="center" vertical="center" wrapText="1"/>
    </xf>
    <xf numFmtId="49" fontId="16" fillId="0" borderId="41" xfId="6" applyNumberFormat="1" applyFont="1" applyBorder="1" applyAlignment="1">
      <alignment horizontal="center" vertical="center" wrapText="1"/>
    </xf>
    <xf numFmtId="49" fontId="50" fillId="0" borderId="42" xfId="6" applyNumberFormat="1" applyFont="1" applyBorder="1" applyAlignment="1">
      <alignment horizontal="center" vertical="top" wrapText="1"/>
    </xf>
    <xf numFmtId="49" fontId="50" fillId="0" borderId="43" xfId="6" applyNumberFormat="1" applyFont="1" applyBorder="1" applyAlignment="1">
      <alignment horizontal="center" vertical="top" wrapText="1"/>
    </xf>
    <xf numFmtId="49" fontId="16" fillId="0" borderId="42" xfId="6" applyNumberFormat="1" applyFont="1" applyBorder="1" applyAlignment="1">
      <alignment horizontal="center" vertical="top" wrapText="1"/>
    </xf>
    <xf numFmtId="49" fontId="16" fillId="0" borderId="43" xfId="6" applyNumberFormat="1" applyFont="1" applyBorder="1" applyAlignment="1">
      <alignment horizontal="center" vertical="top" wrapText="1"/>
    </xf>
    <xf numFmtId="49" fontId="50" fillId="0" borderId="42" xfId="6" applyNumberFormat="1" applyFont="1" applyBorder="1" applyAlignment="1">
      <alignment horizontal="center" vertical="center" wrapText="1"/>
    </xf>
    <xf numFmtId="49" fontId="50" fillId="0" borderId="43" xfId="6" applyNumberFormat="1" applyFont="1" applyBorder="1" applyAlignment="1">
      <alignment horizontal="center" vertical="center" wrapText="1"/>
    </xf>
    <xf numFmtId="49" fontId="50" fillId="0" borderId="44" xfId="6" applyNumberFormat="1" applyFont="1" applyBorder="1" applyAlignment="1">
      <alignment horizontal="center" vertical="top" wrapText="1"/>
    </xf>
    <xf numFmtId="49" fontId="50" fillId="0" borderId="45" xfId="6" applyNumberFormat="1" applyFont="1" applyBorder="1" applyAlignment="1">
      <alignment horizontal="center" vertical="top" wrapText="1"/>
    </xf>
    <xf numFmtId="0" fontId="24" fillId="0" borderId="16" xfId="39" applyFont="1" applyBorder="1" applyAlignment="1">
      <alignment horizontal="left" vertical="center"/>
    </xf>
    <xf numFmtId="43" fontId="49" fillId="0" borderId="25" xfId="42" applyFont="1" applyFill="1" applyBorder="1" applyAlignment="1">
      <alignment vertical="center" wrapText="1"/>
    </xf>
    <xf numFmtId="43" fontId="49" fillId="0" borderId="29" xfId="42" applyFont="1" applyFill="1" applyBorder="1" applyAlignment="1">
      <alignment vertical="center" wrapText="1"/>
    </xf>
    <xf numFmtId="49" fontId="49" fillId="0" borderId="23" xfId="42" applyNumberFormat="1" applyFont="1" applyFill="1" applyBorder="1" applyAlignment="1">
      <alignment horizontal="right" vertical="center" wrapText="1"/>
    </xf>
    <xf numFmtId="49" fontId="49" fillId="0" borderId="28" xfId="42" applyNumberFormat="1" applyFont="1" applyFill="1" applyBorder="1" applyAlignment="1">
      <alignment horizontal="right" vertical="center" wrapText="1"/>
    </xf>
    <xf numFmtId="4" fontId="16" fillId="0" borderId="3" xfId="42" applyNumberFormat="1" applyFont="1" applyFill="1" applyBorder="1" applyAlignment="1">
      <alignment horizontal="left" vertical="center" wrapText="1"/>
    </xf>
    <xf numFmtId="43" fontId="49" fillId="0" borderId="25" xfId="56" applyFont="1" applyFill="1" applyBorder="1" applyAlignment="1">
      <alignment vertical="center" wrapText="1"/>
    </xf>
    <xf numFmtId="49" fontId="49" fillId="0" borderId="23" xfId="56" applyNumberFormat="1" applyFont="1" applyFill="1" applyBorder="1" applyAlignment="1">
      <alignment horizontal="right" vertical="center" wrapText="1"/>
    </xf>
    <xf numFmtId="0" fontId="69" fillId="0" borderId="24" xfId="55" applyFont="1" applyBorder="1" applyAlignment="1">
      <alignment horizontal="right" vertical="top" wrapText="1"/>
    </xf>
    <xf numFmtId="43" fontId="48" fillId="0" borderId="46" xfId="56" applyFont="1" applyFill="1" applyBorder="1" applyAlignment="1">
      <alignment horizontal="center" vertical="center"/>
    </xf>
    <xf numFmtId="0" fontId="70" fillId="0" borderId="47" xfId="6" applyFont="1" applyBorder="1" applyAlignment="1">
      <alignment horizontal="center" vertical="center" wrapText="1"/>
    </xf>
    <xf numFmtId="0" fontId="50" fillId="0" borderId="16" xfId="6" applyFont="1" applyBorder="1" applyAlignment="1">
      <alignment horizontal="left" vertical="top" wrapText="1"/>
    </xf>
    <xf numFmtId="0" fontId="50" fillId="0" borderId="14" xfId="6" applyFont="1" applyBorder="1" applyAlignment="1">
      <alignment horizontal="left" vertical="top" wrapText="1"/>
    </xf>
    <xf numFmtId="0" fontId="50" fillId="0" borderId="16" xfId="6" applyFont="1" applyBorder="1" applyAlignment="1">
      <alignment horizontal="right" vertical="top" wrapText="1"/>
    </xf>
    <xf numFmtId="0" fontId="50" fillId="0" borderId="14" xfId="6" applyFont="1" applyBorder="1" applyAlignment="1">
      <alignment vertical="top" wrapText="1"/>
    </xf>
    <xf numFmtId="0" fontId="70" fillId="0" borderId="16" xfId="6" applyFont="1" applyBorder="1" applyAlignment="1">
      <alignment horizontal="center" vertical="center" wrapText="1"/>
    </xf>
    <xf numFmtId="0" fontId="70" fillId="0" borderId="14" xfId="6" applyFont="1" applyBorder="1" applyAlignment="1">
      <alignment horizontal="center" vertical="center" wrapText="1"/>
    </xf>
    <xf numFmtId="0" fontId="50" fillId="2" borderId="16" xfId="6" applyFont="1" applyFill="1" applyBorder="1" applyAlignment="1">
      <alignment horizontal="right" vertical="top" wrapText="1"/>
    </xf>
    <xf numFmtId="0" fontId="50" fillId="2" borderId="14" xfId="6" applyFont="1" applyFill="1" applyBorder="1" applyAlignment="1">
      <alignment vertical="top" wrapText="1"/>
    </xf>
    <xf numFmtId="0" fontId="50" fillId="0" borderId="14" xfId="6" applyFont="1" applyBorder="1" applyAlignment="1">
      <alignment wrapText="1"/>
    </xf>
    <xf numFmtId="0" fontId="16" fillId="0" borderId="16" xfId="6" applyFont="1" applyBorder="1" applyAlignment="1">
      <alignment horizontal="right" vertical="center" readingOrder="2"/>
    </xf>
    <xf numFmtId="0" fontId="16" fillId="0" borderId="14" xfId="6" applyFont="1" applyBorder="1" applyAlignment="1">
      <alignment horizontal="left" vertical="top" wrapText="1"/>
    </xf>
    <xf numFmtId="0" fontId="50" fillId="0" borderId="16" xfId="6" applyFont="1" applyBorder="1" applyAlignment="1">
      <alignment horizontal="right" vertical="center" wrapText="1" readingOrder="2"/>
    </xf>
    <xf numFmtId="0" fontId="21" fillId="0" borderId="14" xfId="6" applyFont="1" applyBorder="1" applyAlignment="1">
      <alignment horizontal="left" vertical="top" wrapText="1"/>
    </xf>
    <xf numFmtId="0" fontId="21" fillId="0" borderId="14" xfId="6" applyFont="1" applyBorder="1" applyAlignment="1">
      <alignment vertical="top" wrapText="1"/>
    </xf>
    <xf numFmtId="0" fontId="50" fillId="2" borderId="16" xfId="6" applyFont="1" applyFill="1" applyBorder="1" applyAlignment="1">
      <alignment horizontal="right" vertical="center" wrapText="1" readingOrder="2"/>
    </xf>
    <xf numFmtId="0" fontId="50" fillId="0" borderId="14" xfId="6" applyFont="1" applyBorder="1" applyAlignment="1">
      <alignment vertical="top" wrapText="1" readingOrder="1"/>
    </xf>
    <xf numFmtId="0" fontId="70" fillId="0" borderId="14" xfId="39" applyFont="1" applyBorder="1" applyAlignment="1">
      <alignment horizontal="center" vertical="center" wrapText="1"/>
    </xf>
    <xf numFmtId="0" fontId="51" fillId="0" borderId="16" xfId="6" applyFont="1" applyBorder="1" applyAlignment="1">
      <alignment horizontal="center" vertical="center" wrapText="1"/>
    </xf>
    <xf numFmtId="0" fontId="51" fillId="0" borderId="14" xfId="6" applyFont="1" applyBorder="1" applyAlignment="1">
      <alignment horizontal="center" vertical="center" wrapText="1"/>
    </xf>
    <xf numFmtId="0" fontId="50" fillId="2" borderId="14" xfId="6" applyFont="1" applyFill="1" applyBorder="1" applyAlignment="1">
      <alignment horizontal="left" vertical="top" wrapText="1"/>
    </xf>
    <xf numFmtId="0" fontId="51" fillId="0" borderId="16" xfId="6" applyFont="1" applyBorder="1" applyAlignment="1">
      <alignment horizontal="right" vertical="center" wrapText="1"/>
    </xf>
    <xf numFmtId="0" fontId="51" fillId="0" borderId="14" xfId="6" applyFont="1" applyBorder="1" applyAlignment="1">
      <alignment horizontal="left" vertical="center" wrapText="1"/>
    </xf>
    <xf numFmtId="0" fontId="51" fillId="0" borderId="16" xfId="6" applyFont="1" applyBorder="1" applyAlignment="1">
      <alignment horizontal="right" vertical="top" wrapText="1"/>
    </xf>
    <xf numFmtId="0" fontId="16" fillId="0" borderId="14" xfId="6" applyFont="1" applyBorder="1" applyAlignment="1">
      <alignment vertical="top" wrapText="1"/>
    </xf>
    <xf numFmtId="0" fontId="50" fillId="0" borderId="48" xfId="6" applyFont="1" applyBorder="1" applyAlignment="1">
      <alignment horizontal="right" vertical="top" wrapText="1"/>
    </xf>
    <xf numFmtId="0" fontId="50" fillId="0" borderId="49" xfId="6" applyFont="1" applyBorder="1" applyAlignment="1">
      <alignment horizontal="left" vertical="top" wrapText="1"/>
    </xf>
    <xf numFmtId="0" fontId="8" fillId="0" borderId="50" xfId="6" applyBorder="1" applyAlignment="1">
      <alignment horizontal="right" vertical="top" wrapText="1"/>
    </xf>
    <xf numFmtId="0" fontId="8" fillId="0" borderId="2" xfId="26" applyFont="1" applyBorder="1" applyAlignment="1">
      <alignment horizontal="center" vertical="center"/>
    </xf>
    <xf numFmtId="0" fontId="8" fillId="0" borderId="0" xfId="26" applyFont="1" applyAlignment="1">
      <alignment horizontal="center" vertical="center"/>
    </xf>
    <xf numFmtId="0" fontId="8" fillId="0" borderId="7" xfId="26" applyFont="1" applyBorder="1" applyAlignment="1">
      <alignment horizontal="center" vertical="center"/>
    </xf>
    <xf numFmtId="0" fontId="8" fillId="0" borderId="12" xfId="26" applyFont="1" applyBorder="1"/>
    <xf numFmtId="0" fontId="8" fillId="0" borderId="1" xfId="26" applyFont="1" applyBorder="1"/>
    <xf numFmtId="0" fontId="8" fillId="0" borderId="3" xfId="26" applyFont="1" applyBorder="1" applyProtection="1">
      <protection locked="0"/>
    </xf>
    <xf numFmtId="0" fontId="9" fillId="0" borderId="10" xfId="26" applyFont="1" applyBorder="1" applyAlignment="1">
      <alignment horizontal="center"/>
    </xf>
    <xf numFmtId="164" fontId="9" fillId="0" borderId="4" xfId="26" applyNumberFormat="1" applyFont="1" applyBorder="1"/>
    <xf numFmtId="0" fontId="9" fillId="2" borderId="5" xfId="26" applyFont="1" applyFill="1" applyBorder="1" applyProtection="1">
      <protection locked="0"/>
    </xf>
    <xf numFmtId="164" fontId="9" fillId="0" borderId="10" xfId="27" applyNumberFormat="1" applyFont="1" applyFill="1" applyBorder="1" applyProtection="1"/>
    <xf numFmtId="0" fontId="9" fillId="0" borderId="10" xfId="26" applyFont="1" applyBorder="1" applyAlignment="1">
      <alignment vertical="top"/>
    </xf>
    <xf numFmtId="43" fontId="9" fillId="2" borderId="5" xfId="27" applyFont="1" applyFill="1" applyBorder="1" applyProtection="1">
      <protection locked="0"/>
    </xf>
    <xf numFmtId="0" fontId="8" fillId="0" borderId="10" xfId="26" applyFont="1" applyBorder="1" applyAlignment="1">
      <alignment horizontal="center"/>
    </xf>
    <xf numFmtId="164" fontId="8" fillId="0" borderId="4" xfId="26" applyNumberFormat="1" applyFont="1" applyBorder="1"/>
    <xf numFmtId="0" fontId="8" fillId="2" borderId="5" xfId="26" applyFont="1" applyFill="1" applyBorder="1" applyProtection="1">
      <protection locked="0"/>
    </xf>
    <xf numFmtId="164" fontId="8" fillId="0" borderId="10" xfId="27" applyNumberFormat="1" applyFont="1" applyFill="1" applyBorder="1" applyProtection="1"/>
    <xf numFmtId="0" fontId="8" fillId="0" borderId="10" xfId="26" applyFont="1" applyBorder="1"/>
    <xf numFmtId="43" fontId="8" fillId="2" borderId="5" xfId="27" applyFont="1" applyFill="1" applyBorder="1" applyProtection="1">
      <protection locked="0"/>
    </xf>
    <xf numFmtId="0" fontId="8" fillId="0" borderId="10" xfId="26" applyFont="1" applyBorder="1" applyAlignment="1">
      <alignment horizontal="left" vertical="center"/>
    </xf>
    <xf numFmtId="0" fontId="8" fillId="0" borderId="11" xfId="26" applyFont="1" applyBorder="1" applyAlignment="1">
      <alignment horizontal="left" vertical="center"/>
    </xf>
    <xf numFmtId="164" fontId="8" fillId="0" borderId="6" xfId="26" applyNumberFormat="1" applyFont="1" applyBorder="1"/>
    <xf numFmtId="0" fontId="8" fillId="2" borderId="8" xfId="26" applyFont="1" applyFill="1" applyBorder="1" applyProtection="1">
      <protection locked="0"/>
    </xf>
    <xf numFmtId="0" fontId="8" fillId="0" borderId="2" xfId="21" applyBorder="1" applyAlignment="1">
      <alignment vertical="center"/>
    </xf>
    <xf numFmtId="43" fontId="8" fillId="0" borderId="3" xfId="27" applyFont="1" applyFill="1" applyBorder="1" applyAlignment="1" applyProtection="1">
      <alignment vertical="center"/>
    </xf>
    <xf numFmtId="43" fontId="8" fillId="0" borderId="12" xfId="27" applyFont="1" applyFill="1" applyBorder="1" applyAlignment="1" applyProtection="1">
      <alignment vertical="center"/>
    </xf>
    <xf numFmtId="0" fontId="8" fillId="0" borderId="0" xfId="21" applyAlignment="1">
      <alignment vertical="center"/>
    </xf>
    <xf numFmtId="43" fontId="8" fillId="0" borderId="5" xfId="27" applyFont="1" applyFill="1" applyBorder="1" applyAlignment="1" applyProtection="1">
      <alignment vertical="center"/>
    </xf>
    <xf numFmtId="164" fontId="9" fillId="0" borderId="10" xfId="26" applyNumberFormat="1" applyFont="1" applyBorder="1" applyAlignment="1">
      <alignment vertical="center"/>
    </xf>
    <xf numFmtId="0" fontId="8" fillId="0" borderId="7" xfId="21" applyBorder="1" applyAlignment="1">
      <alignment vertical="center"/>
    </xf>
    <xf numFmtId="43" fontId="8" fillId="0" borderId="8" xfId="27" applyFont="1" applyFill="1" applyBorder="1" applyAlignment="1" applyProtection="1">
      <alignment vertical="center"/>
    </xf>
    <xf numFmtId="43" fontId="8" fillId="0" borderId="11" xfId="27" applyFont="1" applyFill="1" applyBorder="1" applyAlignment="1" applyProtection="1">
      <alignment vertical="center"/>
    </xf>
    <xf numFmtId="43" fontId="8" fillId="0" borderId="0" xfId="26" applyNumberFormat="1" applyFont="1"/>
    <xf numFmtId="0" fontId="18" fillId="0" borderId="10" xfId="28" applyFont="1" applyBorder="1" applyAlignment="1">
      <alignment vertical="center" wrapText="1"/>
    </xf>
    <xf numFmtId="0" fontId="9" fillId="0" borderId="0" xfId="26" applyFont="1" applyAlignment="1">
      <alignment vertical="center"/>
    </xf>
    <xf numFmtId="0" fontId="9" fillId="0" borderId="10" xfId="26" applyFont="1" applyBorder="1" applyAlignment="1">
      <alignment vertical="center"/>
    </xf>
    <xf numFmtId="164" fontId="9" fillId="0" borderId="4" xfId="26" applyNumberFormat="1" applyFont="1" applyBorder="1" applyAlignment="1">
      <alignment vertical="center"/>
    </xf>
    <xf numFmtId="43" fontId="9" fillId="2" borderId="5" xfId="27" applyFont="1" applyFill="1" applyBorder="1" applyAlignment="1" applyProtection="1">
      <alignment vertical="center"/>
      <protection locked="0"/>
    </xf>
    <xf numFmtId="164" fontId="9" fillId="0" borderId="10" xfId="27" applyNumberFormat="1" applyFont="1" applyFill="1" applyBorder="1" applyAlignment="1" applyProtection="1">
      <alignment vertical="center"/>
    </xf>
    <xf numFmtId="3" fontId="42" fillId="0" borderId="9" xfId="40" applyNumberFormat="1" applyFont="1" applyFill="1" applyBorder="1" applyAlignment="1">
      <alignment horizontal="center" vertical="center" wrapText="1"/>
    </xf>
    <xf numFmtId="3" fontId="34" fillId="0" borderId="9" xfId="5" applyNumberFormat="1" applyFont="1" applyBorder="1" applyAlignment="1">
      <alignment horizontal="center" vertical="center"/>
    </xf>
    <xf numFmtId="3" fontId="39" fillId="0" borderId="9" xfId="39" applyNumberFormat="1" applyFont="1" applyBorder="1" applyAlignment="1">
      <alignment horizontal="center" vertical="center"/>
    </xf>
    <xf numFmtId="3" fontId="33" fillId="0" borderId="9" xfId="5" applyNumberFormat="1" applyFont="1" applyBorder="1" applyAlignment="1">
      <alignment horizontal="center" vertical="center" wrapText="1"/>
    </xf>
    <xf numFmtId="0" fontId="39" fillId="0" borderId="9" xfId="39" applyFont="1" applyBorder="1" applyAlignment="1">
      <alignment horizontal="center" vertical="center"/>
    </xf>
    <xf numFmtId="3" fontId="33" fillId="0" borderId="9" xfId="43" applyNumberFormat="1" applyFont="1" applyFill="1" applyBorder="1" applyAlignment="1">
      <alignment horizontal="center" vertical="center" wrapText="1"/>
    </xf>
    <xf numFmtId="3" fontId="33" fillId="0" borderId="9" xfId="42" applyNumberFormat="1" applyFont="1" applyFill="1" applyBorder="1" applyAlignment="1">
      <alignment horizontal="center" vertical="center" wrapText="1"/>
    </xf>
    <xf numFmtId="3" fontId="33" fillId="0" borderId="9" xfId="39" applyNumberFormat="1" applyFont="1" applyBorder="1" applyAlignment="1">
      <alignment horizontal="center" vertical="center" wrapText="1"/>
    </xf>
    <xf numFmtId="3" fontId="25" fillId="0" borderId="9" xfId="40" applyNumberFormat="1" applyFont="1" applyFill="1" applyBorder="1" applyAlignment="1">
      <alignment horizontal="center" vertical="center"/>
    </xf>
    <xf numFmtId="3" fontId="42" fillId="0" borderId="13" xfId="38" applyNumberFormat="1" applyFont="1" applyBorder="1" applyAlignment="1">
      <alignment horizontal="center" vertical="center" wrapText="1"/>
    </xf>
    <xf numFmtId="3" fontId="34" fillId="0" borderId="9" xfId="38" applyNumberFormat="1" applyFont="1" applyBorder="1" applyAlignment="1">
      <alignment horizontal="center" vertical="center"/>
    </xf>
    <xf numFmtId="3" fontId="42" fillId="0" borderId="9" xfId="38" applyNumberFormat="1" applyFont="1" applyBorder="1" applyAlignment="1">
      <alignment horizontal="center" vertical="center" wrapText="1"/>
    </xf>
    <xf numFmtId="3" fontId="46" fillId="0" borderId="9" xfId="6" applyNumberFormat="1" applyFont="1" applyBorder="1" applyAlignment="1">
      <alignment horizontal="center" vertical="center" wrapText="1"/>
    </xf>
    <xf numFmtId="3" fontId="34" fillId="0" borderId="9" xfId="6" applyNumberFormat="1" applyFont="1" applyBorder="1" applyAlignment="1">
      <alignment horizontal="center" vertical="center" wrapText="1"/>
    </xf>
    <xf numFmtId="3" fontId="34" fillId="0" borderId="9" xfId="6" applyNumberFormat="1" applyFont="1" applyBorder="1" applyAlignment="1">
      <alignment horizontal="right" vertical="center"/>
    </xf>
    <xf numFmtId="3" fontId="33" fillId="0" borderId="9" xfId="6" applyNumberFormat="1" applyFont="1" applyBorder="1" applyAlignment="1">
      <alignment horizontal="center" vertical="center"/>
    </xf>
    <xf numFmtId="3" fontId="39" fillId="0" borderId="9" xfId="6" applyNumberFormat="1" applyFont="1" applyBorder="1" applyAlignment="1">
      <alignment horizontal="center" vertical="center"/>
    </xf>
    <xf numFmtId="3" fontId="25" fillId="0" borderId="22" xfId="39" applyNumberFormat="1" applyFont="1" applyBorder="1" applyAlignment="1">
      <alignment vertical="top"/>
    </xf>
    <xf numFmtId="3" fontId="25" fillId="0" borderId="22" xfId="39" applyNumberFormat="1" applyFont="1" applyBorder="1" applyAlignment="1">
      <alignment horizontal="center"/>
    </xf>
    <xf numFmtId="0" fontId="25" fillId="0" borderId="0" xfId="6" applyFont="1" applyAlignment="1">
      <alignment vertical="center"/>
    </xf>
    <xf numFmtId="4" fontId="25" fillId="0" borderId="0" xfId="6" applyNumberFormat="1" applyFont="1" applyAlignment="1">
      <alignment horizontal="center" vertical="center"/>
    </xf>
    <xf numFmtId="3" fontId="25" fillId="0" borderId="15" xfId="39" applyNumberFormat="1" applyFont="1" applyBorder="1" applyAlignment="1">
      <alignment vertical="top"/>
    </xf>
    <xf numFmtId="3" fontId="25" fillId="0" borderId="15" xfId="39" applyNumberFormat="1" applyFont="1" applyBorder="1" applyAlignment="1">
      <alignment horizontal="center"/>
    </xf>
    <xf numFmtId="3" fontId="25" fillId="0" borderId="15" xfId="39" applyNumberFormat="1" applyFont="1" applyBorder="1" applyAlignment="1">
      <alignment vertical="center"/>
    </xf>
    <xf numFmtId="3" fontId="25" fillId="0" borderId="15" xfId="39" applyNumberFormat="1" applyFont="1" applyBorder="1" applyAlignment="1">
      <alignment horizontal="left" vertical="top"/>
    </xf>
    <xf numFmtId="3" fontId="25" fillId="0" borderId="15" xfId="39" applyNumberFormat="1" applyFont="1" applyBorder="1"/>
    <xf numFmtId="4" fontId="24" fillId="0" borderId="2" xfId="40" applyNumberFormat="1" applyFont="1" applyFill="1" applyBorder="1" applyAlignment="1">
      <alignment horizontal="left" vertical="center" wrapText="1"/>
    </xf>
    <xf numFmtId="0" fontId="24" fillId="0" borderId="0" xfId="38" applyFont="1" applyAlignment="1">
      <alignment vertical="center" wrapText="1"/>
    </xf>
    <xf numFmtId="0" fontId="24" fillId="0" borderId="0" xfId="38" applyFont="1" applyAlignment="1">
      <alignment vertical="center"/>
    </xf>
    <xf numFmtId="0" fontId="25" fillId="0" borderId="51" xfId="41" applyFont="1" applyBorder="1" applyAlignment="1">
      <alignment horizontal="center" vertical="center"/>
    </xf>
    <xf numFmtId="0" fontId="26" fillId="0" borderId="16" xfId="5" applyFont="1" applyBorder="1" applyAlignment="1">
      <alignment horizontal="center" vertical="center"/>
    </xf>
    <xf numFmtId="0" fontId="26" fillId="0" borderId="16" xfId="6" applyFont="1" applyBorder="1" applyAlignment="1">
      <alignment horizontal="center" vertical="center" wrapText="1"/>
    </xf>
    <xf numFmtId="0" fontId="26" fillId="0" borderId="16" xfId="5" applyFont="1" applyBorder="1" applyAlignment="1">
      <alignment horizontal="center" vertical="center" wrapText="1"/>
    </xf>
    <xf numFmtId="0" fontId="28" fillId="0" borderId="16" xfId="39" applyFont="1" applyBorder="1" applyAlignment="1">
      <alignment horizontal="left" vertical="center"/>
    </xf>
    <xf numFmtId="0" fontId="26" fillId="0" borderId="16" xfId="5" applyFont="1" applyBorder="1" applyAlignment="1">
      <alignment horizontal="center" vertical="center" wrapText="1" readingOrder="1"/>
    </xf>
    <xf numFmtId="0" fontId="26" fillId="0" borderId="16" xfId="39" applyFont="1" applyBorder="1" applyAlignment="1">
      <alignment horizontal="center" vertical="center" wrapText="1"/>
    </xf>
    <xf numFmtId="0" fontId="26" fillId="0" borderId="16" xfId="6" applyFont="1" applyBorder="1" applyAlignment="1">
      <alignment vertical="top"/>
    </xf>
    <xf numFmtId="166" fontId="26" fillId="0" borderId="16" xfId="39" applyNumberFormat="1" applyFont="1" applyBorder="1" applyAlignment="1">
      <alignment horizontal="center" vertical="center" wrapText="1"/>
    </xf>
    <xf numFmtId="0" fontId="33" fillId="0" borderId="16" xfId="5" applyFont="1" applyBorder="1" applyAlignment="1">
      <alignment horizontal="center" vertical="center" wrapText="1" readingOrder="1"/>
    </xf>
    <xf numFmtId="0" fontId="25" fillId="0" borderId="16" xfId="39" applyFont="1" applyBorder="1" applyAlignment="1">
      <alignment horizontal="center" vertical="center" wrapText="1"/>
    </xf>
    <xf numFmtId="0" fontId="26" fillId="0" borderId="16" xfId="39" applyFont="1" applyBorder="1" applyAlignment="1">
      <alignment vertical="center"/>
    </xf>
    <xf numFmtId="0" fontId="26" fillId="0" borderId="16" xfId="39" applyFont="1" applyBorder="1" applyAlignment="1">
      <alignment horizontal="center" vertical="center"/>
    </xf>
    <xf numFmtId="0" fontId="26" fillId="0" borderId="16" xfId="39" applyFont="1" applyBorder="1" applyAlignment="1">
      <alignment horizontal="left" vertical="center"/>
    </xf>
    <xf numFmtId="0" fontId="26" fillId="0" borderId="16" xfId="6" applyFont="1" applyBorder="1" applyAlignment="1">
      <alignment horizontal="center" vertical="center"/>
    </xf>
    <xf numFmtId="0" fontId="38" fillId="0" borderId="16" xfId="39" applyFont="1" applyBorder="1" applyAlignment="1">
      <alignment vertical="center"/>
    </xf>
    <xf numFmtId="0" fontId="38" fillId="0" borderId="16" xfId="39" applyFont="1" applyBorder="1" applyAlignment="1">
      <alignment horizontal="left" vertical="center"/>
    </xf>
    <xf numFmtId="0" fontId="38" fillId="0" borderId="16" xfId="39" applyFont="1" applyBorder="1" applyAlignment="1">
      <alignment horizontal="center" vertical="top"/>
    </xf>
    <xf numFmtId="0" fontId="38" fillId="0" borderId="16" xfId="39" applyFont="1" applyBorder="1" applyAlignment="1">
      <alignment horizontal="center" vertical="center" wrapText="1"/>
    </xf>
    <xf numFmtId="0" fontId="38" fillId="0" borderId="16" xfId="6" applyFont="1" applyBorder="1" applyAlignment="1">
      <alignment horizontal="center" vertical="center" wrapText="1"/>
    </xf>
    <xf numFmtId="0" fontId="42" fillId="0" borderId="16" xfId="49" applyFont="1" applyBorder="1" applyAlignment="1">
      <alignment horizontal="center" vertical="center" wrapText="1"/>
    </xf>
    <xf numFmtId="49" fontId="42" fillId="0" borderId="16" xfId="49" quotePrefix="1" applyNumberFormat="1" applyFont="1" applyBorder="1" applyAlignment="1">
      <alignment horizontal="center" vertical="center" wrapText="1"/>
    </xf>
    <xf numFmtId="49" fontId="25" fillId="0" borderId="16" xfId="49" quotePrefix="1" applyNumberFormat="1" applyFont="1" applyBorder="1" applyAlignment="1">
      <alignment horizontal="center" vertical="center" wrapText="1"/>
    </xf>
    <xf numFmtId="0" fontId="25" fillId="0" borderId="16" xfId="39" applyFont="1" applyBorder="1" applyAlignment="1">
      <alignment horizontal="left" vertical="center"/>
    </xf>
    <xf numFmtId="0" fontId="25" fillId="0" borderId="16" xfId="6" applyFont="1" applyBorder="1" applyAlignment="1">
      <alignment horizontal="center" vertical="center" wrapText="1"/>
    </xf>
    <xf numFmtId="0" fontId="25" fillId="0" borderId="6" xfId="39" applyFont="1" applyBorder="1" applyAlignment="1">
      <alignment horizontal="left" vertical="center"/>
    </xf>
    <xf numFmtId="0" fontId="47" fillId="0" borderId="16" xfId="6" applyFont="1" applyBorder="1" applyAlignment="1">
      <alignment horizontal="left" vertical="center"/>
    </xf>
    <xf numFmtId="0" fontId="26" fillId="0" borderId="16" xfId="39" applyFont="1" applyBorder="1" applyAlignment="1">
      <alignment horizontal="right" vertical="center"/>
    </xf>
    <xf numFmtId="0" fontId="28" fillId="0" borderId="16" xfId="6" applyFont="1" applyBorder="1" applyAlignment="1">
      <alignment horizontal="left" vertical="center"/>
    </xf>
    <xf numFmtId="0" fontId="26" fillId="0" borderId="20" xfId="39" applyFont="1" applyBorder="1"/>
    <xf numFmtId="0" fontId="26" fillId="0" borderId="20" xfId="39" applyFont="1" applyBorder="1" applyAlignment="1">
      <alignment vertical="top"/>
    </xf>
    <xf numFmtId="0" fontId="26" fillId="0" borderId="20" xfId="39" applyFont="1" applyBorder="1" applyAlignment="1">
      <alignment vertical="top" wrapText="1"/>
    </xf>
    <xf numFmtId="0" fontId="26" fillId="0" borderId="20" xfId="39" applyFont="1" applyBorder="1" applyAlignment="1">
      <alignment vertical="center" wrapText="1"/>
    </xf>
    <xf numFmtId="0" fontId="26" fillId="0" borderId="20" xfId="39" applyFont="1" applyBorder="1" applyAlignment="1">
      <alignment wrapText="1"/>
    </xf>
    <xf numFmtId="0" fontId="26" fillId="0" borderId="20" xfId="39" applyFont="1" applyBorder="1" applyAlignment="1">
      <alignment vertical="center"/>
    </xf>
    <xf numFmtId="0" fontId="38" fillId="0" borderId="20" xfId="39" applyFont="1" applyBorder="1" applyAlignment="1">
      <alignment vertical="center"/>
    </xf>
    <xf numFmtId="0" fontId="38" fillId="0" borderId="20" xfId="39" applyFont="1" applyBorder="1" applyAlignment="1">
      <alignment vertical="center" wrapText="1"/>
    </xf>
    <xf numFmtId="0" fontId="25" fillId="0" borderId="20" xfId="39" applyFont="1" applyBorder="1"/>
    <xf numFmtId="0" fontId="25" fillId="0" borderId="20" xfId="39" applyFont="1" applyBorder="1" applyAlignment="1">
      <alignment vertical="center" wrapText="1"/>
    </xf>
    <xf numFmtId="0" fontId="25" fillId="0" borderId="20" xfId="39" applyFont="1" applyBorder="1" applyAlignment="1">
      <alignment vertical="center"/>
    </xf>
    <xf numFmtId="0" fontId="78" fillId="3" borderId="0" xfId="0" applyFont="1" applyFill="1" applyAlignment="1">
      <alignment horizontal="center" vertical="center"/>
    </xf>
    <xf numFmtId="0" fontId="79" fillId="0" borderId="0" xfId="0" applyFont="1" applyAlignment="1">
      <alignment horizontal="center" vertical="center"/>
    </xf>
    <xf numFmtId="0" fontId="79" fillId="0" borderId="0" xfId="0" applyFont="1" applyAlignment="1">
      <alignment horizontal="center"/>
    </xf>
    <xf numFmtId="0" fontId="79" fillId="0" borderId="0" xfId="0" applyFont="1" applyAlignment="1">
      <alignment horizontal="left"/>
    </xf>
    <xf numFmtId="164" fontId="80" fillId="0" borderId="9" xfId="0" applyNumberFormat="1" applyFont="1" applyBorder="1"/>
    <xf numFmtId="43" fontId="80" fillId="0" borderId="9" xfId="0" applyNumberFormat="1" applyFont="1" applyBorder="1"/>
    <xf numFmtId="43" fontId="80" fillId="0" borderId="9" xfId="57" applyFont="1" applyBorder="1" applyAlignment="1">
      <alignment horizontal="center" vertical="center"/>
    </xf>
    <xf numFmtId="0" fontId="80" fillId="0" borderId="9" xfId="0" applyFont="1" applyBorder="1" applyAlignment="1">
      <alignment horizontal="center" vertical="center"/>
    </xf>
    <xf numFmtId="43" fontId="80" fillId="0" borderId="9" xfId="57" applyFont="1" applyFill="1" applyBorder="1" applyAlignment="1">
      <alignment horizontal="center" vertical="center"/>
    </xf>
    <xf numFmtId="43" fontId="80" fillId="0" borderId="9" xfId="57" applyFont="1" applyFill="1" applyBorder="1" applyAlignment="1">
      <alignment vertical="center"/>
    </xf>
    <xf numFmtId="164" fontId="80" fillId="0" borderId="9" xfId="57" applyNumberFormat="1" applyFont="1" applyFill="1" applyBorder="1" applyAlignment="1">
      <alignment vertical="center"/>
    </xf>
    <xf numFmtId="164" fontId="80" fillId="2" borderId="9" xfId="57" applyNumberFormat="1" applyFont="1" applyFill="1" applyBorder="1" applyAlignment="1">
      <alignment horizontal="center" vertical="center" wrapText="1"/>
    </xf>
    <xf numFmtId="167" fontId="80" fillId="2" borderId="9" xfId="57" applyNumberFormat="1" applyFont="1" applyFill="1" applyBorder="1" applyAlignment="1">
      <alignment horizontal="center" vertical="center" wrapText="1"/>
    </xf>
    <xf numFmtId="43" fontId="80" fillId="2" borderId="9" xfId="57" applyFont="1" applyFill="1" applyBorder="1" applyAlignment="1">
      <alignment horizontal="center" vertical="center" wrapText="1"/>
    </xf>
    <xf numFmtId="1" fontId="80" fillId="0" borderId="9" xfId="57" applyNumberFormat="1" applyFont="1" applyBorder="1" applyAlignment="1">
      <alignment horizontal="center" vertical="center"/>
    </xf>
    <xf numFmtId="0" fontId="81" fillId="0" borderId="0" xfId="0" applyFont="1" applyAlignment="1">
      <alignment horizontal="center"/>
    </xf>
    <xf numFmtId="0" fontId="38" fillId="0" borderId="0" xfId="39" applyFont="1" applyAlignment="1">
      <alignment horizontal="left" vertical="center" wrapText="1"/>
    </xf>
    <xf numFmtId="0" fontId="82" fillId="0" borderId="0" xfId="58"/>
    <xf numFmtId="0" fontId="82" fillId="0" borderId="0" xfId="58" applyAlignment="1">
      <alignment horizontal="center"/>
    </xf>
    <xf numFmtId="4" fontId="82" fillId="0" borderId="0" xfId="58" applyNumberFormat="1" applyAlignment="1">
      <alignment horizontal="center"/>
    </xf>
    <xf numFmtId="0" fontId="82" fillId="0" borderId="0" xfId="58" applyProtection="1">
      <protection hidden="1"/>
    </xf>
    <xf numFmtId="0" fontId="82" fillId="4" borderId="0" xfId="58" applyFill="1"/>
    <xf numFmtId="0" fontId="83" fillId="4" borderId="0" xfId="58" applyFont="1" applyFill="1" applyAlignment="1">
      <alignment horizontal="center"/>
    </xf>
    <xf numFmtId="4" fontId="82" fillId="4" borderId="0" xfId="58" applyNumberFormat="1" applyFill="1" applyAlignment="1">
      <alignment horizontal="center"/>
    </xf>
    <xf numFmtId="0" fontId="83" fillId="4" borderId="23" xfId="58" applyFont="1" applyFill="1" applyBorder="1" applyAlignment="1">
      <alignment horizontal="center" vertical="center"/>
    </xf>
    <xf numFmtId="0" fontId="83" fillId="4" borderId="24" xfId="58" applyFont="1" applyFill="1" applyBorder="1" applyAlignment="1">
      <alignment horizontal="center" vertical="center"/>
    </xf>
    <xf numFmtId="0" fontId="83" fillId="0" borderId="0" xfId="58" applyFont="1"/>
    <xf numFmtId="0" fontId="84" fillId="5" borderId="4" xfId="58" applyFont="1" applyFill="1" applyBorder="1" applyAlignment="1">
      <alignment vertical="center"/>
    </xf>
    <xf numFmtId="0" fontId="84" fillId="5" borderId="10" xfId="58" applyFont="1" applyFill="1" applyBorder="1" applyAlignment="1">
      <alignment horizontal="center"/>
    </xf>
    <xf numFmtId="4" fontId="84" fillId="5" borderId="0" xfId="58" applyNumberFormat="1" applyFont="1" applyFill="1" applyAlignment="1">
      <alignment horizontal="center"/>
    </xf>
    <xf numFmtId="0" fontId="84" fillId="5" borderId="28" xfId="58" applyFont="1" applyFill="1" applyBorder="1" applyAlignment="1">
      <alignment horizontal="center" vertical="center"/>
    </xf>
    <xf numFmtId="0" fontId="84" fillId="5" borderId="0" xfId="58" applyFont="1" applyFill="1" applyAlignment="1">
      <alignment horizontal="center" vertical="center"/>
    </xf>
    <xf numFmtId="0" fontId="82" fillId="6" borderId="16" xfId="58" applyFill="1" applyBorder="1" applyAlignment="1">
      <alignment horizontal="left" vertical="center" indent="1"/>
    </xf>
    <xf numFmtId="0" fontId="82" fillId="6" borderId="9" xfId="58" applyFill="1" applyBorder="1" applyAlignment="1">
      <alignment horizontal="center"/>
    </xf>
    <xf numFmtId="4" fontId="82" fillId="6" borderId="13" xfId="58" applyNumberFormat="1" applyFill="1" applyBorder="1" applyAlignment="1">
      <alignment horizontal="center"/>
    </xf>
    <xf numFmtId="0" fontId="82" fillId="6" borderId="52" xfId="58" applyFill="1" applyBorder="1" applyAlignment="1">
      <alignment horizontal="center" vertical="center"/>
    </xf>
    <xf numFmtId="0" fontId="82" fillId="6" borderId="13" xfId="58" applyFill="1" applyBorder="1" applyAlignment="1">
      <alignment horizontal="center" vertical="center"/>
    </xf>
    <xf numFmtId="0" fontId="82" fillId="6" borderId="16" xfId="58" applyFill="1" applyBorder="1" applyAlignment="1">
      <alignment horizontal="left" vertical="center" wrapText="1" indent="1"/>
    </xf>
    <xf numFmtId="2" fontId="82" fillId="6" borderId="52" xfId="58" applyNumberFormat="1" applyFill="1" applyBorder="1" applyAlignment="1">
      <alignment horizontal="center" vertical="center"/>
    </xf>
    <xf numFmtId="0" fontId="82" fillId="0" borderId="4" xfId="58" applyBorder="1" applyAlignment="1">
      <alignment horizontal="left" indent="1"/>
    </xf>
    <xf numFmtId="0" fontId="82" fillId="0" borderId="10" xfId="58" applyBorder="1" applyAlignment="1">
      <alignment horizontal="center"/>
    </xf>
    <xf numFmtId="0" fontId="82" fillId="0" borderId="28" xfId="58" applyBorder="1" applyAlignment="1">
      <alignment horizontal="center" vertical="center"/>
    </xf>
    <xf numFmtId="0" fontId="82" fillId="0" borderId="0" xfId="58" applyAlignment="1">
      <alignment horizontal="center" vertical="center"/>
    </xf>
    <xf numFmtId="0" fontId="82" fillId="6" borderId="16" xfId="58" applyFill="1" applyBorder="1" applyAlignment="1">
      <alignment horizontal="left" vertical="center" indent="2"/>
    </xf>
    <xf numFmtId="0" fontId="82" fillId="0" borderId="4" xfId="58" applyBorder="1"/>
    <xf numFmtId="0" fontId="82" fillId="7" borderId="16" xfId="58" applyFill="1" applyBorder="1" applyAlignment="1">
      <alignment vertical="center"/>
    </xf>
    <xf numFmtId="0" fontId="82" fillId="7" borderId="9" xfId="58" applyFill="1" applyBorder="1" applyAlignment="1">
      <alignment horizontal="center"/>
    </xf>
    <xf numFmtId="4" fontId="82" fillId="8" borderId="16" xfId="58" applyNumberFormat="1" applyFill="1" applyBorder="1" applyAlignment="1">
      <alignment horizontal="center"/>
    </xf>
    <xf numFmtId="2" fontId="82" fillId="7" borderId="34" xfId="58" applyNumberFormat="1" applyFill="1" applyBorder="1" applyAlignment="1">
      <alignment horizontal="center" vertical="center"/>
    </xf>
    <xf numFmtId="2" fontId="82" fillId="7" borderId="9" xfId="58" applyNumberFormat="1" applyFill="1" applyBorder="1" applyAlignment="1">
      <alignment horizontal="center" vertical="center"/>
    </xf>
    <xf numFmtId="0" fontId="82" fillId="7" borderId="34" xfId="58" applyFill="1" applyBorder="1" applyAlignment="1">
      <alignment horizontal="center" vertical="center"/>
    </xf>
    <xf numFmtId="0" fontId="82" fillId="7" borderId="9" xfId="58" applyFill="1" applyBorder="1" applyAlignment="1">
      <alignment horizontal="center" vertical="center"/>
    </xf>
    <xf numFmtId="0" fontId="82" fillId="0" borderId="4" xfId="58" applyBorder="1" applyAlignment="1">
      <alignment vertical="center"/>
    </xf>
    <xf numFmtId="0" fontId="82" fillId="7" borderId="16" xfId="58" applyFill="1" applyBorder="1" applyAlignment="1">
      <alignment horizontal="left" vertical="center" indent="1"/>
    </xf>
    <xf numFmtId="2" fontId="83" fillId="7" borderId="34" xfId="58" applyNumberFormat="1" applyFont="1" applyFill="1" applyBorder="1" applyAlignment="1">
      <alignment horizontal="center" vertical="center"/>
    </xf>
    <xf numFmtId="2" fontId="83" fillId="7" borderId="9" xfId="58" applyNumberFormat="1" applyFont="1" applyFill="1" applyBorder="1" applyAlignment="1">
      <alignment horizontal="center" vertical="center"/>
    </xf>
    <xf numFmtId="0" fontId="82" fillId="9" borderId="1" xfId="58" applyFill="1" applyBorder="1" applyAlignment="1">
      <alignment horizontal="left" vertical="center" indent="2"/>
    </xf>
    <xf numFmtId="0" fontId="82" fillId="9" borderId="12" xfId="58" applyFill="1" applyBorder="1" applyAlignment="1">
      <alignment horizontal="center"/>
    </xf>
    <xf numFmtId="4" fontId="82" fillId="9" borderId="1" xfId="58" applyNumberFormat="1" applyFill="1" applyBorder="1" applyAlignment="1">
      <alignment horizontal="center"/>
    </xf>
    <xf numFmtId="2" fontId="82" fillId="9" borderId="53" xfId="58" applyNumberFormat="1" applyFill="1" applyBorder="1" applyAlignment="1">
      <alignment horizontal="center" vertical="center"/>
    </xf>
    <xf numFmtId="2" fontId="82" fillId="9" borderId="12" xfId="58" applyNumberFormat="1" applyFill="1" applyBorder="1" applyAlignment="1">
      <alignment horizontal="center" vertical="center"/>
    </xf>
    <xf numFmtId="0" fontId="82" fillId="10" borderId="54" xfId="58" applyFill="1" applyBorder="1" applyAlignment="1">
      <alignment horizontal="left" vertical="center" indent="2"/>
    </xf>
    <xf numFmtId="0" fontId="82" fillId="10" borderId="55" xfId="58" applyFill="1" applyBorder="1" applyAlignment="1">
      <alignment horizontal="center"/>
    </xf>
    <xf numFmtId="4" fontId="82" fillId="10" borderId="56" xfId="58" applyNumberFormat="1" applyFill="1" applyBorder="1" applyAlignment="1">
      <alignment horizontal="center"/>
    </xf>
    <xf numFmtId="2" fontId="82" fillId="10" borderId="57" xfId="58" applyNumberFormat="1" applyFill="1" applyBorder="1" applyAlignment="1">
      <alignment horizontal="center" vertical="center"/>
    </xf>
    <xf numFmtId="2" fontId="82" fillId="10" borderId="55" xfId="58" applyNumberFormat="1" applyFill="1" applyBorder="1" applyAlignment="1">
      <alignment horizontal="center" vertical="center"/>
    </xf>
    <xf numFmtId="0" fontId="82" fillId="9" borderId="4" xfId="58" applyFill="1" applyBorder="1" applyAlignment="1">
      <alignment horizontal="left" vertical="center" indent="2"/>
    </xf>
    <xf numFmtId="0" fontId="82" fillId="9" borderId="10" xfId="58" applyFill="1" applyBorder="1" applyAlignment="1">
      <alignment horizontal="center"/>
    </xf>
    <xf numFmtId="4" fontId="82" fillId="9" borderId="4" xfId="58" applyNumberFormat="1" applyFill="1" applyBorder="1" applyAlignment="1">
      <alignment horizontal="center"/>
    </xf>
    <xf numFmtId="2" fontId="82" fillId="9" borderId="58" xfId="58" applyNumberFormat="1" applyFill="1" applyBorder="1" applyAlignment="1">
      <alignment horizontal="center" vertical="center"/>
    </xf>
    <xf numFmtId="2" fontId="82" fillId="9" borderId="10" xfId="58" applyNumberFormat="1" applyFill="1" applyBorder="1" applyAlignment="1">
      <alignment horizontal="center" vertical="center"/>
    </xf>
    <xf numFmtId="0" fontId="82" fillId="10" borderId="54" xfId="58" applyFill="1" applyBorder="1" applyAlignment="1">
      <alignment horizontal="left" vertical="center" indent="4"/>
    </xf>
    <xf numFmtId="0" fontId="82" fillId="10" borderId="54" xfId="58" applyFill="1" applyBorder="1" applyAlignment="1">
      <alignment horizontal="left" indent="2"/>
    </xf>
    <xf numFmtId="0" fontId="82" fillId="9" borderId="16" xfId="58" applyFill="1" applyBorder="1" applyAlignment="1">
      <alignment horizontal="left" indent="2"/>
    </xf>
    <xf numFmtId="0" fontId="82" fillId="9" borderId="9" xfId="58" applyFill="1" applyBorder="1" applyAlignment="1">
      <alignment horizontal="center"/>
    </xf>
    <xf numFmtId="4" fontId="82" fillId="9" borderId="16" xfId="58" applyNumberFormat="1" applyFill="1" applyBorder="1" applyAlignment="1">
      <alignment horizontal="center"/>
    </xf>
    <xf numFmtId="2" fontId="82" fillId="9" borderId="34" xfId="58" applyNumberFormat="1" applyFill="1" applyBorder="1" applyAlignment="1">
      <alignment horizontal="center" vertical="center"/>
    </xf>
    <xf numFmtId="2" fontId="82" fillId="9" borderId="9" xfId="58" applyNumberFormat="1" applyFill="1" applyBorder="1" applyAlignment="1">
      <alignment horizontal="center" vertical="center"/>
    </xf>
    <xf numFmtId="168" fontId="83" fillId="7" borderId="34" xfId="58" applyNumberFormat="1" applyFont="1" applyFill="1" applyBorder="1" applyAlignment="1">
      <alignment horizontal="center" vertical="center"/>
    </xf>
    <xf numFmtId="168" fontId="83" fillId="7" borderId="9" xfId="58" applyNumberFormat="1" applyFont="1" applyFill="1" applyBorder="1" applyAlignment="1">
      <alignment horizontal="center" vertical="center"/>
    </xf>
    <xf numFmtId="0" fontId="82" fillId="9" borderId="16" xfId="58" applyFill="1" applyBorder="1" applyAlignment="1">
      <alignment horizontal="left" indent="1"/>
    </xf>
    <xf numFmtId="168" fontId="82" fillId="9" borderId="34" xfId="58" applyNumberFormat="1" applyFill="1" applyBorder="1" applyAlignment="1">
      <alignment horizontal="center" vertical="center"/>
    </xf>
    <xf numFmtId="168" fontId="82" fillId="9" borderId="9" xfId="58" applyNumberFormat="1" applyFill="1" applyBorder="1" applyAlignment="1">
      <alignment horizontal="center" vertical="center"/>
    </xf>
    <xf numFmtId="0" fontId="82" fillId="9" borderId="34" xfId="58" applyFill="1" applyBorder="1" applyAlignment="1">
      <alignment horizontal="center" vertical="center"/>
    </xf>
    <xf numFmtId="0" fontId="82" fillId="9" borderId="9" xfId="58" applyFill="1" applyBorder="1" applyAlignment="1">
      <alignment horizontal="center" vertical="center"/>
    </xf>
    <xf numFmtId="0" fontId="83" fillId="7" borderId="34" xfId="58" applyFont="1" applyFill="1" applyBorder="1" applyAlignment="1">
      <alignment horizontal="center" vertical="center"/>
    </xf>
    <xf numFmtId="0" fontId="83" fillId="7" borderId="9" xfId="58" applyFont="1" applyFill="1" applyBorder="1" applyAlignment="1">
      <alignment horizontal="center" vertical="center"/>
    </xf>
    <xf numFmtId="0" fontId="84" fillId="5" borderId="16" xfId="58" applyFont="1" applyFill="1" applyBorder="1" applyAlignment="1">
      <alignment vertical="center"/>
    </xf>
    <xf numFmtId="0" fontId="84" fillId="5" borderId="9" xfId="58" applyFont="1" applyFill="1" applyBorder="1" applyAlignment="1">
      <alignment horizontal="center"/>
    </xf>
    <xf numFmtId="4" fontId="84" fillId="5" borderId="13" xfId="58" applyNumberFormat="1" applyFont="1" applyFill="1" applyBorder="1" applyAlignment="1">
      <alignment horizontal="center"/>
    </xf>
    <xf numFmtId="0" fontId="84" fillId="5" borderId="52" xfId="58" applyFont="1" applyFill="1" applyBorder="1" applyAlignment="1">
      <alignment horizontal="center" vertical="center"/>
    </xf>
    <xf numFmtId="0" fontId="84" fillId="5" borderId="13" xfId="58" applyFont="1" applyFill="1" applyBorder="1" applyAlignment="1">
      <alignment horizontal="center" vertical="center"/>
    </xf>
    <xf numFmtId="0" fontId="83" fillId="7" borderId="36" xfId="58" applyFont="1" applyFill="1" applyBorder="1" applyAlignment="1">
      <alignment horizontal="center" vertical="center"/>
    </xf>
    <xf numFmtId="0" fontId="83" fillId="7" borderId="37" xfId="58" applyFont="1" applyFill="1" applyBorder="1" applyAlignment="1">
      <alignment horizontal="center" vertical="center"/>
    </xf>
    <xf numFmtId="4" fontId="82" fillId="0" borderId="9" xfId="58" applyNumberFormat="1" applyBorder="1" applyAlignment="1">
      <alignment horizontal="center" vertical="center"/>
    </xf>
    <xf numFmtId="2" fontId="82" fillId="0" borderId="0" xfId="58" applyNumberFormat="1" applyAlignment="1">
      <alignment horizontal="center" vertical="center"/>
    </xf>
    <xf numFmtId="164" fontId="8" fillId="0" borderId="0" xfId="52" applyNumberFormat="1" applyFont="1" applyFill="1" applyAlignment="1">
      <alignment vertical="center"/>
    </xf>
    <xf numFmtId="0" fontId="8" fillId="0" borderId="0" xfId="51" applyFont="1" applyAlignment="1">
      <alignment vertical="center"/>
    </xf>
    <xf numFmtId="164" fontId="9" fillId="0" borderId="12" xfId="52" applyNumberFormat="1" applyFont="1" applyFill="1" applyBorder="1" applyAlignment="1">
      <alignment vertical="center"/>
    </xf>
    <xf numFmtId="164" fontId="9" fillId="0" borderId="11" xfId="52" applyNumberFormat="1" applyFont="1" applyFill="1" applyBorder="1" applyAlignment="1">
      <alignment vertical="center"/>
    </xf>
    <xf numFmtId="43" fontId="9" fillId="0" borderId="11" xfId="52" applyFont="1" applyFill="1" applyBorder="1" applyAlignment="1">
      <alignment vertical="center"/>
    </xf>
    <xf numFmtId="43" fontId="9" fillId="0" borderId="10" xfId="52" applyFont="1" applyFill="1" applyBorder="1" applyAlignment="1">
      <alignment vertical="center"/>
    </xf>
    <xf numFmtId="164" fontId="58" fillId="0" borderId="10" xfId="51" applyNumberFormat="1" applyFont="1" applyBorder="1" applyAlignment="1">
      <alignment vertical="center"/>
    </xf>
    <xf numFmtId="164" fontId="8" fillId="0" borderId="5" xfId="51" applyNumberFormat="1" applyFont="1" applyBorder="1" applyAlignment="1">
      <alignment vertical="center"/>
    </xf>
    <xf numFmtId="164" fontId="8" fillId="0" borderId="5" xfId="52" applyNumberFormat="1" applyFont="1" applyFill="1" applyBorder="1" applyAlignment="1">
      <alignment vertical="center"/>
    </xf>
    <xf numFmtId="164" fontId="8" fillId="0" borderId="11" xfId="52" applyNumberFormat="1" applyFont="1" applyFill="1" applyBorder="1" applyAlignment="1">
      <alignment vertical="center"/>
    </xf>
    <xf numFmtId="164" fontId="8" fillId="0" borderId="12" xfId="52" applyNumberFormat="1" applyFont="1" applyFill="1" applyBorder="1" applyAlignment="1">
      <alignment vertical="center"/>
    </xf>
    <xf numFmtId="164" fontId="8" fillId="0" borderId="11" xfId="51" applyNumberFormat="1" applyFont="1" applyBorder="1" applyAlignment="1">
      <alignment vertical="center"/>
    </xf>
    <xf numFmtId="164" fontId="8" fillId="0" borderId="4" xfId="52" applyNumberFormat="1" applyFont="1" applyFill="1" applyBorder="1" applyAlignment="1">
      <alignment vertical="center"/>
    </xf>
    <xf numFmtId="164" fontId="9" fillId="0" borderId="4" xfId="52" applyNumberFormat="1" applyFont="1" applyFill="1" applyBorder="1" applyAlignment="1">
      <alignment vertical="center"/>
    </xf>
    <xf numFmtId="164" fontId="9" fillId="0" borderId="1" xfId="52" applyNumberFormat="1" applyFont="1" applyFill="1" applyBorder="1" applyAlignment="1">
      <alignment vertical="center"/>
    </xf>
    <xf numFmtId="0" fontId="9" fillId="0" borderId="10" xfId="51" applyFont="1" applyBorder="1" applyAlignment="1">
      <alignment vertical="center"/>
    </xf>
    <xf numFmtId="0" fontId="8" fillId="0" borderId="12" xfId="51" applyFont="1" applyBorder="1" applyAlignment="1">
      <alignment vertical="center"/>
    </xf>
    <xf numFmtId="0" fontId="8" fillId="0" borderId="11" xfId="51" applyFont="1" applyBorder="1" applyAlignment="1">
      <alignment vertical="center"/>
    </xf>
    <xf numFmtId="1" fontId="8" fillId="0" borderId="10" xfId="51" applyNumberFormat="1" applyFont="1" applyBorder="1" applyAlignment="1">
      <alignment vertical="center"/>
    </xf>
    <xf numFmtId="0" fontId="26" fillId="0" borderId="9" xfId="5" applyFont="1" applyBorder="1" applyAlignment="1">
      <alignment horizontal="right" vertical="center"/>
    </xf>
    <xf numFmtId="0" fontId="15" fillId="0" borderId="7" xfId="23" applyFont="1" applyBorder="1" applyAlignment="1">
      <alignment horizontal="center"/>
    </xf>
    <xf numFmtId="49" fontId="9" fillId="0" borderId="1" xfId="6" applyNumberFormat="1" applyFont="1" applyBorder="1" applyAlignment="1">
      <alignment horizontal="center" vertical="center" wrapText="1"/>
    </xf>
    <xf numFmtId="49" fontId="9" fillId="0" borderId="2" xfId="6" applyNumberFormat="1" applyFont="1" applyBorder="1" applyAlignment="1">
      <alignment horizontal="center" vertical="center" wrapText="1"/>
    </xf>
    <xf numFmtId="49" fontId="9" fillId="0" borderId="3" xfId="6" applyNumberFormat="1" applyFont="1" applyBorder="1" applyAlignment="1">
      <alignment horizontal="center" vertical="center" wrapText="1"/>
    </xf>
    <xf numFmtId="49" fontId="9" fillId="0" borderId="4" xfId="6" applyNumberFormat="1" applyFont="1" applyBorder="1" applyAlignment="1">
      <alignment horizontal="center" vertical="center" wrapText="1"/>
    </xf>
    <xf numFmtId="49" fontId="9" fillId="0" borderId="0" xfId="6" applyNumberFormat="1" applyFont="1" applyAlignment="1">
      <alignment horizontal="center" vertical="center" wrapText="1"/>
    </xf>
    <xf numFmtId="49" fontId="9" fillId="0" borderId="5" xfId="6" applyNumberFormat="1" applyFont="1" applyBorder="1" applyAlignment="1">
      <alignment horizontal="center" vertical="center" wrapText="1"/>
    </xf>
    <xf numFmtId="49" fontId="9" fillId="0" borderId="6" xfId="6" applyNumberFormat="1" applyFont="1" applyBorder="1" applyAlignment="1">
      <alignment horizontal="center" vertical="center" wrapText="1"/>
    </xf>
    <xf numFmtId="49" fontId="9" fillId="0" borderId="7" xfId="6" applyNumberFormat="1" applyFont="1" applyBorder="1" applyAlignment="1">
      <alignment horizontal="center" vertical="center" wrapText="1"/>
    </xf>
    <xf numFmtId="49" fontId="9" fillId="0" borderId="8" xfId="6" applyNumberFormat="1" applyFont="1" applyBorder="1" applyAlignment="1">
      <alignment horizontal="center" vertical="center" wrapText="1"/>
    </xf>
    <xf numFmtId="0" fontId="15" fillId="0" borderId="9" xfId="26" applyFont="1" applyBorder="1" applyAlignment="1">
      <alignment horizontal="center" vertical="center"/>
    </xf>
    <xf numFmtId="0" fontId="15" fillId="0" borderId="2" xfId="26" applyFont="1" applyBorder="1" applyAlignment="1">
      <alignment horizontal="center" vertical="center"/>
    </xf>
    <xf numFmtId="0" fontId="15" fillId="0" borderId="0" xfId="26" applyFont="1" applyAlignment="1">
      <alignment horizontal="center" vertical="center"/>
    </xf>
    <xf numFmtId="0" fontId="15" fillId="0" borderId="7" xfId="26" applyFont="1" applyBorder="1" applyAlignment="1">
      <alignment horizontal="center" vertical="center"/>
    </xf>
    <xf numFmtId="43" fontId="8" fillId="0" borderId="13" xfId="27" applyFont="1" applyFill="1" applyBorder="1" applyAlignment="1">
      <alignment horizontal="center" vertical="center" wrapText="1"/>
    </xf>
    <xf numFmtId="43" fontId="8" fillId="0" borderId="14" xfId="27" applyFont="1" applyFill="1" applyBorder="1" applyAlignment="1">
      <alignment horizontal="center" vertical="center" wrapText="1"/>
    </xf>
    <xf numFmtId="43" fontId="8" fillId="0" borderId="9" xfId="27" applyFont="1" applyFill="1" applyBorder="1" applyAlignment="1">
      <alignment horizontal="center" vertical="center" wrapText="1"/>
    </xf>
    <xf numFmtId="0" fontId="66" fillId="0" borderId="0" xfId="41" applyFont="1" applyAlignment="1">
      <alignment horizontal="center"/>
    </xf>
    <xf numFmtId="17" fontId="66" fillId="0" borderId="0" xfId="41" applyNumberFormat="1" applyFont="1" applyAlignment="1">
      <alignment horizontal="center" wrapText="1"/>
    </xf>
    <xf numFmtId="0" fontId="66" fillId="0" borderId="0" xfId="41" applyFont="1" applyAlignment="1">
      <alignment horizontal="center" wrapText="1"/>
    </xf>
    <xf numFmtId="0" fontId="15" fillId="0" borderId="0" xfId="41" applyFont="1" applyAlignment="1">
      <alignment horizontal="center" vertical="top" wrapText="1"/>
    </xf>
    <xf numFmtId="0" fontId="66" fillId="0" borderId="0" xfId="41" applyFont="1" applyAlignment="1">
      <alignment horizontal="center" vertical="top" wrapText="1"/>
    </xf>
    <xf numFmtId="0" fontId="66" fillId="0" borderId="0" xfId="41" applyFont="1" applyAlignment="1">
      <alignment horizontal="center" vertical="center" wrapText="1"/>
    </xf>
    <xf numFmtId="49" fontId="66" fillId="0" borderId="0" xfId="41" applyNumberFormat="1" applyFont="1" applyAlignment="1">
      <alignment horizontal="center"/>
    </xf>
    <xf numFmtId="0" fontId="39" fillId="0" borderId="6" xfId="39" applyFont="1" applyBorder="1" applyAlignment="1">
      <alignment horizontal="center" vertical="center"/>
    </xf>
    <xf numFmtId="0" fontId="39" fillId="0" borderId="7" xfId="39" applyFont="1" applyBorder="1" applyAlignment="1">
      <alignment horizontal="center" vertical="center"/>
    </xf>
    <xf numFmtId="0" fontId="39" fillId="0" borderId="8" xfId="39" applyFont="1" applyBorder="1" applyAlignment="1">
      <alignment horizontal="center" vertical="center"/>
    </xf>
    <xf numFmtId="0" fontId="24" fillId="0" borderId="9" xfId="39" applyFont="1" applyBorder="1" applyAlignment="1">
      <alignment horizontal="center" vertical="center"/>
    </xf>
    <xf numFmtId="0" fontId="24" fillId="0" borderId="16" xfId="38" applyFont="1" applyBorder="1" applyAlignment="1">
      <alignment horizontal="right" vertical="center"/>
    </xf>
    <xf numFmtId="0" fontId="24" fillId="0" borderId="14" xfId="38" applyFont="1" applyBorder="1" applyAlignment="1">
      <alignment horizontal="right" vertical="center"/>
    </xf>
    <xf numFmtId="0" fontId="24" fillId="0" borderId="9" xfId="6" applyFont="1" applyBorder="1" applyAlignment="1">
      <alignment horizontal="center" vertical="center"/>
    </xf>
    <xf numFmtId="0" fontId="39" fillId="0" borderId="16" xfId="39" applyFont="1" applyBorder="1" applyAlignment="1">
      <alignment horizontal="center" vertical="center"/>
    </xf>
    <xf numFmtId="0" fontId="39" fillId="0" borderId="13" xfId="39" applyFont="1" applyBorder="1" applyAlignment="1">
      <alignment horizontal="center" vertical="center"/>
    </xf>
    <xf numFmtId="0" fontId="39" fillId="0" borderId="14" xfId="39" applyFont="1" applyBorder="1" applyAlignment="1">
      <alignment horizontal="center" vertical="center"/>
    </xf>
    <xf numFmtId="4" fontId="37" fillId="0" borderId="16" xfId="43" applyNumberFormat="1" applyFont="1" applyFill="1" applyBorder="1" applyAlignment="1">
      <alignment horizontal="center" vertical="center"/>
    </xf>
    <xf numFmtId="4" fontId="37" fillId="0" borderId="14" xfId="43" applyNumberFormat="1" applyFont="1" applyFill="1" applyBorder="1" applyAlignment="1">
      <alignment horizontal="center" vertical="center"/>
    </xf>
    <xf numFmtId="0" fontId="24" fillId="0" borderId="9" xfId="5" applyFont="1" applyBorder="1" applyAlignment="1">
      <alignment horizontal="center" vertical="center"/>
    </xf>
    <xf numFmtId="0" fontId="24" fillId="0" borderId="16" xfId="39" applyFont="1" applyBorder="1" applyAlignment="1">
      <alignment horizontal="right" vertical="center"/>
    </xf>
    <xf numFmtId="0" fontId="24" fillId="0" borderId="14" xfId="39" applyFont="1" applyBorder="1" applyAlignment="1">
      <alignment horizontal="right" vertical="center"/>
    </xf>
    <xf numFmtId="0" fontId="24" fillId="0" borderId="16" xfId="39" applyFont="1" applyBorder="1" applyAlignment="1">
      <alignment horizontal="center" vertical="center"/>
    </xf>
    <xf numFmtId="0" fontId="24" fillId="0" borderId="13" xfId="39" applyFont="1" applyBorder="1" applyAlignment="1">
      <alignment horizontal="center" vertical="center"/>
    </xf>
    <xf numFmtId="0" fontId="24" fillId="0" borderId="14" xfId="39" applyFont="1" applyBorder="1" applyAlignment="1">
      <alignment horizontal="center" vertical="center"/>
    </xf>
    <xf numFmtId="0" fontId="24" fillId="0" borderId="16" xfId="39" applyFont="1" applyBorder="1" applyAlignment="1">
      <alignment horizontal="left" vertical="center"/>
    </xf>
    <xf numFmtId="0" fontId="24" fillId="0" borderId="13" xfId="39" applyFont="1" applyBorder="1" applyAlignment="1">
      <alignment horizontal="left" vertical="center"/>
    </xf>
    <xf numFmtId="0" fontId="29" fillId="0" borderId="16" xfId="38" applyFont="1" applyBorder="1" applyAlignment="1">
      <alignment horizontal="right" vertical="center"/>
    </xf>
    <xf numFmtId="0" fontId="29" fillId="0" borderId="14" xfId="38" applyFont="1" applyBorder="1" applyAlignment="1">
      <alignment horizontal="right" vertical="center"/>
    </xf>
    <xf numFmtId="3" fontId="30" fillId="0" borderId="16" xfId="38" applyNumberFormat="1" applyFont="1" applyBorder="1" applyAlignment="1">
      <alignment horizontal="center" vertical="center" wrapText="1"/>
    </xf>
    <xf numFmtId="3" fontId="30" fillId="0" borderId="13" xfId="38" applyNumberFormat="1" applyFont="1" applyBorder="1" applyAlignment="1">
      <alignment horizontal="center" vertical="center" wrapText="1"/>
    </xf>
    <xf numFmtId="3" fontId="30" fillId="0" borderId="14" xfId="38" applyNumberFormat="1" applyFont="1" applyBorder="1" applyAlignment="1">
      <alignment horizontal="center" vertical="center" wrapText="1"/>
    </xf>
    <xf numFmtId="0" fontId="29" fillId="0" borderId="16" xfId="38" applyFont="1" applyBorder="1" applyAlignment="1">
      <alignment horizontal="left" vertical="center"/>
    </xf>
    <xf numFmtId="0" fontId="29" fillId="0" borderId="13" xfId="38" applyFont="1" applyBorder="1" applyAlignment="1">
      <alignment horizontal="left" vertical="center"/>
    </xf>
    <xf numFmtId="4" fontId="28" fillId="0" borderId="16" xfId="40" applyNumberFormat="1" applyFont="1" applyFill="1" applyBorder="1" applyAlignment="1">
      <alignment horizontal="center" vertical="center"/>
    </xf>
    <xf numFmtId="49" fontId="24" fillId="0" borderId="1" xfId="38" applyNumberFormat="1" applyFont="1" applyBorder="1" applyAlignment="1">
      <alignment horizontal="right" vertical="center" wrapText="1"/>
    </xf>
    <xf numFmtId="0" fontId="24" fillId="0" borderId="3" xfId="38" applyFont="1" applyBorder="1" applyAlignment="1">
      <alignment horizontal="right" vertical="center" wrapText="1"/>
    </xf>
    <xf numFmtId="0" fontId="25" fillId="0" borderId="1" xfId="39" applyFont="1" applyBorder="1" applyAlignment="1">
      <alignment horizontal="center"/>
    </xf>
    <xf numFmtId="0" fontId="25" fillId="0" borderId="2" xfId="39" applyFont="1" applyBorder="1" applyAlignment="1">
      <alignment horizontal="center"/>
    </xf>
    <xf numFmtId="0" fontId="25" fillId="0" borderId="3" xfId="39" applyFont="1" applyBorder="1" applyAlignment="1">
      <alignment horizontal="center"/>
    </xf>
    <xf numFmtId="0" fontId="25" fillId="0" borderId="4" xfId="39" applyFont="1" applyBorder="1" applyAlignment="1">
      <alignment horizontal="center"/>
    </xf>
    <xf numFmtId="0" fontId="25" fillId="0" borderId="0" xfId="39" applyFont="1" applyAlignment="1">
      <alignment horizontal="center"/>
    </xf>
    <xf numFmtId="0" fontId="25" fillId="0" borderId="5" xfId="39" applyFont="1" applyBorder="1" applyAlignment="1">
      <alignment horizontal="center"/>
    </xf>
    <xf numFmtId="0" fontId="28" fillId="0" borderId="9" xfId="38" applyFont="1" applyBorder="1" applyAlignment="1">
      <alignment horizontal="center" vertical="center"/>
    </xf>
    <xf numFmtId="4" fontId="28" fillId="0" borderId="9" xfId="40" applyNumberFormat="1" applyFont="1" applyFill="1" applyBorder="1" applyAlignment="1">
      <alignment horizontal="center" vertical="center"/>
    </xf>
    <xf numFmtId="0" fontId="16" fillId="0" borderId="9" xfId="39" applyFont="1" applyBorder="1" applyAlignment="1">
      <alignment horizontal="center" vertical="center"/>
    </xf>
    <xf numFmtId="0" fontId="16" fillId="0" borderId="16" xfId="39" applyFont="1" applyBorder="1" applyAlignment="1">
      <alignment horizontal="right" vertical="center"/>
    </xf>
    <xf numFmtId="0" fontId="16" fillId="0" borderId="14" xfId="39" applyFont="1" applyBorder="1" applyAlignment="1">
      <alignment horizontal="right" vertical="center"/>
    </xf>
    <xf numFmtId="0" fontId="16" fillId="0" borderId="16" xfId="39" applyFont="1" applyBorder="1" applyAlignment="1">
      <alignment horizontal="left" vertical="center"/>
    </xf>
    <xf numFmtId="0" fontId="16" fillId="0" borderId="14" xfId="39" applyFont="1" applyBorder="1" applyAlignment="1">
      <alignment horizontal="left" vertical="center"/>
    </xf>
    <xf numFmtId="0" fontId="16" fillId="0" borderId="16" xfId="39" applyFont="1" applyBorder="1" applyAlignment="1">
      <alignment horizontal="center" vertical="center"/>
    </xf>
    <xf numFmtId="0" fontId="16" fillId="0" borderId="13" xfId="39" applyFont="1" applyBorder="1" applyAlignment="1">
      <alignment horizontal="center" vertical="center"/>
    </xf>
    <xf numFmtId="0" fontId="16" fillId="0" borderId="14" xfId="39" applyFont="1" applyBorder="1" applyAlignment="1">
      <alignment horizontal="center" vertical="center"/>
    </xf>
    <xf numFmtId="4" fontId="51" fillId="0" borderId="16" xfId="43" applyNumberFormat="1" applyFont="1" applyFill="1" applyBorder="1" applyAlignment="1">
      <alignment horizontal="right" vertical="center"/>
    </xf>
    <xf numFmtId="4" fontId="51" fillId="0" borderId="14" xfId="43" applyNumberFormat="1" applyFont="1" applyFill="1" applyBorder="1" applyAlignment="1">
      <alignment horizontal="right" vertical="center"/>
    </xf>
    <xf numFmtId="0" fontId="16" fillId="0" borderId="9" xfId="6" applyFont="1" applyBorder="1" applyAlignment="1">
      <alignment horizontal="center" vertical="center"/>
    </xf>
    <xf numFmtId="0" fontId="10" fillId="0" borderId="16" xfId="38" applyFont="1" applyBorder="1" applyAlignment="1">
      <alignment horizontal="right"/>
    </xf>
    <xf numFmtId="0" fontId="10" fillId="0" borderId="14" xfId="38" applyFont="1" applyBorder="1" applyAlignment="1">
      <alignment horizontal="right"/>
    </xf>
    <xf numFmtId="3" fontId="49" fillId="0" borderId="16" xfId="38" applyNumberFormat="1" applyFont="1" applyBorder="1" applyAlignment="1">
      <alignment horizontal="center" vertical="center" wrapText="1"/>
    </xf>
    <xf numFmtId="3" fontId="49" fillId="0" borderId="13" xfId="38" applyNumberFormat="1" applyFont="1" applyBorder="1" applyAlignment="1">
      <alignment horizontal="center" vertical="center" wrapText="1"/>
    </xf>
    <xf numFmtId="3" fontId="49" fillId="0" borderId="14" xfId="38" applyNumberFormat="1" applyFont="1" applyBorder="1" applyAlignment="1">
      <alignment horizontal="center" vertical="center" wrapText="1"/>
    </xf>
    <xf numFmtId="0" fontId="10" fillId="0" borderId="16" xfId="38" applyFont="1" applyBorder="1" applyAlignment="1">
      <alignment horizontal="left" vertical="center"/>
    </xf>
    <xf numFmtId="0" fontId="10" fillId="0" borderId="14" xfId="38" applyFont="1" applyBorder="1" applyAlignment="1">
      <alignment horizontal="left" vertical="center"/>
    </xf>
    <xf numFmtId="0" fontId="16" fillId="0" borderId="9" xfId="5" applyFont="1" applyBorder="1" applyAlignment="1">
      <alignment horizontal="center" vertical="center"/>
    </xf>
    <xf numFmtId="0" fontId="16" fillId="0" borderId="16" xfId="6" applyFont="1" applyBorder="1" applyAlignment="1">
      <alignment horizontal="right" vertical="center"/>
    </xf>
    <xf numFmtId="0" fontId="16" fillId="0" borderId="14" xfId="6" applyFont="1" applyBorder="1" applyAlignment="1">
      <alignment horizontal="right" vertical="center"/>
    </xf>
    <xf numFmtId="4" fontId="9" fillId="0" borderId="9" xfId="42" applyNumberFormat="1" applyFont="1" applyFill="1" applyBorder="1" applyAlignment="1">
      <alignment horizontal="center" vertical="center"/>
    </xf>
    <xf numFmtId="49" fontId="16" fillId="0" borderId="1" xfId="38" applyNumberFormat="1" applyFont="1" applyBorder="1" applyAlignment="1">
      <alignment horizontal="right" vertical="center" wrapText="1"/>
    </xf>
    <xf numFmtId="0" fontId="16" fillId="0" borderId="3" xfId="38" applyFont="1" applyBorder="1" applyAlignment="1">
      <alignment horizontal="right" vertical="center" wrapText="1"/>
    </xf>
    <xf numFmtId="0" fontId="48" fillId="0" borderId="1" xfId="39" applyFont="1" applyBorder="1" applyAlignment="1">
      <alignment horizontal="center" vertical="center" wrapText="1"/>
    </xf>
    <xf numFmtId="0" fontId="48" fillId="0" borderId="2" xfId="39" applyFont="1" applyBorder="1" applyAlignment="1">
      <alignment horizontal="center" vertical="center" wrapText="1"/>
    </xf>
    <xf numFmtId="0" fontId="48" fillId="0" borderId="3" xfId="39" applyFont="1" applyBorder="1" applyAlignment="1">
      <alignment horizontal="center" vertical="center" wrapText="1"/>
    </xf>
    <xf numFmtId="0" fontId="48" fillId="0" borderId="4" xfId="39" applyFont="1" applyBorder="1" applyAlignment="1">
      <alignment horizontal="center" vertical="center" wrapText="1"/>
    </xf>
    <xf numFmtId="0" fontId="48" fillId="0" borderId="0" xfId="39" applyFont="1" applyAlignment="1">
      <alignment horizontal="center" vertical="center" wrapText="1"/>
    </xf>
    <xf numFmtId="0" fontId="48" fillId="0" borderId="5" xfId="39" applyFont="1" applyBorder="1" applyAlignment="1">
      <alignment horizontal="center" vertical="center" wrapText="1"/>
    </xf>
    <xf numFmtId="0" fontId="9" fillId="0" borderId="9" xfId="38" applyFont="1" applyBorder="1" applyAlignment="1">
      <alignment horizontal="center" vertical="center"/>
    </xf>
    <xf numFmtId="0" fontId="74" fillId="0" borderId="0" xfId="55" applyFont="1" applyAlignment="1">
      <alignment horizontal="center"/>
    </xf>
    <xf numFmtId="17" fontId="73" fillId="0" borderId="0" xfId="55" applyNumberFormat="1" applyFont="1" applyAlignment="1">
      <alignment horizontal="center" wrapText="1"/>
    </xf>
    <xf numFmtId="0" fontId="73" fillId="0" borderId="0" xfId="55" applyFont="1" applyAlignment="1">
      <alignment horizontal="center" wrapText="1"/>
    </xf>
    <xf numFmtId="0" fontId="49" fillId="0" borderId="0" xfId="55" applyFont="1" applyAlignment="1">
      <alignment horizontal="center" vertical="center" wrapText="1"/>
    </xf>
    <xf numFmtId="0" fontId="48" fillId="0" borderId="0" xfId="55" applyFont="1" applyAlignment="1">
      <alignment horizontal="center"/>
    </xf>
    <xf numFmtId="0" fontId="48" fillId="0" borderId="0" xfId="55" applyFont="1" applyAlignment="1">
      <alignment horizontal="center" readingOrder="2"/>
    </xf>
    <xf numFmtId="0" fontId="49" fillId="0" borderId="0" xfId="55" applyFont="1" applyAlignment="1">
      <alignment horizontal="center" wrapText="1"/>
    </xf>
    <xf numFmtId="0" fontId="8" fillId="0" borderId="0" xfId="55" applyAlignment="1">
      <alignment horizontal="center" vertical="top" wrapText="1"/>
    </xf>
    <xf numFmtId="0" fontId="48" fillId="0" borderId="0" xfId="55" applyFont="1" applyAlignment="1">
      <alignment horizontal="center" vertical="top" wrapText="1"/>
    </xf>
    <xf numFmtId="0" fontId="48" fillId="0" borderId="0" xfId="55" applyFont="1" applyAlignment="1">
      <alignment horizontal="center" wrapText="1"/>
    </xf>
    <xf numFmtId="0" fontId="73" fillId="0" borderId="0" xfId="55" applyFont="1" applyAlignment="1">
      <alignment horizontal="center"/>
    </xf>
    <xf numFmtId="0" fontId="74" fillId="0" borderId="0" xfId="55" applyFont="1" applyAlignment="1">
      <alignment horizontal="center" readingOrder="2"/>
    </xf>
    <xf numFmtId="0" fontId="74" fillId="0" borderId="0" xfId="55" applyFont="1" applyAlignment="1">
      <alignment horizontal="center" wrapText="1"/>
    </xf>
    <xf numFmtId="49" fontId="50" fillId="0" borderId="42" xfId="6" applyNumberFormat="1" applyFont="1" applyBorder="1" applyAlignment="1">
      <alignment horizontal="center" vertical="top" wrapText="1"/>
    </xf>
    <xf numFmtId="49" fontId="50" fillId="0" borderId="43" xfId="6" applyNumberFormat="1" applyFont="1" applyBorder="1" applyAlignment="1">
      <alignment horizontal="center" vertical="top" wrapText="1"/>
    </xf>
    <xf numFmtId="49" fontId="18" fillId="0" borderId="1" xfId="6" applyNumberFormat="1" applyFont="1" applyBorder="1" applyAlignment="1">
      <alignment horizontal="center" vertical="center" wrapText="1"/>
    </xf>
    <xf numFmtId="49" fontId="18" fillId="0" borderId="2" xfId="6" applyNumberFormat="1" applyFont="1" applyBorder="1" applyAlignment="1">
      <alignment horizontal="center" vertical="center" wrapText="1"/>
    </xf>
    <xf numFmtId="49" fontId="18" fillId="0" borderId="3" xfId="6" applyNumberFormat="1" applyFont="1" applyBorder="1" applyAlignment="1">
      <alignment horizontal="center" vertical="center" wrapText="1"/>
    </xf>
    <xf numFmtId="49" fontId="18" fillId="0" borderId="4" xfId="6" applyNumberFormat="1" applyFont="1" applyBorder="1" applyAlignment="1">
      <alignment horizontal="center" vertical="center" wrapText="1"/>
    </xf>
    <xf numFmtId="49" fontId="18" fillId="0" borderId="0" xfId="6" applyNumberFormat="1" applyFont="1" applyAlignment="1">
      <alignment horizontal="center" vertical="center" wrapText="1"/>
    </xf>
    <xf numFmtId="49" fontId="18" fillId="0" borderId="5" xfId="6" applyNumberFormat="1" applyFont="1" applyBorder="1" applyAlignment="1">
      <alignment horizontal="center" vertical="center" wrapText="1"/>
    </xf>
    <xf numFmtId="49" fontId="18" fillId="0" borderId="6" xfId="6" applyNumberFormat="1" applyFont="1" applyBorder="1" applyAlignment="1">
      <alignment horizontal="center" vertical="center" wrapText="1"/>
    </xf>
    <xf numFmtId="49" fontId="18" fillId="0" borderId="7" xfId="6" applyNumberFormat="1" applyFont="1" applyBorder="1" applyAlignment="1">
      <alignment horizontal="center" vertical="center" wrapText="1"/>
    </xf>
    <xf numFmtId="49" fontId="18" fillId="0" borderId="8" xfId="6" applyNumberFormat="1" applyFont="1" applyBorder="1" applyAlignment="1">
      <alignment horizontal="center" vertical="center" wrapText="1"/>
    </xf>
    <xf numFmtId="0" fontId="15" fillId="0" borderId="9" xfId="51" applyFont="1" applyBorder="1" applyAlignment="1">
      <alignment horizontal="center" vertical="center"/>
    </xf>
    <xf numFmtId="0" fontId="15" fillId="0" borderId="3" xfId="51" applyFont="1" applyBorder="1" applyAlignment="1">
      <alignment horizontal="center" vertical="center"/>
    </xf>
    <xf numFmtId="0" fontId="15" fillId="0" borderId="8" xfId="51" applyFont="1" applyBorder="1" applyAlignment="1">
      <alignment horizontal="center" vertical="center"/>
    </xf>
    <xf numFmtId="0" fontId="18" fillId="0" borderId="1" xfId="51" applyFont="1" applyBorder="1" applyAlignment="1">
      <alignment horizontal="center" vertical="center"/>
    </xf>
    <xf numFmtId="0" fontId="18" fillId="0" borderId="6" xfId="51" applyFont="1" applyBorder="1" applyAlignment="1">
      <alignment horizontal="center" vertical="center"/>
    </xf>
    <xf numFmtId="0" fontId="15" fillId="0" borderId="12" xfId="51" applyFont="1" applyBorder="1" applyAlignment="1">
      <alignment horizontal="center" vertical="center"/>
    </xf>
    <xf numFmtId="0" fontId="15" fillId="0" borderId="11" xfId="51" applyFont="1" applyBorder="1" applyAlignment="1">
      <alignment horizontal="center" vertical="center"/>
    </xf>
    <xf numFmtId="43" fontId="15" fillId="0" borderId="9" xfId="52" applyFont="1" applyFill="1" applyBorder="1" applyAlignment="1">
      <alignment horizontal="center" vertical="center" wrapText="1"/>
    </xf>
    <xf numFmtId="164" fontId="8" fillId="0" borderId="9" xfId="52" applyNumberFormat="1" applyFont="1" applyFill="1" applyBorder="1" applyAlignment="1">
      <alignment horizontal="center" vertical="center" wrapText="1"/>
    </xf>
    <xf numFmtId="43" fontId="8" fillId="0" borderId="9" xfId="52" applyFont="1" applyFill="1" applyBorder="1" applyAlignment="1">
      <alignment horizontal="center" vertical="center" wrapText="1"/>
    </xf>
    <xf numFmtId="49" fontId="66" fillId="0" borderId="0" xfId="55" applyNumberFormat="1" applyFont="1" applyAlignment="1">
      <alignment horizontal="center"/>
    </xf>
  </cellXfs>
  <cellStyles count="59">
    <cellStyle name="Comma" xfId="57" builtinId="3"/>
    <cellStyle name="Comma 2" xfId="27" xr:uid="{00000000-0005-0000-0000-000001000000}"/>
    <cellStyle name="Comma 2 2" xfId="30" xr:uid="{00000000-0005-0000-0000-000002000000}"/>
    <cellStyle name="Comma 2 3" xfId="37" xr:uid="{42646D5C-BF1F-475E-BF8E-01F02A612B68}"/>
    <cellStyle name="Comma 2 4" xfId="42" xr:uid="{8A6E3B34-7B3B-41A9-AE0E-1023B0C1483B}"/>
    <cellStyle name="Comma 2 5 2" xfId="56" xr:uid="{02D4B512-E71B-4746-A041-C1CB0802451A}"/>
    <cellStyle name="Comma 3" xfId="33" xr:uid="{00000000-0005-0000-0000-000003000000}"/>
    <cellStyle name="Comma 4" xfId="40" xr:uid="{8BCF9370-99EF-46A7-A478-63C4EA2D4EA8}"/>
    <cellStyle name="Comma 5" xfId="52" xr:uid="{30F7B0E5-AF31-4B83-BE22-F41F009CCADC}"/>
    <cellStyle name="Comma_Contents 2" xfId="54" xr:uid="{6E0420BA-8F87-496B-9AA5-20BA8780C473}"/>
    <cellStyle name="Comma_P1 - General Items(Revised)" xfId="43" xr:uid="{6FE1EF60-D45A-4D1E-83CF-6A403A3B8220}"/>
    <cellStyle name="Normal" xfId="0" builtinId="0"/>
    <cellStyle name="Normal 10" xfId="1" xr:uid="{00000000-0005-0000-0000-000005000000}"/>
    <cellStyle name="Normal 10 10" xfId="16" xr:uid="{00000000-0005-0000-0000-000006000000}"/>
    <cellStyle name="Normal 10 2 2" xfId="46" xr:uid="{987CCD7F-0E30-4C1A-8E36-AA98AEA5899C}"/>
    <cellStyle name="Normal 11" xfId="45" xr:uid="{EE957D5B-A499-4D7C-8071-21CDF1A932E8}"/>
    <cellStyle name="Normal 111" xfId="19" xr:uid="{00000000-0005-0000-0000-000007000000}"/>
    <cellStyle name="Normal 114 2 2" xfId="7" xr:uid="{00000000-0005-0000-0000-000008000000}"/>
    <cellStyle name="Normal 114 3" xfId="8" xr:uid="{00000000-0005-0000-0000-000009000000}"/>
    <cellStyle name="Normal 12" xfId="47" xr:uid="{CFFB4504-FCCD-47B7-8163-BB5598505E72}"/>
    <cellStyle name="Normal 156" xfId="17" xr:uid="{00000000-0005-0000-0000-00000A000000}"/>
    <cellStyle name="Normal 17" xfId="2" xr:uid="{00000000-0005-0000-0000-00000B000000}"/>
    <cellStyle name="Normal 2" xfId="6" xr:uid="{00000000-0005-0000-0000-00000C000000}"/>
    <cellStyle name="Normal 2 2 2" xfId="22" xr:uid="{00000000-0005-0000-0000-00000D000000}"/>
    <cellStyle name="Normal 2 2 2 2" xfId="21" xr:uid="{00000000-0005-0000-0000-00000E000000}"/>
    <cellStyle name="Normal 3" xfId="5" xr:uid="{00000000-0005-0000-0000-00000F000000}"/>
    <cellStyle name="Normal 3 2" xfId="24" xr:uid="{00000000-0005-0000-0000-000010000000}"/>
    <cellStyle name="Normal 3 4 10 17 2 2 2 2 2" xfId="12" xr:uid="{00000000-0005-0000-0000-000011000000}"/>
    <cellStyle name="Normal 3 4 10 17 2 2 2 2 3 2 2" xfId="9" xr:uid="{00000000-0005-0000-0000-000012000000}"/>
    <cellStyle name="Normal 3 4 10 17 2 2 2 2 3 3 2" xfId="3" xr:uid="{00000000-0005-0000-0000-000013000000}"/>
    <cellStyle name="Normal 3 4 10 17 2 2 2 2 4" xfId="4" xr:uid="{00000000-0005-0000-0000-000014000000}"/>
    <cellStyle name="Normal 3 4 10 17 2 3 2 2" xfId="11" xr:uid="{00000000-0005-0000-0000-000015000000}"/>
    <cellStyle name="Normal 3 4 10 17 3 2 2 3 3" xfId="15" xr:uid="{00000000-0005-0000-0000-000016000000}"/>
    <cellStyle name="Normal 3 4 10 17 3 5 3 2 2 2" xfId="13" xr:uid="{00000000-0005-0000-0000-000017000000}"/>
    <cellStyle name="Normal 31" xfId="14" xr:uid="{00000000-0005-0000-0000-000018000000}"/>
    <cellStyle name="Normal 4" xfId="25" xr:uid="{00000000-0005-0000-0000-000019000000}"/>
    <cellStyle name="Normal 4 2" xfId="29" xr:uid="{00000000-0005-0000-0000-00001A000000}"/>
    <cellStyle name="Normal 4 3" xfId="44" xr:uid="{74D592C2-37BF-4FFD-B815-A878F885BDDF}"/>
    <cellStyle name="Normal 5" xfId="26" xr:uid="{00000000-0005-0000-0000-00001B000000}"/>
    <cellStyle name="Normal 5 10" xfId="18" xr:uid="{00000000-0005-0000-0000-00001C000000}"/>
    <cellStyle name="Normal 5 2" xfId="36" xr:uid="{6AB67536-F586-4F44-85E4-5A3799167C96}"/>
    <cellStyle name="Normal 5 2 2" xfId="55" xr:uid="{4EDE60E9-9883-4936-8A16-85012CB4F2D7}"/>
    <cellStyle name="Normal 52 34" xfId="10" xr:uid="{00000000-0005-0000-0000-00001D000000}"/>
    <cellStyle name="Normal 6" xfId="32" xr:uid="{00000000-0005-0000-0000-00001E000000}"/>
    <cellStyle name="Normal 7" xfId="41" xr:uid="{6B927DDF-AB81-4843-9460-B2A1C2B51057}"/>
    <cellStyle name="Normal 8" xfId="51" xr:uid="{6396FDFE-20B9-4B4B-B063-3B79D19F22B9}"/>
    <cellStyle name="Normal 88" xfId="20" xr:uid="{00000000-0005-0000-0000-00001F000000}"/>
    <cellStyle name="Normal 88 2" xfId="28" xr:uid="{00000000-0005-0000-0000-000020000000}"/>
    <cellStyle name="Normal 88 2 2" xfId="31" xr:uid="{00000000-0005-0000-0000-000021000000}"/>
    <cellStyle name="Normal 88 3" xfId="34" xr:uid="{00000000-0005-0000-0000-000022000000}"/>
    <cellStyle name="Normal 88 4" xfId="53" xr:uid="{55FF7F61-10A9-4EF0-BCE2-3F32FCE306DE}"/>
    <cellStyle name="Normal 9" xfId="58" xr:uid="{0ADE5B2F-BAE6-4FCE-8095-61322C2B0057}"/>
    <cellStyle name="Normal_Copy of 815-C12_Working File_REUBEN_May 9, 2009" xfId="50" xr:uid="{E6F801C8-774E-464C-B599-2FBA9C3BA410}"/>
    <cellStyle name="Normal_Disision 10-Finishes-Toilet Accessories-BOQ" xfId="49" xr:uid="{3E85DCAC-4D3F-4A91-8AA8-AFCA140E1F81}"/>
    <cellStyle name="Normal_New E. Subst. Southern Complex -10.8.2(SS36)" xfId="48" xr:uid="{A514FFD4-FEF7-42E2-AA1E-71856610E51A}"/>
    <cellStyle name="Normal_P1 - General Items(Revised)" xfId="39" xr:uid="{848F503C-84E8-468C-A227-E908E506258D}"/>
    <cellStyle name="Normal_Part 1 - General Items" xfId="38" xr:uid="{13BB9DEE-0586-42E6-9F7F-79D2C8F4D697}"/>
    <cellStyle name="Normal_Section T without PC SUM" xfId="23" xr:uid="{00000000-0005-0000-0000-000026000000}"/>
    <cellStyle name="Percent 2" xfId="35" xr:uid="{00000000-0005-0000-0000-000028000000}"/>
  </cellStyles>
  <dxfs count="20">
    <dxf>
      <font>
        <b/>
        <i val="0"/>
      </font>
    </dxf>
    <dxf>
      <border>
        <bottom style="thin">
          <color auto="1"/>
        </bottom>
        <vertical/>
        <horizontal/>
      </border>
    </dxf>
    <dxf>
      <font>
        <b/>
        <i val="0"/>
      </font>
    </dxf>
    <dxf>
      <font>
        <b/>
        <i val="0"/>
      </font>
    </dxf>
    <dxf>
      <font>
        <b/>
        <i val="0"/>
      </font>
    </dxf>
    <dxf>
      <border>
        <bottom style="thin">
          <color auto="1"/>
        </bottom>
        <vertical/>
        <horizontal/>
      </border>
    </dxf>
    <dxf>
      <font>
        <b/>
        <i val="0"/>
      </font>
    </dxf>
    <dxf>
      <border>
        <bottom style="thin">
          <color auto="1"/>
        </bottom>
        <vertical/>
        <horizontal/>
      </border>
    </dxf>
    <dxf>
      <font>
        <b/>
        <i val="0"/>
      </font>
    </dxf>
    <dxf>
      <font>
        <b/>
        <i val="0"/>
      </font>
    </dxf>
    <dxf>
      <font>
        <b/>
        <i val="0"/>
      </font>
    </dxf>
    <dxf>
      <font>
        <b/>
        <i val="0"/>
      </font>
    </dxf>
    <dxf>
      <border>
        <bottom style="thin">
          <color auto="1"/>
        </bottom>
        <vertical/>
        <horizontal/>
      </border>
    </dxf>
    <dxf>
      <font>
        <b/>
        <i val="0"/>
      </font>
    </dxf>
    <dxf>
      <font>
        <b/>
        <i val="0"/>
      </font>
    </dxf>
    <dxf>
      <font>
        <b/>
        <i val="0"/>
      </font>
    </dxf>
    <dxf>
      <font>
        <b/>
        <i val="0"/>
      </font>
    </dxf>
    <dxf>
      <font>
        <b/>
        <i val="0"/>
      </font>
    </dxf>
    <dxf>
      <font>
        <b/>
        <i val="0"/>
      </font>
    </dxf>
    <dxf>
      <border>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0</xdr:row>
      <xdr:rowOff>216693</xdr:rowOff>
    </xdr:from>
    <xdr:to>
      <xdr:col>8</xdr:col>
      <xdr:colOff>571500</xdr:colOff>
      <xdr:row>5</xdr:row>
      <xdr:rowOff>19050</xdr:rowOff>
    </xdr:to>
    <xdr:pic>
      <xdr:nvPicPr>
        <xdr:cNvPr id="4" name="Picture 3">
          <a:extLst>
            <a:ext uri="{FF2B5EF4-FFF2-40B4-BE49-F238E27FC236}">
              <a16:creationId xmlns:a16="http://schemas.microsoft.com/office/drawing/2014/main" id="{8DDBA5C8-90D4-4701-8365-7CE244B822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53450" y="216693"/>
          <a:ext cx="2152650" cy="954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331304</xdr:colOff>
      <xdr:row>4</xdr:row>
      <xdr:rowOff>621195</xdr:rowOff>
    </xdr:from>
    <xdr:to>
      <xdr:col>5</xdr:col>
      <xdr:colOff>571499</xdr:colOff>
      <xdr:row>10</xdr:row>
      <xdr:rowOff>74913</xdr:rowOff>
    </xdr:to>
    <xdr:pic>
      <xdr:nvPicPr>
        <xdr:cNvPr id="2" name="Picture 1" descr="C:\Users\yghannam\Desktop\New Identity\الشعارات\PNG\NewLogo.png">
          <a:extLst>
            <a:ext uri="{FF2B5EF4-FFF2-40B4-BE49-F238E27FC236}">
              <a16:creationId xmlns:a16="http://schemas.microsoft.com/office/drawing/2014/main" id="{CB655580-D397-4932-8156-76F2C3AC101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00186151" y="1507020"/>
          <a:ext cx="954570" cy="1272993"/>
        </a:xfrm>
        <a:prstGeom prst="rect">
          <a:avLst/>
        </a:prstGeom>
        <a:noFill/>
        <a:ln>
          <a:noFill/>
        </a:ln>
      </xdr:spPr>
    </xdr:pic>
    <xdr:clientData/>
  </xdr:twoCellAnchor>
  <xdr:twoCellAnchor editAs="oneCell">
    <xdr:from>
      <xdr:col>12</xdr:col>
      <xdr:colOff>207065</xdr:colOff>
      <xdr:row>4</xdr:row>
      <xdr:rowOff>612912</xdr:rowOff>
    </xdr:from>
    <xdr:to>
      <xdr:col>13</xdr:col>
      <xdr:colOff>447261</xdr:colOff>
      <xdr:row>10</xdr:row>
      <xdr:rowOff>74546</xdr:rowOff>
    </xdr:to>
    <xdr:pic>
      <xdr:nvPicPr>
        <xdr:cNvPr id="3" name="Picture 2" descr="C:\Users\yghannam\Desktop\New Identity\الشعارات\PNG\NewLogo.png">
          <a:extLst>
            <a:ext uri="{FF2B5EF4-FFF2-40B4-BE49-F238E27FC236}">
              <a16:creationId xmlns:a16="http://schemas.microsoft.com/office/drawing/2014/main" id="{4392B3E3-0B5A-47A2-ADEC-29ECE4B6B8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94671589" y="1498737"/>
          <a:ext cx="954571" cy="128090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609600</xdr:colOff>
      <xdr:row>84</xdr:row>
      <xdr:rowOff>0</xdr:rowOff>
    </xdr:from>
    <xdr:ext cx="65" cy="172227"/>
    <xdr:sp macro="" textlink="">
      <xdr:nvSpPr>
        <xdr:cNvPr id="2" name="TextBox 1">
          <a:extLst>
            <a:ext uri="{FF2B5EF4-FFF2-40B4-BE49-F238E27FC236}">
              <a16:creationId xmlns:a16="http://schemas.microsoft.com/office/drawing/2014/main" id="{733A0368-93B1-4051-A124-813523465F87}"/>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3" name="TextBox 2">
          <a:extLst>
            <a:ext uri="{FF2B5EF4-FFF2-40B4-BE49-F238E27FC236}">
              <a16:creationId xmlns:a16="http://schemas.microsoft.com/office/drawing/2014/main" id="{44576420-539E-48B0-B2FA-A0B44DB80EB1}"/>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4" name="TextBox 3">
          <a:extLst>
            <a:ext uri="{FF2B5EF4-FFF2-40B4-BE49-F238E27FC236}">
              <a16:creationId xmlns:a16="http://schemas.microsoft.com/office/drawing/2014/main" id="{B29378A2-6DB1-4A3A-8D02-3D4E5E47583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5" name="TextBox 4">
          <a:extLst>
            <a:ext uri="{FF2B5EF4-FFF2-40B4-BE49-F238E27FC236}">
              <a16:creationId xmlns:a16="http://schemas.microsoft.com/office/drawing/2014/main" id="{D0054FC4-B2BF-43D9-B6CD-0764A4700F66}"/>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6" name="TextBox 5">
          <a:extLst>
            <a:ext uri="{FF2B5EF4-FFF2-40B4-BE49-F238E27FC236}">
              <a16:creationId xmlns:a16="http://schemas.microsoft.com/office/drawing/2014/main" id="{E78FF43B-DFF4-4D61-8DB2-A87B15CDEC4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7" name="TextBox 6">
          <a:extLst>
            <a:ext uri="{FF2B5EF4-FFF2-40B4-BE49-F238E27FC236}">
              <a16:creationId xmlns:a16="http://schemas.microsoft.com/office/drawing/2014/main" id="{7F3908D9-D565-4A57-92CB-E85BC5C2019E}"/>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8" name="TextBox 7">
          <a:extLst>
            <a:ext uri="{FF2B5EF4-FFF2-40B4-BE49-F238E27FC236}">
              <a16:creationId xmlns:a16="http://schemas.microsoft.com/office/drawing/2014/main" id="{C7A83190-6A8D-4964-8FC6-95B601F8C223}"/>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9" name="TextBox 8">
          <a:extLst>
            <a:ext uri="{FF2B5EF4-FFF2-40B4-BE49-F238E27FC236}">
              <a16:creationId xmlns:a16="http://schemas.microsoft.com/office/drawing/2014/main" id="{798C84B8-74C2-4BD9-8373-1CFD58E0855B}"/>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0" name="TextBox 9">
          <a:extLst>
            <a:ext uri="{FF2B5EF4-FFF2-40B4-BE49-F238E27FC236}">
              <a16:creationId xmlns:a16="http://schemas.microsoft.com/office/drawing/2014/main" id="{E9631B8C-F3F6-4C16-8D03-2827E615F9B5}"/>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1" name="TextBox 10">
          <a:extLst>
            <a:ext uri="{FF2B5EF4-FFF2-40B4-BE49-F238E27FC236}">
              <a16:creationId xmlns:a16="http://schemas.microsoft.com/office/drawing/2014/main" id="{288ED473-64D1-431C-A45A-BC9111E497F4}"/>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2" name="TextBox 11">
          <a:extLst>
            <a:ext uri="{FF2B5EF4-FFF2-40B4-BE49-F238E27FC236}">
              <a16:creationId xmlns:a16="http://schemas.microsoft.com/office/drawing/2014/main" id="{E8CCDD79-E65D-4F93-890B-ED98341E9252}"/>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 name="TextBox 12">
          <a:extLst>
            <a:ext uri="{FF2B5EF4-FFF2-40B4-BE49-F238E27FC236}">
              <a16:creationId xmlns:a16="http://schemas.microsoft.com/office/drawing/2014/main" id="{21BC26A4-366B-4E8F-B91A-7DC8F73920EA}"/>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 name="TextBox 13">
          <a:extLst>
            <a:ext uri="{FF2B5EF4-FFF2-40B4-BE49-F238E27FC236}">
              <a16:creationId xmlns:a16="http://schemas.microsoft.com/office/drawing/2014/main" id="{4580CBB1-E5F8-46BC-84BF-4304F726444B}"/>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 name="TextBox 14">
          <a:extLst>
            <a:ext uri="{FF2B5EF4-FFF2-40B4-BE49-F238E27FC236}">
              <a16:creationId xmlns:a16="http://schemas.microsoft.com/office/drawing/2014/main" id="{25646456-EFCD-4523-958C-0094F7A753A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6" name="TextBox 15">
          <a:extLst>
            <a:ext uri="{FF2B5EF4-FFF2-40B4-BE49-F238E27FC236}">
              <a16:creationId xmlns:a16="http://schemas.microsoft.com/office/drawing/2014/main" id="{D011FFBE-0978-48AD-B3D5-DDB8E9EAB605}"/>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7" name="TextBox 16">
          <a:extLst>
            <a:ext uri="{FF2B5EF4-FFF2-40B4-BE49-F238E27FC236}">
              <a16:creationId xmlns:a16="http://schemas.microsoft.com/office/drawing/2014/main" id="{B69D3C50-15A3-466A-9B31-E8B90BF7B258}"/>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8" name="TextBox 17">
          <a:extLst>
            <a:ext uri="{FF2B5EF4-FFF2-40B4-BE49-F238E27FC236}">
              <a16:creationId xmlns:a16="http://schemas.microsoft.com/office/drawing/2014/main" id="{7ED27388-8720-4134-B964-1E11B5B4D5A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9" name="TextBox 18">
          <a:extLst>
            <a:ext uri="{FF2B5EF4-FFF2-40B4-BE49-F238E27FC236}">
              <a16:creationId xmlns:a16="http://schemas.microsoft.com/office/drawing/2014/main" id="{8E5705D8-C562-4FC8-8033-78FE9B9C1821}"/>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0" name="TextBox 19">
          <a:extLst>
            <a:ext uri="{FF2B5EF4-FFF2-40B4-BE49-F238E27FC236}">
              <a16:creationId xmlns:a16="http://schemas.microsoft.com/office/drawing/2014/main" id="{EF1157C9-EAC7-475A-91F7-516F69DEACA0}"/>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1" name="TextBox 20">
          <a:extLst>
            <a:ext uri="{FF2B5EF4-FFF2-40B4-BE49-F238E27FC236}">
              <a16:creationId xmlns:a16="http://schemas.microsoft.com/office/drawing/2014/main" id="{132D96C2-C4F4-4B6A-BFF2-B6D1CAC216F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2" name="TextBox 21">
          <a:extLst>
            <a:ext uri="{FF2B5EF4-FFF2-40B4-BE49-F238E27FC236}">
              <a16:creationId xmlns:a16="http://schemas.microsoft.com/office/drawing/2014/main" id="{1E8DD526-8422-4583-AFF2-11821716A340}"/>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3" name="TextBox 22">
          <a:extLst>
            <a:ext uri="{FF2B5EF4-FFF2-40B4-BE49-F238E27FC236}">
              <a16:creationId xmlns:a16="http://schemas.microsoft.com/office/drawing/2014/main" id="{D1DFF5E8-5966-4240-9ADD-50B6951C7825}"/>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4" name="TextBox 23">
          <a:extLst>
            <a:ext uri="{FF2B5EF4-FFF2-40B4-BE49-F238E27FC236}">
              <a16:creationId xmlns:a16="http://schemas.microsoft.com/office/drawing/2014/main" id="{78F53029-08B8-4F9A-889E-46C882FAF2C6}"/>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5" name="TextBox 24">
          <a:extLst>
            <a:ext uri="{FF2B5EF4-FFF2-40B4-BE49-F238E27FC236}">
              <a16:creationId xmlns:a16="http://schemas.microsoft.com/office/drawing/2014/main" id="{C44CBBB9-B672-48CA-91F5-71E45F384A57}"/>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6" name="TextBox 25">
          <a:extLst>
            <a:ext uri="{FF2B5EF4-FFF2-40B4-BE49-F238E27FC236}">
              <a16:creationId xmlns:a16="http://schemas.microsoft.com/office/drawing/2014/main" id="{A93462D3-A125-4AD4-AB5D-DE339E0B160A}"/>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7" name="TextBox 26">
          <a:extLst>
            <a:ext uri="{FF2B5EF4-FFF2-40B4-BE49-F238E27FC236}">
              <a16:creationId xmlns:a16="http://schemas.microsoft.com/office/drawing/2014/main" id="{08954704-27A4-4B6E-A148-2116EF6E920D}"/>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8" name="TextBox 27">
          <a:extLst>
            <a:ext uri="{FF2B5EF4-FFF2-40B4-BE49-F238E27FC236}">
              <a16:creationId xmlns:a16="http://schemas.microsoft.com/office/drawing/2014/main" id="{075ABC21-3C7E-4B9F-81DA-2FDF367068C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29" name="TextBox 28">
          <a:extLst>
            <a:ext uri="{FF2B5EF4-FFF2-40B4-BE49-F238E27FC236}">
              <a16:creationId xmlns:a16="http://schemas.microsoft.com/office/drawing/2014/main" id="{AA21AA17-5BB6-4996-805F-67F5400F6AC6}"/>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30" name="TextBox 29">
          <a:extLst>
            <a:ext uri="{FF2B5EF4-FFF2-40B4-BE49-F238E27FC236}">
              <a16:creationId xmlns:a16="http://schemas.microsoft.com/office/drawing/2014/main" id="{D80CE40D-D6B4-4310-8D4F-F24A9F61AA9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31" name="TextBox 30">
          <a:extLst>
            <a:ext uri="{FF2B5EF4-FFF2-40B4-BE49-F238E27FC236}">
              <a16:creationId xmlns:a16="http://schemas.microsoft.com/office/drawing/2014/main" id="{DD79373F-61D7-44A6-8531-0299DBE0B58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32" name="TextBox 31">
          <a:extLst>
            <a:ext uri="{FF2B5EF4-FFF2-40B4-BE49-F238E27FC236}">
              <a16:creationId xmlns:a16="http://schemas.microsoft.com/office/drawing/2014/main" id="{EEE906A8-2C44-4FE2-90D4-1B5458C2E668}"/>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33" name="TextBox 32">
          <a:extLst>
            <a:ext uri="{FF2B5EF4-FFF2-40B4-BE49-F238E27FC236}">
              <a16:creationId xmlns:a16="http://schemas.microsoft.com/office/drawing/2014/main" id="{285244D7-B155-4E15-B3F6-7AF1042D853F}"/>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4" name="TextBox 33">
          <a:extLst>
            <a:ext uri="{FF2B5EF4-FFF2-40B4-BE49-F238E27FC236}">
              <a16:creationId xmlns:a16="http://schemas.microsoft.com/office/drawing/2014/main" id="{B2C21D31-DDB6-4489-A48E-34AC269CEC9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5" name="TextBox 34">
          <a:extLst>
            <a:ext uri="{FF2B5EF4-FFF2-40B4-BE49-F238E27FC236}">
              <a16:creationId xmlns:a16="http://schemas.microsoft.com/office/drawing/2014/main" id="{494777F5-638A-4C97-8606-9BA9532BCD4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6" name="TextBox 35">
          <a:extLst>
            <a:ext uri="{FF2B5EF4-FFF2-40B4-BE49-F238E27FC236}">
              <a16:creationId xmlns:a16="http://schemas.microsoft.com/office/drawing/2014/main" id="{29FFFC0B-49D3-4D3D-87DF-C491A2B7FCD8}"/>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7" name="TextBox 36">
          <a:extLst>
            <a:ext uri="{FF2B5EF4-FFF2-40B4-BE49-F238E27FC236}">
              <a16:creationId xmlns:a16="http://schemas.microsoft.com/office/drawing/2014/main" id="{A73EA76E-B633-401C-8775-F601E935EFA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8" name="TextBox 37">
          <a:extLst>
            <a:ext uri="{FF2B5EF4-FFF2-40B4-BE49-F238E27FC236}">
              <a16:creationId xmlns:a16="http://schemas.microsoft.com/office/drawing/2014/main" id="{80B90538-F463-454E-88D7-6B7191A4ACFD}"/>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39" name="TextBox 38">
          <a:extLst>
            <a:ext uri="{FF2B5EF4-FFF2-40B4-BE49-F238E27FC236}">
              <a16:creationId xmlns:a16="http://schemas.microsoft.com/office/drawing/2014/main" id="{522FE6BC-50AE-4A2A-BDC4-BFB5220DD546}"/>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0" name="TextBox 39">
          <a:extLst>
            <a:ext uri="{FF2B5EF4-FFF2-40B4-BE49-F238E27FC236}">
              <a16:creationId xmlns:a16="http://schemas.microsoft.com/office/drawing/2014/main" id="{FA526C4C-84FC-4F3A-89A8-4E6CF13C3AED}"/>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1" name="TextBox 40">
          <a:extLst>
            <a:ext uri="{FF2B5EF4-FFF2-40B4-BE49-F238E27FC236}">
              <a16:creationId xmlns:a16="http://schemas.microsoft.com/office/drawing/2014/main" id="{91164108-CB85-4A45-AD16-E6DF50671158}"/>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2" name="TextBox 41">
          <a:extLst>
            <a:ext uri="{FF2B5EF4-FFF2-40B4-BE49-F238E27FC236}">
              <a16:creationId xmlns:a16="http://schemas.microsoft.com/office/drawing/2014/main" id="{D2A41D48-8BF9-4800-A690-6DF99E409C7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3" name="TextBox 42">
          <a:extLst>
            <a:ext uri="{FF2B5EF4-FFF2-40B4-BE49-F238E27FC236}">
              <a16:creationId xmlns:a16="http://schemas.microsoft.com/office/drawing/2014/main" id="{2D78C625-76AE-437F-991F-E3D1D108CBAD}"/>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4" name="TextBox 43">
          <a:extLst>
            <a:ext uri="{FF2B5EF4-FFF2-40B4-BE49-F238E27FC236}">
              <a16:creationId xmlns:a16="http://schemas.microsoft.com/office/drawing/2014/main" id="{A89AE1C1-B040-4016-AC47-7A59C3C1A374}"/>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5" name="TextBox 44">
          <a:extLst>
            <a:ext uri="{FF2B5EF4-FFF2-40B4-BE49-F238E27FC236}">
              <a16:creationId xmlns:a16="http://schemas.microsoft.com/office/drawing/2014/main" id="{CD0E6287-739B-44D6-B59B-93D7A87403D1}"/>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6" name="TextBox 45">
          <a:extLst>
            <a:ext uri="{FF2B5EF4-FFF2-40B4-BE49-F238E27FC236}">
              <a16:creationId xmlns:a16="http://schemas.microsoft.com/office/drawing/2014/main" id="{DEA2AC18-F0FB-4B7B-8B9D-49E818715245}"/>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7" name="TextBox 46">
          <a:extLst>
            <a:ext uri="{FF2B5EF4-FFF2-40B4-BE49-F238E27FC236}">
              <a16:creationId xmlns:a16="http://schemas.microsoft.com/office/drawing/2014/main" id="{0B32FC70-8D98-47B5-9D32-5B4EEB04A825}"/>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8" name="TextBox 47">
          <a:extLst>
            <a:ext uri="{FF2B5EF4-FFF2-40B4-BE49-F238E27FC236}">
              <a16:creationId xmlns:a16="http://schemas.microsoft.com/office/drawing/2014/main" id="{1C7EB5E0-A3F4-453F-9596-81BE5A0B725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49" name="TextBox 48">
          <a:extLst>
            <a:ext uri="{FF2B5EF4-FFF2-40B4-BE49-F238E27FC236}">
              <a16:creationId xmlns:a16="http://schemas.microsoft.com/office/drawing/2014/main" id="{BDD1C780-FF65-4E72-8648-51F6C86EBCCF}"/>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0" name="TextBox 49">
          <a:extLst>
            <a:ext uri="{FF2B5EF4-FFF2-40B4-BE49-F238E27FC236}">
              <a16:creationId xmlns:a16="http://schemas.microsoft.com/office/drawing/2014/main" id="{C2510DFD-9B8A-45FC-963A-CEFDC66C2FCD}"/>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1" name="TextBox 50">
          <a:extLst>
            <a:ext uri="{FF2B5EF4-FFF2-40B4-BE49-F238E27FC236}">
              <a16:creationId xmlns:a16="http://schemas.microsoft.com/office/drawing/2014/main" id="{D00AC442-C0CD-4CB4-9B35-9194757EB3FC}"/>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2" name="TextBox 51">
          <a:extLst>
            <a:ext uri="{FF2B5EF4-FFF2-40B4-BE49-F238E27FC236}">
              <a16:creationId xmlns:a16="http://schemas.microsoft.com/office/drawing/2014/main" id="{0D6E3630-949C-4514-B3D6-583FF10332CD}"/>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3" name="TextBox 52">
          <a:extLst>
            <a:ext uri="{FF2B5EF4-FFF2-40B4-BE49-F238E27FC236}">
              <a16:creationId xmlns:a16="http://schemas.microsoft.com/office/drawing/2014/main" id="{205D8FD9-F7D4-422A-A27C-4EBB670E43F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4" name="TextBox 53">
          <a:extLst>
            <a:ext uri="{FF2B5EF4-FFF2-40B4-BE49-F238E27FC236}">
              <a16:creationId xmlns:a16="http://schemas.microsoft.com/office/drawing/2014/main" id="{712256E9-C944-4F5F-AA7D-2A9975CD44F8}"/>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5" name="TextBox 54">
          <a:extLst>
            <a:ext uri="{FF2B5EF4-FFF2-40B4-BE49-F238E27FC236}">
              <a16:creationId xmlns:a16="http://schemas.microsoft.com/office/drawing/2014/main" id="{67E9643D-7994-43B6-AB73-849212DEAD8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6" name="TextBox 55">
          <a:extLst>
            <a:ext uri="{FF2B5EF4-FFF2-40B4-BE49-F238E27FC236}">
              <a16:creationId xmlns:a16="http://schemas.microsoft.com/office/drawing/2014/main" id="{EAD0988B-3A6E-4486-9C17-BCCE77DB02A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7" name="TextBox 56">
          <a:extLst>
            <a:ext uri="{FF2B5EF4-FFF2-40B4-BE49-F238E27FC236}">
              <a16:creationId xmlns:a16="http://schemas.microsoft.com/office/drawing/2014/main" id="{AF5A3240-0709-4F5C-B8F2-11C3BD8BE23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8" name="TextBox 57">
          <a:extLst>
            <a:ext uri="{FF2B5EF4-FFF2-40B4-BE49-F238E27FC236}">
              <a16:creationId xmlns:a16="http://schemas.microsoft.com/office/drawing/2014/main" id="{BD53D4D2-6A6A-4AB5-9449-F61DE74C0084}"/>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59" name="TextBox 58">
          <a:extLst>
            <a:ext uri="{FF2B5EF4-FFF2-40B4-BE49-F238E27FC236}">
              <a16:creationId xmlns:a16="http://schemas.microsoft.com/office/drawing/2014/main" id="{AD70DD15-B04E-4D1F-9BD2-F54AF1100DB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60" name="TextBox 59">
          <a:extLst>
            <a:ext uri="{FF2B5EF4-FFF2-40B4-BE49-F238E27FC236}">
              <a16:creationId xmlns:a16="http://schemas.microsoft.com/office/drawing/2014/main" id="{09866A11-F1F8-4936-8273-025CA1CDA8A4}"/>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61" name="TextBox 60">
          <a:extLst>
            <a:ext uri="{FF2B5EF4-FFF2-40B4-BE49-F238E27FC236}">
              <a16:creationId xmlns:a16="http://schemas.microsoft.com/office/drawing/2014/main" id="{8DAC0373-AE9D-4FFD-94D3-4A5EACD68FFC}"/>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2" name="TextBox 61">
          <a:extLst>
            <a:ext uri="{FF2B5EF4-FFF2-40B4-BE49-F238E27FC236}">
              <a16:creationId xmlns:a16="http://schemas.microsoft.com/office/drawing/2014/main" id="{FBBA2FE7-DD79-4AF6-B0D7-4D1897035DF7}"/>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3" name="TextBox 62">
          <a:extLst>
            <a:ext uri="{FF2B5EF4-FFF2-40B4-BE49-F238E27FC236}">
              <a16:creationId xmlns:a16="http://schemas.microsoft.com/office/drawing/2014/main" id="{34584095-4663-40F5-AD82-0D5B70C6265E}"/>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4" name="TextBox 63">
          <a:extLst>
            <a:ext uri="{FF2B5EF4-FFF2-40B4-BE49-F238E27FC236}">
              <a16:creationId xmlns:a16="http://schemas.microsoft.com/office/drawing/2014/main" id="{26484645-386C-406D-A3A4-935CB984572C}"/>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5" name="TextBox 64">
          <a:extLst>
            <a:ext uri="{FF2B5EF4-FFF2-40B4-BE49-F238E27FC236}">
              <a16:creationId xmlns:a16="http://schemas.microsoft.com/office/drawing/2014/main" id="{9701A119-20D4-4AD7-BCED-C52EB8FC300F}"/>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6" name="TextBox 65">
          <a:extLst>
            <a:ext uri="{FF2B5EF4-FFF2-40B4-BE49-F238E27FC236}">
              <a16:creationId xmlns:a16="http://schemas.microsoft.com/office/drawing/2014/main" id="{E7AC609A-B0A6-472B-BD93-DE7FABE595D7}"/>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7" name="TextBox 66">
          <a:extLst>
            <a:ext uri="{FF2B5EF4-FFF2-40B4-BE49-F238E27FC236}">
              <a16:creationId xmlns:a16="http://schemas.microsoft.com/office/drawing/2014/main" id="{E271A45A-4630-4FB7-B96D-47A2FFC6DE9F}"/>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8" name="TextBox 67">
          <a:extLst>
            <a:ext uri="{FF2B5EF4-FFF2-40B4-BE49-F238E27FC236}">
              <a16:creationId xmlns:a16="http://schemas.microsoft.com/office/drawing/2014/main" id="{497ADC88-30CE-440E-A62A-7C766298546B}"/>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69" name="TextBox 68">
          <a:extLst>
            <a:ext uri="{FF2B5EF4-FFF2-40B4-BE49-F238E27FC236}">
              <a16:creationId xmlns:a16="http://schemas.microsoft.com/office/drawing/2014/main" id="{E3724F84-2B3D-4C59-89CD-5B524CD0A275}"/>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0" name="TextBox 69">
          <a:extLst>
            <a:ext uri="{FF2B5EF4-FFF2-40B4-BE49-F238E27FC236}">
              <a16:creationId xmlns:a16="http://schemas.microsoft.com/office/drawing/2014/main" id="{649A2AE0-2C77-4226-939E-B5FC41F8F98F}"/>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1" name="TextBox 70">
          <a:extLst>
            <a:ext uri="{FF2B5EF4-FFF2-40B4-BE49-F238E27FC236}">
              <a16:creationId xmlns:a16="http://schemas.microsoft.com/office/drawing/2014/main" id="{48AD820E-3280-4CC2-B30E-48F0A1A13759}"/>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2" name="TextBox 71">
          <a:extLst>
            <a:ext uri="{FF2B5EF4-FFF2-40B4-BE49-F238E27FC236}">
              <a16:creationId xmlns:a16="http://schemas.microsoft.com/office/drawing/2014/main" id="{45D6CCDE-0A82-46D8-8A96-DA800DF545B9}"/>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3" name="TextBox 72">
          <a:extLst>
            <a:ext uri="{FF2B5EF4-FFF2-40B4-BE49-F238E27FC236}">
              <a16:creationId xmlns:a16="http://schemas.microsoft.com/office/drawing/2014/main" id="{76FD80F7-110F-46F6-BA6A-05826CEA526D}"/>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4" name="TextBox 73">
          <a:extLst>
            <a:ext uri="{FF2B5EF4-FFF2-40B4-BE49-F238E27FC236}">
              <a16:creationId xmlns:a16="http://schemas.microsoft.com/office/drawing/2014/main" id="{AFFECFD5-7F23-4928-9E14-9974F34D5EB3}"/>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5" name="TextBox 74">
          <a:extLst>
            <a:ext uri="{FF2B5EF4-FFF2-40B4-BE49-F238E27FC236}">
              <a16:creationId xmlns:a16="http://schemas.microsoft.com/office/drawing/2014/main" id="{8F349F71-7DF3-4FCF-BFA5-E64C314047F9}"/>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6" name="TextBox 75">
          <a:extLst>
            <a:ext uri="{FF2B5EF4-FFF2-40B4-BE49-F238E27FC236}">
              <a16:creationId xmlns:a16="http://schemas.microsoft.com/office/drawing/2014/main" id="{2D09C724-1316-4EA1-A025-E69E6CE7A6B5}"/>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7" name="TextBox 76">
          <a:extLst>
            <a:ext uri="{FF2B5EF4-FFF2-40B4-BE49-F238E27FC236}">
              <a16:creationId xmlns:a16="http://schemas.microsoft.com/office/drawing/2014/main" id="{B3137EAE-A7C7-4AF7-B52F-5023D9F2CE80}"/>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8" name="TextBox 77">
          <a:extLst>
            <a:ext uri="{FF2B5EF4-FFF2-40B4-BE49-F238E27FC236}">
              <a16:creationId xmlns:a16="http://schemas.microsoft.com/office/drawing/2014/main" id="{BD7838EC-2BD6-4AE5-85CD-CBBBCFC19791}"/>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79" name="TextBox 78">
          <a:extLst>
            <a:ext uri="{FF2B5EF4-FFF2-40B4-BE49-F238E27FC236}">
              <a16:creationId xmlns:a16="http://schemas.microsoft.com/office/drawing/2014/main" id="{4F2869E8-0402-497C-A779-3F81EDD25CE9}"/>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0" name="TextBox 79">
          <a:extLst>
            <a:ext uri="{FF2B5EF4-FFF2-40B4-BE49-F238E27FC236}">
              <a16:creationId xmlns:a16="http://schemas.microsoft.com/office/drawing/2014/main" id="{438190DF-AD71-4315-888D-0F7AFF8B3348}"/>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1" name="TextBox 80">
          <a:extLst>
            <a:ext uri="{FF2B5EF4-FFF2-40B4-BE49-F238E27FC236}">
              <a16:creationId xmlns:a16="http://schemas.microsoft.com/office/drawing/2014/main" id="{A6D2CFDA-BE4F-4284-B39E-7C0A0DDF1EDF}"/>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2" name="TextBox 81">
          <a:extLst>
            <a:ext uri="{FF2B5EF4-FFF2-40B4-BE49-F238E27FC236}">
              <a16:creationId xmlns:a16="http://schemas.microsoft.com/office/drawing/2014/main" id="{80819926-DAC5-4959-9127-EF47A959C50E}"/>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3" name="TextBox 82">
          <a:extLst>
            <a:ext uri="{FF2B5EF4-FFF2-40B4-BE49-F238E27FC236}">
              <a16:creationId xmlns:a16="http://schemas.microsoft.com/office/drawing/2014/main" id="{CE309E37-7305-4757-82AE-A5EE244F8DA2}"/>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4" name="TextBox 83">
          <a:extLst>
            <a:ext uri="{FF2B5EF4-FFF2-40B4-BE49-F238E27FC236}">
              <a16:creationId xmlns:a16="http://schemas.microsoft.com/office/drawing/2014/main" id="{0CD0FC90-F4AA-4066-B12B-960A25EEE7EB}"/>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5" name="TextBox 84">
          <a:extLst>
            <a:ext uri="{FF2B5EF4-FFF2-40B4-BE49-F238E27FC236}">
              <a16:creationId xmlns:a16="http://schemas.microsoft.com/office/drawing/2014/main" id="{45FCA2B8-695F-4C96-9E41-FC97B52616B4}"/>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6" name="TextBox 85">
          <a:extLst>
            <a:ext uri="{FF2B5EF4-FFF2-40B4-BE49-F238E27FC236}">
              <a16:creationId xmlns:a16="http://schemas.microsoft.com/office/drawing/2014/main" id="{EABE5B5A-6A61-4ECC-9D5A-847054E5A033}"/>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7" name="TextBox 86">
          <a:extLst>
            <a:ext uri="{FF2B5EF4-FFF2-40B4-BE49-F238E27FC236}">
              <a16:creationId xmlns:a16="http://schemas.microsoft.com/office/drawing/2014/main" id="{5B3BFE35-5EF4-4795-8A36-4285866FBE3F}"/>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8" name="TextBox 87">
          <a:extLst>
            <a:ext uri="{FF2B5EF4-FFF2-40B4-BE49-F238E27FC236}">
              <a16:creationId xmlns:a16="http://schemas.microsoft.com/office/drawing/2014/main" id="{E880A2D3-F220-4504-9811-2C8F3837FA3C}"/>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89" name="TextBox 88">
          <a:extLst>
            <a:ext uri="{FF2B5EF4-FFF2-40B4-BE49-F238E27FC236}">
              <a16:creationId xmlns:a16="http://schemas.microsoft.com/office/drawing/2014/main" id="{AE2AA971-1C87-4849-BA40-30E21210FCE1}"/>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90" name="TextBox 89">
          <a:extLst>
            <a:ext uri="{FF2B5EF4-FFF2-40B4-BE49-F238E27FC236}">
              <a16:creationId xmlns:a16="http://schemas.microsoft.com/office/drawing/2014/main" id="{DD0CE370-B0B0-4FA9-956D-56FAE94DB13E}"/>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91" name="TextBox 90">
          <a:extLst>
            <a:ext uri="{FF2B5EF4-FFF2-40B4-BE49-F238E27FC236}">
              <a16:creationId xmlns:a16="http://schemas.microsoft.com/office/drawing/2014/main" id="{0D18E921-7B4B-4976-9203-B824104F8B63}"/>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92" name="TextBox 91">
          <a:extLst>
            <a:ext uri="{FF2B5EF4-FFF2-40B4-BE49-F238E27FC236}">
              <a16:creationId xmlns:a16="http://schemas.microsoft.com/office/drawing/2014/main" id="{B31A3030-D156-43AF-B8AE-82AE5A592301}"/>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80</xdr:row>
      <xdr:rowOff>0</xdr:rowOff>
    </xdr:from>
    <xdr:ext cx="65" cy="172227"/>
    <xdr:sp macro="" textlink="">
      <xdr:nvSpPr>
        <xdr:cNvPr id="93" name="TextBox 92">
          <a:extLst>
            <a:ext uri="{FF2B5EF4-FFF2-40B4-BE49-F238E27FC236}">
              <a16:creationId xmlns:a16="http://schemas.microsoft.com/office/drawing/2014/main" id="{B584B78D-6CA9-4AF3-A4E7-59EB68D6795D}"/>
            </a:ext>
          </a:extLst>
        </xdr:cNvPr>
        <xdr:cNvSpPr txBox="1"/>
      </xdr:nvSpPr>
      <xdr:spPr>
        <a:xfrm flipH="1">
          <a:off x="6344444" y="279499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4" name="TextBox 93">
          <a:extLst>
            <a:ext uri="{FF2B5EF4-FFF2-40B4-BE49-F238E27FC236}">
              <a16:creationId xmlns:a16="http://schemas.microsoft.com/office/drawing/2014/main" id="{BC50611F-46C3-4283-BA16-77F7E0DF8832}"/>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5" name="TextBox 94">
          <a:extLst>
            <a:ext uri="{FF2B5EF4-FFF2-40B4-BE49-F238E27FC236}">
              <a16:creationId xmlns:a16="http://schemas.microsoft.com/office/drawing/2014/main" id="{8ECBD7EE-FB55-4595-AC05-FDF103BC970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6" name="TextBox 95">
          <a:extLst>
            <a:ext uri="{FF2B5EF4-FFF2-40B4-BE49-F238E27FC236}">
              <a16:creationId xmlns:a16="http://schemas.microsoft.com/office/drawing/2014/main" id="{7C031DCA-7920-4803-A1F7-3B6F67435A2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7" name="TextBox 96">
          <a:extLst>
            <a:ext uri="{FF2B5EF4-FFF2-40B4-BE49-F238E27FC236}">
              <a16:creationId xmlns:a16="http://schemas.microsoft.com/office/drawing/2014/main" id="{800C3D3E-E939-49D7-80C5-6C76CC7AE0E8}"/>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8" name="TextBox 97">
          <a:extLst>
            <a:ext uri="{FF2B5EF4-FFF2-40B4-BE49-F238E27FC236}">
              <a16:creationId xmlns:a16="http://schemas.microsoft.com/office/drawing/2014/main" id="{4443BDD8-E226-4337-9C18-741D0AC1964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99" name="TextBox 98">
          <a:extLst>
            <a:ext uri="{FF2B5EF4-FFF2-40B4-BE49-F238E27FC236}">
              <a16:creationId xmlns:a16="http://schemas.microsoft.com/office/drawing/2014/main" id="{A8FCEDAB-2462-4BD3-895B-E7C24740F28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0" name="TextBox 99">
          <a:extLst>
            <a:ext uri="{FF2B5EF4-FFF2-40B4-BE49-F238E27FC236}">
              <a16:creationId xmlns:a16="http://schemas.microsoft.com/office/drawing/2014/main" id="{35D1B54C-8636-4E26-A5BF-26622433357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1" name="TextBox 100">
          <a:extLst>
            <a:ext uri="{FF2B5EF4-FFF2-40B4-BE49-F238E27FC236}">
              <a16:creationId xmlns:a16="http://schemas.microsoft.com/office/drawing/2014/main" id="{E9E88E26-B087-42B3-82E5-636D510BFDF7}"/>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2" name="TextBox 101">
          <a:extLst>
            <a:ext uri="{FF2B5EF4-FFF2-40B4-BE49-F238E27FC236}">
              <a16:creationId xmlns:a16="http://schemas.microsoft.com/office/drawing/2014/main" id="{1A5253E4-5816-4ABD-B4F4-69BF01F65845}"/>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3" name="TextBox 102">
          <a:extLst>
            <a:ext uri="{FF2B5EF4-FFF2-40B4-BE49-F238E27FC236}">
              <a16:creationId xmlns:a16="http://schemas.microsoft.com/office/drawing/2014/main" id="{2A3E2D83-2631-48D7-AA1F-5C05FC7A249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4" name="TextBox 103">
          <a:extLst>
            <a:ext uri="{FF2B5EF4-FFF2-40B4-BE49-F238E27FC236}">
              <a16:creationId xmlns:a16="http://schemas.microsoft.com/office/drawing/2014/main" id="{DBF5E772-E175-4A74-955F-8EEB64D9682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5" name="TextBox 104">
          <a:extLst>
            <a:ext uri="{FF2B5EF4-FFF2-40B4-BE49-F238E27FC236}">
              <a16:creationId xmlns:a16="http://schemas.microsoft.com/office/drawing/2014/main" id="{F663191D-0330-438B-B1A1-1AFF6B11880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6" name="TextBox 105">
          <a:extLst>
            <a:ext uri="{FF2B5EF4-FFF2-40B4-BE49-F238E27FC236}">
              <a16:creationId xmlns:a16="http://schemas.microsoft.com/office/drawing/2014/main" id="{C7F9B7ED-0E42-415E-97E3-B485D1911EC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7" name="TextBox 106">
          <a:extLst>
            <a:ext uri="{FF2B5EF4-FFF2-40B4-BE49-F238E27FC236}">
              <a16:creationId xmlns:a16="http://schemas.microsoft.com/office/drawing/2014/main" id="{FE964EC1-415D-4B7A-A8C7-181399F7252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8" name="TextBox 107">
          <a:extLst>
            <a:ext uri="{FF2B5EF4-FFF2-40B4-BE49-F238E27FC236}">
              <a16:creationId xmlns:a16="http://schemas.microsoft.com/office/drawing/2014/main" id="{BF1A433B-B92F-4A54-84E6-0061612D88B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09" name="TextBox 108">
          <a:extLst>
            <a:ext uri="{FF2B5EF4-FFF2-40B4-BE49-F238E27FC236}">
              <a16:creationId xmlns:a16="http://schemas.microsoft.com/office/drawing/2014/main" id="{97FDCD89-52D9-4425-867E-6E96AABDCFE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0" name="TextBox 109">
          <a:extLst>
            <a:ext uri="{FF2B5EF4-FFF2-40B4-BE49-F238E27FC236}">
              <a16:creationId xmlns:a16="http://schemas.microsoft.com/office/drawing/2014/main" id="{3271326F-5FBD-4A4E-8DBD-54A7A9529E93}"/>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1" name="TextBox 110">
          <a:extLst>
            <a:ext uri="{FF2B5EF4-FFF2-40B4-BE49-F238E27FC236}">
              <a16:creationId xmlns:a16="http://schemas.microsoft.com/office/drawing/2014/main" id="{47357BEA-E111-467C-BEAA-4BF967DADA9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2" name="TextBox 111">
          <a:extLst>
            <a:ext uri="{FF2B5EF4-FFF2-40B4-BE49-F238E27FC236}">
              <a16:creationId xmlns:a16="http://schemas.microsoft.com/office/drawing/2014/main" id="{0129283D-7790-4B7C-B66F-5D7E262DEA6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3" name="TextBox 112">
          <a:extLst>
            <a:ext uri="{FF2B5EF4-FFF2-40B4-BE49-F238E27FC236}">
              <a16:creationId xmlns:a16="http://schemas.microsoft.com/office/drawing/2014/main" id="{44AC5E59-CE7F-476B-AC25-859A3F4B57D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4" name="TextBox 113">
          <a:extLst>
            <a:ext uri="{FF2B5EF4-FFF2-40B4-BE49-F238E27FC236}">
              <a16:creationId xmlns:a16="http://schemas.microsoft.com/office/drawing/2014/main" id="{7F5D7CE6-F27F-428D-ADA9-B36E09B24D6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5" name="TextBox 114">
          <a:extLst>
            <a:ext uri="{FF2B5EF4-FFF2-40B4-BE49-F238E27FC236}">
              <a16:creationId xmlns:a16="http://schemas.microsoft.com/office/drawing/2014/main" id="{B07403CA-D5B9-44F7-8946-7DA0293D856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6" name="TextBox 115">
          <a:extLst>
            <a:ext uri="{FF2B5EF4-FFF2-40B4-BE49-F238E27FC236}">
              <a16:creationId xmlns:a16="http://schemas.microsoft.com/office/drawing/2014/main" id="{A54F214F-F604-4633-906B-BFA89EA7F47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7" name="TextBox 116">
          <a:extLst>
            <a:ext uri="{FF2B5EF4-FFF2-40B4-BE49-F238E27FC236}">
              <a16:creationId xmlns:a16="http://schemas.microsoft.com/office/drawing/2014/main" id="{55CEC5C1-048E-4057-9B6F-883D6CBFCC58}"/>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8" name="TextBox 117">
          <a:extLst>
            <a:ext uri="{FF2B5EF4-FFF2-40B4-BE49-F238E27FC236}">
              <a16:creationId xmlns:a16="http://schemas.microsoft.com/office/drawing/2014/main" id="{F25F1F93-15C0-4EFA-9F71-79FE76549688}"/>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19" name="TextBox 118">
          <a:extLst>
            <a:ext uri="{FF2B5EF4-FFF2-40B4-BE49-F238E27FC236}">
              <a16:creationId xmlns:a16="http://schemas.microsoft.com/office/drawing/2014/main" id="{42B9A95A-88C5-41C9-BD62-6CEFAA4DABE3}"/>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0" name="TextBox 119">
          <a:extLst>
            <a:ext uri="{FF2B5EF4-FFF2-40B4-BE49-F238E27FC236}">
              <a16:creationId xmlns:a16="http://schemas.microsoft.com/office/drawing/2014/main" id="{6A94E1AD-F178-4508-90ED-196FDD94CDC6}"/>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1" name="TextBox 120">
          <a:extLst>
            <a:ext uri="{FF2B5EF4-FFF2-40B4-BE49-F238E27FC236}">
              <a16:creationId xmlns:a16="http://schemas.microsoft.com/office/drawing/2014/main" id="{E6DC75C8-FF17-4034-B8DE-3E2B2F5498C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2" name="TextBox 121">
          <a:extLst>
            <a:ext uri="{FF2B5EF4-FFF2-40B4-BE49-F238E27FC236}">
              <a16:creationId xmlns:a16="http://schemas.microsoft.com/office/drawing/2014/main" id="{F41BAD8F-1991-4230-85B3-35C50265AD2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3" name="TextBox 122">
          <a:extLst>
            <a:ext uri="{FF2B5EF4-FFF2-40B4-BE49-F238E27FC236}">
              <a16:creationId xmlns:a16="http://schemas.microsoft.com/office/drawing/2014/main" id="{130B6C01-DED1-4F89-B205-1EFBD84E2C4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4" name="TextBox 123">
          <a:extLst>
            <a:ext uri="{FF2B5EF4-FFF2-40B4-BE49-F238E27FC236}">
              <a16:creationId xmlns:a16="http://schemas.microsoft.com/office/drawing/2014/main" id="{891B13C0-422A-4D73-9B92-4F7909679E5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125" name="TextBox 124">
          <a:extLst>
            <a:ext uri="{FF2B5EF4-FFF2-40B4-BE49-F238E27FC236}">
              <a16:creationId xmlns:a16="http://schemas.microsoft.com/office/drawing/2014/main" id="{D2028436-A5F7-4DE1-8554-4EC28BCC4A02}"/>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26" name="TextBox 125">
          <a:extLst>
            <a:ext uri="{FF2B5EF4-FFF2-40B4-BE49-F238E27FC236}">
              <a16:creationId xmlns:a16="http://schemas.microsoft.com/office/drawing/2014/main" id="{5F1E88EA-3FB2-42DA-A9DD-D95284053924}"/>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27" name="TextBox 126">
          <a:extLst>
            <a:ext uri="{FF2B5EF4-FFF2-40B4-BE49-F238E27FC236}">
              <a16:creationId xmlns:a16="http://schemas.microsoft.com/office/drawing/2014/main" id="{898604C7-51D7-49AE-B8D5-14CC6178908E}"/>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28" name="TextBox 127">
          <a:extLst>
            <a:ext uri="{FF2B5EF4-FFF2-40B4-BE49-F238E27FC236}">
              <a16:creationId xmlns:a16="http://schemas.microsoft.com/office/drawing/2014/main" id="{B3D7B246-2FE4-4343-B424-BBCC5B02D5E4}"/>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29" name="TextBox 128">
          <a:extLst>
            <a:ext uri="{FF2B5EF4-FFF2-40B4-BE49-F238E27FC236}">
              <a16:creationId xmlns:a16="http://schemas.microsoft.com/office/drawing/2014/main" id="{137BD4E4-44E7-4DC6-BC36-7CF11B2766BD}"/>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0" name="TextBox 129">
          <a:extLst>
            <a:ext uri="{FF2B5EF4-FFF2-40B4-BE49-F238E27FC236}">
              <a16:creationId xmlns:a16="http://schemas.microsoft.com/office/drawing/2014/main" id="{695B159C-6B3A-41EE-848B-A37A5B1A7DEA}"/>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1" name="TextBox 130">
          <a:extLst>
            <a:ext uri="{FF2B5EF4-FFF2-40B4-BE49-F238E27FC236}">
              <a16:creationId xmlns:a16="http://schemas.microsoft.com/office/drawing/2014/main" id="{EE303571-8EBD-4E84-95D6-F357B3D22323}"/>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2" name="TextBox 131">
          <a:extLst>
            <a:ext uri="{FF2B5EF4-FFF2-40B4-BE49-F238E27FC236}">
              <a16:creationId xmlns:a16="http://schemas.microsoft.com/office/drawing/2014/main" id="{59067A3F-65F3-470E-9EDE-C4B1D3E7F776}"/>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3" name="TextBox 132">
          <a:extLst>
            <a:ext uri="{FF2B5EF4-FFF2-40B4-BE49-F238E27FC236}">
              <a16:creationId xmlns:a16="http://schemas.microsoft.com/office/drawing/2014/main" id="{59676E08-2834-4DFD-935E-740B384DC1E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4" name="TextBox 133">
          <a:extLst>
            <a:ext uri="{FF2B5EF4-FFF2-40B4-BE49-F238E27FC236}">
              <a16:creationId xmlns:a16="http://schemas.microsoft.com/office/drawing/2014/main" id="{26814389-DBAB-4059-BE8F-B024D226CCCD}"/>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5" name="TextBox 134">
          <a:extLst>
            <a:ext uri="{FF2B5EF4-FFF2-40B4-BE49-F238E27FC236}">
              <a16:creationId xmlns:a16="http://schemas.microsoft.com/office/drawing/2014/main" id="{E405A333-0847-4474-8D6C-1611BAF5DFEA}"/>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6" name="TextBox 135">
          <a:extLst>
            <a:ext uri="{FF2B5EF4-FFF2-40B4-BE49-F238E27FC236}">
              <a16:creationId xmlns:a16="http://schemas.microsoft.com/office/drawing/2014/main" id="{5948B724-AA67-4417-A783-25F282248725}"/>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7" name="TextBox 136">
          <a:extLst>
            <a:ext uri="{FF2B5EF4-FFF2-40B4-BE49-F238E27FC236}">
              <a16:creationId xmlns:a16="http://schemas.microsoft.com/office/drawing/2014/main" id="{5B02206C-8F90-43BD-A6CB-F825C02F6D16}"/>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8" name="TextBox 137">
          <a:extLst>
            <a:ext uri="{FF2B5EF4-FFF2-40B4-BE49-F238E27FC236}">
              <a16:creationId xmlns:a16="http://schemas.microsoft.com/office/drawing/2014/main" id="{1E91B03B-B4B0-444D-A550-367270654B88}"/>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39" name="TextBox 138">
          <a:extLst>
            <a:ext uri="{FF2B5EF4-FFF2-40B4-BE49-F238E27FC236}">
              <a16:creationId xmlns:a16="http://schemas.microsoft.com/office/drawing/2014/main" id="{6E4AB274-7EC8-460E-94C7-7BD864009B57}"/>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0" name="TextBox 139">
          <a:extLst>
            <a:ext uri="{FF2B5EF4-FFF2-40B4-BE49-F238E27FC236}">
              <a16:creationId xmlns:a16="http://schemas.microsoft.com/office/drawing/2014/main" id="{A39A63A2-7968-45AD-9EBA-D5256895702E}"/>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1" name="TextBox 140">
          <a:extLst>
            <a:ext uri="{FF2B5EF4-FFF2-40B4-BE49-F238E27FC236}">
              <a16:creationId xmlns:a16="http://schemas.microsoft.com/office/drawing/2014/main" id="{0E1396D7-BF7A-4254-81E9-BBF92BE3E5BF}"/>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2" name="TextBox 141">
          <a:extLst>
            <a:ext uri="{FF2B5EF4-FFF2-40B4-BE49-F238E27FC236}">
              <a16:creationId xmlns:a16="http://schemas.microsoft.com/office/drawing/2014/main" id="{D124003A-106C-49FB-A518-323203E3F3AA}"/>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3" name="TextBox 142">
          <a:extLst>
            <a:ext uri="{FF2B5EF4-FFF2-40B4-BE49-F238E27FC236}">
              <a16:creationId xmlns:a16="http://schemas.microsoft.com/office/drawing/2014/main" id="{539F2553-FA5C-4C4C-BEBB-F9CA679F3F23}"/>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4" name="TextBox 143">
          <a:extLst>
            <a:ext uri="{FF2B5EF4-FFF2-40B4-BE49-F238E27FC236}">
              <a16:creationId xmlns:a16="http://schemas.microsoft.com/office/drawing/2014/main" id="{B459524B-7A5D-484F-A34C-94E306B9E46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5" name="TextBox 144">
          <a:extLst>
            <a:ext uri="{FF2B5EF4-FFF2-40B4-BE49-F238E27FC236}">
              <a16:creationId xmlns:a16="http://schemas.microsoft.com/office/drawing/2014/main" id="{11FFBE75-F35C-4D2C-A213-527FF0754197}"/>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6" name="TextBox 145">
          <a:extLst>
            <a:ext uri="{FF2B5EF4-FFF2-40B4-BE49-F238E27FC236}">
              <a16:creationId xmlns:a16="http://schemas.microsoft.com/office/drawing/2014/main" id="{176CB47E-BD94-409A-9DDD-1CAE3332815F}"/>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7" name="TextBox 146">
          <a:extLst>
            <a:ext uri="{FF2B5EF4-FFF2-40B4-BE49-F238E27FC236}">
              <a16:creationId xmlns:a16="http://schemas.microsoft.com/office/drawing/2014/main" id="{9B091A16-5D55-4F38-A1CF-7CFB2B33790B}"/>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8" name="TextBox 147">
          <a:extLst>
            <a:ext uri="{FF2B5EF4-FFF2-40B4-BE49-F238E27FC236}">
              <a16:creationId xmlns:a16="http://schemas.microsoft.com/office/drawing/2014/main" id="{10A66361-BBC3-4244-A749-69E41F48B8CC}"/>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49" name="TextBox 148">
          <a:extLst>
            <a:ext uri="{FF2B5EF4-FFF2-40B4-BE49-F238E27FC236}">
              <a16:creationId xmlns:a16="http://schemas.microsoft.com/office/drawing/2014/main" id="{E2348359-5BF6-455E-89B8-46908B2F3EA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0" name="TextBox 149">
          <a:extLst>
            <a:ext uri="{FF2B5EF4-FFF2-40B4-BE49-F238E27FC236}">
              <a16:creationId xmlns:a16="http://schemas.microsoft.com/office/drawing/2014/main" id="{B8B27AF1-B25F-47AB-8F8A-56AEE36A44DE}"/>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1" name="TextBox 150">
          <a:extLst>
            <a:ext uri="{FF2B5EF4-FFF2-40B4-BE49-F238E27FC236}">
              <a16:creationId xmlns:a16="http://schemas.microsoft.com/office/drawing/2014/main" id="{86E9692E-7A17-4CA4-A1AB-5988EF5B6CA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2" name="TextBox 151">
          <a:extLst>
            <a:ext uri="{FF2B5EF4-FFF2-40B4-BE49-F238E27FC236}">
              <a16:creationId xmlns:a16="http://schemas.microsoft.com/office/drawing/2014/main" id="{AA7EA289-2679-41A8-B2DB-76F22347C19B}"/>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3" name="TextBox 152">
          <a:extLst>
            <a:ext uri="{FF2B5EF4-FFF2-40B4-BE49-F238E27FC236}">
              <a16:creationId xmlns:a16="http://schemas.microsoft.com/office/drawing/2014/main" id="{8528EF59-5E4A-4DDB-9B3D-7D181417998F}"/>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4" name="TextBox 153">
          <a:extLst>
            <a:ext uri="{FF2B5EF4-FFF2-40B4-BE49-F238E27FC236}">
              <a16:creationId xmlns:a16="http://schemas.microsoft.com/office/drawing/2014/main" id="{9EB2450A-77F3-43CB-9657-18B1691AF6A2}"/>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5" name="TextBox 154">
          <a:extLst>
            <a:ext uri="{FF2B5EF4-FFF2-40B4-BE49-F238E27FC236}">
              <a16:creationId xmlns:a16="http://schemas.microsoft.com/office/drawing/2014/main" id="{EB1F5B38-0CE1-4FA7-8F06-36ADD52B67F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6" name="TextBox 155">
          <a:extLst>
            <a:ext uri="{FF2B5EF4-FFF2-40B4-BE49-F238E27FC236}">
              <a16:creationId xmlns:a16="http://schemas.microsoft.com/office/drawing/2014/main" id="{8916F189-5699-480B-9AE8-24F6F98252C9}"/>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84</xdr:row>
      <xdr:rowOff>0</xdr:rowOff>
    </xdr:from>
    <xdr:ext cx="65" cy="172227"/>
    <xdr:sp macro="" textlink="">
      <xdr:nvSpPr>
        <xdr:cNvPr id="157" name="TextBox 156">
          <a:extLst>
            <a:ext uri="{FF2B5EF4-FFF2-40B4-BE49-F238E27FC236}">
              <a16:creationId xmlns:a16="http://schemas.microsoft.com/office/drawing/2014/main" id="{7A55E0A8-8E1E-4638-8406-DE116B3898C2}"/>
            </a:ext>
          </a:extLst>
        </xdr:cNvPr>
        <xdr:cNvSpPr txBox="1"/>
      </xdr:nvSpPr>
      <xdr:spPr>
        <a:xfrm flipH="1">
          <a:off x="6344444" y="2957710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58" name="TextBox 157">
          <a:extLst>
            <a:ext uri="{FF2B5EF4-FFF2-40B4-BE49-F238E27FC236}">
              <a16:creationId xmlns:a16="http://schemas.microsoft.com/office/drawing/2014/main" id="{D57B43FF-A0BB-4418-B5A4-C2BED0237142}"/>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59" name="TextBox 158">
          <a:extLst>
            <a:ext uri="{FF2B5EF4-FFF2-40B4-BE49-F238E27FC236}">
              <a16:creationId xmlns:a16="http://schemas.microsoft.com/office/drawing/2014/main" id="{B8766C34-E2AC-478A-BFAE-7C46521DF058}"/>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0" name="TextBox 159">
          <a:extLst>
            <a:ext uri="{FF2B5EF4-FFF2-40B4-BE49-F238E27FC236}">
              <a16:creationId xmlns:a16="http://schemas.microsoft.com/office/drawing/2014/main" id="{CB4BEA0F-F428-499B-9A72-97F25A5A7634}"/>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1" name="TextBox 160">
          <a:extLst>
            <a:ext uri="{FF2B5EF4-FFF2-40B4-BE49-F238E27FC236}">
              <a16:creationId xmlns:a16="http://schemas.microsoft.com/office/drawing/2014/main" id="{D130EF83-C469-4DE3-878A-4CE0429786AA}"/>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2" name="TextBox 161">
          <a:extLst>
            <a:ext uri="{FF2B5EF4-FFF2-40B4-BE49-F238E27FC236}">
              <a16:creationId xmlns:a16="http://schemas.microsoft.com/office/drawing/2014/main" id="{F3917663-4B8D-4F09-8ECF-25172F376479}"/>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3" name="TextBox 162">
          <a:extLst>
            <a:ext uri="{FF2B5EF4-FFF2-40B4-BE49-F238E27FC236}">
              <a16:creationId xmlns:a16="http://schemas.microsoft.com/office/drawing/2014/main" id="{C0ACB9EA-E076-41AE-BD62-A969CE93FCAA}"/>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4" name="TextBox 163">
          <a:extLst>
            <a:ext uri="{FF2B5EF4-FFF2-40B4-BE49-F238E27FC236}">
              <a16:creationId xmlns:a16="http://schemas.microsoft.com/office/drawing/2014/main" id="{3F4716A1-8F86-4890-AF44-49F2F94CA234}"/>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5" name="TextBox 164">
          <a:extLst>
            <a:ext uri="{FF2B5EF4-FFF2-40B4-BE49-F238E27FC236}">
              <a16:creationId xmlns:a16="http://schemas.microsoft.com/office/drawing/2014/main" id="{DE8E5F4A-123B-4056-82AF-34ACC1A9F245}"/>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6" name="TextBox 165">
          <a:extLst>
            <a:ext uri="{FF2B5EF4-FFF2-40B4-BE49-F238E27FC236}">
              <a16:creationId xmlns:a16="http://schemas.microsoft.com/office/drawing/2014/main" id="{B5F7361D-D993-493C-B598-840B4A6E7C7D}"/>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7" name="TextBox 166">
          <a:extLst>
            <a:ext uri="{FF2B5EF4-FFF2-40B4-BE49-F238E27FC236}">
              <a16:creationId xmlns:a16="http://schemas.microsoft.com/office/drawing/2014/main" id="{680A29FB-32B5-4F19-A086-66E4345D8DCE}"/>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8" name="TextBox 167">
          <a:extLst>
            <a:ext uri="{FF2B5EF4-FFF2-40B4-BE49-F238E27FC236}">
              <a16:creationId xmlns:a16="http://schemas.microsoft.com/office/drawing/2014/main" id="{AE5977FE-A39D-48CE-9A14-8F1EE6025AF8}"/>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69" name="TextBox 168">
          <a:extLst>
            <a:ext uri="{FF2B5EF4-FFF2-40B4-BE49-F238E27FC236}">
              <a16:creationId xmlns:a16="http://schemas.microsoft.com/office/drawing/2014/main" id="{EB464032-F718-4339-9A2D-D78538435D6B}"/>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0" name="TextBox 169">
          <a:extLst>
            <a:ext uri="{FF2B5EF4-FFF2-40B4-BE49-F238E27FC236}">
              <a16:creationId xmlns:a16="http://schemas.microsoft.com/office/drawing/2014/main" id="{F47A18CC-022C-4044-BF15-950A4E153383}"/>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1" name="TextBox 170">
          <a:extLst>
            <a:ext uri="{FF2B5EF4-FFF2-40B4-BE49-F238E27FC236}">
              <a16:creationId xmlns:a16="http://schemas.microsoft.com/office/drawing/2014/main" id="{714CAECA-E8BC-426B-A958-4B9B9647DEC5}"/>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2" name="TextBox 171">
          <a:extLst>
            <a:ext uri="{FF2B5EF4-FFF2-40B4-BE49-F238E27FC236}">
              <a16:creationId xmlns:a16="http://schemas.microsoft.com/office/drawing/2014/main" id="{1E31A227-B365-455B-AEE1-8C9D3EFB9B21}"/>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3" name="TextBox 172">
          <a:extLst>
            <a:ext uri="{FF2B5EF4-FFF2-40B4-BE49-F238E27FC236}">
              <a16:creationId xmlns:a16="http://schemas.microsoft.com/office/drawing/2014/main" id="{260061D0-EAF3-4C4D-BFB4-CDD002740311}"/>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4" name="TextBox 173">
          <a:extLst>
            <a:ext uri="{FF2B5EF4-FFF2-40B4-BE49-F238E27FC236}">
              <a16:creationId xmlns:a16="http://schemas.microsoft.com/office/drawing/2014/main" id="{9AFE214F-7C2A-4048-9DE7-986127DCB757}"/>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5" name="TextBox 174">
          <a:extLst>
            <a:ext uri="{FF2B5EF4-FFF2-40B4-BE49-F238E27FC236}">
              <a16:creationId xmlns:a16="http://schemas.microsoft.com/office/drawing/2014/main" id="{D09CC596-07E9-48E2-8BD2-70006333A985}"/>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6" name="TextBox 175">
          <a:extLst>
            <a:ext uri="{FF2B5EF4-FFF2-40B4-BE49-F238E27FC236}">
              <a16:creationId xmlns:a16="http://schemas.microsoft.com/office/drawing/2014/main" id="{6352730D-E3F9-4B0B-B35E-79551826E3EC}"/>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7" name="TextBox 176">
          <a:extLst>
            <a:ext uri="{FF2B5EF4-FFF2-40B4-BE49-F238E27FC236}">
              <a16:creationId xmlns:a16="http://schemas.microsoft.com/office/drawing/2014/main" id="{4ADBB4F7-2128-46A4-A78A-956F802952DE}"/>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8" name="TextBox 177">
          <a:extLst>
            <a:ext uri="{FF2B5EF4-FFF2-40B4-BE49-F238E27FC236}">
              <a16:creationId xmlns:a16="http://schemas.microsoft.com/office/drawing/2014/main" id="{79586559-1578-4F8A-9A38-FAAFE09BD78B}"/>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79" name="TextBox 178">
          <a:extLst>
            <a:ext uri="{FF2B5EF4-FFF2-40B4-BE49-F238E27FC236}">
              <a16:creationId xmlns:a16="http://schemas.microsoft.com/office/drawing/2014/main" id="{E318F08D-C69A-427C-868D-15C72A01983C}"/>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0" name="TextBox 179">
          <a:extLst>
            <a:ext uri="{FF2B5EF4-FFF2-40B4-BE49-F238E27FC236}">
              <a16:creationId xmlns:a16="http://schemas.microsoft.com/office/drawing/2014/main" id="{C2AB90B2-1B84-4A3D-A40F-1FF5EDAC70FB}"/>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1" name="TextBox 180">
          <a:extLst>
            <a:ext uri="{FF2B5EF4-FFF2-40B4-BE49-F238E27FC236}">
              <a16:creationId xmlns:a16="http://schemas.microsoft.com/office/drawing/2014/main" id="{D3E99EE5-2CDB-41B6-8E00-381941FB54B9}"/>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2" name="TextBox 181">
          <a:extLst>
            <a:ext uri="{FF2B5EF4-FFF2-40B4-BE49-F238E27FC236}">
              <a16:creationId xmlns:a16="http://schemas.microsoft.com/office/drawing/2014/main" id="{437C9506-251C-4ED8-A106-194DF6ED9F39}"/>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3" name="TextBox 182">
          <a:extLst>
            <a:ext uri="{FF2B5EF4-FFF2-40B4-BE49-F238E27FC236}">
              <a16:creationId xmlns:a16="http://schemas.microsoft.com/office/drawing/2014/main" id="{8AFA6C22-2D22-4691-B935-F4865FE3E6EA}"/>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4" name="TextBox 183">
          <a:extLst>
            <a:ext uri="{FF2B5EF4-FFF2-40B4-BE49-F238E27FC236}">
              <a16:creationId xmlns:a16="http://schemas.microsoft.com/office/drawing/2014/main" id="{8353701A-F3C0-4750-9161-C52BCCAF70EE}"/>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5" name="TextBox 184">
          <a:extLst>
            <a:ext uri="{FF2B5EF4-FFF2-40B4-BE49-F238E27FC236}">
              <a16:creationId xmlns:a16="http://schemas.microsoft.com/office/drawing/2014/main" id="{E3EC632E-FD53-4B3A-B74F-88C07CC47340}"/>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6" name="TextBox 185">
          <a:extLst>
            <a:ext uri="{FF2B5EF4-FFF2-40B4-BE49-F238E27FC236}">
              <a16:creationId xmlns:a16="http://schemas.microsoft.com/office/drawing/2014/main" id="{2C88D5A9-DD2B-47AD-A6CF-9F764A4AADA9}"/>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7" name="TextBox 186">
          <a:extLst>
            <a:ext uri="{FF2B5EF4-FFF2-40B4-BE49-F238E27FC236}">
              <a16:creationId xmlns:a16="http://schemas.microsoft.com/office/drawing/2014/main" id="{0EDBBE11-9641-4895-9E64-B20BF4925250}"/>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8" name="TextBox 187">
          <a:extLst>
            <a:ext uri="{FF2B5EF4-FFF2-40B4-BE49-F238E27FC236}">
              <a16:creationId xmlns:a16="http://schemas.microsoft.com/office/drawing/2014/main" id="{72B046A4-C9DE-40A0-9D7E-ADDCBFBCB857}"/>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76</xdr:row>
      <xdr:rowOff>0</xdr:rowOff>
    </xdr:from>
    <xdr:ext cx="65" cy="172227"/>
    <xdr:sp macro="" textlink="">
      <xdr:nvSpPr>
        <xdr:cNvPr id="189" name="TextBox 188">
          <a:extLst>
            <a:ext uri="{FF2B5EF4-FFF2-40B4-BE49-F238E27FC236}">
              <a16:creationId xmlns:a16="http://schemas.microsoft.com/office/drawing/2014/main" id="{7F464080-0CDE-42D8-9242-9C72804AF2D3}"/>
            </a:ext>
          </a:extLst>
        </xdr:cNvPr>
        <xdr:cNvSpPr txBox="1"/>
      </xdr:nvSpPr>
      <xdr:spPr>
        <a:xfrm flipH="1">
          <a:off x="6344444" y="2647156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0" name="TextBox 189">
          <a:extLst>
            <a:ext uri="{FF2B5EF4-FFF2-40B4-BE49-F238E27FC236}">
              <a16:creationId xmlns:a16="http://schemas.microsoft.com/office/drawing/2014/main" id="{91F856F0-4DE2-4F78-ACEA-D710BA69E455}"/>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1" name="TextBox 190">
          <a:extLst>
            <a:ext uri="{FF2B5EF4-FFF2-40B4-BE49-F238E27FC236}">
              <a16:creationId xmlns:a16="http://schemas.microsoft.com/office/drawing/2014/main" id="{76BB7800-0C0E-4838-B74E-63B770E1A68F}"/>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2" name="TextBox 191">
          <a:extLst>
            <a:ext uri="{FF2B5EF4-FFF2-40B4-BE49-F238E27FC236}">
              <a16:creationId xmlns:a16="http://schemas.microsoft.com/office/drawing/2014/main" id="{919F4052-B775-4683-89F9-1993E1B77F93}"/>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3" name="TextBox 192">
          <a:extLst>
            <a:ext uri="{FF2B5EF4-FFF2-40B4-BE49-F238E27FC236}">
              <a16:creationId xmlns:a16="http://schemas.microsoft.com/office/drawing/2014/main" id="{C1537EAA-8D77-4EE3-92D0-7066869961EF}"/>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4" name="TextBox 193">
          <a:extLst>
            <a:ext uri="{FF2B5EF4-FFF2-40B4-BE49-F238E27FC236}">
              <a16:creationId xmlns:a16="http://schemas.microsoft.com/office/drawing/2014/main" id="{0C7BFD86-B26E-4C35-8B54-7956DE66E322}"/>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5" name="TextBox 194">
          <a:extLst>
            <a:ext uri="{FF2B5EF4-FFF2-40B4-BE49-F238E27FC236}">
              <a16:creationId xmlns:a16="http://schemas.microsoft.com/office/drawing/2014/main" id="{EB2737B9-EE79-4C06-8A70-BE860543D9C7}"/>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6" name="TextBox 195">
          <a:extLst>
            <a:ext uri="{FF2B5EF4-FFF2-40B4-BE49-F238E27FC236}">
              <a16:creationId xmlns:a16="http://schemas.microsoft.com/office/drawing/2014/main" id="{9EE13AC4-F102-4D18-982C-AE5654341227}"/>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7" name="TextBox 196">
          <a:extLst>
            <a:ext uri="{FF2B5EF4-FFF2-40B4-BE49-F238E27FC236}">
              <a16:creationId xmlns:a16="http://schemas.microsoft.com/office/drawing/2014/main" id="{F2FE8B3F-5A7D-4E8C-81D9-A715263E3CF0}"/>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8" name="TextBox 197">
          <a:extLst>
            <a:ext uri="{FF2B5EF4-FFF2-40B4-BE49-F238E27FC236}">
              <a16:creationId xmlns:a16="http://schemas.microsoft.com/office/drawing/2014/main" id="{AAC95335-9539-489D-BD97-1D87B264979A}"/>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199" name="TextBox 198">
          <a:extLst>
            <a:ext uri="{FF2B5EF4-FFF2-40B4-BE49-F238E27FC236}">
              <a16:creationId xmlns:a16="http://schemas.microsoft.com/office/drawing/2014/main" id="{92F57791-D442-43E3-9C95-FF00865E1ABC}"/>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0" name="TextBox 199">
          <a:extLst>
            <a:ext uri="{FF2B5EF4-FFF2-40B4-BE49-F238E27FC236}">
              <a16:creationId xmlns:a16="http://schemas.microsoft.com/office/drawing/2014/main" id="{10B675AD-C530-48C7-A27C-8870A4C370FA}"/>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1" name="TextBox 200">
          <a:extLst>
            <a:ext uri="{FF2B5EF4-FFF2-40B4-BE49-F238E27FC236}">
              <a16:creationId xmlns:a16="http://schemas.microsoft.com/office/drawing/2014/main" id="{CDE248C7-1995-4C59-8D8A-14795E57012E}"/>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2" name="TextBox 201">
          <a:extLst>
            <a:ext uri="{FF2B5EF4-FFF2-40B4-BE49-F238E27FC236}">
              <a16:creationId xmlns:a16="http://schemas.microsoft.com/office/drawing/2014/main" id="{7DBFFDAD-CE06-4019-A07B-C15AD78EAEEB}"/>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3" name="TextBox 202">
          <a:extLst>
            <a:ext uri="{FF2B5EF4-FFF2-40B4-BE49-F238E27FC236}">
              <a16:creationId xmlns:a16="http://schemas.microsoft.com/office/drawing/2014/main" id="{9FD0D30C-89CA-4456-B871-B87CCD6AE51C}"/>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4" name="TextBox 203">
          <a:extLst>
            <a:ext uri="{FF2B5EF4-FFF2-40B4-BE49-F238E27FC236}">
              <a16:creationId xmlns:a16="http://schemas.microsoft.com/office/drawing/2014/main" id="{B33A1F41-4D8C-4FBB-93B4-6ADF9D30E6DC}"/>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5" name="TextBox 204">
          <a:extLst>
            <a:ext uri="{FF2B5EF4-FFF2-40B4-BE49-F238E27FC236}">
              <a16:creationId xmlns:a16="http://schemas.microsoft.com/office/drawing/2014/main" id="{7287CFAA-E7FF-418F-80D3-7F857189CC87}"/>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6" name="TextBox 205">
          <a:extLst>
            <a:ext uri="{FF2B5EF4-FFF2-40B4-BE49-F238E27FC236}">
              <a16:creationId xmlns:a16="http://schemas.microsoft.com/office/drawing/2014/main" id="{8F7DAE34-0ADB-4F72-B7C6-211995B84D72}"/>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7" name="TextBox 206">
          <a:extLst>
            <a:ext uri="{FF2B5EF4-FFF2-40B4-BE49-F238E27FC236}">
              <a16:creationId xmlns:a16="http://schemas.microsoft.com/office/drawing/2014/main" id="{2E15843A-EB89-4BD0-A7ED-988F1352E5D7}"/>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8" name="TextBox 207">
          <a:extLst>
            <a:ext uri="{FF2B5EF4-FFF2-40B4-BE49-F238E27FC236}">
              <a16:creationId xmlns:a16="http://schemas.microsoft.com/office/drawing/2014/main" id="{23E191A2-3F87-4D84-AD22-2742F60A62D4}"/>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09" name="TextBox 208">
          <a:extLst>
            <a:ext uri="{FF2B5EF4-FFF2-40B4-BE49-F238E27FC236}">
              <a16:creationId xmlns:a16="http://schemas.microsoft.com/office/drawing/2014/main" id="{F8033521-3FC0-4C79-ABF5-BD90C061F666}"/>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0" name="TextBox 209">
          <a:extLst>
            <a:ext uri="{FF2B5EF4-FFF2-40B4-BE49-F238E27FC236}">
              <a16:creationId xmlns:a16="http://schemas.microsoft.com/office/drawing/2014/main" id="{0B684993-2B8D-4D2F-8012-24B7DD7D30AD}"/>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1" name="TextBox 210">
          <a:extLst>
            <a:ext uri="{FF2B5EF4-FFF2-40B4-BE49-F238E27FC236}">
              <a16:creationId xmlns:a16="http://schemas.microsoft.com/office/drawing/2014/main" id="{FF1E32AF-1BB3-4CB6-9025-80FBAD929898}"/>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2" name="TextBox 211">
          <a:extLst>
            <a:ext uri="{FF2B5EF4-FFF2-40B4-BE49-F238E27FC236}">
              <a16:creationId xmlns:a16="http://schemas.microsoft.com/office/drawing/2014/main" id="{77CCEBAB-F209-4223-AA76-93A0DEE5BDA3}"/>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3" name="TextBox 212">
          <a:extLst>
            <a:ext uri="{FF2B5EF4-FFF2-40B4-BE49-F238E27FC236}">
              <a16:creationId xmlns:a16="http://schemas.microsoft.com/office/drawing/2014/main" id="{34C7E4BE-E965-4A99-B65F-A5A856458543}"/>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4" name="TextBox 213">
          <a:extLst>
            <a:ext uri="{FF2B5EF4-FFF2-40B4-BE49-F238E27FC236}">
              <a16:creationId xmlns:a16="http://schemas.microsoft.com/office/drawing/2014/main" id="{83B73D72-942C-4544-A509-9F84C506DA94}"/>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5" name="TextBox 214">
          <a:extLst>
            <a:ext uri="{FF2B5EF4-FFF2-40B4-BE49-F238E27FC236}">
              <a16:creationId xmlns:a16="http://schemas.microsoft.com/office/drawing/2014/main" id="{882D0026-6A95-4D77-88BB-84495D6F09EB}"/>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6" name="TextBox 215">
          <a:extLst>
            <a:ext uri="{FF2B5EF4-FFF2-40B4-BE49-F238E27FC236}">
              <a16:creationId xmlns:a16="http://schemas.microsoft.com/office/drawing/2014/main" id="{F9DE07DF-B21E-4152-B388-D03A63758CC9}"/>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7" name="TextBox 216">
          <a:extLst>
            <a:ext uri="{FF2B5EF4-FFF2-40B4-BE49-F238E27FC236}">
              <a16:creationId xmlns:a16="http://schemas.microsoft.com/office/drawing/2014/main" id="{3FCA5D4B-F90A-4B19-9DDF-69931AB8279E}"/>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8" name="TextBox 217">
          <a:extLst>
            <a:ext uri="{FF2B5EF4-FFF2-40B4-BE49-F238E27FC236}">
              <a16:creationId xmlns:a16="http://schemas.microsoft.com/office/drawing/2014/main" id="{90631CFF-E92E-4D57-9F0C-5F0C7930E42C}"/>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19" name="TextBox 218">
          <a:extLst>
            <a:ext uri="{FF2B5EF4-FFF2-40B4-BE49-F238E27FC236}">
              <a16:creationId xmlns:a16="http://schemas.microsoft.com/office/drawing/2014/main" id="{7BB2E3D8-46D2-45B3-9ACC-E5E9ECB4685F}"/>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20" name="TextBox 219">
          <a:extLst>
            <a:ext uri="{FF2B5EF4-FFF2-40B4-BE49-F238E27FC236}">
              <a16:creationId xmlns:a16="http://schemas.microsoft.com/office/drawing/2014/main" id="{3A6566FD-8341-456D-A651-6FB81550B5F4}"/>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77</xdr:row>
      <xdr:rowOff>0</xdr:rowOff>
    </xdr:from>
    <xdr:ext cx="65" cy="172227"/>
    <xdr:sp macro="" textlink="">
      <xdr:nvSpPr>
        <xdr:cNvPr id="221" name="TextBox 220">
          <a:extLst>
            <a:ext uri="{FF2B5EF4-FFF2-40B4-BE49-F238E27FC236}">
              <a16:creationId xmlns:a16="http://schemas.microsoft.com/office/drawing/2014/main" id="{11255940-8DD1-41B4-A7B0-353E93C0A06D}"/>
            </a:ext>
          </a:extLst>
        </xdr:cNvPr>
        <xdr:cNvSpPr txBox="1"/>
      </xdr:nvSpPr>
      <xdr:spPr>
        <a:xfrm flipH="1">
          <a:off x="6344444" y="268485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2" name="TextBox 221">
          <a:extLst>
            <a:ext uri="{FF2B5EF4-FFF2-40B4-BE49-F238E27FC236}">
              <a16:creationId xmlns:a16="http://schemas.microsoft.com/office/drawing/2014/main" id="{D4DD0FC4-B8EC-4B5A-9EA3-88DED80E2F5F}"/>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3" name="TextBox 222">
          <a:extLst>
            <a:ext uri="{FF2B5EF4-FFF2-40B4-BE49-F238E27FC236}">
              <a16:creationId xmlns:a16="http://schemas.microsoft.com/office/drawing/2014/main" id="{88E36C2E-9EAF-41A5-A16F-70A815CF0F7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4" name="TextBox 223">
          <a:extLst>
            <a:ext uri="{FF2B5EF4-FFF2-40B4-BE49-F238E27FC236}">
              <a16:creationId xmlns:a16="http://schemas.microsoft.com/office/drawing/2014/main" id="{EB1E1374-2149-440C-B60F-3FCA1E204E1B}"/>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5" name="TextBox 224">
          <a:extLst>
            <a:ext uri="{FF2B5EF4-FFF2-40B4-BE49-F238E27FC236}">
              <a16:creationId xmlns:a16="http://schemas.microsoft.com/office/drawing/2014/main" id="{D4DD7198-BF4F-47FA-A0AA-E576720E9A3B}"/>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6" name="TextBox 225">
          <a:extLst>
            <a:ext uri="{FF2B5EF4-FFF2-40B4-BE49-F238E27FC236}">
              <a16:creationId xmlns:a16="http://schemas.microsoft.com/office/drawing/2014/main" id="{70C4C805-968D-4E22-8965-EE4504B7467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7" name="TextBox 226">
          <a:extLst>
            <a:ext uri="{FF2B5EF4-FFF2-40B4-BE49-F238E27FC236}">
              <a16:creationId xmlns:a16="http://schemas.microsoft.com/office/drawing/2014/main" id="{86AE9DAC-4AA1-4325-AE05-7A73B6A7267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8" name="TextBox 227">
          <a:extLst>
            <a:ext uri="{FF2B5EF4-FFF2-40B4-BE49-F238E27FC236}">
              <a16:creationId xmlns:a16="http://schemas.microsoft.com/office/drawing/2014/main" id="{13C4B03A-EC59-4F5C-905D-06AE1D001987}"/>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29" name="TextBox 228">
          <a:extLst>
            <a:ext uri="{FF2B5EF4-FFF2-40B4-BE49-F238E27FC236}">
              <a16:creationId xmlns:a16="http://schemas.microsoft.com/office/drawing/2014/main" id="{FDF29870-D97B-4B78-88D7-CA81E932842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0" name="TextBox 229">
          <a:extLst>
            <a:ext uri="{FF2B5EF4-FFF2-40B4-BE49-F238E27FC236}">
              <a16:creationId xmlns:a16="http://schemas.microsoft.com/office/drawing/2014/main" id="{4116A026-0837-4D50-A16A-A6D0FE94FA3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1" name="TextBox 230">
          <a:extLst>
            <a:ext uri="{FF2B5EF4-FFF2-40B4-BE49-F238E27FC236}">
              <a16:creationId xmlns:a16="http://schemas.microsoft.com/office/drawing/2014/main" id="{1ABAD8D7-5F1E-4CC5-A721-78E59DD0851C}"/>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2" name="TextBox 231">
          <a:extLst>
            <a:ext uri="{FF2B5EF4-FFF2-40B4-BE49-F238E27FC236}">
              <a16:creationId xmlns:a16="http://schemas.microsoft.com/office/drawing/2014/main" id="{10AF66E9-DE81-469E-9555-34ACC70CA23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3" name="TextBox 232">
          <a:extLst>
            <a:ext uri="{FF2B5EF4-FFF2-40B4-BE49-F238E27FC236}">
              <a16:creationId xmlns:a16="http://schemas.microsoft.com/office/drawing/2014/main" id="{450BB014-651E-4A57-B5A4-95ABC3EC76A2}"/>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4" name="TextBox 233">
          <a:extLst>
            <a:ext uri="{FF2B5EF4-FFF2-40B4-BE49-F238E27FC236}">
              <a16:creationId xmlns:a16="http://schemas.microsoft.com/office/drawing/2014/main" id="{AAA533B6-B877-48F4-A09D-15DA70FF37B0}"/>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5" name="TextBox 234">
          <a:extLst>
            <a:ext uri="{FF2B5EF4-FFF2-40B4-BE49-F238E27FC236}">
              <a16:creationId xmlns:a16="http://schemas.microsoft.com/office/drawing/2014/main" id="{CDC8BEC4-22E6-4E1A-8D4B-7FC44A85596C}"/>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6" name="TextBox 235">
          <a:extLst>
            <a:ext uri="{FF2B5EF4-FFF2-40B4-BE49-F238E27FC236}">
              <a16:creationId xmlns:a16="http://schemas.microsoft.com/office/drawing/2014/main" id="{42E2834D-00E5-49FC-8F07-338092A5367E}"/>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68</xdr:row>
      <xdr:rowOff>0</xdr:rowOff>
    </xdr:from>
    <xdr:ext cx="65" cy="172227"/>
    <xdr:sp macro="" textlink="">
      <xdr:nvSpPr>
        <xdr:cNvPr id="237" name="TextBox 236">
          <a:extLst>
            <a:ext uri="{FF2B5EF4-FFF2-40B4-BE49-F238E27FC236}">
              <a16:creationId xmlns:a16="http://schemas.microsoft.com/office/drawing/2014/main" id="{7E573834-5EBB-4171-9EA9-E858A73B4CB3}"/>
            </a:ext>
          </a:extLst>
        </xdr:cNvPr>
        <xdr:cNvSpPr txBox="1"/>
      </xdr:nvSpPr>
      <xdr:spPr>
        <a:xfrm flipH="1">
          <a:off x="6344444" y="2344539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38" name="TextBox 237">
          <a:extLst>
            <a:ext uri="{FF2B5EF4-FFF2-40B4-BE49-F238E27FC236}">
              <a16:creationId xmlns:a16="http://schemas.microsoft.com/office/drawing/2014/main" id="{CDD5A673-D3AA-4DC3-B677-BC1D5A8F0F5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39" name="TextBox 238">
          <a:extLst>
            <a:ext uri="{FF2B5EF4-FFF2-40B4-BE49-F238E27FC236}">
              <a16:creationId xmlns:a16="http://schemas.microsoft.com/office/drawing/2014/main" id="{1B2C8C7B-5B22-4B50-B1B3-19533A377CC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0" name="TextBox 239">
          <a:extLst>
            <a:ext uri="{FF2B5EF4-FFF2-40B4-BE49-F238E27FC236}">
              <a16:creationId xmlns:a16="http://schemas.microsoft.com/office/drawing/2014/main" id="{A93F7288-0232-4B3E-8B1C-C66FDEEC21F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1" name="TextBox 240">
          <a:extLst>
            <a:ext uri="{FF2B5EF4-FFF2-40B4-BE49-F238E27FC236}">
              <a16:creationId xmlns:a16="http://schemas.microsoft.com/office/drawing/2014/main" id="{1D8A6BFA-06E9-400F-83B2-D37DF151F8B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2" name="TextBox 241">
          <a:extLst>
            <a:ext uri="{FF2B5EF4-FFF2-40B4-BE49-F238E27FC236}">
              <a16:creationId xmlns:a16="http://schemas.microsoft.com/office/drawing/2014/main" id="{719388D4-0A34-4D57-A6C8-F7E7F91FA9F8}"/>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3" name="TextBox 242">
          <a:extLst>
            <a:ext uri="{FF2B5EF4-FFF2-40B4-BE49-F238E27FC236}">
              <a16:creationId xmlns:a16="http://schemas.microsoft.com/office/drawing/2014/main" id="{167E73BA-0068-4640-9F0D-2697B4DF53A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4" name="TextBox 243">
          <a:extLst>
            <a:ext uri="{FF2B5EF4-FFF2-40B4-BE49-F238E27FC236}">
              <a16:creationId xmlns:a16="http://schemas.microsoft.com/office/drawing/2014/main" id="{1F317182-B86A-455B-B3C4-38BDE46EBBB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5" name="TextBox 244">
          <a:extLst>
            <a:ext uri="{FF2B5EF4-FFF2-40B4-BE49-F238E27FC236}">
              <a16:creationId xmlns:a16="http://schemas.microsoft.com/office/drawing/2014/main" id="{65AE4616-AADA-444E-B9F6-FCA8D5F54CF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6" name="TextBox 245">
          <a:extLst>
            <a:ext uri="{FF2B5EF4-FFF2-40B4-BE49-F238E27FC236}">
              <a16:creationId xmlns:a16="http://schemas.microsoft.com/office/drawing/2014/main" id="{CD4A3F68-F10B-4667-BDC2-C777244A3226}"/>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7" name="TextBox 246">
          <a:extLst>
            <a:ext uri="{FF2B5EF4-FFF2-40B4-BE49-F238E27FC236}">
              <a16:creationId xmlns:a16="http://schemas.microsoft.com/office/drawing/2014/main" id="{1B4070D0-EDE0-47EE-BF3D-727838A98AC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8" name="TextBox 247">
          <a:extLst>
            <a:ext uri="{FF2B5EF4-FFF2-40B4-BE49-F238E27FC236}">
              <a16:creationId xmlns:a16="http://schemas.microsoft.com/office/drawing/2014/main" id="{DAF803C5-5F19-4B88-971C-BBBF168071D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49" name="TextBox 248">
          <a:extLst>
            <a:ext uri="{FF2B5EF4-FFF2-40B4-BE49-F238E27FC236}">
              <a16:creationId xmlns:a16="http://schemas.microsoft.com/office/drawing/2014/main" id="{AB1C77F5-7782-46D1-851B-9891BD5E9F8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0" name="TextBox 249">
          <a:extLst>
            <a:ext uri="{FF2B5EF4-FFF2-40B4-BE49-F238E27FC236}">
              <a16:creationId xmlns:a16="http://schemas.microsoft.com/office/drawing/2014/main" id="{57C6D313-C07A-40EF-B8D3-1182760381E2}"/>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1" name="TextBox 250">
          <a:extLst>
            <a:ext uri="{FF2B5EF4-FFF2-40B4-BE49-F238E27FC236}">
              <a16:creationId xmlns:a16="http://schemas.microsoft.com/office/drawing/2014/main" id="{F9C643F6-64ED-4922-AF29-C810BDC56FD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2" name="TextBox 251">
          <a:extLst>
            <a:ext uri="{FF2B5EF4-FFF2-40B4-BE49-F238E27FC236}">
              <a16:creationId xmlns:a16="http://schemas.microsoft.com/office/drawing/2014/main" id="{99E74D7B-37F7-444C-B231-E138B2FFA9E5}"/>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3" name="TextBox 252">
          <a:extLst>
            <a:ext uri="{FF2B5EF4-FFF2-40B4-BE49-F238E27FC236}">
              <a16:creationId xmlns:a16="http://schemas.microsoft.com/office/drawing/2014/main" id="{E3D620BE-F304-4FB5-8ED5-8993BDEF1C95}"/>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4" name="TextBox 253">
          <a:extLst>
            <a:ext uri="{FF2B5EF4-FFF2-40B4-BE49-F238E27FC236}">
              <a16:creationId xmlns:a16="http://schemas.microsoft.com/office/drawing/2014/main" id="{8A77F8F4-806D-47A4-88AB-723FB7117D4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5" name="TextBox 254">
          <a:extLst>
            <a:ext uri="{FF2B5EF4-FFF2-40B4-BE49-F238E27FC236}">
              <a16:creationId xmlns:a16="http://schemas.microsoft.com/office/drawing/2014/main" id="{4BF5266E-6FA4-42D5-9721-1FD80A01954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6" name="TextBox 255">
          <a:extLst>
            <a:ext uri="{FF2B5EF4-FFF2-40B4-BE49-F238E27FC236}">
              <a16:creationId xmlns:a16="http://schemas.microsoft.com/office/drawing/2014/main" id="{A29B6590-F1BA-45E8-A8D6-280A27CF41B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7" name="TextBox 256">
          <a:extLst>
            <a:ext uri="{FF2B5EF4-FFF2-40B4-BE49-F238E27FC236}">
              <a16:creationId xmlns:a16="http://schemas.microsoft.com/office/drawing/2014/main" id="{BAA9CFDF-2453-4FAD-84E8-EE871C11379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8" name="TextBox 257">
          <a:extLst>
            <a:ext uri="{FF2B5EF4-FFF2-40B4-BE49-F238E27FC236}">
              <a16:creationId xmlns:a16="http://schemas.microsoft.com/office/drawing/2014/main" id="{5C832754-9FAB-499F-8D75-C40E6BCEA88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59" name="TextBox 258">
          <a:extLst>
            <a:ext uri="{FF2B5EF4-FFF2-40B4-BE49-F238E27FC236}">
              <a16:creationId xmlns:a16="http://schemas.microsoft.com/office/drawing/2014/main" id="{F075A66C-7D8C-4A6A-B3DB-FEABD3171D1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0" name="TextBox 259">
          <a:extLst>
            <a:ext uri="{FF2B5EF4-FFF2-40B4-BE49-F238E27FC236}">
              <a16:creationId xmlns:a16="http://schemas.microsoft.com/office/drawing/2014/main" id="{70DFE73F-D565-4C3B-A681-13730E126F16}"/>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1" name="TextBox 260">
          <a:extLst>
            <a:ext uri="{FF2B5EF4-FFF2-40B4-BE49-F238E27FC236}">
              <a16:creationId xmlns:a16="http://schemas.microsoft.com/office/drawing/2014/main" id="{15538103-A7A7-4221-89DC-6FE620831E0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2" name="TextBox 261">
          <a:extLst>
            <a:ext uri="{FF2B5EF4-FFF2-40B4-BE49-F238E27FC236}">
              <a16:creationId xmlns:a16="http://schemas.microsoft.com/office/drawing/2014/main" id="{63769C4E-B472-4EB3-9969-9B36A45D19D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3" name="TextBox 262">
          <a:extLst>
            <a:ext uri="{FF2B5EF4-FFF2-40B4-BE49-F238E27FC236}">
              <a16:creationId xmlns:a16="http://schemas.microsoft.com/office/drawing/2014/main" id="{BDA18A2D-FDDB-4A70-9A88-51D95F6C93F2}"/>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4" name="TextBox 263">
          <a:extLst>
            <a:ext uri="{FF2B5EF4-FFF2-40B4-BE49-F238E27FC236}">
              <a16:creationId xmlns:a16="http://schemas.microsoft.com/office/drawing/2014/main" id="{09E5A6EA-B6EB-4736-B975-9CAC6B57081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5" name="TextBox 264">
          <a:extLst>
            <a:ext uri="{FF2B5EF4-FFF2-40B4-BE49-F238E27FC236}">
              <a16:creationId xmlns:a16="http://schemas.microsoft.com/office/drawing/2014/main" id="{422E6D60-3426-43CE-951C-D5CAE46DB72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6" name="TextBox 265">
          <a:extLst>
            <a:ext uri="{FF2B5EF4-FFF2-40B4-BE49-F238E27FC236}">
              <a16:creationId xmlns:a16="http://schemas.microsoft.com/office/drawing/2014/main" id="{11F2A431-A667-4584-8EA6-B51FB9876F9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7" name="TextBox 266">
          <a:extLst>
            <a:ext uri="{FF2B5EF4-FFF2-40B4-BE49-F238E27FC236}">
              <a16:creationId xmlns:a16="http://schemas.microsoft.com/office/drawing/2014/main" id="{A7F9843A-B20A-470F-A390-DF41F307712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8" name="TextBox 267">
          <a:extLst>
            <a:ext uri="{FF2B5EF4-FFF2-40B4-BE49-F238E27FC236}">
              <a16:creationId xmlns:a16="http://schemas.microsoft.com/office/drawing/2014/main" id="{B4B1FB06-EAD1-4DBF-A621-3E7BB791392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69" name="TextBox 268">
          <a:extLst>
            <a:ext uri="{FF2B5EF4-FFF2-40B4-BE49-F238E27FC236}">
              <a16:creationId xmlns:a16="http://schemas.microsoft.com/office/drawing/2014/main" id="{FF52E00A-2D49-4FA9-B806-F9F275D3790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0" name="TextBox 269">
          <a:extLst>
            <a:ext uri="{FF2B5EF4-FFF2-40B4-BE49-F238E27FC236}">
              <a16:creationId xmlns:a16="http://schemas.microsoft.com/office/drawing/2014/main" id="{5B176AE8-35C6-48EE-8AB6-58420F80F4C6}"/>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1" name="TextBox 270">
          <a:extLst>
            <a:ext uri="{FF2B5EF4-FFF2-40B4-BE49-F238E27FC236}">
              <a16:creationId xmlns:a16="http://schemas.microsoft.com/office/drawing/2014/main" id="{35744706-AEA7-4894-9017-5145945599F2}"/>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2" name="TextBox 271">
          <a:extLst>
            <a:ext uri="{FF2B5EF4-FFF2-40B4-BE49-F238E27FC236}">
              <a16:creationId xmlns:a16="http://schemas.microsoft.com/office/drawing/2014/main" id="{0B25541A-8D31-41B5-A374-1C4F3F35694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3" name="TextBox 272">
          <a:extLst>
            <a:ext uri="{FF2B5EF4-FFF2-40B4-BE49-F238E27FC236}">
              <a16:creationId xmlns:a16="http://schemas.microsoft.com/office/drawing/2014/main" id="{091671CE-CF3A-44F2-AF52-642AC4AD3E7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4" name="TextBox 273">
          <a:extLst>
            <a:ext uri="{FF2B5EF4-FFF2-40B4-BE49-F238E27FC236}">
              <a16:creationId xmlns:a16="http://schemas.microsoft.com/office/drawing/2014/main" id="{AA45DF76-ED2D-4879-AFAC-781D1BE2E3C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5" name="TextBox 274">
          <a:extLst>
            <a:ext uri="{FF2B5EF4-FFF2-40B4-BE49-F238E27FC236}">
              <a16:creationId xmlns:a16="http://schemas.microsoft.com/office/drawing/2014/main" id="{1527253B-F59B-4DBE-BBD1-B83D9C917F9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6" name="TextBox 275">
          <a:extLst>
            <a:ext uri="{FF2B5EF4-FFF2-40B4-BE49-F238E27FC236}">
              <a16:creationId xmlns:a16="http://schemas.microsoft.com/office/drawing/2014/main" id="{F5ACCC9D-AFE2-48CE-8D48-D922F7483F0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7" name="TextBox 276">
          <a:extLst>
            <a:ext uri="{FF2B5EF4-FFF2-40B4-BE49-F238E27FC236}">
              <a16:creationId xmlns:a16="http://schemas.microsoft.com/office/drawing/2014/main" id="{2FAEB81D-8E61-4572-B893-29F7CB1443E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8" name="TextBox 277">
          <a:extLst>
            <a:ext uri="{FF2B5EF4-FFF2-40B4-BE49-F238E27FC236}">
              <a16:creationId xmlns:a16="http://schemas.microsoft.com/office/drawing/2014/main" id="{62A9CF6C-6C49-43BC-B49C-06D154A5944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79" name="TextBox 278">
          <a:extLst>
            <a:ext uri="{FF2B5EF4-FFF2-40B4-BE49-F238E27FC236}">
              <a16:creationId xmlns:a16="http://schemas.microsoft.com/office/drawing/2014/main" id="{B3BCAEF9-1DE4-4787-836F-5A7555E2541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0" name="TextBox 279">
          <a:extLst>
            <a:ext uri="{FF2B5EF4-FFF2-40B4-BE49-F238E27FC236}">
              <a16:creationId xmlns:a16="http://schemas.microsoft.com/office/drawing/2014/main" id="{7414D6B4-ACD8-45F2-9357-61866E2E7BA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1" name="TextBox 280">
          <a:extLst>
            <a:ext uri="{FF2B5EF4-FFF2-40B4-BE49-F238E27FC236}">
              <a16:creationId xmlns:a16="http://schemas.microsoft.com/office/drawing/2014/main" id="{C6B82AB8-483F-46BB-81FE-C687C848F36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2" name="TextBox 281">
          <a:extLst>
            <a:ext uri="{FF2B5EF4-FFF2-40B4-BE49-F238E27FC236}">
              <a16:creationId xmlns:a16="http://schemas.microsoft.com/office/drawing/2014/main" id="{76EDBD83-C7B8-477E-BE43-2C68F251B7F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3" name="TextBox 282">
          <a:extLst>
            <a:ext uri="{FF2B5EF4-FFF2-40B4-BE49-F238E27FC236}">
              <a16:creationId xmlns:a16="http://schemas.microsoft.com/office/drawing/2014/main" id="{22AE321C-F344-4CDA-B893-F3868417691B}"/>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4" name="TextBox 283">
          <a:extLst>
            <a:ext uri="{FF2B5EF4-FFF2-40B4-BE49-F238E27FC236}">
              <a16:creationId xmlns:a16="http://schemas.microsoft.com/office/drawing/2014/main" id="{B845B78E-9B0C-4723-9832-B3A786D8D363}"/>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5" name="TextBox 284">
          <a:extLst>
            <a:ext uri="{FF2B5EF4-FFF2-40B4-BE49-F238E27FC236}">
              <a16:creationId xmlns:a16="http://schemas.microsoft.com/office/drawing/2014/main" id="{424A3C9C-2C1C-48C6-A6C9-2189781ACB6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6" name="TextBox 285">
          <a:extLst>
            <a:ext uri="{FF2B5EF4-FFF2-40B4-BE49-F238E27FC236}">
              <a16:creationId xmlns:a16="http://schemas.microsoft.com/office/drawing/2014/main" id="{74C75909-A338-43D0-8000-BD41956FBF71}"/>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7" name="TextBox 286">
          <a:extLst>
            <a:ext uri="{FF2B5EF4-FFF2-40B4-BE49-F238E27FC236}">
              <a16:creationId xmlns:a16="http://schemas.microsoft.com/office/drawing/2014/main" id="{D62CEEF7-429C-47BF-B305-C882247CF4C0}"/>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8" name="TextBox 287">
          <a:extLst>
            <a:ext uri="{FF2B5EF4-FFF2-40B4-BE49-F238E27FC236}">
              <a16:creationId xmlns:a16="http://schemas.microsoft.com/office/drawing/2014/main" id="{E96BEF51-C0BB-448C-9B20-C5E767AB8437}"/>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89" name="TextBox 288">
          <a:extLst>
            <a:ext uri="{FF2B5EF4-FFF2-40B4-BE49-F238E27FC236}">
              <a16:creationId xmlns:a16="http://schemas.microsoft.com/office/drawing/2014/main" id="{EAB8A2C9-CB05-495B-BE7D-42EDB21D5A2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0" name="TextBox 289">
          <a:extLst>
            <a:ext uri="{FF2B5EF4-FFF2-40B4-BE49-F238E27FC236}">
              <a16:creationId xmlns:a16="http://schemas.microsoft.com/office/drawing/2014/main" id="{B4BC2AC7-07A6-40F3-9212-4A9111F102ED}"/>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1" name="TextBox 290">
          <a:extLst>
            <a:ext uri="{FF2B5EF4-FFF2-40B4-BE49-F238E27FC236}">
              <a16:creationId xmlns:a16="http://schemas.microsoft.com/office/drawing/2014/main" id="{9DBCCB41-18CD-4405-AE88-08E41316DC8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2" name="TextBox 291">
          <a:extLst>
            <a:ext uri="{FF2B5EF4-FFF2-40B4-BE49-F238E27FC236}">
              <a16:creationId xmlns:a16="http://schemas.microsoft.com/office/drawing/2014/main" id="{ABC8125A-4DF7-43ED-ACFE-D4979961D6CC}"/>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3" name="TextBox 292">
          <a:extLst>
            <a:ext uri="{FF2B5EF4-FFF2-40B4-BE49-F238E27FC236}">
              <a16:creationId xmlns:a16="http://schemas.microsoft.com/office/drawing/2014/main" id="{BAFC6CA6-250B-4997-83EC-6976D94A8E7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4" name="TextBox 293">
          <a:extLst>
            <a:ext uri="{FF2B5EF4-FFF2-40B4-BE49-F238E27FC236}">
              <a16:creationId xmlns:a16="http://schemas.microsoft.com/office/drawing/2014/main" id="{A23D3DE7-F36A-4840-8CB5-0ED3BFBB34EE}"/>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5" name="TextBox 294">
          <a:extLst>
            <a:ext uri="{FF2B5EF4-FFF2-40B4-BE49-F238E27FC236}">
              <a16:creationId xmlns:a16="http://schemas.microsoft.com/office/drawing/2014/main" id="{B99B9F72-330E-4DCC-9A89-47C317ECE81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6" name="TextBox 295">
          <a:extLst>
            <a:ext uri="{FF2B5EF4-FFF2-40B4-BE49-F238E27FC236}">
              <a16:creationId xmlns:a16="http://schemas.microsoft.com/office/drawing/2014/main" id="{E126D57D-55E5-40B3-A280-C721742B2A8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7" name="TextBox 296">
          <a:extLst>
            <a:ext uri="{FF2B5EF4-FFF2-40B4-BE49-F238E27FC236}">
              <a16:creationId xmlns:a16="http://schemas.microsoft.com/office/drawing/2014/main" id="{1F128E9B-9236-49F9-8A3F-92F91A79FBE6}"/>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8" name="TextBox 297">
          <a:extLst>
            <a:ext uri="{FF2B5EF4-FFF2-40B4-BE49-F238E27FC236}">
              <a16:creationId xmlns:a16="http://schemas.microsoft.com/office/drawing/2014/main" id="{B25BB74E-8EEF-4432-80CC-CA0DED936F5F}"/>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299" name="TextBox 298">
          <a:extLst>
            <a:ext uri="{FF2B5EF4-FFF2-40B4-BE49-F238E27FC236}">
              <a16:creationId xmlns:a16="http://schemas.microsoft.com/office/drawing/2014/main" id="{F0C01E53-A265-4C4A-AE2A-346B75D4A409}"/>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300" name="TextBox 299">
          <a:extLst>
            <a:ext uri="{FF2B5EF4-FFF2-40B4-BE49-F238E27FC236}">
              <a16:creationId xmlns:a16="http://schemas.microsoft.com/office/drawing/2014/main" id="{07F9CC45-6C79-4B1A-AE2A-DC0739C0201A}"/>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85</xdr:row>
      <xdr:rowOff>0</xdr:rowOff>
    </xdr:from>
    <xdr:ext cx="65" cy="172227"/>
    <xdr:sp macro="" textlink="">
      <xdr:nvSpPr>
        <xdr:cNvPr id="301" name="TextBox 300">
          <a:extLst>
            <a:ext uri="{FF2B5EF4-FFF2-40B4-BE49-F238E27FC236}">
              <a16:creationId xmlns:a16="http://schemas.microsoft.com/office/drawing/2014/main" id="{BFF2F4CC-74A0-44AD-99D6-57B50E797DA4}"/>
            </a:ext>
          </a:extLst>
        </xdr:cNvPr>
        <xdr:cNvSpPr txBox="1"/>
      </xdr:nvSpPr>
      <xdr:spPr>
        <a:xfrm flipH="1">
          <a:off x="6344444" y="30003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2" name="TextBox 301">
          <a:extLst>
            <a:ext uri="{FF2B5EF4-FFF2-40B4-BE49-F238E27FC236}">
              <a16:creationId xmlns:a16="http://schemas.microsoft.com/office/drawing/2014/main" id="{677C9A5C-551A-4235-8CAF-FDB2CB4C0C2B}"/>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3" name="TextBox 302">
          <a:extLst>
            <a:ext uri="{FF2B5EF4-FFF2-40B4-BE49-F238E27FC236}">
              <a16:creationId xmlns:a16="http://schemas.microsoft.com/office/drawing/2014/main" id="{45E928E4-0660-42DD-A606-1137F6E594BA}"/>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4" name="TextBox 303">
          <a:extLst>
            <a:ext uri="{FF2B5EF4-FFF2-40B4-BE49-F238E27FC236}">
              <a16:creationId xmlns:a16="http://schemas.microsoft.com/office/drawing/2014/main" id="{7DDFD3EC-5230-4B81-864D-4B809E49A64C}"/>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5" name="TextBox 304">
          <a:extLst>
            <a:ext uri="{FF2B5EF4-FFF2-40B4-BE49-F238E27FC236}">
              <a16:creationId xmlns:a16="http://schemas.microsoft.com/office/drawing/2014/main" id="{5558C2C0-D315-4C93-A9DF-D6862B4A69BC}"/>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6" name="TextBox 305">
          <a:extLst>
            <a:ext uri="{FF2B5EF4-FFF2-40B4-BE49-F238E27FC236}">
              <a16:creationId xmlns:a16="http://schemas.microsoft.com/office/drawing/2014/main" id="{872E9A33-ABFC-4DB1-9A26-9CC7CEDFA2BF}"/>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7" name="TextBox 306">
          <a:extLst>
            <a:ext uri="{FF2B5EF4-FFF2-40B4-BE49-F238E27FC236}">
              <a16:creationId xmlns:a16="http://schemas.microsoft.com/office/drawing/2014/main" id="{BD959D88-BF76-46CC-9911-E7EC400BD47D}"/>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8" name="TextBox 307">
          <a:extLst>
            <a:ext uri="{FF2B5EF4-FFF2-40B4-BE49-F238E27FC236}">
              <a16:creationId xmlns:a16="http://schemas.microsoft.com/office/drawing/2014/main" id="{9974A45E-288C-4B90-9DB1-3B80AA45861A}"/>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09" name="TextBox 308">
          <a:extLst>
            <a:ext uri="{FF2B5EF4-FFF2-40B4-BE49-F238E27FC236}">
              <a16:creationId xmlns:a16="http://schemas.microsoft.com/office/drawing/2014/main" id="{A8295486-D3AA-4C73-8CF3-5B74911D629F}"/>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0" name="TextBox 309">
          <a:extLst>
            <a:ext uri="{FF2B5EF4-FFF2-40B4-BE49-F238E27FC236}">
              <a16:creationId xmlns:a16="http://schemas.microsoft.com/office/drawing/2014/main" id="{840B429D-A946-42C5-90F6-78134E4B9C3D}"/>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1" name="TextBox 310">
          <a:extLst>
            <a:ext uri="{FF2B5EF4-FFF2-40B4-BE49-F238E27FC236}">
              <a16:creationId xmlns:a16="http://schemas.microsoft.com/office/drawing/2014/main" id="{4E3D82F4-8A25-4496-9A48-8647E9E8AD21}"/>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2" name="TextBox 311">
          <a:extLst>
            <a:ext uri="{FF2B5EF4-FFF2-40B4-BE49-F238E27FC236}">
              <a16:creationId xmlns:a16="http://schemas.microsoft.com/office/drawing/2014/main" id="{7376A7A3-7386-4951-8FEA-054D0C076D2D}"/>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3" name="TextBox 312">
          <a:extLst>
            <a:ext uri="{FF2B5EF4-FFF2-40B4-BE49-F238E27FC236}">
              <a16:creationId xmlns:a16="http://schemas.microsoft.com/office/drawing/2014/main" id="{0FC61E67-ED50-41DA-8176-19E80FAAF03E}"/>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4" name="TextBox 313">
          <a:extLst>
            <a:ext uri="{FF2B5EF4-FFF2-40B4-BE49-F238E27FC236}">
              <a16:creationId xmlns:a16="http://schemas.microsoft.com/office/drawing/2014/main" id="{C54092CC-0363-46EC-A3CC-7600285F38D5}"/>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5" name="TextBox 314">
          <a:extLst>
            <a:ext uri="{FF2B5EF4-FFF2-40B4-BE49-F238E27FC236}">
              <a16:creationId xmlns:a16="http://schemas.microsoft.com/office/drawing/2014/main" id="{38544644-CA59-48A1-99CF-875A6255567F}"/>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71</xdr:row>
      <xdr:rowOff>0</xdr:rowOff>
    </xdr:from>
    <xdr:ext cx="65" cy="172227"/>
    <xdr:sp macro="" textlink="">
      <xdr:nvSpPr>
        <xdr:cNvPr id="316" name="TextBox 315">
          <a:extLst>
            <a:ext uri="{FF2B5EF4-FFF2-40B4-BE49-F238E27FC236}">
              <a16:creationId xmlns:a16="http://schemas.microsoft.com/office/drawing/2014/main" id="{1A2D5CEC-2612-481C-9FF0-C00167730F16}"/>
            </a:ext>
          </a:extLst>
        </xdr:cNvPr>
        <xdr:cNvSpPr txBox="1"/>
      </xdr:nvSpPr>
      <xdr:spPr>
        <a:xfrm flipH="1">
          <a:off x="6344444" y="245764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17" name="TextBox 316">
          <a:extLst>
            <a:ext uri="{FF2B5EF4-FFF2-40B4-BE49-F238E27FC236}">
              <a16:creationId xmlns:a16="http://schemas.microsoft.com/office/drawing/2014/main" id="{65B980AB-DAA6-4FC5-9B3C-9ABA82181132}"/>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18" name="TextBox 317">
          <a:extLst>
            <a:ext uri="{FF2B5EF4-FFF2-40B4-BE49-F238E27FC236}">
              <a16:creationId xmlns:a16="http://schemas.microsoft.com/office/drawing/2014/main" id="{F2D332B8-F924-4329-BD93-7E02A1767F83}"/>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19" name="TextBox 318">
          <a:extLst>
            <a:ext uri="{FF2B5EF4-FFF2-40B4-BE49-F238E27FC236}">
              <a16:creationId xmlns:a16="http://schemas.microsoft.com/office/drawing/2014/main" id="{F7E9A73F-8B03-4C82-A7A7-917B84840706}"/>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0" name="TextBox 319">
          <a:extLst>
            <a:ext uri="{FF2B5EF4-FFF2-40B4-BE49-F238E27FC236}">
              <a16:creationId xmlns:a16="http://schemas.microsoft.com/office/drawing/2014/main" id="{04456C13-06DF-482F-B9EB-C4A9A3C0D1D2}"/>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1" name="TextBox 320">
          <a:extLst>
            <a:ext uri="{FF2B5EF4-FFF2-40B4-BE49-F238E27FC236}">
              <a16:creationId xmlns:a16="http://schemas.microsoft.com/office/drawing/2014/main" id="{6F693604-7193-4D19-B705-1A11DAD9F63E}"/>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2" name="TextBox 321">
          <a:extLst>
            <a:ext uri="{FF2B5EF4-FFF2-40B4-BE49-F238E27FC236}">
              <a16:creationId xmlns:a16="http://schemas.microsoft.com/office/drawing/2014/main" id="{58CEBC1A-B282-469C-B1C4-DF90C1F9D25E}"/>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3" name="TextBox 322">
          <a:extLst>
            <a:ext uri="{FF2B5EF4-FFF2-40B4-BE49-F238E27FC236}">
              <a16:creationId xmlns:a16="http://schemas.microsoft.com/office/drawing/2014/main" id="{213101FD-181F-4224-BE83-5362A33ECC33}"/>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4" name="TextBox 323">
          <a:extLst>
            <a:ext uri="{FF2B5EF4-FFF2-40B4-BE49-F238E27FC236}">
              <a16:creationId xmlns:a16="http://schemas.microsoft.com/office/drawing/2014/main" id="{2DF2CC19-3AC6-4C9B-A396-D0B0A9C5C9EA}"/>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5" name="TextBox 324">
          <a:extLst>
            <a:ext uri="{FF2B5EF4-FFF2-40B4-BE49-F238E27FC236}">
              <a16:creationId xmlns:a16="http://schemas.microsoft.com/office/drawing/2014/main" id="{E6986410-E0D5-4DFA-A42E-E372376CA63C}"/>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6" name="TextBox 325">
          <a:extLst>
            <a:ext uri="{FF2B5EF4-FFF2-40B4-BE49-F238E27FC236}">
              <a16:creationId xmlns:a16="http://schemas.microsoft.com/office/drawing/2014/main" id="{F1BE26B5-630C-46CB-BEE4-451FDFDA0B65}"/>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7" name="TextBox 326">
          <a:extLst>
            <a:ext uri="{FF2B5EF4-FFF2-40B4-BE49-F238E27FC236}">
              <a16:creationId xmlns:a16="http://schemas.microsoft.com/office/drawing/2014/main" id="{0DCF09C3-6B2B-4507-845D-6A9FC89666B8}"/>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8" name="TextBox 327">
          <a:extLst>
            <a:ext uri="{FF2B5EF4-FFF2-40B4-BE49-F238E27FC236}">
              <a16:creationId xmlns:a16="http://schemas.microsoft.com/office/drawing/2014/main" id="{7993FFA9-1FF0-4D78-9A84-64628105439B}"/>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29" name="TextBox 328">
          <a:extLst>
            <a:ext uri="{FF2B5EF4-FFF2-40B4-BE49-F238E27FC236}">
              <a16:creationId xmlns:a16="http://schemas.microsoft.com/office/drawing/2014/main" id="{919D11D3-AF03-45D7-A806-F81BCB080659}"/>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30" name="TextBox 329">
          <a:extLst>
            <a:ext uri="{FF2B5EF4-FFF2-40B4-BE49-F238E27FC236}">
              <a16:creationId xmlns:a16="http://schemas.microsoft.com/office/drawing/2014/main" id="{508D06BD-9AF0-4430-943D-2646C96A79DB}"/>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70</xdr:row>
      <xdr:rowOff>0</xdr:rowOff>
    </xdr:from>
    <xdr:ext cx="65" cy="172227"/>
    <xdr:sp macro="" textlink="">
      <xdr:nvSpPr>
        <xdr:cNvPr id="331" name="TextBox 330">
          <a:extLst>
            <a:ext uri="{FF2B5EF4-FFF2-40B4-BE49-F238E27FC236}">
              <a16:creationId xmlns:a16="http://schemas.microsoft.com/office/drawing/2014/main" id="{9F3A0C1C-3D00-44F0-926B-06F8E1197617}"/>
            </a:ext>
          </a:extLst>
        </xdr:cNvPr>
        <xdr:cNvSpPr txBox="1"/>
      </xdr:nvSpPr>
      <xdr:spPr>
        <a:xfrm flipH="1">
          <a:off x="6344444" y="2419945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2" name="TextBox 331">
          <a:extLst>
            <a:ext uri="{FF2B5EF4-FFF2-40B4-BE49-F238E27FC236}">
              <a16:creationId xmlns:a16="http://schemas.microsoft.com/office/drawing/2014/main" id="{F8CF5E28-2519-4E5B-8C68-44A2B3557EAA}"/>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3" name="TextBox 332">
          <a:extLst>
            <a:ext uri="{FF2B5EF4-FFF2-40B4-BE49-F238E27FC236}">
              <a16:creationId xmlns:a16="http://schemas.microsoft.com/office/drawing/2014/main" id="{F8B6012B-80AF-49DF-BE60-435B5ECF4FB0}"/>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4" name="TextBox 333">
          <a:extLst>
            <a:ext uri="{FF2B5EF4-FFF2-40B4-BE49-F238E27FC236}">
              <a16:creationId xmlns:a16="http://schemas.microsoft.com/office/drawing/2014/main" id="{765D03A4-E6A3-4778-972C-A2D083E3BDEA}"/>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5" name="TextBox 334">
          <a:extLst>
            <a:ext uri="{FF2B5EF4-FFF2-40B4-BE49-F238E27FC236}">
              <a16:creationId xmlns:a16="http://schemas.microsoft.com/office/drawing/2014/main" id="{F009858D-62AC-4048-9707-FADC64765DB6}"/>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6" name="TextBox 335">
          <a:extLst>
            <a:ext uri="{FF2B5EF4-FFF2-40B4-BE49-F238E27FC236}">
              <a16:creationId xmlns:a16="http://schemas.microsoft.com/office/drawing/2014/main" id="{11DBB02F-82E6-480A-8DD6-4767EC195ECF}"/>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7" name="TextBox 336">
          <a:extLst>
            <a:ext uri="{FF2B5EF4-FFF2-40B4-BE49-F238E27FC236}">
              <a16:creationId xmlns:a16="http://schemas.microsoft.com/office/drawing/2014/main" id="{B698141B-EF5C-4024-BBF2-FCCB8DBF836C}"/>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8" name="TextBox 337">
          <a:extLst>
            <a:ext uri="{FF2B5EF4-FFF2-40B4-BE49-F238E27FC236}">
              <a16:creationId xmlns:a16="http://schemas.microsoft.com/office/drawing/2014/main" id="{3B8C19D1-5E17-4E7E-91E3-35AD9EC7D1F9}"/>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39" name="TextBox 338">
          <a:extLst>
            <a:ext uri="{FF2B5EF4-FFF2-40B4-BE49-F238E27FC236}">
              <a16:creationId xmlns:a16="http://schemas.microsoft.com/office/drawing/2014/main" id="{1CECE734-4DFB-4AAA-AC4B-A4DB939FB591}"/>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0" name="TextBox 339">
          <a:extLst>
            <a:ext uri="{FF2B5EF4-FFF2-40B4-BE49-F238E27FC236}">
              <a16:creationId xmlns:a16="http://schemas.microsoft.com/office/drawing/2014/main" id="{4DB693D4-CE7F-41DE-BEF4-25C476A758D8}"/>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1" name="TextBox 340">
          <a:extLst>
            <a:ext uri="{FF2B5EF4-FFF2-40B4-BE49-F238E27FC236}">
              <a16:creationId xmlns:a16="http://schemas.microsoft.com/office/drawing/2014/main" id="{C7E7B5AA-E4E1-4542-9775-9DD354BC6F77}"/>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2" name="TextBox 341">
          <a:extLst>
            <a:ext uri="{FF2B5EF4-FFF2-40B4-BE49-F238E27FC236}">
              <a16:creationId xmlns:a16="http://schemas.microsoft.com/office/drawing/2014/main" id="{62672DC4-E282-4E49-99BA-6545D07A658A}"/>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3" name="TextBox 342">
          <a:extLst>
            <a:ext uri="{FF2B5EF4-FFF2-40B4-BE49-F238E27FC236}">
              <a16:creationId xmlns:a16="http://schemas.microsoft.com/office/drawing/2014/main" id="{C9E18F80-8ACA-4315-A958-BE3252B53D45}"/>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4" name="TextBox 343">
          <a:extLst>
            <a:ext uri="{FF2B5EF4-FFF2-40B4-BE49-F238E27FC236}">
              <a16:creationId xmlns:a16="http://schemas.microsoft.com/office/drawing/2014/main" id="{92147F8C-B21D-418B-84E0-AFF77349BEFA}"/>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5" name="TextBox 344">
          <a:extLst>
            <a:ext uri="{FF2B5EF4-FFF2-40B4-BE49-F238E27FC236}">
              <a16:creationId xmlns:a16="http://schemas.microsoft.com/office/drawing/2014/main" id="{AAAB2579-A61D-4579-BA6D-A2B5E0AF22B2}"/>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6" name="TextBox 345">
          <a:extLst>
            <a:ext uri="{FF2B5EF4-FFF2-40B4-BE49-F238E27FC236}">
              <a16:creationId xmlns:a16="http://schemas.microsoft.com/office/drawing/2014/main" id="{F457F9BD-061F-4AF7-B63F-D056446BAA07}"/>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69</xdr:row>
      <xdr:rowOff>0</xdr:rowOff>
    </xdr:from>
    <xdr:ext cx="65" cy="172227"/>
    <xdr:sp macro="" textlink="">
      <xdr:nvSpPr>
        <xdr:cNvPr id="347" name="TextBox 346">
          <a:extLst>
            <a:ext uri="{FF2B5EF4-FFF2-40B4-BE49-F238E27FC236}">
              <a16:creationId xmlns:a16="http://schemas.microsoft.com/office/drawing/2014/main" id="{F81ECB8D-FAFA-4711-84EA-3F4D0341C115}"/>
            </a:ext>
          </a:extLst>
        </xdr:cNvPr>
        <xdr:cNvSpPr txBox="1"/>
      </xdr:nvSpPr>
      <xdr:spPr>
        <a:xfrm flipH="1">
          <a:off x="6344444" y="2382242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3D46DEB0-72E4-45B9-B0F4-5F5FBDE6BAA1}"/>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5BC86D73-A2C4-42BD-B9D7-6651AA5C48C9}"/>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F528F285-0F82-4EBC-8057-C017A84E160E}"/>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D4DD67D7-F57D-49A7-82F4-655FE01E19B7}"/>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CC2676DC-0577-4C69-A724-C7C88DB09909}"/>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0C82B5CC-0591-4EE5-A3A6-8EDB822E911C}"/>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11511DEA-47CA-483F-9F1F-22E015238DBC}"/>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1BDD182F-C4BB-4A72-8B82-F8D36DE49591}"/>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EAA31E54-B2E1-418A-A781-103859BE1392}"/>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E20BA661-F6EF-4EE6-9439-A640E6E183DD}"/>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03EEA62-14CA-47BC-92A4-6717280050CD}"/>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4284CC45-E98E-4F26-B710-512CC010789C}"/>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9F2E9CB9-2BF6-48EC-860B-2FD1B8A75C07}"/>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911584F-49E1-4D70-8F6D-73AB604DB38F}"/>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2" name="TextBox 361">
          <a:extLst>
            <a:ext uri="{FF2B5EF4-FFF2-40B4-BE49-F238E27FC236}">
              <a16:creationId xmlns:a16="http://schemas.microsoft.com/office/drawing/2014/main" id="{D3E6748D-4503-43E0-9DA3-6BC3801CA43B}"/>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3" name="TextBox 362">
          <a:extLst>
            <a:ext uri="{FF2B5EF4-FFF2-40B4-BE49-F238E27FC236}">
              <a16:creationId xmlns:a16="http://schemas.microsoft.com/office/drawing/2014/main" id="{801B3279-E012-44EF-8434-A6010771C908}"/>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4" name="TextBox 363">
          <a:extLst>
            <a:ext uri="{FF2B5EF4-FFF2-40B4-BE49-F238E27FC236}">
              <a16:creationId xmlns:a16="http://schemas.microsoft.com/office/drawing/2014/main" id="{F4BE6AD8-AEF1-49D0-882F-4FC8238B6514}"/>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5" name="TextBox 364">
          <a:extLst>
            <a:ext uri="{FF2B5EF4-FFF2-40B4-BE49-F238E27FC236}">
              <a16:creationId xmlns:a16="http://schemas.microsoft.com/office/drawing/2014/main" id="{941A23C7-E104-4101-8F89-DA2630F5F0BA}"/>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6" name="TextBox 365">
          <a:extLst>
            <a:ext uri="{FF2B5EF4-FFF2-40B4-BE49-F238E27FC236}">
              <a16:creationId xmlns:a16="http://schemas.microsoft.com/office/drawing/2014/main" id="{941498D6-A417-40FE-9F10-75C6544F57F1}"/>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7" name="TextBox 366">
          <a:extLst>
            <a:ext uri="{FF2B5EF4-FFF2-40B4-BE49-F238E27FC236}">
              <a16:creationId xmlns:a16="http://schemas.microsoft.com/office/drawing/2014/main" id="{750F209C-B162-4858-9F25-03600136466D}"/>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8" name="TextBox 367">
          <a:extLst>
            <a:ext uri="{FF2B5EF4-FFF2-40B4-BE49-F238E27FC236}">
              <a16:creationId xmlns:a16="http://schemas.microsoft.com/office/drawing/2014/main" id="{0C2F4FBB-E362-428E-9A35-9DA88E637EF8}"/>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69" name="TextBox 368">
          <a:extLst>
            <a:ext uri="{FF2B5EF4-FFF2-40B4-BE49-F238E27FC236}">
              <a16:creationId xmlns:a16="http://schemas.microsoft.com/office/drawing/2014/main" id="{822A4206-4C03-4D2B-A99B-02490F1F5706}"/>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0" name="TextBox 369">
          <a:extLst>
            <a:ext uri="{FF2B5EF4-FFF2-40B4-BE49-F238E27FC236}">
              <a16:creationId xmlns:a16="http://schemas.microsoft.com/office/drawing/2014/main" id="{87F6094B-F7AE-4610-A230-EBE2806C2FBE}"/>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1" name="TextBox 370">
          <a:extLst>
            <a:ext uri="{FF2B5EF4-FFF2-40B4-BE49-F238E27FC236}">
              <a16:creationId xmlns:a16="http://schemas.microsoft.com/office/drawing/2014/main" id="{A2C92274-4178-4DAE-BEA7-D2F6490CA080}"/>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2" name="TextBox 371">
          <a:extLst>
            <a:ext uri="{FF2B5EF4-FFF2-40B4-BE49-F238E27FC236}">
              <a16:creationId xmlns:a16="http://schemas.microsoft.com/office/drawing/2014/main" id="{B6DCF580-9841-456E-90DB-6A8856158327}"/>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3" name="TextBox 372">
          <a:extLst>
            <a:ext uri="{FF2B5EF4-FFF2-40B4-BE49-F238E27FC236}">
              <a16:creationId xmlns:a16="http://schemas.microsoft.com/office/drawing/2014/main" id="{9D0E4EC8-B8EA-482C-91C3-08D47C9409B4}"/>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4" name="TextBox 373">
          <a:extLst>
            <a:ext uri="{FF2B5EF4-FFF2-40B4-BE49-F238E27FC236}">
              <a16:creationId xmlns:a16="http://schemas.microsoft.com/office/drawing/2014/main" id="{06B60D7C-BC4F-4039-AAA0-CD5C659388A4}"/>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5" name="TextBox 374">
          <a:extLst>
            <a:ext uri="{FF2B5EF4-FFF2-40B4-BE49-F238E27FC236}">
              <a16:creationId xmlns:a16="http://schemas.microsoft.com/office/drawing/2014/main" id="{92BCEAE4-4353-41F2-B6F1-F8D37D778C08}"/>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6" name="TextBox 375">
          <a:extLst>
            <a:ext uri="{FF2B5EF4-FFF2-40B4-BE49-F238E27FC236}">
              <a16:creationId xmlns:a16="http://schemas.microsoft.com/office/drawing/2014/main" id="{2250F3A7-530A-4B79-81E7-B49CEF6A32C5}"/>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7" name="TextBox 376">
          <a:extLst>
            <a:ext uri="{FF2B5EF4-FFF2-40B4-BE49-F238E27FC236}">
              <a16:creationId xmlns:a16="http://schemas.microsoft.com/office/drawing/2014/main" id="{59448483-F3A0-4112-AF30-F65607FD8BF3}"/>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8" name="TextBox 377">
          <a:extLst>
            <a:ext uri="{FF2B5EF4-FFF2-40B4-BE49-F238E27FC236}">
              <a16:creationId xmlns:a16="http://schemas.microsoft.com/office/drawing/2014/main" id="{500A8914-E9A0-4790-9002-B19E72B66283}"/>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79" name="TextBox 378">
          <a:extLst>
            <a:ext uri="{FF2B5EF4-FFF2-40B4-BE49-F238E27FC236}">
              <a16:creationId xmlns:a16="http://schemas.microsoft.com/office/drawing/2014/main" id="{6E2C85C6-D491-482D-A144-A1C3CA25485F}"/>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0" name="TextBox 379">
          <a:extLst>
            <a:ext uri="{FF2B5EF4-FFF2-40B4-BE49-F238E27FC236}">
              <a16:creationId xmlns:a16="http://schemas.microsoft.com/office/drawing/2014/main" id="{A2A1CFC7-2B1F-4CEC-8B9B-4040B9FCBF5A}"/>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1" name="TextBox 380">
          <a:extLst>
            <a:ext uri="{FF2B5EF4-FFF2-40B4-BE49-F238E27FC236}">
              <a16:creationId xmlns:a16="http://schemas.microsoft.com/office/drawing/2014/main" id="{B33A2441-CB23-426C-B1B8-1C4A369BA296}"/>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2" name="TextBox 381">
          <a:extLst>
            <a:ext uri="{FF2B5EF4-FFF2-40B4-BE49-F238E27FC236}">
              <a16:creationId xmlns:a16="http://schemas.microsoft.com/office/drawing/2014/main" id="{57B48B21-66D6-43B8-B285-F5C4A0D7C8E6}"/>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3" name="TextBox 382">
          <a:extLst>
            <a:ext uri="{FF2B5EF4-FFF2-40B4-BE49-F238E27FC236}">
              <a16:creationId xmlns:a16="http://schemas.microsoft.com/office/drawing/2014/main" id="{62CB95DF-D2F1-46B6-B9A0-5BC052123B74}"/>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4" name="TextBox 383">
          <a:extLst>
            <a:ext uri="{FF2B5EF4-FFF2-40B4-BE49-F238E27FC236}">
              <a16:creationId xmlns:a16="http://schemas.microsoft.com/office/drawing/2014/main" id="{78D0C525-DBDC-4379-87FF-3913D69BD45C}"/>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5" name="TextBox 384">
          <a:extLst>
            <a:ext uri="{FF2B5EF4-FFF2-40B4-BE49-F238E27FC236}">
              <a16:creationId xmlns:a16="http://schemas.microsoft.com/office/drawing/2014/main" id="{449FC727-97DD-413D-90B4-ACFF049BBD21}"/>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6" name="TextBox 385">
          <a:extLst>
            <a:ext uri="{FF2B5EF4-FFF2-40B4-BE49-F238E27FC236}">
              <a16:creationId xmlns:a16="http://schemas.microsoft.com/office/drawing/2014/main" id="{4B4E0DEC-CDEF-4451-886C-DE2F4AD93A0A}"/>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7" name="TextBox 386">
          <a:extLst>
            <a:ext uri="{FF2B5EF4-FFF2-40B4-BE49-F238E27FC236}">
              <a16:creationId xmlns:a16="http://schemas.microsoft.com/office/drawing/2014/main" id="{376C5D83-4E80-43D0-A3ED-DE132800F3B6}"/>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8" name="TextBox 387">
          <a:extLst>
            <a:ext uri="{FF2B5EF4-FFF2-40B4-BE49-F238E27FC236}">
              <a16:creationId xmlns:a16="http://schemas.microsoft.com/office/drawing/2014/main" id="{7A6EA4D7-227D-4558-A2A6-40FECDCDDB93}"/>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89" name="TextBox 388">
          <a:extLst>
            <a:ext uri="{FF2B5EF4-FFF2-40B4-BE49-F238E27FC236}">
              <a16:creationId xmlns:a16="http://schemas.microsoft.com/office/drawing/2014/main" id="{5145B96F-A3BD-4473-8156-0F68B4958EF1}"/>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90" name="TextBox 389">
          <a:extLst>
            <a:ext uri="{FF2B5EF4-FFF2-40B4-BE49-F238E27FC236}">
              <a16:creationId xmlns:a16="http://schemas.microsoft.com/office/drawing/2014/main" id="{8220286B-FDEE-4BD8-836A-91BDF228871F}"/>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72</xdr:row>
      <xdr:rowOff>0</xdr:rowOff>
    </xdr:from>
    <xdr:ext cx="65" cy="172227"/>
    <xdr:sp macro="" textlink="">
      <xdr:nvSpPr>
        <xdr:cNvPr id="391" name="TextBox 390">
          <a:extLst>
            <a:ext uri="{FF2B5EF4-FFF2-40B4-BE49-F238E27FC236}">
              <a16:creationId xmlns:a16="http://schemas.microsoft.com/office/drawing/2014/main" id="{1472A6D1-BDF7-473D-AC97-A3F7357529B0}"/>
            </a:ext>
          </a:extLst>
        </xdr:cNvPr>
        <xdr:cNvSpPr txBox="1"/>
      </xdr:nvSpPr>
      <xdr:spPr>
        <a:xfrm flipH="1">
          <a:off x="6344444" y="249535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4</xdr:col>
      <xdr:colOff>331304</xdr:colOff>
      <xdr:row>4</xdr:row>
      <xdr:rowOff>621195</xdr:rowOff>
    </xdr:from>
    <xdr:to>
      <xdr:col>5</xdr:col>
      <xdr:colOff>571499</xdr:colOff>
      <xdr:row>10</xdr:row>
      <xdr:rowOff>74913</xdr:rowOff>
    </xdr:to>
    <xdr:pic>
      <xdr:nvPicPr>
        <xdr:cNvPr id="2" name="Picture 1" descr="C:\Users\yghannam\Desktop\New Identity\الشعارات\PNG\NewLogo.png">
          <a:extLst>
            <a:ext uri="{FF2B5EF4-FFF2-40B4-BE49-F238E27FC236}">
              <a16:creationId xmlns:a16="http://schemas.microsoft.com/office/drawing/2014/main" id="{A5D37C56-F59D-4F5B-8B74-11DCA8914A4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00186151" y="1507020"/>
          <a:ext cx="954570" cy="1272993"/>
        </a:xfrm>
        <a:prstGeom prst="rect">
          <a:avLst/>
        </a:prstGeom>
        <a:noFill/>
        <a:ln>
          <a:noFill/>
        </a:ln>
      </xdr:spPr>
    </xdr:pic>
    <xdr:clientData/>
  </xdr:twoCellAnchor>
  <xdr:twoCellAnchor editAs="oneCell">
    <xdr:from>
      <xdr:col>12</xdr:col>
      <xdr:colOff>207065</xdr:colOff>
      <xdr:row>4</xdr:row>
      <xdr:rowOff>612912</xdr:rowOff>
    </xdr:from>
    <xdr:to>
      <xdr:col>13</xdr:col>
      <xdr:colOff>447261</xdr:colOff>
      <xdr:row>10</xdr:row>
      <xdr:rowOff>74546</xdr:rowOff>
    </xdr:to>
    <xdr:pic>
      <xdr:nvPicPr>
        <xdr:cNvPr id="3" name="Picture 2" descr="C:\Users\yghannam\Desktop\New Identity\الشعارات\PNG\NewLogo.png">
          <a:extLst>
            <a:ext uri="{FF2B5EF4-FFF2-40B4-BE49-F238E27FC236}">
              <a16:creationId xmlns:a16="http://schemas.microsoft.com/office/drawing/2014/main" id="{C81446BC-0C58-4876-8DFB-5D2E714E5E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94671589" y="1498737"/>
          <a:ext cx="954571" cy="1280909"/>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609600</xdr:colOff>
      <xdr:row>117</xdr:row>
      <xdr:rowOff>0</xdr:rowOff>
    </xdr:from>
    <xdr:ext cx="65" cy="172227"/>
    <xdr:sp macro="" textlink="">
      <xdr:nvSpPr>
        <xdr:cNvPr id="2" name="TextBox 1">
          <a:extLst>
            <a:ext uri="{FF2B5EF4-FFF2-40B4-BE49-F238E27FC236}">
              <a16:creationId xmlns:a16="http://schemas.microsoft.com/office/drawing/2014/main" id="{417393BE-D7D0-4D31-98D5-0BF302DC399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 name="TextBox 2">
          <a:extLst>
            <a:ext uri="{FF2B5EF4-FFF2-40B4-BE49-F238E27FC236}">
              <a16:creationId xmlns:a16="http://schemas.microsoft.com/office/drawing/2014/main" id="{0A292010-A335-4A1F-82DB-32CDFCCE5AE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 name="TextBox 3">
          <a:extLst>
            <a:ext uri="{FF2B5EF4-FFF2-40B4-BE49-F238E27FC236}">
              <a16:creationId xmlns:a16="http://schemas.microsoft.com/office/drawing/2014/main" id="{A2B817F0-8529-4A95-836F-41692812BCE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 name="TextBox 4">
          <a:extLst>
            <a:ext uri="{FF2B5EF4-FFF2-40B4-BE49-F238E27FC236}">
              <a16:creationId xmlns:a16="http://schemas.microsoft.com/office/drawing/2014/main" id="{78E57AEA-B9C2-464E-A66B-24F6BF91811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 name="TextBox 5">
          <a:extLst>
            <a:ext uri="{FF2B5EF4-FFF2-40B4-BE49-F238E27FC236}">
              <a16:creationId xmlns:a16="http://schemas.microsoft.com/office/drawing/2014/main" id="{B64D19AB-7944-4C33-A239-CB58FEE3187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 name="TextBox 6">
          <a:extLst>
            <a:ext uri="{FF2B5EF4-FFF2-40B4-BE49-F238E27FC236}">
              <a16:creationId xmlns:a16="http://schemas.microsoft.com/office/drawing/2014/main" id="{ADF056B2-839D-43CA-B499-9E87C2BC608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 name="TextBox 7">
          <a:extLst>
            <a:ext uri="{FF2B5EF4-FFF2-40B4-BE49-F238E27FC236}">
              <a16:creationId xmlns:a16="http://schemas.microsoft.com/office/drawing/2014/main" id="{9412E69C-C828-4F13-8E14-E9CDFF80A66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 name="TextBox 8">
          <a:extLst>
            <a:ext uri="{FF2B5EF4-FFF2-40B4-BE49-F238E27FC236}">
              <a16:creationId xmlns:a16="http://schemas.microsoft.com/office/drawing/2014/main" id="{B74C7153-35BE-48AB-975C-4E39CA24CD4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 name="TextBox 9">
          <a:extLst>
            <a:ext uri="{FF2B5EF4-FFF2-40B4-BE49-F238E27FC236}">
              <a16:creationId xmlns:a16="http://schemas.microsoft.com/office/drawing/2014/main" id="{E0A83359-E4DA-4664-B9A8-2E3E387AEC1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 name="TextBox 10">
          <a:extLst>
            <a:ext uri="{FF2B5EF4-FFF2-40B4-BE49-F238E27FC236}">
              <a16:creationId xmlns:a16="http://schemas.microsoft.com/office/drawing/2014/main" id="{A18A5D3D-AB6E-43ED-9C90-F7CAB259E8C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 name="TextBox 11">
          <a:extLst>
            <a:ext uri="{FF2B5EF4-FFF2-40B4-BE49-F238E27FC236}">
              <a16:creationId xmlns:a16="http://schemas.microsoft.com/office/drawing/2014/main" id="{19658699-C570-4823-A1B7-C53FE36F472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 name="TextBox 12">
          <a:extLst>
            <a:ext uri="{FF2B5EF4-FFF2-40B4-BE49-F238E27FC236}">
              <a16:creationId xmlns:a16="http://schemas.microsoft.com/office/drawing/2014/main" id="{C6CB8997-0636-4AFB-9E37-E2C5F7F7FDA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 name="TextBox 13">
          <a:extLst>
            <a:ext uri="{FF2B5EF4-FFF2-40B4-BE49-F238E27FC236}">
              <a16:creationId xmlns:a16="http://schemas.microsoft.com/office/drawing/2014/main" id="{65C1B21F-217B-440D-95A1-C24DB51237B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 name="TextBox 14">
          <a:extLst>
            <a:ext uri="{FF2B5EF4-FFF2-40B4-BE49-F238E27FC236}">
              <a16:creationId xmlns:a16="http://schemas.microsoft.com/office/drawing/2014/main" id="{C1CC36E5-9ECB-4F58-96D8-D0764755212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 name="TextBox 15">
          <a:extLst>
            <a:ext uri="{FF2B5EF4-FFF2-40B4-BE49-F238E27FC236}">
              <a16:creationId xmlns:a16="http://schemas.microsoft.com/office/drawing/2014/main" id="{F5593DCF-63AA-4956-8741-DBA238E7684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 name="TextBox 16">
          <a:extLst>
            <a:ext uri="{FF2B5EF4-FFF2-40B4-BE49-F238E27FC236}">
              <a16:creationId xmlns:a16="http://schemas.microsoft.com/office/drawing/2014/main" id="{78B33756-08AF-48C8-885F-3A63D01C15A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 name="TextBox 17">
          <a:extLst>
            <a:ext uri="{FF2B5EF4-FFF2-40B4-BE49-F238E27FC236}">
              <a16:creationId xmlns:a16="http://schemas.microsoft.com/office/drawing/2014/main" id="{10D5FECE-B6F3-4506-A7EF-AD91D2CC83F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 name="TextBox 18">
          <a:extLst>
            <a:ext uri="{FF2B5EF4-FFF2-40B4-BE49-F238E27FC236}">
              <a16:creationId xmlns:a16="http://schemas.microsoft.com/office/drawing/2014/main" id="{766B6C90-135E-4A63-A63E-6956C77EBDA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 name="TextBox 19">
          <a:extLst>
            <a:ext uri="{FF2B5EF4-FFF2-40B4-BE49-F238E27FC236}">
              <a16:creationId xmlns:a16="http://schemas.microsoft.com/office/drawing/2014/main" id="{F4BD2034-C7AC-4945-9E54-CFDFB0BF51A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 name="TextBox 20">
          <a:extLst>
            <a:ext uri="{FF2B5EF4-FFF2-40B4-BE49-F238E27FC236}">
              <a16:creationId xmlns:a16="http://schemas.microsoft.com/office/drawing/2014/main" id="{BDD232EB-0A39-4670-A7A2-B657CD5A6D4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 name="TextBox 21">
          <a:extLst>
            <a:ext uri="{FF2B5EF4-FFF2-40B4-BE49-F238E27FC236}">
              <a16:creationId xmlns:a16="http://schemas.microsoft.com/office/drawing/2014/main" id="{01479C2D-DA6A-4948-85B7-B393352F830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 name="TextBox 22">
          <a:extLst>
            <a:ext uri="{FF2B5EF4-FFF2-40B4-BE49-F238E27FC236}">
              <a16:creationId xmlns:a16="http://schemas.microsoft.com/office/drawing/2014/main" id="{74AFFBD9-AEE7-483E-A9CF-A7EE3D2AABA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 name="TextBox 23">
          <a:extLst>
            <a:ext uri="{FF2B5EF4-FFF2-40B4-BE49-F238E27FC236}">
              <a16:creationId xmlns:a16="http://schemas.microsoft.com/office/drawing/2014/main" id="{106FE424-7B8A-49B7-809E-C917AA1C529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 name="TextBox 24">
          <a:extLst>
            <a:ext uri="{FF2B5EF4-FFF2-40B4-BE49-F238E27FC236}">
              <a16:creationId xmlns:a16="http://schemas.microsoft.com/office/drawing/2014/main" id="{FE92FC71-089B-458E-B481-895605B3D84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 name="TextBox 25">
          <a:extLst>
            <a:ext uri="{FF2B5EF4-FFF2-40B4-BE49-F238E27FC236}">
              <a16:creationId xmlns:a16="http://schemas.microsoft.com/office/drawing/2014/main" id="{49396325-DA58-40F3-A1A4-680D1C918A7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 name="TextBox 26">
          <a:extLst>
            <a:ext uri="{FF2B5EF4-FFF2-40B4-BE49-F238E27FC236}">
              <a16:creationId xmlns:a16="http://schemas.microsoft.com/office/drawing/2014/main" id="{9C326F35-BB98-4F03-B0D5-1F33EF271B9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 name="TextBox 27">
          <a:extLst>
            <a:ext uri="{FF2B5EF4-FFF2-40B4-BE49-F238E27FC236}">
              <a16:creationId xmlns:a16="http://schemas.microsoft.com/office/drawing/2014/main" id="{43C288A7-AB97-48F0-A9CB-055A942AD08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 name="TextBox 28">
          <a:extLst>
            <a:ext uri="{FF2B5EF4-FFF2-40B4-BE49-F238E27FC236}">
              <a16:creationId xmlns:a16="http://schemas.microsoft.com/office/drawing/2014/main" id="{8F76FAAB-F241-4DBB-B9DA-4647B523BAF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 name="TextBox 29">
          <a:extLst>
            <a:ext uri="{FF2B5EF4-FFF2-40B4-BE49-F238E27FC236}">
              <a16:creationId xmlns:a16="http://schemas.microsoft.com/office/drawing/2014/main" id="{D4EE1682-E185-424F-9147-410D6BF408C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 name="TextBox 30">
          <a:extLst>
            <a:ext uri="{FF2B5EF4-FFF2-40B4-BE49-F238E27FC236}">
              <a16:creationId xmlns:a16="http://schemas.microsoft.com/office/drawing/2014/main" id="{932C03CA-748D-4692-AB4D-BAB69B9E352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 name="TextBox 31">
          <a:extLst>
            <a:ext uri="{FF2B5EF4-FFF2-40B4-BE49-F238E27FC236}">
              <a16:creationId xmlns:a16="http://schemas.microsoft.com/office/drawing/2014/main" id="{50DCF561-CECD-4D88-9C6F-F46410A86C4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 name="TextBox 32">
          <a:extLst>
            <a:ext uri="{FF2B5EF4-FFF2-40B4-BE49-F238E27FC236}">
              <a16:creationId xmlns:a16="http://schemas.microsoft.com/office/drawing/2014/main" id="{BB20FE7E-2F63-4749-91AB-7D311698ECA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 name="TextBox 33">
          <a:extLst>
            <a:ext uri="{FF2B5EF4-FFF2-40B4-BE49-F238E27FC236}">
              <a16:creationId xmlns:a16="http://schemas.microsoft.com/office/drawing/2014/main" id="{C7E36914-DDF5-43FC-A83C-F4E2C72720C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5" name="TextBox 34">
          <a:extLst>
            <a:ext uri="{FF2B5EF4-FFF2-40B4-BE49-F238E27FC236}">
              <a16:creationId xmlns:a16="http://schemas.microsoft.com/office/drawing/2014/main" id="{C7C3ECDB-F31A-40AB-920A-C7712F53B91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6" name="TextBox 35">
          <a:extLst>
            <a:ext uri="{FF2B5EF4-FFF2-40B4-BE49-F238E27FC236}">
              <a16:creationId xmlns:a16="http://schemas.microsoft.com/office/drawing/2014/main" id="{98FCCFC0-6543-4B0B-9293-AFA3237D662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7" name="TextBox 36">
          <a:extLst>
            <a:ext uri="{FF2B5EF4-FFF2-40B4-BE49-F238E27FC236}">
              <a16:creationId xmlns:a16="http://schemas.microsoft.com/office/drawing/2014/main" id="{E8D595AD-D9D4-4278-80A0-DCD62657DF6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8" name="TextBox 37">
          <a:extLst>
            <a:ext uri="{FF2B5EF4-FFF2-40B4-BE49-F238E27FC236}">
              <a16:creationId xmlns:a16="http://schemas.microsoft.com/office/drawing/2014/main" id="{1976DC17-25A4-4453-AD97-5021619DA2E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9" name="TextBox 38">
          <a:extLst>
            <a:ext uri="{FF2B5EF4-FFF2-40B4-BE49-F238E27FC236}">
              <a16:creationId xmlns:a16="http://schemas.microsoft.com/office/drawing/2014/main" id="{DA910E74-126E-4AB4-AD50-FC6ED0F737E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0" name="TextBox 39">
          <a:extLst>
            <a:ext uri="{FF2B5EF4-FFF2-40B4-BE49-F238E27FC236}">
              <a16:creationId xmlns:a16="http://schemas.microsoft.com/office/drawing/2014/main" id="{7DCBCD41-D513-48C7-A261-221EAFC0CE3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1" name="TextBox 40">
          <a:extLst>
            <a:ext uri="{FF2B5EF4-FFF2-40B4-BE49-F238E27FC236}">
              <a16:creationId xmlns:a16="http://schemas.microsoft.com/office/drawing/2014/main" id="{39472527-0E3E-4037-9E47-D71D9AB054A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2" name="TextBox 41">
          <a:extLst>
            <a:ext uri="{FF2B5EF4-FFF2-40B4-BE49-F238E27FC236}">
              <a16:creationId xmlns:a16="http://schemas.microsoft.com/office/drawing/2014/main" id="{FE6280F1-F9D1-41A7-ABEF-97CA037482E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3" name="TextBox 42">
          <a:extLst>
            <a:ext uri="{FF2B5EF4-FFF2-40B4-BE49-F238E27FC236}">
              <a16:creationId xmlns:a16="http://schemas.microsoft.com/office/drawing/2014/main" id="{DA84707D-8811-429B-AF99-93C0906C226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4" name="TextBox 43">
          <a:extLst>
            <a:ext uri="{FF2B5EF4-FFF2-40B4-BE49-F238E27FC236}">
              <a16:creationId xmlns:a16="http://schemas.microsoft.com/office/drawing/2014/main" id="{87B7EF9D-7D4C-49DB-A843-EB7E522E669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5" name="TextBox 44">
          <a:extLst>
            <a:ext uri="{FF2B5EF4-FFF2-40B4-BE49-F238E27FC236}">
              <a16:creationId xmlns:a16="http://schemas.microsoft.com/office/drawing/2014/main" id="{553C4688-FD02-40FA-A1EB-9960DE5A777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6" name="TextBox 45">
          <a:extLst>
            <a:ext uri="{FF2B5EF4-FFF2-40B4-BE49-F238E27FC236}">
              <a16:creationId xmlns:a16="http://schemas.microsoft.com/office/drawing/2014/main" id="{9E756185-506C-41C3-BC71-66873335D69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7" name="TextBox 46">
          <a:extLst>
            <a:ext uri="{FF2B5EF4-FFF2-40B4-BE49-F238E27FC236}">
              <a16:creationId xmlns:a16="http://schemas.microsoft.com/office/drawing/2014/main" id="{D5107FDB-6A7C-462A-A66D-2C391CCA9F9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8" name="TextBox 47">
          <a:extLst>
            <a:ext uri="{FF2B5EF4-FFF2-40B4-BE49-F238E27FC236}">
              <a16:creationId xmlns:a16="http://schemas.microsoft.com/office/drawing/2014/main" id="{7760EB24-5E36-4A4F-B551-41D54F0A0F1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49" name="TextBox 48">
          <a:extLst>
            <a:ext uri="{FF2B5EF4-FFF2-40B4-BE49-F238E27FC236}">
              <a16:creationId xmlns:a16="http://schemas.microsoft.com/office/drawing/2014/main" id="{20051740-75DE-40C7-A8FC-BE93DA303FE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0" name="TextBox 49">
          <a:extLst>
            <a:ext uri="{FF2B5EF4-FFF2-40B4-BE49-F238E27FC236}">
              <a16:creationId xmlns:a16="http://schemas.microsoft.com/office/drawing/2014/main" id="{5B443BB6-3DFF-4611-9684-67E420BB47F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1" name="TextBox 50">
          <a:extLst>
            <a:ext uri="{FF2B5EF4-FFF2-40B4-BE49-F238E27FC236}">
              <a16:creationId xmlns:a16="http://schemas.microsoft.com/office/drawing/2014/main" id="{AD73DA81-A6AA-4DA9-9CF3-BC14C019835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2" name="TextBox 51">
          <a:extLst>
            <a:ext uri="{FF2B5EF4-FFF2-40B4-BE49-F238E27FC236}">
              <a16:creationId xmlns:a16="http://schemas.microsoft.com/office/drawing/2014/main" id="{B81DFBC1-318D-4D3C-B8C9-84317DB750A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3" name="TextBox 52">
          <a:extLst>
            <a:ext uri="{FF2B5EF4-FFF2-40B4-BE49-F238E27FC236}">
              <a16:creationId xmlns:a16="http://schemas.microsoft.com/office/drawing/2014/main" id="{D6CB6089-5057-4246-BDDA-71CB15982D4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4" name="TextBox 53">
          <a:extLst>
            <a:ext uri="{FF2B5EF4-FFF2-40B4-BE49-F238E27FC236}">
              <a16:creationId xmlns:a16="http://schemas.microsoft.com/office/drawing/2014/main" id="{2D1ED949-FF37-4B4F-A92F-3B373E010FB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5" name="TextBox 54">
          <a:extLst>
            <a:ext uri="{FF2B5EF4-FFF2-40B4-BE49-F238E27FC236}">
              <a16:creationId xmlns:a16="http://schemas.microsoft.com/office/drawing/2014/main" id="{823401EC-AE50-4B74-8F7D-4ED2ADD6F30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6" name="TextBox 55">
          <a:extLst>
            <a:ext uri="{FF2B5EF4-FFF2-40B4-BE49-F238E27FC236}">
              <a16:creationId xmlns:a16="http://schemas.microsoft.com/office/drawing/2014/main" id="{61C3A913-31AF-4AC2-951F-7F57CA788B9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7" name="TextBox 56">
          <a:extLst>
            <a:ext uri="{FF2B5EF4-FFF2-40B4-BE49-F238E27FC236}">
              <a16:creationId xmlns:a16="http://schemas.microsoft.com/office/drawing/2014/main" id="{F7E06D3F-455A-4346-93A4-59740AA353A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8" name="TextBox 57">
          <a:extLst>
            <a:ext uri="{FF2B5EF4-FFF2-40B4-BE49-F238E27FC236}">
              <a16:creationId xmlns:a16="http://schemas.microsoft.com/office/drawing/2014/main" id="{8B088F0D-E4F8-49B6-AB70-09E502FC6AC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59" name="TextBox 58">
          <a:extLst>
            <a:ext uri="{FF2B5EF4-FFF2-40B4-BE49-F238E27FC236}">
              <a16:creationId xmlns:a16="http://schemas.microsoft.com/office/drawing/2014/main" id="{E7BF2FA7-CF63-4CD1-98F8-3D70E4B4EAB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0" name="TextBox 59">
          <a:extLst>
            <a:ext uri="{FF2B5EF4-FFF2-40B4-BE49-F238E27FC236}">
              <a16:creationId xmlns:a16="http://schemas.microsoft.com/office/drawing/2014/main" id="{2423557E-2038-4DB2-B742-FC784DE0F93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1" name="TextBox 60">
          <a:extLst>
            <a:ext uri="{FF2B5EF4-FFF2-40B4-BE49-F238E27FC236}">
              <a16:creationId xmlns:a16="http://schemas.microsoft.com/office/drawing/2014/main" id="{7F123EBA-9EEC-422B-A018-B11844095C4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2" name="TextBox 61">
          <a:extLst>
            <a:ext uri="{FF2B5EF4-FFF2-40B4-BE49-F238E27FC236}">
              <a16:creationId xmlns:a16="http://schemas.microsoft.com/office/drawing/2014/main" id="{A39B8D15-3DF9-49DF-A134-ADC0E09CB10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3" name="TextBox 62">
          <a:extLst>
            <a:ext uri="{FF2B5EF4-FFF2-40B4-BE49-F238E27FC236}">
              <a16:creationId xmlns:a16="http://schemas.microsoft.com/office/drawing/2014/main" id="{A792E13E-DB2C-4E44-9D0B-9E82B84D8CF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4" name="TextBox 63">
          <a:extLst>
            <a:ext uri="{FF2B5EF4-FFF2-40B4-BE49-F238E27FC236}">
              <a16:creationId xmlns:a16="http://schemas.microsoft.com/office/drawing/2014/main" id="{62B82392-1035-4195-ABDB-60C89E4A627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5" name="TextBox 64">
          <a:extLst>
            <a:ext uri="{FF2B5EF4-FFF2-40B4-BE49-F238E27FC236}">
              <a16:creationId xmlns:a16="http://schemas.microsoft.com/office/drawing/2014/main" id="{B9FFAAD0-0661-45A0-AA9A-82FF5E6590B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6" name="TextBox 65">
          <a:extLst>
            <a:ext uri="{FF2B5EF4-FFF2-40B4-BE49-F238E27FC236}">
              <a16:creationId xmlns:a16="http://schemas.microsoft.com/office/drawing/2014/main" id="{D23FC871-33B2-42C0-AF74-A18AB1AD03C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7" name="TextBox 66">
          <a:extLst>
            <a:ext uri="{FF2B5EF4-FFF2-40B4-BE49-F238E27FC236}">
              <a16:creationId xmlns:a16="http://schemas.microsoft.com/office/drawing/2014/main" id="{BB2A2296-C460-4ADC-95C1-52B207216C5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8" name="TextBox 67">
          <a:extLst>
            <a:ext uri="{FF2B5EF4-FFF2-40B4-BE49-F238E27FC236}">
              <a16:creationId xmlns:a16="http://schemas.microsoft.com/office/drawing/2014/main" id="{5A067FE6-BDAA-4205-BC8E-C16C1A8B9CE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69" name="TextBox 68">
          <a:extLst>
            <a:ext uri="{FF2B5EF4-FFF2-40B4-BE49-F238E27FC236}">
              <a16:creationId xmlns:a16="http://schemas.microsoft.com/office/drawing/2014/main" id="{69813C84-B163-493D-9A41-053B41F5A78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0" name="TextBox 69">
          <a:extLst>
            <a:ext uri="{FF2B5EF4-FFF2-40B4-BE49-F238E27FC236}">
              <a16:creationId xmlns:a16="http://schemas.microsoft.com/office/drawing/2014/main" id="{5B4CDDE5-0B4D-42C3-AB95-DD4716A541A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1" name="TextBox 70">
          <a:extLst>
            <a:ext uri="{FF2B5EF4-FFF2-40B4-BE49-F238E27FC236}">
              <a16:creationId xmlns:a16="http://schemas.microsoft.com/office/drawing/2014/main" id="{8119FAD0-C464-42CB-A64C-1C46ACFAA60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2" name="TextBox 71">
          <a:extLst>
            <a:ext uri="{FF2B5EF4-FFF2-40B4-BE49-F238E27FC236}">
              <a16:creationId xmlns:a16="http://schemas.microsoft.com/office/drawing/2014/main" id="{7B718887-D609-4C6F-95CB-D93BEA71540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3" name="TextBox 72">
          <a:extLst>
            <a:ext uri="{FF2B5EF4-FFF2-40B4-BE49-F238E27FC236}">
              <a16:creationId xmlns:a16="http://schemas.microsoft.com/office/drawing/2014/main" id="{977EEE36-9DD4-45B6-B759-25C7C444257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4" name="TextBox 73">
          <a:extLst>
            <a:ext uri="{FF2B5EF4-FFF2-40B4-BE49-F238E27FC236}">
              <a16:creationId xmlns:a16="http://schemas.microsoft.com/office/drawing/2014/main" id="{FCFC3F0B-78EF-4768-B753-7B2085AA0D1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5" name="TextBox 74">
          <a:extLst>
            <a:ext uri="{FF2B5EF4-FFF2-40B4-BE49-F238E27FC236}">
              <a16:creationId xmlns:a16="http://schemas.microsoft.com/office/drawing/2014/main" id="{FCFF864B-187C-4FF1-ADA3-BFC797D809A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6" name="TextBox 75">
          <a:extLst>
            <a:ext uri="{FF2B5EF4-FFF2-40B4-BE49-F238E27FC236}">
              <a16:creationId xmlns:a16="http://schemas.microsoft.com/office/drawing/2014/main" id="{9CB9C690-6246-4612-B30F-DC6AE86B062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7" name="TextBox 76">
          <a:extLst>
            <a:ext uri="{FF2B5EF4-FFF2-40B4-BE49-F238E27FC236}">
              <a16:creationId xmlns:a16="http://schemas.microsoft.com/office/drawing/2014/main" id="{A8B607AD-C783-4ED9-B5D7-11886671BEE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8" name="TextBox 77">
          <a:extLst>
            <a:ext uri="{FF2B5EF4-FFF2-40B4-BE49-F238E27FC236}">
              <a16:creationId xmlns:a16="http://schemas.microsoft.com/office/drawing/2014/main" id="{C1519584-5CD5-4EA4-A7AD-47B4B08B3B3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79" name="TextBox 78">
          <a:extLst>
            <a:ext uri="{FF2B5EF4-FFF2-40B4-BE49-F238E27FC236}">
              <a16:creationId xmlns:a16="http://schemas.microsoft.com/office/drawing/2014/main" id="{6D7A28F9-89FD-407B-81DD-544B1E3DE8A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0" name="TextBox 79">
          <a:extLst>
            <a:ext uri="{FF2B5EF4-FFF2-40B4-BE49-F238E27FC236}">
              <a16:creationId xmlns:a16="http://schemas.microsoft.com/office/drawing/2014/main" id="{0CA5DACB-56E3-4251-AC8A-DCFAB8DA1F5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1" name="TextBox 80">
          <a:extLst>
            <a:ext uri="{FF2B5EF4-FFF2-40B4-BE49-F238E27FC236}">
              <a16:creationId xmlns:a16="http://schemas.microsoft.com/office/drawing/2014/main" id="{4D9E416D-C7A8-4067-87BE-9E467F4FD5B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2" name="TextBox 81">
          <a:extLst>
            <a:ext uri="{FF2B5EF4-FFF2-40B4-BE49-F238E27FC236}">
              <a16:creationId xmlns:a16="http://schemas.microsoft.com/office/drawing/2014/main" id="{796FC690-AA5C-430A-A492-D4B4C69B753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3" name="TextBox 82">
          <a:extLst>
            <a:ext uri="{FF2B5EF4-FFF2-40B4-BE49-F238E27FC236}">
              <a16:creationId xmlns:a16="http://schemas.microsoft.com/office/drawing/2014/main" id="{667D8222-EB07-4086-A29E-C6AF8727DAA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4" name="TextBox 83">
          <a:extLst>
            <a:ext uri="{FF2B5EF4-FFF2-40B4-BE49-F238E27FC236}">
              <a16:creationId xmlns:a16="http://schemas.microsoft.com/office/drawing/2014/main" id="{E76D9603-6CB7-48AE-8F5E-91BC0DB663F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5" name="TextBox 84">
          <a:extLst>
            <a:ext uri="{FF2B5EF4-FFF2-40B4-BE49-F238E27FC236}">
              <a16:creationId xmlns:a16="http://schemas.microsoft.com/office/drawing/2014/main" id="{7942F4FE-859A-4844-9BAA-DF9A52773A3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6" name="TextBox 85">
          <a:extLst>
            <a:ext uri="{FF2B5EF4-FFF2-40B4-BE49-F238E27FC236}">
              <a16:creationId xmlns:a16="http://schemas.microsoft.com/office/drawing/2014/main" id="{F4487A50-AD40-475E-AA8F-5A3984EDC46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7" name="TextBox 86">
          <a:extLst>
            <a:ext uri="{FF2B5EF4-FFF2-40B4-BE49-F238E27FC236}">
              <a16:creationId xmlns:a16="http://schemas.microsoft.com/office/drawing/2014/main" id="{4C34CC24-0CD4-4E68-AF41-26B675C940D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8" name="TextBox 87">
          <a:extLst>
            <a:ext uri="{FF2B5EF4-FFF2-40B4-BE49-F238E27FC236}">
              <a16:creationId xmlns:a16="http://schemas.microsoft.com/office/drawing/2014/main" id="{A815A496-A3BA-422A-9BF0-7244D2AA968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89" name="TextBox 88">
          <a:extLst>
            <a:ext uri="{FF2B5EF4-FFF2-40B4-BE49-F238E27FC236}">
              <a16:creationId xmlns:a16="http://schemas.microsoft.com/office/drawing/2014/main" id="{146CAA4D-B986-41A6-A730-15DA9C1A175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0" name="TextBox 89">
          <a:extLst>
            <a:ext uri="{FF2B5EF4-FFF2-40B4-BE49-F238E27FC236}">
              <a16:creationId xmlns:a16="http://schemas.microsoft.com/office/drawing/2014/main" id="{CDDCCEF7-16A0-4A33-A08E-C5326F4E0B2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1" name="TextBox 90">
          <a:extLst>
            <a:ext uri="{FF2B5EF4-FFF2-40B4-BE49-F238E27FC236}">
              <a16:creationId xmlns:a16="http://schemas.microsoft.com/office/drawing/2014/main" id="{C221FCCF-8868-4DD4-A3AB-4CA6ABD4602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2" name="TextBox 91">
          <a:extLst>
            <a:ext uri="{FF2B5EF4-FFF2-40B4-BE49-F238E27FC236}">
              <a16:creationId xmlns:a16="http://schemas.microsoft.com/office/drawing/2014/main" id="{40A80E4A-FA17-459A-8A62-143F144C3B8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3" name="TextBox 92">
          <a:extLst>
            <a:ext uri="{FF2B5EF4-FFF2-40B4-BE49-F238E27FC236}">
              <a16:creationId xmlns:a16="http://schemas.microsoft.com/office/drawing/2014/main" id="{65DA80DB-EA24-48D4-B499-D31F9E70074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4" name="TextBox 93">
          <a:extLst>
            <a:ext uri="{FF2B5EF4-FFF2-40B4-BE49-F238E27FC236}">
              <a16:creationId xmlns:a16="http://schemas.microsoft.com/office/drawing/2014/main" id="{6E676926-B574-440C-BE37-CFAD2D5F2B4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5" name="TextBox 94">
          <a:extLst>
            <a:ext uri="{FF2B5EF4-FFF2-40B4-BE49-F238E27FC236}">
              <a16:creationId xmlns:a16="http://schemas.microsoft.com/office/drawing/2014/main" id="{71D3D61E-8D8A-4862-932F-743AA0456D8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6" name="TextBox 95">
          <a:extLst>
            <a:ext uri="{FF2B5EF4-FFF2-40B4-BE49-F238E27FC236}">
              <a16:creationId xmlns:a16="http://schemas.microsoft.com/office/drawing/2014/main" id="{93F1964D-9E4F-49D3-BD4B-CBDA3FC6649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7" name="TextBox 96">
          <a:extLst>
            <a:ext uri="{FF2B5EF4-FFF2-40B4-BE49-F238E27FC236}">
              <a16:creationId xmlns:a16="http://schemas.microsoft.com/office/drawing/2014/main" id="{21A56353-44E9-42B7-ACD1-F2D6B696545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8" name="TextBox 97">
          <a:extLst>
            <a:ext uri="{FF2B5EF4-FFF2-40B4-BE49-F238E27FC236}">
              <a16:creationId xmlns:a16="http://schemas.microsoft.com/office/drawing/2014/main" id="{6291B0E7-B289-49F3-B723-F6E0DFE40DA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99" name="TextBox 98">
          <a:extLst>
            <a:ext uri="{FF2B5EF4-FFF2-40B4-BE49-F238E27FC236}">
              <a16:creationId xmlns:a16="http://schemas.microsoft.com/office/drawing/2014/main" id="{68B1B413-3A7C-425A-A32F-85807656DC8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0" name="TextBox 99">
          <a:extLst>
            <a:ext uri="{FF2B5EF4-FFF2-40B4-BE49-F238E27FC236}">
              <a16:creationId xmlns:a16="http://schemas.microsoft.com/office/drawing/2014/main" id="{B283D959-A48E-420C-9B2E-018DE3D07D6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1" name="TextBox 100">
          <a:extLst>
            <a:ext uri="{FF2B5EF4-FFF2-40B4-BE49-F238E27FC236}">
              <a16:creationId xmlns:a16="http://schemas.microsoft.com/office/drawing/2014/main" id="{7CF43A0A-25E5-4CEB-AB6B-3486C7517D5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2" name="TextBox 101">
          <a:extLst>
            <a:ext uri="{FF2B5EF4-FFF2-40B4-BE49-F238E27FC236}">
              <a16:creationId xmlns:a16="http://schemas.microsoft.com/office/drawing/2014/main" id="{0FF0D6C6-2039-4AA4-949A-8429A790564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3" name="TextBox 102">
          <a:extLst>
            <a:ext uri="{FF2B5EF4-FFF2-40B4-BE49-F238E27FC236}">
              <a16:creationId xmlns:a16="http://schemas.microsoft.com/office/drawing/2014/main" id="{EDAFD1A8-7DE3-40D0-B556-E2AB97B6C4E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4" name="TextBox 103">
          <a:extLst>
            <a:ext uri="{FF2B5EF4-FFF2-40B4-BE49-F238E27FC236}">
              <a16:creationId xmlns:a16="http://schemas.microsoft.com/office/drawing/2014/main" id="{A88F228A-3875-4850-AE3C-E53E3948F51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5" name="TextBox 104">
          <a:extLst>
            <a:ext uri="{FF2B5EF4-FFF2-40B4-BE49-F238E27FC236}">
              <a16:creationId xmlns:a16="http://schemas.microsoft.com/office/drawing/2014/main" id="{776B3265-1FDB-45B7-8F28-F78720142E4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6" name="TextBox 105">
          <a:extLst>
            <a:ext uri="{FF2B5EF4-FFF2-40B4-BE49-F238E27FC236}">
              <a16:creationId xmlns:a16="http://schemas.microsoft.com/office/drawing/2014/main" id="{A1EE4851-0866-4604-BA6F-1DC96B3E7B6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7" name="TextBox 106">
          <a:extLst>
            <a:ext uri="{FF2B5EF4-FFF2-40B4-BE49-F238E27FC236}">
              <a16:creationId xmlns:a16="http://schemas.microsoft.com/office/drawing/2014/main" id="{B9FEADA6-E833-4F75-957E-F7EB8BBFCCB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8" name="TextBox 107">
          <a:extLst>
            <a:ext uri="{FF2B5EF4-FFF2-40B4-BE49-F238E27FC236}">
              <a16:creationId xmlns:a16="http://schemas.microsoft.com/office/drawing/2014/main" id="{708BA889-A65D-455B-82D1-C676C2CE716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09" name="TextBox 108">
          <a:extLst>
            <a:ext uri="{FF2B5EF4-FFF2-40B4-BE49-F238E27FC236}">
              <a16:creationId xmlns:a16="http://schemas.microsoft.com/office/drawing/2014/main" id="{4233298E-E4F2-412A-86B0-249D71AB4E4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0" name="TextBox 109">
          <a:extLst>
            <a:ext uri="{FF2B5EF4-FFF2-40B4-BE49-F238E27FC236}">
              <a16:creationId xmlns:a16="http://schemas.microsoft.com/office/drawing/2014/main" id="{CE4175FF-5421-44A4-83BA-7F7DDF5809C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1" name="TextBox 110">
          <a:extLst>
            <a:ext uri="{FF2B5EF4-FFF2-40B4-BE49-F238E27FC236}">
              <a16:creationId xmlns:a16="http://schemas.microsoft.com/office/drawing/2014/main" id="{5A3DEDDB-A83E-41EF-B461-9F9208FB571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2" name="TextBox 111">
          <a:extLst>
            <a:ext uri="{FF2B5EF4-FFF2-40B4-BE49-F238E27FC236}">
              <a16:creationId xmlns:a16="http://schemas.microsoft.com/office/drawing/2014/main" id="{60112B1F-683F-4F69-BB99-D21F9D4C227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3" name="TextBox 112">
          <a:extLst>
            <a:ext uri="{FF2B5EF4-FFF2-40B4-BE49-F238E27FC236}">
              <a16:creationId xmlns:a16="http://schemas.microsoft.com/office/drawing/2014/main" id="{7A0AD237-9395-402D-9344-FEF38788055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4" name="TextBox 113">
          <a:extLst>
            <a:ext uri="{FF2B5EF4-FFF2-40B4-BE49-F238E27FC236}">
              <a16:creationId xmlns:a16="http://schemas.microsoft.com/office/drawing/2014/main" id="{04327EBA-1E26-4D1B-B4B4-ED1CDEEC95D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5" name="TextBox 114">
          <a:extLst>
            <a:ext uri="{FF2B5EF4-FFF2-40B4-BE49-F238E27FC236}">
              <a16:creationId xmlns:a16="http://schemas.microsoft.com/office/drawing/2014/main" id="{1969B48A-35FA-4819-8FE8-37FD5E2E15C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6" name="TextBox 115">
          <a:extLst>
            <a:ext uri="{FF2B5EF4-FFF2-40B4-BE49-F238E27FC236}">
              <a16:creationId xmlns:a16="http://schemas.microsoft.com/office/drawing/2014/main" id="{5C42A923-EA85-4E22-9AF2-7DCE967F2C4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7" name="TextBox 116">
          <a:extLst>
            <a:ext uri="{FF2B5EF4-FFF2-40B4-BE49-F238E27FC236}">
              <a16:creationId xmlns:a16="http://schemas.microsoft.com/office/drawing/2014/main" id="{A075480B-8D05-4C17-A09D-FC9677A2E04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8" name="TextBox 117">
          <a:extLst>
            <a:ext uri="{FF2B5EF4-FFF2-40B4-BE49-F238E27FC236}">
              <a16:creationId xmlns:a16="http://schemas.microsoft.com/office/drawing/2014/main" id="{AF3A93F9-08F2-4591-8483-FFC1D99B9F9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19" name="TextBox 118">
          <a:extLst>
            <a:ext uri="{FF2B5EF4-FFF2-40B4-BE49-F238E27FC236}">
              <a16:creationId xmlns:a16="http://schemas.microsoft.com/office/drawing/2014/main" id="{62165FC9-488E-49DA-9FA2-450F925A74E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0" name="TextBox 119">
          <a:extLst>
            <a:ext uri="{FF2B5EF4-FFF2-40B4-BE49-F238E27FC236}">
              <a16:creationId xmlns:a16="http://schemas.microsoft.com/office/drawing/2014/main" id="{D0968084-0F3E-4728-B29E-196BBB2F504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1" name="TextBox 120">
          <a:extLst>
            <a:ext uri="{FF2B5EF4-FFF2-40B4-BE49-F238E27FC236}">
              <a16:creationId xmlns:a16="http://schemas.microsoft.com/office/drawing/2014/main" id="{CF4965EC-96DB-44F8-87E9-87186EA74CA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2" name="TextBox 121">
          <a:extLst>
            <a:ext uri="{FF2B5EF4-FFF2-40B4-BE49-F238E27FC236}">
              <a16:creationId xmlns:a16="http://schemas.microsoft.com/office/drawing/2014/main" id="{5777BE1E-440E-4D55-8A6D-DB6A2DA144C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3" name="TextBox 122">
          <a:extLst>
            <a:ext uri="{FF2B5EF4-FFF2-40B4-BE49-F238E27FC236}">
              <a16:creationId xmlns:a16="http://schemas.microsoft.com/office/drawing/2014/main" id="{E09B4B1B-728A-4EEC-AC16-5E0A629DE04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4" name="TextBox 123">
          <a:extLst>
            <a:ext uri="{FF2B5EF4-FFF2-40B4-BE49-F238E27FC236}">
              <a16:creationId xmlns:a16="http://schemas.microsoft.com/office/drawing/2014/main" id="{281FB859-2D50-48CE-BEBF-3509AB6CD92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5" name="TextBox 124">
          <a:extLst>
            <a:ext uri="{FF2B5EF4-FFF2-40B4-BE49-F238E27FC236}">
              <a16:creationId xmlns:a16="http://schemas.microsoft.com/office/drawing/2014/main" id="{823762EC-B577-47FE-93B2-B1C1B0EDE11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6" name="TextBox 125">
          <a:extLst>
            <a:ext uri="{FF2B5EF4-FFF2-40B4-BE49-F238E27FC236}">
              <a16:creationId xmlns:a16="http://schemas.microsoft.com/office/drawing/2014/main" id="{843F6246-DA38-4CBC-9DD2-CC53EA4A67B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7" name="TextBox 126">
          <a:extLst>
            <a:ext uri="{FF2B5EF4-FFF2-40B4-BE49-F238E27FC236}">
              <a16:creationId xmlns:a16="http://schemas.microsoft.com/office/drawing/2014/main" id="{7A977F3C-046F-434C-A345-5300432D78F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8" name="TextBox 127">
          <a:extLst>
            <a:ext uri="{FF2B5EF4-FFF2-40B4-BE49-F238E27FC236}">
              <a16:creationId xmlns:a16="http://schemas.microsoft.com/office/drawing/2014/main" id="{C1F49156-8FA3-4B70-9B43-1D54F2C71DF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29" name="TextBox 128">
          <a:extLst>
            <a:ext uri="{FF2B5EF4-FFF2-40B4-BE49-F238E27FC236}">
              <a16:creationId xmlns:a16="http://schemas.microsoft.com/office/drawing/2014/main" id="{C35CE567-E5FE-4DB7-994B-E166F4D5221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0" name="TextBox 129">
          <a:extLst>
            <a:ext uri="{FF2B5EF4-FFF2-40B4-BE49-F238E27FC236}">
              <a16:creationId xmlns:a16="http://schemas.microsoft.com/office/drawing/2014/main" id="{A9EDB6A2-D8E8-4E99-8EBD-73506B6EF19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1" name="TextBox 130">
          <a:extLst>
            <a:ext uri="{FF2B5EF4-FFF2-40B4-BE49-F238E27FC236}">
              <a16:creationId xmlns:a16="http://schemas.microsoft.com/office/drawing/2014/main" id="{20B1E208-1A15-4E07-BEDE-C115557CCEA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2" name="TextBox 131">
          <a:extLst>
            <a:ext uri="{FF2B5EF4-FFF2-40B4-BE49-F238E27FC236}">
              <a16:creationId xmlns:a16="http://schemas.microsoft.com/office/drawing/2014/main" id="{4B35ADD8-FC3C-40DF-B556-02BB9E462C8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3" name="TextBox 132">
          <a:extLst>
            <a:ext uri="{FF2B5EF4-FFF2-40B4-BE49-F238E27FC236}">
              <a16:creationId xmlns:a16="http://schemas.microsoft.com/office/drawing/2014/main" id="{D66405B6-4960-4545-B700-DD83DF0CC07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4" name="TextBox 133">
          <a:extLst>
            <a:ext uri="{FF2B5EF4-FFF2-40B4-BE49-F238E27FC236}">
              <a16:creationId xmlns:a16="http://schemas.microsoft.com/office/drawing/2014/main" id="{A98F1A85-7D49-401E-BE39-055DD9500EB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5" name="TextBox 134">
          <a:extLst>
            <a:ext uri="{FF2B5EF4-FFF2-40B4-BE49-F238E27FC236}">
              <a16:creationId xmlns:a16="http://schemas.microsoft.com/office/drawing/2014/main" id="{D4B5D534-256C-4A9E-87A3-E13465A7060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6" name="TextBox 135">
          <a:extLst>
            <a:ext uri="{FF2B5EF4-FFF2-40B4-BE49-F238E27FC236}">
              <a16:creationId xmlns:a16="http://schemas.microsoft.com/office/drawing/2014/main" id="{67E7D253-4216-4619-A4D3-7893F493C64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7" name="TextBox 136">
          <a:extLst>
            <a:ext uri="{FF2B5EF4-FFF2-40B4-BE49-F238E27FC236}">
              <a16:creationId xmlns:a16="http://schemas.microsoft.com/office/drawing/2014/main" id="{68A9FF6D-51AD-48E0-A8AA-CE73488CB33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8" name="TextBox 137">
          <a:extLst>
            <a:ext uri="{FF2B5EF4-FFF2-40B4-BE49-F238E27FC236}">
              <a16:creationId xmlns:a16="http://schemas.microsoft.com/office/drawing/2014/main" id="{7D496927-6A25-4BB5-AB3C-86FF71AFFC9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39" name="TextBox 138">
          <a:extLst>
            <a:ext uri="{FF2B5EF4-FFF2-40B4-BE49-F238E27FC236}">
              <a16:creationId xmlns:a16="http://schemas.microsoft.com/office/drawing/2014/main" id="{62AAF764-CB8D-46EB-AC2B-9185903B198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0" name="TextBox 139">
          <a:extLst>
            <a:ext uri="{FF2B5EF4-FFF2-40B4-BE49-F238E27FC236}">
              <a16:creationId xmlns:a16="http://schemas.microsoft.com/office/drawing/2014/main" id="{01E16663-3270-499A-8456-5463F485DB1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1" name="TextBox 140">
          <a:extLst>
            <a:ext uri="{FF2B5EF4-FFF2-40B4-BE49-F238E27FC236}">
              <a16:creationId xmlns:a16="http://schemas.microsoft.com/office/drawing/2014/main" id="{209F2337-9764-4D43-87C4-6732602396A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2" name="TextBox 141">
          <a:extLst>
            <a:ext uri="{FF2B5EF4-FFF2-40B4-BE49-F238E27FC236}">
              <a16:creationId xmlns:a16="http://schemas.microsoft.com/office/drawing/2014/main" id="{7C067818-1593-4E0E-B7EA-3E401FFD5E9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3" name="TextBox 142">
          <a:extLst>
            <a:ext uri="{FF2B5EF4-FFF2-40B4-BE49-F238E27FC236}">
              <a16:creationId xmlns:a16="http://schemas.microsoft.com/office/drawing/2014/main" id="{87B4D9D3-65ED-4B82-86D9-CBFD6EA7276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4" name="TextBox 143">
          <a:extLst>
            <a:ext uri="{FF2B5EF4-FFF2-40B4-BE49-F238E27FC236}">
              <a16:creationId xmlns:a16="http://schemas.microsoft.com/office/drawing/2014/main" id="{58CB747E-DE73-4BAE-BCE1-E616D8B6F8B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5" name="TextBox 144">
          <a:extLst>
            <a:ext uri="{FF2B5EF4-FFF2-40B4-BE49-F238E27FC236}">
              <a16:creationId xmlns:a16="http://schemas.microsoft.com/office/drawing/2014/main" id="{EACE3CCE-8BE8-4316-BBC6-C987B074DD6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6" name="TextBox 145">
          <a:extLst>
            <a:ext uri="{FF2B5EF4-FFF2-40B4-BE49-F238E27FC236}">
              <a16:creationId xmlns:a16="http://schemas.microsoft.com/office/drawing/2014/main" id="{FE04A9E5-065D-4CD5-AE5E-DCFC5CF0E11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7" name="TextBox 146">
          <a:extLst>
            <a:ext uri="{FF2B5EF4-FFF2-40B4-BE49-F238E27FC236}">
              <a16:creationId xmlns:a16="http://schemas.microsoft.com/office/drawing/2014/main" id="{7BC48985-DDAE-4648-965E-2F66F536771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8" name="TextBox 147">
          <a:extLst>
            <a:ext uri="{FF2B5EF4-FFF2-40B4-BE49-F238E27FC236}">
              <a16:creationId xmlns:a16="http://schemas.microsoft.com/office/drawing/2014/main" id="{33901D00-DA03-4BD3-B107-55E72BA66C8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49" name="TextBox 148">
          <a:extLst>
            <a:ext uri="{FF2B5EF4-FFF2-40B4-BE49-F238E27FC236}">
              <a16:creationId xmlns:a16="http://schemas.microsoft.com/office/drawing/2014/main" id="{B405C0B9-A2A8-4F09-A5CA-DBE2A2CAFFB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0" name="TextBox 149">
          <a:extLst>
            <a:ext uri="{FF2B5EF4-FFF2-40B4-BE49-F238E27FC236}">
              <a16:creationId xmlns:a16="http://schemas.microsoft.com/office/drawing/2014/main" id="{2C4AADA0-FED6-41D1-9AB4-03614D612DF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1" name="TextBox 150">
          <a:extLst>
            <a:ext uri="{FF2B5EF4-FFF2-40B4-BE49-F238E27FC236}">
              <a16:creationId xmlns:a16="http://schemas.microsoft.com/office/drawing/2014/main" id="{B18AD54B-93E3-47A0-9196-42D351AB703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2" name="TextBox 151">
          <a:extLst>
            <a:ext uri="{FF2B5EF4-FFF2-40B4-BE49-F238E27FC236}">
              <a16:creationId xmlns:a16="http://schemas.microsoft.com/office/drawing/2014/main" id="{F8DFA393-94CF-42F5-84EB-53087DB6427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3" name="TextBox 152">
          <a:extLst>
            <a:ext uri="{FF2B5EF4-FFF2-40B4-BE49-F238E27FC236}">
              <a16:creationId xmlns:a16="http://schemas.microsoft.com/office/drawing/2014/main" id="{D17D8D9D-CA18-45A5-9A01-441964D7E4D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4" name="TextBox 153">
          <a:extLst>
            <a:ext uri="{FF2B5EF4-FFF2-40B4-BE49-F238E27FC236}">
              <a16:creationId xmlns:a16="http://schemas.microsoft.com/office/drawing/2014/main" id="{B6BA2652-10CB-4E6A-94C4-A6B61338734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5" name="TextBox 154">
          <a:extLst>
            <a:ext uri="{FF2B5EF4-FFF2-40B4-BE49-F238E27FC236}">
              <a16:creationId xmlns:a16="http://schemas.microsoft.com/office/drawing/2014/main" id="{27ACAF40-9937-4DCB-BCEA-B64E64EB755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6" name="TextBox 155">
          <a:extLst>
            <a:ext uri="{FF2B5EF4-FFF2-40B4-BE49-F238E27FC236}">
              <a16:creationId xmlns:a16="http://schemas.microsoft.com/office/drawing/2014/main" id="{F1FD4BB2-1F75-4824-BBED-6AE289C27E1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7" name="TextBox 156">
          <a:extLst>
            <a:ext uri="{FF2B5EF4-FFF2-40B4-BE49-F238E27FC236}">
              <a16:creationId xmlns:a16="http://schemas.microsoft.com/office/drawing/2014/main" id="{1D51A463-FF27-45BF-805D-A5C2C817E0D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8" name="TextBox 157">
          <a:extLst>
            <a:ext uri="{FF2B5EF4-FFF2-40B4-BE49-F238E27FC236}">
              <a16:creationId xmlns:a16="http://schemas.microsoft.com/office/drawing/2014/main" id="{8BF8FFDD-A537-43B2-A70E-A9DD2DDC7DF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59" name="TextBox 158">
          <a:extLst>
            <a:ext uri="{FF2B5EF4-FFF2-40B4-BE49-F238E27FC236}">
              <a16:creationId xmlns:a16="http://schemas.microsoft.com/office/drawing/2014/main" id="{23817340-4AD5-41C9-A576-26964DA1CF2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0" name="TextBox 159">
          <a:extLst>
            <a:ext uri="{FF2B5EF4-FFF2-40B4-BE49-F238E27FC236}">
              <a16:creationId xmlns:a16="http://schemas.microsoft.com/office/drawing/2014/main" id="{26393DB5-B8F1-45B2-9A2A-A9E7E5344C0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1" name="TextBox 160">
          <a:extLst>
            <a:ext uri="{FF2B5EF4-FFF2-40B4-BE49-F238E27FC236}">
              <a16:creationId xmlns:a16="http://schemas.microsoft.com/office/drawing/2014/main" id="{57810CA1-CF04-4906-B130-15DD3368931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2" name="TextBox 161">
          <a:extLst>
            <a:ext uri="{FF2B5EF4-FFF2-40B4-BE49-F238E27FC236}">
              <a16:creationId xmlns:a16="http://schemas.microsoft.com/office/drawing/2014/main" id="{776BF975-590E-4CE7-9254-94ABB613804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3" name="TextBox 162">
          <a:extLst>
            <a:ext uri="{FF2B5EF4-FFF2-40B4-BE49-F238E27FC236}">
              <a16:creationId xmlns:a16="http://schemas.microsoft.com/office/drawing/2014/main" id="{5AF93547-B8FB-45BB-BC75-9B23FF83B4D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4" name="TextBox 163">
          <a:extLst>
            <a:ext uri="{FF2B5EF4-FFF2-40B4-BE49-F238E27FC236}">
              <a16:creationId xmlns:a16="http://schemas.microsoft.com/office/drawing/2014/main" id="{2FE507BF-E235-411B-B922-E42CF5F88EC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5" name="TextBox 164">
          <a:extLst>
            <a:ext uri="{FF2B5EF4-FFF2-40B4-BE49-F238E27FC236}">
              <a16:creationId xmlns:a16="http://schemas.microsoft.com/office/drawing/2014/main" id="{507370F7-848A-43B6-9FE9-D275210BCC3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6" name="TextBox 165">
          <a:extLst>
            <a:ext uri="{FF2B5EF4-FFF2-40B4-BE49-F238E27FC236}">
              <a16:creationId xmlns:a16="http://schemas.microsoft.com/office/drawing/2014/main" id="{D9C09928-C5D2-4261-9592-F692A03F364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7" name="TextBox 166">
          <a:extLst>
            <a:ext uri="{FF2B5EF4-FFF2-40B4-BE49-F238E27FC236}">
              <a16:creationId xmlns:a16="http://schemas.microsoft.com/office/drawing/2014/main" id="{5B596E85-11C5-44D5-988B-B532126BE2F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8" name="TextBox 167">
          <a:extLst>
            <a:ext uri="{FF2B5EF4-FFF2-40B4-BE49-F238E27FC236}">
              <a16:creationId xmlns:a16="http://schemas.microsoft.com/office/drawing/2014/main" id="{7D71122F-9B20-4B78-82B9-361C7D55594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69" name="TextBox 168">
          <a:extLst>
            <a:ext uri="{FF2B5EF4-FFF2-40B4-BE49-F238E27FC236}">
              <a16:creationId xmlns:a16="http://schemas.microsoft.com/office/drawing/2014/main" id="{316BDD6E-D23A-4101-99F3-B8262FCD97D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0" name="TextBox 169">
          <a:extLst>
            <a:ext uri="{FF2B5EF4-FFF2-40B4-BE49-F238E27FC236}">
              <a16:creationId xmlns:a16="http://schemas.microsoft.com/office/drawing/2014/main" id="{F0A0BD05-2F58-421B-BC4B-1D5DDD34E9E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1" name="TextBox 170">
          <a:extLst>
            <a:ext uri="{FF2B5EF4-FFF2-40B4-BE49-F238E27FC236}">
              <a16:creationId xmlns:a16="http://schemas.microsoft.com/office/drawing/2014/main" id="{5887E951-323C-4606-8B3D-2EA5B0D6BEA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2" name="TextBox 171">
          <a:extLst>
            <a:ext uri="{FF2B5EF4-FFF2-40B4-BE49-F238E27FC236}">
              <a16:creationId xmlns:a16="http://schemas.microsoft.com/office/drawing/2014/main" id="{152A188F-9066-41C4-9F38-904651F6C92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3" name="TextBox 172">
          <a:extLst>
            <a:ext uri="{FF2B5EF4-FFF2-40B4-BE49-F238E27FC236}">
              <a16:creationId xmlns:a16="http://schemas.microsoft.com/office/drawing/2014/main" id="{D6DE6ADD-AC9F-4D68-AEBC-1BA4141164A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4" name="TextBox 173">
          <a:extLst>
            <a:ext uri="{FF2B5EF4-FFF2-40B4-BE49-F238E27FC236}">
              <a16:creationId xmlns:a16="http://schemas.microsoft.com/office/drawing/2014/main" id="{E41B2D71-308F-483D-85AD-8A8C80F1DE9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5" name="TextBox 174">
          <a:extLst>
            <a:ext uri="{FF2B5EF4-FFF2-40B4-BE49-F238E27FC236}">
              <a16:creationId xmlns:a16="http://schemas.microsoft.com/office/drawing/2014/main" id="{57C23FC1-06C9-479C-87DC-FEC9475E680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6" name="TextBox 175">
          <a:extLst>
            <a:ext uri="{FF2B5EF4-FFF2-40B4-BE49-F238E27FC236}">
              <a16:creationId xmlns:a16="http://schemas.microsoft.com/office/drawing/2014/main" id="{8A84B9A7-1CEB-4BFE-B503-5D6173AE67C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7" name="TextBox 176">
          <a:extLst>
            <a:ext uri="{FF2B5EF4-FFF2-40B4-BE49-F238E27FC236}">
              <a16:creationId xmlns:a16="http://schemas.microsoft.com/office/drawing/2014/main" id="{C88B76D9-99BC-4D67-89F5-E708EF82358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8" name="TextBox 177">
          <a:extLst>
            <a:ext uri="{FF2B5EF4-FFF2-40B4-BE49-F238E27FC236}">
              <a16:creationId xmlns:a16="http://schemas.microsoft.com/office/drawing/2014/main" id="{D5F3D23D-4954-4609-A4A2-1A933859399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79" name="TextBox 178">
          <a:extLst>
            <a:ext uri="{FF2B5EF4-FFF2-40B4-BE49-F238E27FC236}">
              <a16:creationId xmlns:a16="http://schemas.microsoft.com/office/drawing/2014/main" id="{F0BA20BE-D3CC-4F0B-9A21-AC12735C896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0" name="TextBox 179">
          <a:extLst>
            <a:ext uri="{FF2B5EF4-FFF2-40B4-BE49-F238E27FC236}">
              <a16:creationId xmlns:a16="http://schemas.microsoft.com/office/drawing/2014/main" id="{05920D18-5CF1-4A7F-917C-50AE3EF3D87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1" name="TextBox 180">
          <a:extLst>
            <a:ext uri="{FF2B5EF4-FFF2-40B4-BE49-F238E27FC236}">
              <a16:creationId xmlns:a16="http://schemas.microsoft.com/office/drawing/2014/main" id="{3C23586D-8BCB-4613-9E19-B47E3EF7240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2" name="TextBox 181">
          <a:extLst>
            <a:ext uri="{FF2B5EF4-FFF2-40B4-BE49-F238E27FC236}">
              <a16:creationId xmlns:a16="http://schemas.microsoft.com/office/drawing/2014/main" id="{F1EFAB88-3AEC-4856-B522-B21FD838702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3" name="TextBox 182">
          <a:extLst>
            <a:ext uri="{FF2B5EF4-FFF2-40B4-BE49-F238E27FC236}">
              <a16:creationId xmlns:a16="http://schemas.microsoft.com/office/drawing/2014/main" id="{6F401176-6C0B-499C-9904-0AD5C8E6965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4" name="TextBox 183">
          <a:extLst>
            <a:ext uri="{FF2B5EF4-FFF2-40B4-BE49-F238E27FC236}">
              <a16:creationId xmlns:a16="http://schemas.microsoft.com/office/drawing/2014/main" id="{73D12ADD-36B8-4D1D-825D-4DC764F0657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5" name="TextBox 184">
          <a:extLst>
            <a:ext uri="{FF2B5EF4-FFF2-40B4-BE49-F238E27FC236}">
              <a16:creationId xmlns:a16="http://schemas.microsoft.com/office/drawing/2014/main" id="{B1CA4C6C-BD97-44AC-A92A-15F8933114B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6" name="TextBox 185">
          <a:extLst>
            <a:ext uri="{FF2B5EF4-FFF2-40B4-BE49-F238E27FC236}">
              <a16:creationId xmlns:a16="http://schemas.microsoft.com/office/drawing/2014/main" id="{7F9F82D8-729D-4D23-A5C5-6265427B0A0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7" name="TextBox 186">
          <a:extLst>
            <a:ext uri="{FF2B5EF4-FFF2-40B4-BE49-F238E27FC236}">
              <a16:creationId xmlns:a16="http://schemas.microsoft.com/office/drawing/2014/main" id="{1DA3F3A7-2F2D-4787-9172-20A82495EC0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8" name="TextBox 187">
          <a:extLst>
            <a:ext uri="{FF2B5EF4-FFF2-40B4-BE49-F238E27FC236}">
              <a16:creationId xmlns:a16="http://schemas.microsoft.com/office/drawing/2014/main" id="{8C813DE7-6CA7-4BA2-AA44-18CFB159660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89" name="TextBox 188">
          <a:extLst>
            <a:ext uri="{FF2B5EF4-FFF2-40B4-BE49-F238E27FC236}">
              <a16:creationId xmlns:a16="http://schemas.microsoft.com/office/drawing/2014/main" id="{BC2C2B2D-BCF9-4B00-9904-BA4D4335121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0" name="TextBox 189">
          <a:extLst>
            <a:ext uri="{FF2B5EF4-FFF2-40B4-BE49-F238E27FC236}">
              <a16:creationId xmlns:a16="http://schemas.microsoft.com/office/drawing/2014/main" id="{83BA49B7-5AF6-4417-9772-9845D0399C2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1" name="TextBox 190">
          <a:extLst>
            <a:ext uri="{FF2B5EF4-FFF2-40B4-BE49-F238E27FC236}">
              <a16:creationId xmlns:a16="http://schemas.microsoft.com/office/drawing/2014/main" id="{ABA5B465-81BF-4B7E-99AD-48D4A99EA28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2" name="TextBox 191">
          <a:extLst>
            <a:ext uri="{FF2B5EF4-FFF2-40B4-BE49-F238E27FC236}">
              <a16:creationId xmlns:a16="http://schemas.microsoft.com/office/drawing/2014/main" id="{7FD1BA58-8AD3-4798-9A64-2F80EA3E4E5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3" name="TextBox 192">
          <a:extLst>
            <a:ext uri="{FF2B5EF4-FFF2-40B4-BE49-F238E27FC236}">
              <a16:creationId xmlns:a16="http://schemas.microsoft.com/office/drawing/2014/main" id="{113458E5-3062-4EE1-A94A-71A06422774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4" name="TextBox 193">
          <a:extLst>
            <a:ext uri="{FF2B5EF4-FFF2-40B4-BE49-F238E27FC236}">
              <a16:creationId xmlns:a16="http://schemas.microsoft.com/office/drawing/2014/main" id="{836DEEB1-6A53-406A-9EBA-F5F2385D4A6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5" name="TextBox 194">
          <a:extLst>
            <a:ext uri="{FF2B5EF4-FFF2-40B4-BE49-F238E27FC236}">
              <a16:creationId xmlns:a16="http://schemas.microsoft.com/office/drawing/2014/main" id="{864F3143-5852-45BE-B05A-370F964EB0C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6" name="TextBox 195">
          <a:extLst>
            <a:ext uri="{FF2B5EF4-FFF2-40B4-BE49-F238E27FC236}">
              <a16:creationId xmlns:a16="http://schemas.microsoft.com/office/drawing/2014/main" id="{E6677072-9D2D-48DB-BE3B-EF0FCC29F2F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7" name="TextBox 196">
          <a:extLst>
            <a:ext uri="{FF2B5EF4-FFF2-40B4-BE49-F238E27FC236}">
              <a16:creationId xmlns:a16="http://schemas.microsoft.com/office/drawing/2014/main" id="{0C8276B6-FEA3-4921-B7E3-E0C3434819B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8" name="TextBox 197">
          <a:extLst>
            <a:ext uri="{FF2B5EF4-FFF2-40B4-BE49-F238E27FC236}">
              <a16:creationId xmlns:a16="http://schemas.microsoft.com/office/drawing/2014/main" id="{75B1069E-B806-4BCC-A9E1-DBFD4697913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199" name="TextBox 198">
          <a:extLst>
            <a:ext uri="{FF2B5EF4-FFF2-40B4-BE49-F238E27FC236}">
              <a16:creationId xmlns:a16="http://schemas.microsoft.com/office/drawing/2014/main" id="{FC4BD3E1-E798-4870-ACCB-CEE845A9435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0" name="TextBox 199">
          <a:extLst>
            <a:ext uri="{FF2B5EF4-FFF2-40B4-BE49-F238E27FC236}">
              <a16:creationId xmlns:a16="http://schemas.microsoft.com/office/drawing/2014/main" id="{6631EC31-AB6A-4FDB-B348-5268B9656DD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1" name="TextBox 200">
          <a:extLst>
            <a:ext uri="{FF2B5EF4-FFF2-40B4-BE49-F238E27FC236}">
              <a16:creationId xmlns:a16="http://schemas.microsoft.com/office/drawing/2014/main" id="{31CAC6EC-F600-481C-809D-8ADB24983E4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2" name="TextBox 201">
          <a:extLst>
            <a:ext uri="{FF2B5EF4-FFF2-40B4-BE49-F238E27FC236}">
              <a16:creationId xmlns:a16="http://schemas.microsoft.com/office/drawing/2014/main" id="{ED2052E4-B98C-4B51-A153-34D3153D8E4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3" name="TextBox 202">
          <a:extLst>
            <a:ext uri="{FF2B5EF4-FFF2-40B4-BE49-F238E27FC236}">
              <a16:creationId xmlns:a16="http://schemas.microsoft.com/office/drawing/2014/main" id="{24BB589B-438A-4B2C-A730-9A112EFA1F4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4" name="TextBox 203">
          <a:extLst>
            <a:ext uri="{FF2B5EF4-FFF2-40B4-BE49-F238E27FC236}">
              <a16:creationId xmlns:a16="http://schemas.microsoft.com/office/drawing/2014/main" id="{A2F845E3-3F5D-474C-9F60-A6CC6B98AE9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5" name="TextBox 204">
          <a:extLst>
            <a:ext uri="{FF2B5EF4-FFF2-40B4-BE49-F238E27FC236}">
              <a16:creationId xmlns:a16="http://schemas.microsoft.com/office/drawing/2014/main" id="{E02AF81F-C387-49B9-B894-8624D2CAE3D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6" name="TextBox 205">
          <a:extLst>
            <a:ext uri="{FF2B5EF4-FFF2-40B4-BE49-F238E27FC236}">
              <a16:creationId xmlns:a16="http://schemas.microsoft.com/office/drawing/2014/main" id="{6CCE3F17-5606-4354-9ED2-BC993C68A88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7" name="TextBox 206">
          <a:extLst>
            <a:ext uri="{FF2B5EF4-FFF2-40B4-BE49-F238E27FC236}">
              <a16:creationId xmlns:a16="http://schemas.microsoft.com/office/drawing/2014/main" id="{16600AC9-8A21-4CF4-B27C-75304D17137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8" name="TextBox 207">
          <a:extLst>
            <a:ext uri="{FF2B5EF4-FFF2-40B4-BE49-F238E27FC236}">
              <a16:creationId xmlns:a16="http://schemas.microsoft.com/office/drawing/2014/main" id="{A2D7C095-2D98-4A5C-842A-71E009C6227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09" name="TextBox 208">
          <a:extLst>
            <a:ext uri="{FF2B5EF4-FFF2-40B4-BE49-F238E27FC236}">
              <a16:creationId xmlns:a16="http://schemas.microsoft.com/office/drawing/2014/main" id="{3E325FEB-21C4-4356-8196-873556E200E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0" name="TextBox 209">
          <a:extLst>
            <a:ext uri="{FF2B5EF4-FFF2-40B4-BE49-F238E27FC236}">
              <a16:creationId xmlns:a16="http://schemas.microsoft.com/office/drawing/2014/main" id="{65FF9B3A-F4D1-46ED-AEFC-AFA7E4CA899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1" name="TextBox 210">
          <a:extLst>
            <a:ext uri="{FF2B5EF4-FFF2-40B4-BE49-F238E27FC236}">
              <a16:creationId xmlns:a16="http://schemas.microsoft.com/office/drawing/2014/main" id="{BEC1C7BC-F7ED-4FBC-BFAB-4D20160CD88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2" name="TextBox 211">
          <a:extLst>
            <a:ext uri="{FF2B5EF4-FFF2-40B4-BE49-F238E27FC236}">
              <a16:creationId xmlns:a16="http://schemas.microsoft.com/office/drawing/2014/main" id="{06037012-4F86-43BA-8794-8ED15E7B84D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3" name="TextBox 212">
          <a:extLst>
            <a:ext uri="{FF2B5EF4-FFF2-40B4-BE49-F238E27FC236}">
              <a16:creationId xmlns:a16="http://schemas.microsoft.com/office/drawing/2014/main" id="{8689AD8F-CEC4-4CD7-8C61-1006951F9AE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4" name="TextBox 213">
          <a:extLst>
            <a:ext uri="{FF2B5EF4-FFF2-40B4-BE49-F238E27FC236}">
              <a16:creationId xmlns:a16="http://schemas.microsoft.com/office/drawing/2014/main" id="{F50BA19A-06DB-4DA6-9BCF-274EB7A692F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5" name="TextBox 214">
          <a:extLst>
            <a:ext uri="{FF2B5EF4-FFF2-40B4-BE49-F238E27FC236}">
              <a16:creationId xmlns:a16="http://schemas.microsoft.com/office/drawing/2014/main" id="{2B06DC32-7473-4636-A0FE-24764DE4D26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6" name="TextBox 215">
          <a:extLst>
            <a:ext uri="{FF2B5EF4-FFF2-40B4-BE49-F238E27FC236}">
              <a16:creationId xmlns:a16="http://schemas.microsoft.com/office/drawing/2014/main" id="{F9222885-AE9A-4030-9D1F-195A6789B11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7" name="TextBox 216">
          <a:extLst>
            <a:ext uri="{FF2B5EF4-FFF2-40B4-BE49-F238E27FC236}">
              <a16:creationId xmlns:a16="http://schemas.microsoft.com/office/drawing/2014/main" id="{DABAA5D7-48B5-402B-BF78-C82A7E92EB9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8" name="TextBox 217">
          <a:extLst>
            <a:ext uri="{FF2B5EF4-FFF2-40B4-BE49-F238E27FC236}">
              <a16:creationId xmlns:a16="http://schemas.microsoft.com/office/drawing/2014/main" id="{8B2B71CF-8CA7-4920-8D58-75FEAF70DF7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19" name="TextBox 218">
          <a:extLst>
            <a:ext uri="{FF2B5EF4-FFF2-40B4-BE49-F238E27FC236}">
              <a16:creationId xmlns:a16="http://schemas.microsoft.com/office/drawing/2014/main" id="{046A670F-F3D3-42F0-9CDA-2BAE26F9B04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0" name="TextBox 219">
          <a:extLst>
            <a:ext uri="{FF2B5EF4-FFF2-40B4-BE49-F238E27FC236}">
              <a16:creationId xmlns:a16="http://schemas.microsoft.com/office/drawing/2014/main" id="{4FF5C8A4-57FA-43D1-9858-7B25667C0D7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1" name="TextBox 220">
          <a:extLst>
            <a:ext uri="{FF2B5EF4-FFF2-40B4-BE49-F238E27FC236}">
              <a16:creationId xmlns:a16="http://schemas.microsoft.com/office/drawing/2014/main" id="{48CFD9F8-71B5-48B1-B02B-A9F0C2123A2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2" name="TextBox 221">
          <a:extLst>
            <a:ext uri="{FF2B5EF4-FFF2-40B4-BE49-F238E27FC236}">
              <a16:creationId xmlns:a16="http://schemas.microsoft.com/office/drawing/2014/main" id="{1FC46C3F-4071-4A4D-9FC7-454DCAA43D8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3" name="TextBox 222">
          <a:extLst>
            <a:ext uri="{FF2B5EF4-FFF2-40B4-BE49-F238E27FC236}">
              <a16:creationId xmlns:a16="http://schemas.microsoft.com/office/drawing/2014/main" id="{87F10974-4ECE-4D46-B15F-FEB321BD84A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4" name="TextBox 223">
          <a:extLst>
            <a:ext uri="{FF2B5EF4-FFF2-40B4-BE49-F238E27FC236}">
              <a16:creationId xmlns:a16="http://schemas.microsoft.com/office/drawing/2014/main" id="{F1049DB7-447B-4F49-B10D-2FDC19CF832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5" name="TextBox 224">
          <a:extLst>
            <a:ext uri="{FF2B5EF4-FFF2-40B4-BE49-F238E27FC236}">
              <a16:creationId xmlns:a16="http://schemas.microsoft.com/office/drawing/2014/main" id="{2AE5E955-B8A7-49C7-9716-82B917C25BE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6" name="TextBox 225">
          <a:extLst>
            <a:ext uri="{FF2B5EF4-FFF2-40B4-BE49-F238E27FC236}">
              <a16:creationId xmlns:a16="http://schemas.microsoft.com/office/drawing/2014/main" id="{7FC767CC-1B2B-4C54-A4FC-34E27472C40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7" name="TextBox 226">
          <a:extLst>
            <a:ext uri="{FF2B5EF4-FFF2-40B4-BE49-F238E27FC236}">
              <a16:creationId xmlns:a16="http://schemas.microsoft.com/office/drawing/2014/main" id="{F53FB64B-A8D4-4CA9-B310-131DE4F0FDE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8" name="TextBox 227">
          <a:extLst>
            <a:ext uri="{FF2B5EF4-FFF2-40B4-BE49-F238E27FC236}">
              <a16:creationId xmlns:a16="http://schemas.microsoft.com/office/drawing/2014/main" id="{CC501BC3-3426-4445-9633-E593F6EAA2E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29" name="TextBox 228">
          <a:extLst>
            <a:ext uri="{FF2B5EF4-FFF2-40B4-BE49-F238E27FC236}">
              <a16:creationId xmlns:a16="http://schemas.microsoft.com/office/drawing/2014/main" id="{C25CEFB6-182D-4634-8FFD-EB9B03E9523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0" name="TextBox 229">
          <a:extLst>
            <a:ext uri="{FF2B5EF4-FFF2-40B4-BE49-F238E27FC236}">
              <a16:creationId xmlns:a16="http://schemas.microsoft.com/office/drawing/2014/main" id="{F9EA80FC-B836-47D1-9DF6-16CD898247A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1" name="TextBox 230">
          <a:extLst>
            <a:ext uri="{FF2B5EF4-FFF2-40B4-BE49-F238E27FC236}">
              <a16:creationId xmlns:a16="http://schemas.microsoft.com/office/drawing/2014/main" id="{004A6159-A9C9-4FB2-843B-290A067A752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2" name="TextBox 231">
          <a:extLst>
            <a:ext uri="{FF2B5EF4-FFF2-40B4-BE49-F238E27FC236}">
              <a16:creationId xmlns:a16="http://schemas.microsoft.com/office/drawing/2014/main" id="{93D4A8E6-6308-4C6E-9B41-D709CD92B8F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3" name="TextBox 232">
          <a:extLst>
            <a:ext uri="{FF2B5EF4-FFF2-40B4-BE49-F238E27FC236}">
              <a16:creationId xmlns:a16="http://schemas.microsoft.com/office/drawing/2014/main" id="{D96518A3-33AC-405F-9968-5A1C10744DE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4" name="TextBox 233">
          <a:extLst>
            <a:ext uri="{FF2B5EF4-FFF2-40B4-BE49-F238E27FC236}">
              <a16:creationId xmlns:a16="http://schemas.microsoft.com/office/drawing/2014/main" id="{2D7AE541-B340-43EF-B15D-CE5665A78FC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5" name="TextBox 234">
          <a:extLst>
            <a:ext uri="{FF2B5EF4-FFF2-40B4-BE49-F238E27FC236}">
              <a16:creationId xmlns:a16="http://schemas.microsoft.com/office/drawing/2014/main" id="{B2D20CD2-9A7F-4DD4-84A0-5849F6E83A7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6" name="TextBox 235">
          <a:extLst>
            <a:ext uri="{FF2B5EF4-FFF2-40B4-BE49-F238E27FC236}">
              <a16:creationId xmlns:a16="http://schemas.microsoft.com/office/drawing/2014/main" id="{AC79AC1E-3E15-4F0C-82E2-43B3EA9D555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7" name="TextBox 236">
          <a:extLst>
            <a:ext uri="{FF2B5EF4-FFF2-40B4-BE49-F238E27FC236}">
              <a16:creationId xmlns:a16="http://schemas.microsoft.com/office/drawing/2014/main" id="{FDC40197-E8E6-40DA-8E19-7FD98A207A8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8" name="TextBox 237">
          <a:extLst>
            <a:ext uri="{FF2B5EF4-FFF2-40B4-BE49-F238E27FC236}">
              <a16:creationId xmlns:a16="http://schemas.microsoft.com/office/drawing/2014/main" id="{2D2AD16A-30DA-430A-A3A1-CC5747A3E44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39" name="TextBox 238">
          <a:extLst>
            <a:ext uri="{FF2B5EF4-FFF2-40B4-BE49-F238E27FC236}">
              <a16:creationId xmlns:a16="http://schemas.microsoft.com/office/drawing/2014/main" id="{070CED7D-454A-437F-80C5-60986115490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0" name="TextBox 239">
          <a:extLst>
            <a:ext uri="{FF2B5EF4-FFF2-40B4-BE49-F238E27FC236}">
              <a16:creationId xmlns:a16="http://schemas.microsoft.com/office/drawing/2014/main" id="{FA328C24-3125-4225-9F80-DA616634855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1" name="TextBox 240">
          <a:extLst>
            <a:ext uri="{FF2B5EF4-FFF2-40B4-BE49-F238E27FC236}">
              <a16:creationId xmlns:a16="http://schemas.microsoft.com/office/drawing/2014/main" id="{16749C05-9A07-4A91-B3EC-3EC5D77559D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2" name="TextBox 241">
          <a:extLst>
            <a:ext uri="{FF2B5EF4-FFF2-40B4-BE49-F238E27FC236}">
              <a16:creationId xmlns:a16="http://schemas.microsoft.com/office/drawing/2014/main" id="{C5FFE93F-106E-4877-808D-BAF4316C950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3" name="TextBox 242">
          <a:extLst>
            <a:ext uri="{FF2B5EF4-FFF2-40B4-BE49-F238E27FC236}">
              <a16:creationId xmlns:a16="http://schemas.microsoft.com/office/drawing/2014/main" id="{127C7946-AABB-4921-AF88-BDA205E55CA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4" name="TextBox 243">
          <a:extLst>
            <a:ext uri="{FF2B5EF4-FFF2-40B4-BE49-F238E27FC236}">
              <a16:creationId xmlns:a16="http://schemas.microsoft.com/office/drawing/2014/main" id="{3C9B8FCF-5D74-4633-9E3C-7721B634A35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5" name="TextBox 244">
          <a:extLst>
            <a:ext uri="{FF2B5EF4-FFF2-40B4-BE49-F238E27FC236}">
              <a16:creationId xmlns:a16="http://schemas.microsoft.com/office/drawing/2014/main" id="{EA82A3DE-4756-4F08-B2C9-29114E027E0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6" name="TextBox 245">
          <a:extLst>
            <a:ext uri="{FF2B5EF4-FFF2-40B4-BE49-F238E27FC236}">
              <a16:creationId xmlns:a16="http://schemas.microsoft.com/office/drawing/2014/main" id="{EBF667E4-2E72-4CB7-85DD-4ECF3D5F212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7" name="TextBox 246">
          <a:extLst>
            <a:ext uri="{FF2B5EF4-FFF2-40B4-BE49-F238E27FC236}">
              <a16:creationId xmlns:a16="http://schemas.microsoft.com/office/drawing/2014/main" id="{6A43D03C-41CC-4DDE-A862-018CF3689BA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8" name="TextBox 247">
          <a:extLst>
            <a:ext uri="{FF2B5EF4-FFF2-40B4-BE49-F238E27FC236}">
              <a16:creationId xmlns:a16="http://schemas.microsoft.com/office/drawing/2014/main" id="{55E67D7C-5640-49E0-A2CE-60FD30CC159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49" name="TextBox 248">
          <a:extLst>
            <a:ext uri="{FF2B5EF4-FFF2-40B4-BE49-F238E27FC236}">
              <a16:creationId xmlns:a16="http://schemas.microsoft.com/office/drawing/2014/main" id="{2FD67EC7-6587-4841-B582-98D4F6CF9D7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0" name="TextBox 249">
          <a:extLst>
            <a:ext uri="{FF2B5EF4-FFF2-40B4-BE49-F238E27FC236}">
              <a16:creationId xmlns:a16="http://schemas.microsoft.com/office/drawing/2014/main" id="{EDA9E07D-E837-46A6-BAF5-4FAE6ADFEEF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1" name="TextBox 250">
          <a:extLst>
            <a:ext uri="{FF2B5EF4-FFF2-40B4-BE49-F238E27FC236}">
              <a16:creationId xmlns:a16="http://schemas.microsoft.com/office/drawing/2014/main" id="{79DAF0D1-182B-4BCF-BA06-F2D4438DCA6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2" name="TextBox 251">
          <a:extLst>
            <a:ext uri="{FF2B5EF4-FFF2-40B4-BE49-F238E27FC236}">
              <a16:creationId xmlns:a16="http://schemas.microsoft.com/office/drawing/2014/main" id="{13B275F8-B66B-4241-9690-96FBC3EDBDD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3" name="TextBox 252">
          <a:extLst>
            <a:ext uri="{FF2B5EF4-FFF2-40B4-BE49-F238E27FC236}">
              <a16:creationId xmlns:a16="http://schemas.microsoft.com/office/drawing/2014/main" id="{BB5DF146-C74D-401C-8959-3856E76BD76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4" name="TextBox 253">
          <a:extLst>
            <a:ext uri="{FF2B5EF4-FFF2-40B4-BE49-F238E27FC236}">
              <a16:creationId xmlns:a16="http://schemas.microsoft.com/office/drawing/2014/main" id="{C76D6F3C-ED31-4970-9603-72208501D8B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5" name="TextBox 254">
          <a:extLst>
            <a:ext uri="{FF2B5EF4-FFF2-40B4-BE49-F238E27FC236}">
              <a16:creationId xmlns:a16="http://schemas.microsoft.com/office/drawing/2014/main" id="{B9B403CD-B95B-43EF-9DAC-55FAD60E8D3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6" name="TextBox 255">
          <a:extLst>
            <a:ext uri="{FF2B5EF4-FFF2-40B4-BE49-F238E27FC236}">
              <a16:creationId xmlns:a16="http://schemas.microsoft.com/office/drawing/2014/main" id="{F97E8BE1-5879-4771-9739-E77500DBF7B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7" name="TextBox 256">
          <a:extLst>
            <a:ext uri="{FF2B5EF4-FFF2-40B4-BE49-F238E27FC236}">
              <a16:creationId xmlns:a16="http://schemas.microsoft.com/office/drawing/2014/main" id="{AAE7B595-8243-49C1-968B-7A15A678A8A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8" name="TextBox 257">
          <a:extLst>
            <a:ext uri="{FF2B5EF4-FFF2-40B4-BE49-F238E27FC236}">
              <a16:creationId xmlns:a16="http://schemas.microsoft.com/office/drawing/2014/main" id="{DB03D5EF-E006-4464-8288-C80B12A6EB9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59" name="TextBox 258">
          <a:extLst>
            <a:ext uri="{FF2B5EF4-FFF2-40B4-BE49-F238E27FC236}">
              <a16:creationId xmlns:a16="http://schemas.microsoft.com/office/drawing/2014/main" id="{7CAD7AD7-5AA7-4F71-B47F-0C216504186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0" name="TextBox 259">
          <a:extLst>
            <a:ext uri="{FF2B5EF4-FFF2-40B4-BE49-F238E27FC236}">
              <a16:creationId xmlns:a16="http://schemas.microsoft.com/office/drawing/2014/main" id="{372F1F21-87CE-4370-8129-D2DF1C36A7D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1" name="TextBox 260">
          <a:extLst>
            <a:ext uri="{FF2B5EF4-FFF2-40B4-BE49-F238E27FC236}">
              <a16:creationId xmlns:a16="http://schemas.microsoft.com/office/drawing/2014/main" id="{0AB5CE5F-8E21-4DC0-923C-3359B5DDE7B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2" name="TextBox 261">
          <a:extLst>
            <a:ext uri="{FF2B5EF4-FFF2-40B4-BE49-F238E27FC236}">
              <a16:creationId xmlns:a16="http://schemas.microsoft.com/office/drawing/2014/main" id="{AC4BD08F-DA47-4983-B055-F017057B6B8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3" name="TextBox 262">
          <a:extLst>
            <a:ext uri="{FF2B5EF4-FFF2-40B4-BE49-F238E27FC236}">
              <a16:creationId xmlns:a16="http://schemas.microsoft.com/office/drawing/2014/main" id="{4F73DF80-5B06-4540-8D5D-A0709F779B2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4" name="TextBox 263">
          <a:extLst>
            <a:ext uri="{FF2B5EF4-FFF2-40B4-BE49-F238E27FC236}">
              <a16:creationId xmlns:a16="http://schemas.microsoft.com/office/drawing/2014/main" id="{FB773182-4539-4B90-8D01-44B71B7CE9A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5" name="TextBox 264">
          <a:extLst>
            <a:ext uri="{FF2B5EF4-FFF2-40B4-BE49-F238E27FC236}">
              <a16:creationId xmlns:a16="http://schemas.microsoft.com/office/drawing/2014/main" id="{9FC40022-8C5F-4368-8A1E-E69672BD797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6" name="TextBox 265">
          <a:extLst>
            <a:ext uri="{FF2B5EF4-FFF2-40B4-BE49-F238E27FC236}">
              <a16:creationId xmlns:a16="http://schemas.microsoft.com/office/drawing/2014/main" id="{01A1E4A8-C83E-472F-BF72-AD714F88872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7" name="TextBox 266">
          <a:extLst>
            <a:ext uri="{FF2B5EF4-FFF2-40B4-BE49-F238E27FC236}">
              <a16:creationId xmlns:a16="http://schemas.microsoft.com/office/drawing/2014/main" id="{25D2EFCA-36E8-45B9-91A9-AD2C99DAB6A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8" name="TextBox 267">
          <a:extLst>
            <a:ext uri="{FF2B5EF4-FFF2-40B4-BE49-F238E27FC236}">
              <a16:creationId xmlns:a16="http://schemas.microsoft.com/office/drawing/2014/main" id="{27C85693-6AF6-430C-8275-63274C524EF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69" name="TextBox 268">
          <a:extLst>
            <a:ext uri="{FF2B5EF4-FFF2-40B4-BE49-F238E27FC236}">
              <a16:creationId xmlns:a16="http://schemas.microsoft.com/office/drawing/2014/main" id="{22226FD4-CA9B-4E66-89C1-3E97A4B0787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0" name="TextBox 269">
          <a:extLst>
            <a:ext uri="{FF2B5EF4-FFF2-40B4-BE49-F238E27FC236}">
              <a16:creationId xmlns:a16="http://schemas.microsoft.com/office/drawing/2014/main" id="{D9D603B9-2340-424E-971C-7AD0013C120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1" name="TextBox 270">
          <a:extLst>
            <a:ext uri="{FF2B5EF4-FFF2-40B4-BE49-F238E27FC236}">
              <a16:creationId xmlns:a16="http://schemas.microsoft.com/office/drawing/2014/main" id="{617D905B-B538-4457-ACBC-498788530DA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2" name="TextBox 271">
          <a:extLst>
            <a:ext uri="{FF2B5EF4-FFF2-40B4-BE49-F238E27FC236}">
              <a16:creationId xmlns:a16="http://schemas.microsoft.com/office/drawing/2014/main" id="{98B53F10-FC58-4F21-ADF9-7BB0D9D5B3D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3" name="TextBox 272">
          <a:extLst>
            <a:ext uri="{FF2B5EF4-FFF2-40B4-BE49-F238E27FC236}">
              <a16:creationId xmlns:a16="http://schemas.microsoft.com/office/drawing/2014/main" id="{DAA940CC-7E1C-4227-9CB2-B5AE243FE07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4" name="TextBox 273">
          <a:extLst>
            <a:ext uri="{FF2B5EF4-FFF2-40B4-BE49-F238E27FC236}">
              <a16:creationId xmlns:a16="http://schemas.microsoft.com/office/drawing/2014/main" id="{BAFD4E0B-D5A9-4E97-BC4A-02A14E857B9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5" name="TextBox 274">
          <a:extLst>
            <a:ext uri="{FF2B5EF4-FFF2-40B4-BE49-F238E27FC236}">
              <a16:creationId xmlns:a16="http://schemas.microsoft.com/office/drawing/2014/main" id="{5810C032-A131-40C0-9865-21469772354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6" name="TextBox 275">
          <a:extLst>
            <a:ext uri="{FF2B5EF4-FFF2-40B4-BE49-F238E27FC236}">
              <a16:creationId xmlns:a16="http://schemas.microsoft.com/office/drawing/2014/main" id="{AF6B1746-5A51-4BC2-B676-5ED82312F49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7" name="TextBox 276">
          <a:extLst>
            <a:ext uri="{FF2B5EF4-FFF2-40B4-BE49-F238E27FC236}">
              <a16:creationId xmlns:a16="http://schemas.microsoft.com/office/drawing/2014/main" id="{3C462DB7-1140-4E84-B9ED-57DAAF2700A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8" name="TextBox 277">
          <a:extLst>
            <a:ext uri="{FF2B5EF4-FFF2-40B4-BE49-F238E27FC236}">
              <a16:creationId xmlns:a16="http://schemas.microsoft.com/office/drawing/2014/main" id="{56519F57-3656-4464-BAC0-748894D2D75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79" name="TextBox 278">
          <a:extLst>
            <a:ext uri="{FF2B5EF4-FFF2-40B4-BE49-F238E27FC236}">
              <a16:creationId xmlns:a16="http://schemas.microsoft.com/office/drawing/2014/main" id="{A8C27A68-7ECD-4432-BF19-07CE1201FC8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0" name="TextBox 279">
          <a:extLst>
            <a:ext uri="{FF2B5EF4-FFF2-40B4-BE49-F238E27FC236}">
              <a16:creationId xmlns:a16="http://schemas.microsoft.com/office/drawing/2014/main" id="{19932395-A6CC-466E-86FE-4C59140680D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1" name="TextBox 280">
          <a:extLst>
            <a:ext uri="{FF2B5EF4-FFF2-40B4-BE49-F238E27FC236}">
              <a16:creationId xmlns:a16="http://schemas.microsoft.com/office/drawing/2014/main" id="{68AC773F-8EC8-4557-9769-DE6A01307B4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2" name="TextBox 281">
          <a:extLst>
            <a:ext uri="{FF2B5EF4-FFF2-40B4-BE49-F238E27FC236}">
              <a16:creationId xmlns:a16="http://schemas.microsoft.com/office/drawing/2014/main" id="{4E8740B2-F7B0-4F94-8444-2C3505C3E12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3" name="TextBox 282">
          <a:extLst>
            <a:ext uri="{FF2B5EF4-FFF2-40B4-BE49-F238E27FC236}">
              <a16:creationId xmlns:a16="http://schemas.microsoft.com/office/drawing/2014/main" id="{2BF74D76-ED98-4E1B-8F11-3758619CDB6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4" name="TextBox 283">
          <a:extLst>
            <a:ext uri="{FF2B5EF4-FFF2-40B4-BE49-F238E27FC236}">
              <a16:creationId xmlns:a16="http://schemas.microsoft.com/office/drawing/2014/main" id="{E45C1459-7999-4881-BEDC-22DAF41165C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5" name="TextBox 284">
          <a:extLst>
            <a:ext uri="{FF2B5EF4-FFF2-40B4-BE49-F238E27FC236}">
              <a16:creationId xmlns:a16="http://schemas.microsoft.com/office/drawing/2014/main" id="{B9A4F24F-A492-4942-9658-EBA7E81DA06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6" name="TextBox 285">
          <a:extLst>
            <a:ext uri="{FF2B5EF4-FFF2-40B4-BE49-F238E27FC236}">
              <a16:creationId xmlns:a16="http://schemas.microsoft.com/office/drawing/2014/main" id="{03CA5808-3AFB-4992-9CE3-9E8FF91D1CA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7" name="TextBox 286">
          <a:extLst>
            <a:ext uri="{FF2B5EF4-FFF2-40B4-BE49-F238E27FC236}">
              <a16:creationId xmlns:a16="http://schemas.microsoft.com/office/drawing/2014/main" id="{75CFB1F3-A7B4-48C6-B5DD-3FB9CFAAFE0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8" name="TextBox 287">
          <a:extLst>
            <a:ext uri="{FF2B5EF4-FFF2-40B4-BE49-F238E27FC236}">
              <a16:creationId xmlns:a16="http://schemas.microsoft.com/office/drawing/2014/main" id="{56E2E7BC-4015-4833-BB6C-FF085BE69F8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89" name="TextBox 288">
          <a:extLst>
            <a:ext uri="{FF2B5EF4-FFF2-40B4-BE49-F238E27FC236}">
              <a16:creationId xmlns:a16="http://schemas.microsoft.com/office/drawing/2014/main" id="{8EEB9C4A-71B8-4DD6-A435-F7E626F509D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0" name="TextBox 289">
          <a:extLst>
            <a:ext uri="{FF2B5EF4-FFF2-40B4-BE49-F238E27FC236}">
              <a16:creationId xmlns:a16="http://schemas.microsoft.com/office/drawing/2014/main" id="{C78E647B-5941-465A-B461-2E361F83E18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1" name="TextBox 290">
          <a:extLst>
            <a:ext uri="{FF2B5EF4-FFF2-40B4-BE49-F238E27FC236}">
              <a16:creationId xmlns:a16="http://schemas.microsoft.com/office/drawing/2014/main" id="{3EA70532-8428-440A-AB9A-39C1E57F992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2" name="TextBox 291">
          <a:extLst>
            <a:ext uri="{FF2B5EF4-FFF2-40B4-BE49-F238E27FC236}">
              <a16:creationId xmlns:a16="http://schemas.microsoft.com/office/drawing/2014/main" id="{4AE121AA-EAE5-4C40-8E9C-D92E8907515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3" name="TextBox 292">
          <a:extLst>
            <a:ext uri="{FF2B5EF4-FFF2-40B4-BE49-F238E27FC236}">
              <a16:creationId xmlns:a16="http://schemas.microsoft.com/office/drawing/2014/main" id="{BCC793BC-01C8-444C-BEA6-F5471FD86AF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4" name="TextBox 293">
          <a:extLst>
            <a:ext uri="{FF2B5EF4-FFF2-40B4-BE49-F238E27FC236}">
              <a16:creationId xmlns:a16="http://schemas.microsoft.com/office/drawing/2014/main" id="{E7D1CA66-A0B0-4B9B-B4ED-7D732AEA452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5" name="TextBox 294">
          <a:extLst>
            <a:ext uri="{FF2B5EF4-FFF2-40B4-BE49-F238E27FC236}">
              <a16:creationId xmlns:a16="http://schemas.microsoft.com/office/drawing/2014/main" id="{B1BD970A-1AEF-4551-89A9-77E2188346C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6" name="TextBox 295">
          <a:extLst>
            <a:ext uri="{FF2B5EF4-FFF2-40B4-BE49-F238E27FC236}">
              <a16:creationId xmlns:a16="http://schemas.microsoft.com/office/drawing/2014/main" id="{461B19C4-ED63-4616-B75A-FA996289F15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7" name="TextBox 296">
          <a:extLst>
            <a:ext uri="{FF2B5EF4-FFF2-40B4-BE49-F238E27FC236}">
              <a16:creationId xmlns:a16="http://schemas.microsoft.com/office/drawing/2014/main" id="{8B977D58-E154-4165-8F3E-8EEA40FAAA0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8" name="TextBox 297">
          <a:extLst>
            <a:ext uri="{FF2B5EF4-FFF2-40B4-BE49-F238E27FC236}">
              <a16:creationId xmlns:a16="http://schemas.microsoft.com/office/drawing/2014/main" id="{AB905182-F858-4588-9974-503819E6715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299" name="TextBox 298">
          <a:extLst>
            <a:ext uri="{FF2B5EF4-FFF2-40B4-BE49-F238E27FC236}">
              <a16:creationId xmlns:a16="http://schemas.microsoft.com/office/drawing/2014/main" id="{1BB8A1CE-75C4-4338-8290-80DF0AE2844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0" name="TextBox 299">
          <a:extLst>
            <a:ext uri="{FF2B5EF4-FFF2-40B4-BE49-F238E27FC236}">
              <a16:creationId xmlns:a16="http://schemas.microsoft.com/office/drawing/2014/main" id="{292E9996-D764-4BAF-83D7-9621126AC1A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1" name="TextBox 300">
          <a:extLst>
            <a:ext uri="{FF2B5EF4-FFF2-40B4-BE49-F238E27FC236}">
              <a16:creationId xmlns:a16="http://schemas.microsoft.com/office/drawing/2014/main" id="{7E19C006-94EA-4E4B-B5FE-FACE74FB635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2" name="TextBox 301">
          <a:extLst>
            <a:ext uri="{FF2B5EF4-FFF2-40B4-BE49-F238E27FC236}">
              <a16:creationId xmlns:a16="http://schemas.microsoft.com/office/drawing/2014/main" id="{38C28E95-0F34-4BDD-95A0-33B52C6734B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3" name="TextBox 302">
          <a:extLst>
            <a:ext uri="{FF2B5EF4-FFF2-40B4-BE49-F238E27FC236}">
              <a16:creationId xmlns:a16="http://schemas.microsoft.com/office/drawing/2014/main" id="{D2CABC4B-2F21-4B39-AD56-B6C6844381B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4" name="TextBox 303">
          <a:extLst>
            <a:ext uri="{FF2B5EF4-FFF2-40B4-BE49-F238E27FC236}">
              <a16:creationId xmlns:a16="http://schemas.microsoft.com/office/drawing/2014/main" id="{06C42351-5E8E-43DE-ADE8-CD609AB149B2}"/>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5" name="TextBox 304">
          <a:extLst>
            <a:ext uri="{FF2B5EF4-FFF2-40B4-BE49-F238E27FC236}">
              <a16:creationId xmlns:a16="http://schemas.microsoft.com/office/drawing/2014/main" id="{1EE2C8B8-37DF-472D-8D6A-75FC7614F98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6" name="TextBox 305">
          <a:extLst>
            <a:ext uri="{FF2B5EF4-FFF2-40B4-BE49-F238E27FC236}">
              <a16:creationId xmlns:a16="http://schemas.microsoft.com/office/drawing/2014/main" id="{9164FCCC-9638-4D04-9EF3-FF05D217BC6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7" name="TextBox 306">
          <a:extLst>
            <a:ext uri="{FF2B5EF4-FFF2-40B4-BE49-F238E27FC236}">
              <a16:creationId xmlns:a16="http://schemas.microsoft.com/office/drawing/2014/main" id="{C8E1B3A7-502B-497D-9E13-11EDC9C7B04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8" name="TextBox 307">
          <a:extLst>
            <a:ext uri="{FF2B5EF4-FFF2-40B4-BE49-F238E27FC236}">
              <a16:creationId xmlns:a16="http://schemas.microsoft.com/office/drawing/2014/main" id="{2511EDCD-4469-4523-945A-3D39A51B430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09" name="TextBox 308">
          <a:extLst>
            <a:ext uri="{FF2B5EF4-FFF2-40B4-BE49-F238E27FC236}">
              <a16:creationId xmlns:a16="http://schemas.microsoft.com/office/drawing/2014/main" id="{137ABE15-471C-4672-B59D-3443C3196DD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0" name="TextBox 309">
          <a:extLst>
            <a:ext uri="{FF2B5EF4-FFF2-40B4-BE49-F238E27FC236}">
              <a16:creationId xmlns:a16="http://schemas.microsoft.com/office/drawing/2014/main" id="{4DA62DC2-BE60-4575-B947-DDFB44B37E1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1" name="TextBox 310">
          <a:extLst>
            <a:ext uri="{FF2B5EF4-FFF2-40B4-BE49-F238E27FC236}">
              <a16:creationId xmlns:a16="http://schemas.microsoft.com/office/drawing/2014/main" id="{43A578AE-6BEB-41EB-8D00-E2CF791D867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2" name="TextBox 311">
          <a:extLst>
            <a:ext uri="{FF2B5EF4-FFF2-40B4-BE49-F238E27FC236}">
              <a16:creationId xmlns:a16="http://schemas.microsoft.com/office/drawing/2014/main" id="{16C0FA3A-D186-46BF-A2F3-1A428499B35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3" name="TextBox 312">
          <a:extLst>
            <a:ext uri="{FF2B5EF4-FFF2-40B4-BE49-F238E27FC236}">
              <a16:creationId xmlns:a16="http://schemas.microsoft.com/office/drawing/2014/main" id="{63630647-DC2A-4099-B5DC-015FDF8AEE4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4" name="TextBox 313">
          <a:extLst>
            <a:ext uri="{FF2B5EF4-FFF2-40B4-BE49-F238E27FC236}">
              <a16:creationId xmlns:a16="http://schemas.microsoft.com/office/drawing/2014/main" id="{E7D2F62D-680C-448B-ADBA-3D21D3A5A44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5" name="TextBox 314">
          <a:extLst>
            <a:ext uri="{FF2B5EF4-FFF2-40B4-BE49-F238E27FC236}">
              <a16:creationId xmlns:a16="http://schemas.microsoft.com/office/drawing/2014/main" id="{1A557F2B-168F-4500-9E66-9D27290020D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6" name="TextBox 315">
          <a:extLst>
            <a:ext uri="{FF2B5EF4-FFF2-40B4-BE49-F238E27FC236}">
              <a16:creationId xmlns:a16="http://schemas.microsoft.com/office/drawing/2014/main" id="{F94FF72D-64C3-4F4A-9F78-538C4E053EC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7" name="TextBox 316">
          <a:extLst>
            <a:ext uri="{FF2B5EF4-FFF2-40B4-BE49-F238E27FC236}">
              <a16:creationId xmlns:a16="http://schemas.microsoft.com/office/drawing/2014/main" id="{0DDC4B45-39BA-4D41-8242-62C7656CB336}"/>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8" name="TextBox 317">
          <a:extLst>
            <a:ext uri="{FF2B5EF4-FFF2-40B4-BE49-F238E27FC236}">
              <a16:creationId xmlns:a16="http://schemas.microsoft.com/office/drawing/2014/main" id="{8B4938D9-26B9-4385-8DCC-24BAD732E27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19" name="TextBox 318">
          <a:extLst>
            <a:ext uri="{FF2B5EF4-FFF2-40B4-BE49-F238E27FC236}">
              <a16:creationId xmlns:a16="http://schemas.microsoft.com/office/drawing/2014/main" id="{08E71AF7-8732-4467-9DBD-2BE67EB7E5C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0" name="TextBox 319">
          <a:extLst>
            <a:ext uri="{FF2B5EF4-FFF2-40B4-BE49-F238E27FC236}">
              <a16:creationId xmlns:a16="http://schemas.microsoft.com/office/drawing/2014/main" id="{5C4309C3-3732-472C-9B09-9027D4AE8C01}"/>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1" name="TextBox 320">
          <a:extLst>
            <a:ext uri="{FF2B5EF4-FFF2-40B4-BE49-F238E27FC236}">
              <a16:creationId xmlns:a16="http://schemas.microsoft.com/office/drawing/2014/main" id="{922E8C07-4B9D-4BE8-AA9E-99596337B75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2" name="TextBox 321">
          <a:extLst>
            <a:ext uri="{FF2B5EF4-FFF2-40B4-BE49-F238E27FC236}">
              <a16:creationId xmlns:a16="http://schemas.microsoft.com/office/drawing/2014/main" id="{759220BE-C9E1-4DD7-A04E-738A2AAFD44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3" name="TextBox 322">
          <a:extLst>
            <a:ext uri="{FF2B5EF4-FFF2-40B4-BE49-F238E27FC236}">
              <a16:creationId xmlns:a16="http://schemas.microsoft.com/office/drawing/2014/main" id="{C5519CB5-6C34-457A-A45E-4F8012CDCD5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4" name="TextBox 323">
          <a:extLst>
            <a:ext uri="{FF2B5EF4-FFF2-40B4-BE49-F238E27FC236}">
              <a16:creationId xmlns:a16="http://schemas.microsoft.com/office/drawing/2014/main" id="{BFB37974-D98A-4EE3-B671-D79B4297FD5F}"/>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5" name="TextBox 324">
          <a:extLst>
            <a:ext uri="{FF2B5EF4-FFF2-40B4-BE49-F238E27FC236}">
              <a16:creationId xmlns:a16="http://schemas.microsoft.com/office/drawing/2014/main" id="{7846366B-86D4-4F79-A542-2115FDE3123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6" name="TextBox 325">
          <a:extLst>
            <a:ext uri="{FF2B5EF4-FFF2-40B4-BE49-F238E27FC236}">
              <a16:creationId xmlns:a16="http://schemas.microsoft.com/office/drawing/2014/main" id="{9FCA0D61-C9D2-4FE7-941F-F9813D55200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7" name="TextBox 326">
          <a:extLst>
            <a:ext uri="{FF2B5EF4-FFF2-40B4-BE49-F238E27FC236}">
              <a16:creationId xmlns:a16="http://schemas.microsoft.com/office/drawing/2014/main" id="{37160CAC-6A63-4C0F-B4BE-833126C10B5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8" name="TextBox 327">
          <a:extLst>
            <a:ext uri="{FF2B5EF4-FFF2-40B4-BE49-F238E27FC236}">
              <a16:creationId xmlns:a16="http://schemas.microsoft.com/office/drawing/2014/main" id="{EF9FFD54-6A18-45FA-B320-BBF5DCB5FA9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29" name="TextBox 328">
          <a:extLst>
            <a:ext uri="{FF2B5EF4-FFF2-40B4-BE49-F238E27FC236}">
              <a16:creationId xmlns:a16="http://schemas.microsoft.com/office/drawing/2014/main" id="{D2C604D6-0482-48B7-99B6-A5FDFDBA9F4A}"/>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0" name="TextBox 329">
          <a:extLst>
            <a:ext uri="{FF2B5EF4-FFF2-40B4-BE49-F238E27FC236}">
              <a16:creationId xmlns:a16="http://schemas.microsoft.com/office/drawing/2014/main" id="{C8E2F06A-068F-4AA9-95BE-E5BDDC14D3C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1" name="TextBox 330">
          <a:extLst>
            <a:ext uri="{FF2B5EF4-FFF2-40B4-BE49-F238E27FC236}">
              <a16:creationId xmlns:a16="http://schemas.microsoft.com/office/drawing/2014/main" id="{C186F5DF-503A-4BE6-91D1-30D7BA07742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2" name="TextBox 331">
          <a:extLst>
            <a:ext uri="{FF2B5EF4-FFF2-40B4-BE49-F238E27FC236}">
              <a16:creationId xmlns:a16="http://schemas.microsoft.com/office/drawing/2014/main" id="{438FC836-C145-4EB5-960C-CA8ED4D37F4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3" name="TextBox 332">
          <a:extLst>
            <a:ext uri="{FF2B5EF4-FFF2-40B4-BE49-F238E27FC236}">
              <a16:creationId xmlns:a16="http://schemas.microsoft.com/office/drawing/2014/main" id="{592FBB17-CB46-4B85-A30E-FED5265C0D03}"/>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4" name="TextBox 333">
          <a:extLst>
            <a:ext uri="{FF2B5EF4-FFF2-40B4-BE49-F238E27FC236}">
              <a16:creationId xmlns:a16="http://schemas.microsoft.com/office/drawing/2014/main" id="{226DBA1A-43D9-425A-B54C-EAED772AE1FE}"/>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5" name="TextBox 334">
          <a:extLst>
            <a:ext uri="{FF2B5EF4-FFF2-40B4-BE49-F238E27FC236}">
              <a16:creationId xmlns:a16="http://schemas.microsoft.com/office/drawing/2014/main" id="{DC4D080F-F9C5-4771-997B-5E864024D44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6" name="TextBox 335">
          <a:extLst>
            <a:ext uri="{FF2B5EF4-FFF2-40B4-BE49-F238E27FC236}">
              <a16:creationId xmlns:a16="http://schemas.microsoft.com/office/drawing/2014/main" id="{0DFFC504-4263-478F-AE46-5EE1A98054E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7" name="TextBox 336">
          <a:extLst>
            <a:ext uri="{FF2B5EF4-FFF2-40B4-BE49-F238E27FC236}">
              <a16:creationId xmlns:a16="http://schemas.microsoft.com/office/drawing/2014/main" id="{140659CB-7450-4117-B350-E2E13A17F425}"/>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8" name="TextBox 337">
          <a:extLst>
            <a:ext uri="{FF2B5EF4-FFF2-40B4-BE49-F238E27FC236}">
              <a16:creationId xmlns:a16="http://schemas.microsoft.com/office/drawing/2014/main" id="{8E012508-0780-4D9C-A09E-15058CE2409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39" name="TextBox 338">
          <a:extLst>
            <a:ext uri="{FF2B5EF4-FFF2-40B4-BE49-F238E27FC236}">
              <a16:creationId xmlns:a16="http://schemas.microsoft.com/office/drawing/2014/main" id="{D70E7756-6536-4B1C-906D-A01D593B0F6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0" name="TextBox 339">
          <a:extLst>
            <a:ext uri="{FF2B5EF4-FFF2-40B4-BE49-F238E27FC236}">
              <a16:creationId xmlns:a16="http://schemas.microsoft.com/office/drawing/2014/main" id="{EB68ED8E-612B-4B1C-AE92-8927CB1CA938}"/>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1" name="TextBox 340">
          <a:extLst>
            <a:ext uri="{FF2B5EF4-FFF2-40B4-BE49-F238E27FC236}">
              <a16:creationId xmlns:a16="http://schemas.microsoft.com/office/drawing/2014/main" id="{5D250053-5E6B-4880-A056-6A3F46B47FB9}"/>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2" name="TextBox 341">
          <a:extLst>
            <a:ext uri="{FF2B5EF4-FFF2-40B4-BE49-F238E27FC236}">
              <a16:creationId xmlns:a16="http://schemas.microsoft.com/office/drawing/2014/main" id="{06AC323A-2DDA-4279-9B6D-4094D6FA089C}"/>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3" name="TextBox 342">
          <a:extLst>
            <a:ext uri="{FF2B5EF4-FFF2-40B4-BE49-F238E27FC236}">
              <a16:creationId xmlns:a16="http://schemas.microsoft.com/office/drawing/2014/main" id="{A05A37A6-46CF-4D19-9863-48C301EC21E0}"/>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4" name="TextBox 343">
          <a:extLst>
            <a:ext uri="{FF2B5EF4-FFF2-40B4-BE49-F238E27FC236}">
              <a16:creationId xmlns:a16="http://schemas.microsoft.com/office/drawing/2014/main" id="{82EF6627-A8E1-4227-87AA-4297F14172FB}"/>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5" name="TextBox 344">
          <a:extLst>
            <a:ext uri="{FF2B5EF4-FFF2-40B4-BE49-F238E27FC236}">
              <a16:creationId xmlns:a16="http://schemas.microsoft.com/office/drawing/2014/main" id="{B5B91EEB-F140-4427-834F-CE245D9E7F97}"/>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6" name="TextBox 345">
          <a:extLst>
            <a:ext uri="{FF2B5EF4-FFF2-40B4-BE49-F238E27FC236}">
              <a16:creationId xmlns:a16="http://schemas.microsoft.com/office/drawing/2014/main" id="{E010DA53-C7CB-4A91-8969-DB2402B0473D}"/>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117</xdr:row>
      <xdr:rowOff>0</xdr:rowOff>
    </xdr:from>
    <xdr:ext cx="65" cy="172227"/>
    <xdr:sp macro="" textlink="">
      <xdr:nvSpPr>
        <xdr:cNvPr id="347" name="TextBox 346">
          <a:extLst>
            <a:ext uri="{FF2B5EF4-FFF2-40B4-BE49-F238E27FC236}">
              <a16:creationId xmlns:a16="http://schemas.microsoft.com/office/drawing/2014/main" id="{0B29550A-D539-4A42-9B91-7C30F1D059E4}"/>
            </a:ext>
          </a:extLst>
        </xdr:cNvPr>
        <xdr:cNvSpPr txBox="1"/>
      </xdr:nvSpPr>
      <xdr:spPr>
        <a:xfrm flipH="1">
          <a:off x="6343650" y="271748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48" name="TextBox 347">
          <a:extLst>
            <a:ext uri="{FF2B5EF4-FFF2-40B4-BE49-F238E27FC236}">
              <a16:creationId xmlns:a16="http://schemas.microsoft.com/office/drawing/2014/main" id="{11B29FCE-280B-429C-84D4-AAF886EA3DA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49" name="TextBox 348">
          <a:extLst>
            <a:ext uri="{FF2B5EF4-FFF2-40B4-BE49-F238E27FC236}">
              <a16:creationId xmlns:a16="http://schemas.microsoft.com/office/drawing/2014/main" id="{8CE120E4-051B-4270-8350-E2532D20E87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0" name="TextBox 349">
          <a:extLst>
            <a:ext uri="{FF2B5EF4-FFF2-40B4-BE49-F238E27FC236}">
              <a16:creationId xmlns:a16="http://schemas.microsoft.com/office/drawing/2014/main" id="{346910AA-263F-4BB6-8C12-C0D81C76170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1" name="TextBox 350">
          <a:extLst>
            <a:ext uri="{FF2B5EF4-FFF2-40B4-BE49-F238E27FC236}">
              <a16:creationId xmlns:a16="http://schemas.microsoft.com/office/drawing/2014/main" id="{342E7A48-C2AC-4253-8A48-B441895B7A21}"/>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2" name="TextBox 351">
          <a:extLst>
            <a:ext uri="{FF2B5EF4-FFF2-40B4-BE49-F238E27FC236}">
              <a16:creationId xmlns:a16="http://schemas.microsoft.com/office/drawing/2014/main" id="{5B77AD26-B357-4D32-B3AA-5F3927E0782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3" name="TextBox 352">
          <a:extLst>
            <a:ext uri="{FF2B5EF4-FFF2-40B4-BE49-F238E27FC236}">
              <a16:creationId xmlns:a16="http://schemas.microsoft.com/office/drawing/2014/main" id="{E5345F37-B3BA-47F6-BD45-5B83AB04686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4" name="TextBox 353">
          <a:extLst>
            <a:ext uri="{FF2B5EF4-FFF2-40B4-BE49-F238E27FC236}">
              <a16:creationId xmlns:a16="http://schemas.microsoft.com/office/drawing/2014/main" id="{690BD313-BEF5-4AA5-ABE5-643FB809622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5" name="TextBox 354">
          <a:extLst>
            <a:ext uri="{FF2B5EF4-FFF2-40B4-BE49-F238E27FC236}">
              <a16:creationId xmlns:a16="http://schemas.microsoft.com/office/drawing/2014/main" id="{58372828-6160-4AF4-95A7-5E8BD2D832E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6" name="TextBox 355">
          <a:extLst>
            <a:ext uri="{FF2B5EF4-FFF2-40B4-BE49-F238E27FC236}">
              <a16:creationId xmlns:a16="http://schemas.microsoft.com/office/drawing/2014/main" id="{16EA4BBB-CD86-4FEA-A9CE-0F1369AE452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7" name="TextBox 356">
          <a:extLst>
            <a:ext uri="{FF2B5EF4-FFF2-40B4-BE49-F238E27FC236}">
              <a16:creationId xmlns:a16="http://schemas.microsoft.com/office/drawing/2014/main" id="{031245BC-45B0-4EAD-9A0B-BE309A0830A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8" name="TextBox 357">
          <a:extLst>
            <a:ext uri="{FF2B5EF4-FFF2-40B4-BE49-F238E27FC236}">
              <a16:creationId xmlns:a16="http://schemas.microsoft.com/office/drawing/2014/main" id="{87EDD483-B424-4B4C-9B03-293322D0607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59" name="TextBox 358">
          <a:extLst>
            <a:ext uri="{FF2B5EF4-FFF2-40B4-BE49-F238E27FC236}">
              <a16:creationId xmlns:a16="http://schemas.microsoft.com/office/drawing/2014/main" id="{678FD67E-18BB-4B34-9981-74C986CDCCA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0" name="TextBox 359">
          <a:extLst>
            <a:ext uri="{FF2B5EF4-FFF2-40B4-BE49-F238E27FC236}">
              <a16:creationId xmlns:a16="http://schemas.microsoft.com/office/drawing/2014/main" id="{24E1D4D5-40FF-40CD-9E05-1B7E60B2586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1" name="TextBox 360">
          <a:extLst>
            <a:ext uri="{FF2B5EF4-FFF2-40B4-BE49-F238E27FC236}">
              <a16:creationId xmlns:a16="http://schemas.microsoft.com/office/drawing/2014/main" id="{EDD0683E-D7EF-4A81-8A13-CCB3017456A1}"/>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2" name="TextBox 361">
          <a:extLst>
            <a:ext uri="{FF2B5EF4-FFF2-40B4-BE49-F238E27FC236}">
              <a16:creationId xmlns:a16="http://schemas.microsoft.com/office/drawing/2014/main" id="{CD89720E-A79B-4E8A-8631-115AB5EC263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3" name="TextBox 362">
          <a:extLst>
            <a:ext uri="{FF2B5EF4-FFF2-40B4-BE49-F238E27FC236}">
              <a16:creationId xmlns:a16="http://schemas.microsoft.com/office/drawing/2014/main" id="{5A37F20F-7F25-4A46-9511-E0B09C822C0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4" name="TextBox 363">
          <a:extLst>
            <a:ext uri="{FF2B5EF4-FFF2-40B4-BE49-F238E27FC236}">
              <a16:creationId xmlns:a16="http://schemas.microsoft.com/office/drawing/2014/main" id="{573039FE-82DC-452B-B234-2663AD2319E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5" name="TextBox 364">
          <a:extLst>
            <a:ext uri="{FF2B5EF4-FFF2-40B4-BE49-F238E27FC236}">
              <a16:creationId xmlns:a16="http://schemas.microsoft.com/office/drawing/2014/main" id="{3707382D-7C12-4BDB-909F-EE335B68DD3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6" name="TextBox 365">
          <a:extLst>
            <a:ext uri="{FF2B5EF4-FFF2-40B4-BE49-F238E27FC236}">
              <a16:creationId xmlns:a16="http://schemas.microsoft.com/office/drawing/2014/main" id="{097DA334-A7B3-4CA3-8794-3A9CEB224CC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7" name="TextBox 366">
          <a:extLst>
            <a:ext uri="{FF2B5EF4-FFF2-40B4-BE49-F238E27FC236}">
              <a16:creationId xmlns:a16="http://schemas.microsoft.com/office/drawing/2014/main" id="{85C5788E-CC0A-424B-98D1-0644ED33856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8" name="TextBox 367">
          <a:extLst>
            <a:ext uri="{FF2B5EF4-FFF2-40B4-BE49-F238E27FC236}">
              <a16:creationId xmlns:a16="http://schemas.microsoft.com/office/drawing/2014/main" id="{84540030-1785-42CA-9576-B346BC3983D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69" name="TextBox 368">
          <a:extLst>
            <a:ext uri="{FF2B5EF4-FFF2-40B4-BE49-F238E27FC236}">
              <a16:creationId xmlns:a16="http://schemas.microsoft.com/office/drawing/2014/main" id="{D9507149-575F-47AF-B4E8-6520BFBCF76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0" name="TextBox 369">
          <a:extLst>
            <a:ext uri="{FF2B5EF4-FFF2-40B4-BE49-F238E27FC236}">
              <a16:creationId xmlns:a16="http://schemas.microsoft.com/office/drawing/2014/main" id="{D998960E-1ACA-4FC8-81D8-43043DEA0A3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1" name="TextBox 370">
          <a:extLst>
            <a:ext uri="{FF2B5EF4-FFF2-40B4-BE49-F238E27FC236}">
              <a16:creationId xmlns:a16="http://schemas.microsoft.com/office/drawing/2014/main" id="{C4A814C6-61C1-4401-B443-C9D2F8A0926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2" name="TextBox 371">
          <a:extLst>
            <a:ext uri="{FF2B5EF4-FFF2-40B4-BE49-F238E27FC236}">
              <a16:creationId xmlns:a16="http://schemas.microsoft.com/office/drawing/2014/main" id="{D304ABA5-6EE9-4629-9B96-75D2E642552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3" name="TextBox 372">
          <a:extLst>
            <a:ext uri="{FF2B5EF4-FFF2-40B4-BE49-F238E27FC236}">
              <a16:creationId xmlns:a16="http://schemas.microsoft.com/office/drawing/2014/main" id="{5DD7F727-38D0-444E-BC91-4377257F754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4" name="TextBox 373">
          <a:extLst>
            <a:ext uri="{FF2B5EF4-FFF2-40B4-BE49-F238E27FC236}">
              <a16:creationId xmlns:a16="http://schemas.microsoft.com/office/drawing/2014/main" id="{2744844C-3294-4D91-B1AC-027C9B8661B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5" name="TextBox 374">
          <a:extLst>
            <a:ext uri="{FF2B5EF4-FFF2-40B4-BE49-F238E27FC236}">
              <a16:creationId xmlns:a16="http://schemas.microsoft.com/office/drawing/2014/main" id="{9787EB2D-65DD-45B5-AD00-266D57D618D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6" name="TextBox 375">
          <a:extLst>
            <a:ext uri="{FF2B5EF4-FFF2-40B4-BE49-F238E27FC236}">
              <a16:creationId xmlns:a16="http://schemas.microsoft.com/office/drawing/2014/main" id="{619AE691-8669-49C5-A9CE-9045F192D99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7" name="TextBox 376">
          <a:extLst>
            <a:ext uri="{FF2B5EF4-FFF2-40B4-BE49-F238E27FC236}">
              <a16:creationId xmlns:a16="http://schemas.microsoft.com/office/drawing/2014/main" id="{4CB28514-35CD-4578-BF03-4B8685D6846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8" name="TextBox 377">
          <a:extLst>
            <a:ext uri="{FF2B5EF4-FFF2-40B4-BE49-F238E27FC236}">
              <a16:creationId xmlns:a16="http://schemas.microsoft.com/office/drawing/2014/main" id="{91E0A1E0-D2FF-4AEF-BBFF-1E7C9A7BF75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379" name="TextBox 378">
          <a:extLst>
            <a:ext uri="{FF2B5EF4-FFF2-40B4-BE49-F238E27FC236}">
              <a16:creationId xmlns:a16="http://schemas.microsoft.com/office/drawing/2014/main" id="{3F4A922E-95AB-4C36-9420-41BE22321E7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0" name="TextBox 379">
          <a:extLst>
            <a:ext uri="{FF2B5EF4-FFF2-40B4-BE49-F238E27FC236}">
              <a16:creationId xmlns:a16="http://schemas.microsoft.com/office/drawing/2014/main" id="{41EEC66E-9A79-4743-92F6-72E003B202A2}"/>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1" name="TextBox 380">
          <a:extLst>
            <a:ext uri="{FF2B5EF4-FFF2-40B4-BE49-F238E27FC236}">
              <a16:creationId xmlns:a16="http://schemas.microsoft.com/office/drawing/2014/main" id="{4E192468-2D8A-47EE-81B6-0DCBCA31C123}"/>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2" name="TextBox 381">
          <a:extLst>
            <a:ext uri="{FF2B5EF4-FFF2-40B4-BE49-F238E27FC236}">
              <a16:creationId xmlns:a16="http://schemas.microsoft.com/office/drawing/2014/main" id="{A7458E02-E0B0-41CA-8C11-F4F06D4CDEEE}"/>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3" name="TextBox 382">
          <a:extLst>
            <a:ext uri="{FF2B5EF4-FFF2-40B4-BE49-F238E27FC236}">
              <a16:creationId xmlns:a16="http://schemas.microsoft.com/office/drawing/2014/main" id="{29AC0429-A781-4C8F-AD2D-FEDC043C4C59}"/>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4" name="TextBox 383">
          <a:extLst>
            <a:ext uri="{FF2B5EF4-FFF2-40B4-BE49-F238E27FC236}">
              <a16:creationId xmlns:a16="http://schemas.microsoft.com/office/drawing/2014/main" id="{A58E4FB2-9D75-4A24-9AB7-2E3FFB83948D}"/>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5" name="TextBox 384">
          <a:extLst>
            <a:ext uri="{FF2B5EF4-FFF2-40B4-BE49-F238E27FC236}">
              <a16:creationId xmlns:a16="http://schemas.microsoft.com/office/drawing/2014/main" id="{5E76DC19-E79A-483A-84FD-A1456AB452F1}"/>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6" name="TextBox 385">
          <a:extLst>
            <a:ext uri="{FF2B5EF4-FFF2-40B4-BE49-F238E27FC236}">
              <a16:creationId xmlns:a16="http://schemas.microsoft.com/office/drawing/2014/main" id="{DE9D1691-33DB-407F-A372-49771D1C2F91}"/>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7" name="TextBox 386">
          <a:extLst>
            <a:ext uri="{FF2B5EF4-FFF2-40B4-BE49-F238E27FC236}">
              <a16:creationId xmlns:a16="http://schemas.microsoft.com/office/drawing/2014/main" id="{1B7ED389-760F-4CE5-935F-E8C6E3FCFD84}"/>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8" name="TextBox 387">
          <a:extLst>
            <a:ext uri="{FF2B5EF4-FFF2-40B4-BE49-F238E27FC236}">
              <a16:creationId xmlns:a16="http://schemas.microsoft.com/office/drawing/2014/main" id="{25C12948-C792-410D-AFFE-CFCD8519AC69}"/>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89" name="TextBox 388">
          <a:extLst>
            <a:ext uri="{FF2B5EF4-FFF2-40B4-BE49-F238E27FC236}">
              <a16:creationId xmlns:a16="http://schemas.microsoft.com/office/drawing/2014/main" id="{32A31361-1B36-4F9C-9F8B-7C566A6ADB33}"/>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90" name="TextBox 389">
          <a:extLst>
            <a:ext uri="{FF2B5EF4-FFF2-40B4-BE49-F238E27FC236}">
              <a16:creationId xmlns:a16="http://schemas.microsoft.com/office/drawing/2014/main" id="{01B01C71-BC1E-47AE-8937-B48A4846C348}"/>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91" name="TextBox 390">
          <a:extLst>
            <a:ext uri="{FF2B5EF4-FFF2-40B4-BE49-F238E27FC236}">
              <a16:creationId xmlns:a16="http://schemas.microsoft.com/office/drawing/2014/main" id="{FA563A21-73CC-48D6-ABF9-0910A86F54B5}"/>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92" name="TextBox 391">
          <a:extLst>
            <a:ext uri="{FF2B5EF4-FFF2-40B4-BE49-F238E27FC236}">
              <a16:creationId xmlns:a16="http://schemas.microsoft.com/office/drawing/2014/main" id="{7743A383-DC4D-4CE9-ADBE-C7FDD9F9C3DF}"/>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393" name="TextBox 392">
          <a:extLst>
            <a:ext uri="{FF2B5EF4-FFF2-40B4-BE49-F238E27FC236}">
              <a16:creationId xmlns:a16="http://schemas.microsoft.com/office/drawing/2014/main" id="{3418F488-1DBD-489B-BD46-D592DC3D2998}"/>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4" name="TextBox 393">
          <a:extLst>
            <a:ext uri="{FF2B5EF4-FFF2-40B4-BE49-F238E27FC236}">
              <a16:creationId xmlns:a16="http://schemas.microsoft.com/office/drawing/2014/main" id="{A1CD2C77-FD8C-448F-A582-4E992158C33D}"/>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5" name="TextBox 394">
          <a:extLst>
            <a:ext uri="{FF2B5EF4-FFF2-40B4-BE49-F238E27FC236}">
              <a16:creationId xmlns:a16="http://schemas.microsoft.com/office/drawing/2014/main" id="{6E6FF047-FE85-45C8-AF5D-E16BF33F28DE}"/>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6" name="TextBox 395">
          <a:extLst>
            <a:ext uri="{FF2B5EF4-FFF2-40B4-BE49-F238E27FC236}">
              <a16:creationId xmlns:a16="http://schemas.microsoft.com/office/drawing/2014/main" id="{C4C7231B-C28F-4196-8119-75134AAF72CB}"/>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7" name="TextBox 396">
          <a:extLst>
            <a:ext uri="{FF2B5EF4-FFF2-40B4-BE49-F238E27FC236}">
              <a16:creationId xmlns:a16="http://schemas.microsoft.com/office/drawing/2014/main" id="{434DC461-6F70-4B44-A1E3-EBB84B6FA00D}"/>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8" name="TextBox 397">
          <a:extLst>
            <a:ext uri="{FF2B5EF4-FFF2-40B4-BE49-F238E27FC236}">
              <a16:creationId xmlns:a16="http://schemas.microsoft.com/office/drawing/2014/main" id="{131B5F45-B293-4B56-8CAC-5CE28DA405C9}"/>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399" name="TextBox 398">
          <a:extLst>
            <a:ext uri="{FF2B5EF4-FFF2-40B4-BE49-F238E27FC236}">
              <a16:creationId xmlns:a16="http://schemas.microsoft.com/office/drawing/2014/main" id="{9B109C30-6821-45C1-AE5D-3E338C1DBB24}"/>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0" name="TextBox 399">
          <a:extLst>
            <a:ext uri="{FF2B5EF4-FFF2-40B4-BE49-F238E27FC236}">
              <a16:creationId xmlns:a16="http://schemas.microsoft.com/office/drawing/2014/main" id="{2CD02F63-57B0-4907-802D-7D85EF1C2C88}"/>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1" name="TextBox 400">
          <a:extLst>
            <a:ext uri="{FF2B5EF4-FFF2-40B4-BE49-F238E27FC236}">
              <a16:creationId xmlns:a16="http://schemas.microsoft.com/office/drawing/2014/main" id="{A334CD86-B21A-446E-AD02-F00938FEE992}"/>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2" name="TextBox 401">
          <a:extLst>
            <a:ext uri="{FF2B5EF4-FFF2-40B4-BE49-F238E27FC236}">
              <a16:creationId xmlns:a16="http://schemas.microsoft.com/office/drawing/2014/main" id="{163E84BB-B230-4F66-BF27-35CA64021D93}"/>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3" name="TextBox 402">
          <a:extLst>
            <a:ext uri="{FF2B5EF4-FFF2-40B4-BE49-F238E27FC236}">
              <a16:creationId xmlns:a16="http://schemas.microsoft.com/office/drawing/2014/main" id="{C795F09C-B525-406D-AA1E-803A26F206F1}"/>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4" name="TextBox 403">
          <a:extLst>
            <a:ext uri="{FF2B5EF4-FFF2-40B4-BE49-F238E27FC236}">
              <a16:creationId xmlns:a16="http://schemas.microsoft.com/office/drawing/2014/main" id="{7783B100-4362-44E7-91DA-4A0BB472AC85}"/>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5" name="TextBox 404">
          <a:extLst>
            <a:ext uri="{FF2B5EF4-FFF2-40B4-BE49-F238E27FC236}">
              <a16:creationId xmlns:a16="http://schemas.microsoft.com/office/drawing/2014/main" id="{93CC9790-BB1B-4ED2-9E66-BF54A3F0BB07}"/>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6" name="TextBox 405">
          <a:extLst>
            <a:ext uri="{FF2B5EF4-FFF2-40B4-BE49-F238E27FC236}">
              <a16:creationId xmlns:a16="http://schemas.microsoft.com/office/drawing/2014/main" id="{42D918E5-3F77-4E1B-AAC2-CA8A9509D0CE}"/>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407" name="TextBox 406">
          <a:extLst>
            <a:ext uri="{FF2B5EF4-FFF2-40B4-BE49-F238E27FC236}">
              <a16:creationId xmlns:a16="http://schemas.microsoft.com/office/drawing/2014/main" id="{D59FB4C1-F1D2-45AB-B389-1FE580DB28B8}"/>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08" name="TextBox 407">
          <a:extLst>
            <a:ext uri="{FF2B5EF4-FFF2-40B4-BE49-F238E27FC236}">
              <a16:creationId xmlns:a16="http://schemas.microsoft.com/office/drawing/2014/main" id="{666D7DAC-4AA3-46AB-A00A-76F3AC72E70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09" name="TextBox 408">
          <a:extLst>
            <a:ext uri="{FF2B5EF4-FFF2-40B4-BE49-F238E27FC236}">
              <a16:creationId xmlns:a16="http://schemas.microsoft.com/office/drawing/2014/main" id="{709CFCE6-9C81-4909-8B58-0D317620530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0" name="TextBox 409">
          <a:extLst>
            <a:ext uri="{FF2B5EF4-FFF2-40B4-BE49-F238E27FC236}">
              <a16:creationId xmlns:a16="http://schemas.microsoft.com/office/drawing/2014/main" id="{F7D9EC23-C636-47EA-822B-C13EC59E844F}"/>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1" name="TextBox 410">
          <a:extLst>
            <a:ext uri="{FF2B5EF4-FFF2-40B4-BE49-F238E27FC236}">
              <a16:creationId xmlns:a16="http://schemas.microsoft.com/office/drawing/2014/main" id="{48D4470E-E82E-4648-9141-CAC7F682A2B1}"/>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2" name="TextBox 411">
          <a:extLst>
            <a:ext uri="{FF2B5EF4-FFF2-40B4-BE49-F238E27FC236}">
              <a16:creationId xmlns:a16="http://schemas.microsoft.com/office/drawing/2014/main" id="{F9752620-7215-4469-9437-D7E7DB899A3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3" name="TextBox 412">
          <a:extLst>
            <a:ext uri="{FF2B5EF4-FFF2-40B4-BE49-F238E27FC236}">
              <a16:creationId xmlns:a16="http://schemas.microsoft.com/office/drawing/2014/main" id="{5E66B9D0-3D37-4B2F-ABB4-5BD3E9C5B566}"/>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4" name="TextBox 413">
          <a:extLst>
            <a:ext uri="{FF2B5EF4-FFF2-40B4-BE49-F238E27FC236}">
              <a16:creationId xmlns:a16="http://schemas.microsoft.com/office/drawing/2014/main" id="{67584522-15E3-43B5-8186-042F0CC5B129}"/>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5" name="TextBox 414">
          <a:extLst>
            <a:ext uri="{FF2B5EF4-FFF2-40B4-BE49-F238E27FC236}">
              <a16:creationId xmlns:a16="http://schemas.microsoft.com/office/drawing/2014/main" id="{0C10841E-5E4A-4EAC-AFD7-0F63DA36A52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6" name="TextBox 415">
          <a:extLst>
            <a:ext uri="{FF2B5EF4-FFF2-40B4-BE49-F238E27FC236}">
              <a16:creationId xmlns:a16="http://schemas.microsoft.com/office/drawing/2014/main" id="{4FB095D3-D49B-40C1-9FB7-49E5F85152BB}"/>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7" name="TextBox 416">
          <a:extLst>
            <a:ext uri="{FF2B5EF4-FFF2-40B4-BE49-F238E27FC236}">
              <a16:creationId xmlns:a16="http://schemas.microsoft.com/office/drawing/2014/main" id="{BEF6053F-78AD-4893-A586-6E228501B41A}"/>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8" name="TextBox 417">
          <a:extLst>
            <a:ext uri="{FF2B5EF4-FFF2-40B4-BE49-F238E27FC236}">
              <a16:creationId xmlns:a16="http://schemas.microsoft.com/office/drawing/2014/main" id="{32702593-87C6-40E3-9911-FFD0A730B14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19" name="TextBox 418">
          <a:extLst>
            <a:ext uri="{FF2B5EF4-FFF2-40B4-BE49-F238E27FC236}">
              <a16:creationId xmlns:a16="http://schemas.microsoft.com/office/drawing/2014/main" id="{D9C240C0-A0FE-42BE-83EF-426E03080604}"/>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0" name="TextBox 419">
          <a:extLst>
            <a:ext uri="{FF2B5EF4-FFF2-40B4-BE49-F238E27FC236}">
              <a16:creationId xmlns:a16="http://schemas.microsoft.com/office/drawing/2014/main" id="{49407F4A-0447-4F20-A249-B88B391FD1C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1" name="TextBox 420">
          <a:extLst>
            <a:ext uri="{FF2B5EF4-FFF2-40B4-BE49-F238E27FC236}">
              <a16:creationId xmlns:a16="http://schemas.microsoft.com/office/drawing/2014/main" id="{34CDFBC6-03ED-41AF-BB0C-E92959535615}"/>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2" name="TextBox 421">
          <a:extLst>
            <a:ext uri="{FF2B5EF4-FFF2-40B4-BE49-F238E27FC236}">
              <a16:creationId xmlns:a16="http://schemas.microsoft.com/office/drawing/2014/main" id="{DBB84EA7-9985-447C-8B3E-6298A4C37624}"/>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3" name="TextBox 422">
          <a:extLst>
            <a:ext uri="{FF2B5EF4-FFF2-40B4-BE49-F238E27FC236}">
              <a16:creationId xmlns:a16="http://schemas.microsoft.com/office/drawing/2014/main" id="{069D3C30-F5D6-43F4-AF1D-AD903050DD53}"/>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4" name="TextBox 423">
          <a:extLst>
            <a:ext uri="{FF2B5EF4-FFF2-40B4-BE49-F238E27FC236}">
              <a16:creationId xmlns:a16="http://schemas.microsoft.com/office/drawing/2014/main" id="{51D4641E-5ED8-40C0-A233-D4C5F1ADCB4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5" name="TextBox 424">
          <a:extLst>
            <a:ext uri="{FF2B5EF4-FFF2-40B4-BE49-F238E27FC236}">
              <a16:creationId xmlns:a16="http://schemas.microsoft.com/office/drawing/2014/main" id="{CEC360D0-4242-4DC4-9D7D-906AA6A32B72}"/>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6" name="TextBox 425">
          <a:extLst>
            <a:ext uri="{FF2B5EF4-FFF2-40B4-BE49-F238E27FC236}">
              <a16:creationId xmlns:a16="http://schemas.microsoft.com/office/drawing/2014/main" id="{F8A2025B-0D4E-4819-A99F-6105F1249A82}"/>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7" name="TextBox 426">
          <a:extLst>
            <a:ext uri="{FF2B5EF4-FFF2-40B4-BE49-F238E27FC236}">
              <a16:creationId xmlns:a16="http://schemas.microsoft.com/office/drawing/2014/main" id="{0E05EAA1-1517-4603-9AD6-EEE33E07365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8" name="TextBox 427">
          <a:extLst>
            <a:ext uri="{FF2B5EF4-FFF2-40B4-BE49-F238E27FC236}">
              <a16:creationId xmlns:a16="http://schemas.microsoft.com/office/drawing/2014/main" id="{CFCDA44D-9961-4B63-A9A5-F48E48C7E58A}"/>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29" name="TextBox 428">
          <a:extLst>
            <a:ext uri="{FF2B5EF4-FFF2-40B4-BE49-F238E27FC236}">
              <a16:creationId xmlns:a16="http://schemas.microsoft.com/office/drawing/2014/main" id="{48190941-E871-4015-B3B5-EEF7EC77645B}"/>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0" name="TextBox 429">
          <a:extLst>
            <a:ext uri="{FF2B5EF4-FFF2-40B4-BE49-F238E27FC236}">
              <a16:creationId xmlns:a16="http://schemas.microsoft.com/office/drawing/2014/main" id="{249DD320-A98E-439C-A64C-0EE8B9825832}"/>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1" name="TextBox 430">
          <a:extLst>
            <a:ext uri="{FF2B5EF4-FFF2-40B4-BE49-F238E27FC236}">
              <a16:creationId xmlns:a16="http://schemas.microsoft.com/office/drawing/2014/main" id="{C15F3110-9012-4E41-A9DF-6CC779CB332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2" name="TextBox 431">
          <a:extLst>
            <a:ext uri="{FF2B5EF4-FFF2-40B4-BE49-F238E27FC236}">
              <a16:creationId xmlns:a16="http://schemas.microsoft.com/office/drawing/2014/main" id="{CA1F26FA-6B16-4CE6-9DA9-87E282F477A5}"/>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3" name="TextBox 432">
          <a:extLst>
            <a:ext uri="{FF2B5EF4-FFF2-40B4-BE49-F238E27FC236}">
              <a16:creationId xmlns:a16="http://schemas.microsoft.com/office/drawing/2014/main" id="{5BC9E497-A467-473F-8A67-497CB19272EB}"/>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4" name="TextBox 433">
          <a:extLst>
            <a:ext uri="{FF2B5EF4-FFF2-40B4-BE49-F238E27FC236}">
              <a16:creationId xmlns:a16="http://schemas.microsoft.com/office/drawing/2014/main" id="{7E070E42-6ACB-47DB-BA4E-D131BBE87E3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5" name="TextBox 434">
          <a:extLst>
            <a:ext uri="{FF2B5EF4-FFF2-40B4-BE49-F238E27FC236}">
              <a16:creationId xmlns:a16="http://schemas.microsoft.com/office/drawing/2014/main" id="{7CB3C65D-E66F-419C-AC13-1048D96D8629}"/>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6" name="TextBox 435">
          <a:extLst>
            <a:ext uri="{FF2B5EF4-FFF2-40B4-BE49-F238E27FC236}">
              <a16:creationId xmlns:a16="http://schemas.microsoft.com/office/drawing/2014/main" id="{D247D299-4444-44FD-824B-F789ADC8006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7" name="TextBox 436">
          <a:extLst>
            <a:ext uri="{FF2B5EF4-FFF2-40B4-BE49-F238E27FC236}">
              <a16:creationId xmlns:a16="http://schemas.microsoft.com/office/drawing/2014/main" id="{D962B78F-72D0-4DEA-91D6-BEF4DD3DC1AA}"/>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8" name="TextBox 437">
          <a:extLst>
            <a:ext uri="{FF2B5EF4-FFF2-40B4-BE49-F238E27FC236}">
              <a16:creationId xmlns:a16="http://schemas.microsoft.com/office/drawing/2014/main" id="{9A34A9C2-1E9D-40B0-96CD-72BA5F9FBCF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439" name="TextBox 438">
          <a:extLst>
            <a:ext uri="{FF2B5EF4-FFF2-40B4-BE49-F238E27FC236}">
              <a16:creationId xmlns:a16="http://schemas.microsoft.com/office/drawing/2014/main" id="{C2C75412-A92E-49E6-9FF5-410837B31AB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0" name="TextBox 439">
          <a:extLst>
            <a:ext uri="{FF2B5EF4-FFF2-40B4-BE49-F238E27FC236}">
              <a16:creationId xmlns:a16="http://schemas.microsoft.com/office/drawing/2014/main" id="{5CA55458-3364-4834-8D97-5B36F6CC413E}"/>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1" name="TextBox 440">
          <a:extLst>
            <a:ext uri="{FF2B5EF4-FFF2-40B4-BE49-F238E27FC236}">
              <a16:creationId xmlns:a16="http://schemas.microsoft.com/office/drawing/2014/main" id="{0D93888A-715B-4072-8050-9FC43BDF5D9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2" name="TextBox 441">
          <a:extLst>
            <a:ext uri="{FF2B5EF4-FFF2-40B4-BE49-F238E27FC236}">
              <a16:creationId xmlns:a16="http://schemas.microsoft.com/office/drawing/2014/main" id="{1F63B2C9-650D-44A5-8DB0-E58AEB02C1E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3" name="TextBox 442">
          <a:extLst>
            <a:ext uri="{FF2B5EF4-FFF2-40B4-BE49-F238E27FC236}">
              <a16:creationId xmlns:a16="http://schemas.microsoft.com/office/drawing/2014/main" id="{13B50E8B-6718-402E-BDBC-3B638B633B20}"/>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4" name="TextBox 443">
          <a:extLst>
            <a:ext uri="{FF2B5EF4-FFF2-40B4-BE49-F238E27FC236}">
              <a16:creationId xmlns:a16="http://schemas.microsoft.com/office/drawing/2014/main" id="{9D7BC432-370C-44FA-8825-50380EDA8150}"/>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5" name="TextBox 444">
          <a:extLst>
            <a:ext uri="{FF2B5EF4-FFF2-40B4-BE49-F238E27FC236}">
              <a16:creationId xmlns:a16="http://schemas.microsoft.com/office/drawing/2014/main" id="{19F71823-63CD-4E6A-97E4-2AD98095125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6" name="TextBox 445">
          <a:extLst>
            <a:ext uri="{FF2B5EF4-FFF2-40B4-BE49-F238E27FC236}">
              <a16:creationId xmlns:a16="http://schemas.microsoft.com/office/drawing/2014/main" id="{3D5FF5C4-5FE7-4777-ACA8-B3BD14D46D4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7" name="TextBox 446">
          <a:extLst>
            <a:ext uri="{FF2B5EF4-FFF2-40B4-BE49-F238E27FC236}">
              <a16:creationId xmlns:a16="http://schemas.microsoft.com/office/drawing/2014/main" id="{8AF9AF1A-4B7C-4B35-91DA-15A0DA0210E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8" name="TextBox 447">
          <a:extLst>
            <a:ext uri="{FF2B5EF4-FFF2-40B4-BE49-F238E27FC236}">
              <a16:creationId xmlns:a16="http://schemas.microsoft.com/office/drawing/2014/main" id="{78275B5A-3855-4BFD-8E5B-19BEB287823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49" name="TextBox 448">
          <a:extLst>
            <a:ext uri="{FF2B5EF4-FFF2-40B4-BE49-F238E27FC236}">
              <a16:creationId xmlns:a16="http://schemas.microsoft.com/office/drawing/2014/main" id="{E10DFD95-C323-4A50-9225-5D791F5FB0C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0" name="TextBox 449">
          <a:extLst>
            <a:ext uri="{FF2B5EF4-FFF2-40B4-BE49-F238E27FC236}">
              <a16:creationId xmlns:a16="http://schemas.microsoft.com/office/drawing/2014/main" id="{ECFF7F30-E6BD-4DEB-B5C0-CAAA8EB114F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1" name="TextBox 450">
          <a:extLst>
            <a:ext uri="{FF2B5EF4-FFF2-40B4-BE49-F238E27FC236}">
              <a16:creationId xmlns:a16="http://schemas.microsoft.com/office/drawing/2014/main" id="{955DC2FD-593B-40D3-ADC4-F16CAEC88C9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2" name="TextBox 451">
          <a:extLst>
            <a:ext uri="{FF2B5EF4-FFF2-40B4-BE49-F238E27FC236}">
              <a16:creationId xmlns:a16="http://schemas.microsoft.com/office/drawing/2014/main" id="{A37719FE-04BF-4E50-9A8B-942748121585}"/>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3" name="TextBox 452">
          <a:extLst>
            <a:ext uri="{FF2B5EF4-FFF2-40B4-BE49-F238E27FC236}">
              <a16:creationId xmlns:a16="http://schemas.microsoft.com/office/drawing/2014/main" id="{23B45448-DC7B-418A-84FB-43E25028D09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4" name="TextBox 453">
          <a:extLst>
            <a:ext uri="{FF2B5EF4-FFF2-40B4-BE49-F238E27FC236}">
              <a16:creationId xmlns:a16="http://schemas.microsoft.com/office/drawing/2014/main" id="{D058E3A2-4FB6-429B-A4D7-F9F911A8C820}"/>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5" name="TextBox 454">
          <a:extLst>
            <a:ext uri="{FF2B5EF4-FFF2-40B4-BE49-F238E27FC236}">
              <a16:creationId xmlns:a16="http://schemas.microsoft.com/office/drawing/2014/main" id="{F484B6C0-D4EF-4A8D-A038-C199C1077C2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6" name="TextBox 455">
          <a:extLst>
            <a:ext uri="{FF2B5EF4-FFF2-40B4-BE49-F238E27FC236}">
              <a16:creationId xmlns:a16="http://schemas.microsoft.com/office/drawing/2014/main" id="{9E8CF36D-C8A3-4C41-B3D7-58BCBEDFB30B}"/>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7" name="TextBox 456">
          <a:extLst>
            <a:ext uri="{FF2B5EF4-FFF2-40B4-BE49-F238E27FC236}">
              <a16:creationId xmlns:a16="http://schemas.microsoft.com/office/drawing/2014/main" id="{6C62DAAB-BA78-45F6-BB8A-6C2D86F29875}"/>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8" name="TextBox 457">
          <a:extLst>
            <a:ext uri="{FF2B5EF4-FFF2-40B4-BE49-F238E27FC236}">
              <a16:creationId xmlns:a16="http://schemas.microsoft.com/office/drawing/2014/main" id="{615AC42F-C0C8-4C7B-8371-80A158E842F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59" name="TextBox 458">
          <a:extLst>
            <a:ext uri="{FF2B5EF4-FFF2-40B4-BE49-F238E27FC236}">
              <a16:creationId xmlns:a16="http://schemas.microsoft.com/office/drawing/2014/main" id="{4DC58D97-0F3C-4F26-86DB-247AC229E4A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0" name="TextBox 459">
          <a:extLst>
            <a:ext uri="{FF2B5EF4-FFF2-40B4-BE49-F238E27FC236}">
              <a16:creationId xmlns:a16="http://schemas.microsoft.com/office/drawing/2014/main" id="{E51F52C7-8253-4227-8838-3BF0287E09D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1" name="TextBox 460">
          <a:extLst>
            <a:ext uri="{FF2B5EF4-FFF2-40B4-BE49-F238E27FC236}">
              <a16:creationId xmlns:a16="http://schemas.microsoft.com/office/drawing/2014/main" id="{9A145F0A-1DD7-4513-9377-ABA06AF994E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2" name="TextBox 461">
          <a:extLst>
            <a:ext uri="{FF2B5EF4-FFF2-40B4-BE49-F238E27FC236}">
              <a16:creationId xmlns:a16="http://schemas.microsoft.com/office/drawing/2014/main" id="{A7AC8667-BAFF-4418-AA58-CE372F87059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3" name="TextBox 462">
          <a:extLst>
            <a:ext uri="{FF2B5EF4-FFF2-40B4-BE49-F238E27FC236}">
              <a16:creationId xmlns:a16="http://schemas.microsoft.com/office/drawing/2014/main" id="{772877B7-7B70-4F6B-A6E6-6E367B14290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4" name="TextBox 463">
          <a:extLst>
            <a:ext uri="{FF2B5EF4-FFF2-40B4-BE49-F238E27FC236}">
              <a16:creationId xmlns:a16="http://schemas.microsoft.com/office/drawing/2014/main" id="{3C18A204-F3B8-40AC-ABA9-AAD1CA7C129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5" name="TextBox 464">
          <a:extLst>
            <a:ext uri="{FF2B5EF4-FFF2-40B4-BE49-F238E27FC236}">
              <a16:creationId xmlns:a16="http://schemas.microsoft.com/office/drawing/2014/main" id="{FCE6A62A-2029-44C6-94CE-4E6EBCF4C3F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6" name="TextBox 465">
          <a:extLst>
            <a:ext uri="{FF2B5EF4-FFF2-40B4-BE49-F238E27FC236}">
              <a16:creationId xmlns:a16="http://schemas.microsoft.com/office/drawing/2014/main" id="{BF282631-253F-4A4D-B534-FE0EEC89D82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7" name="TextBox 466">
          <a:extLst>
            <a:ext uri="{FF2B5EF4-FFF2-40B4-BE49-F238E27FC236}">
              <a16:creationId xmlns:a16="http://schemas.microsoft.com/office/drawing/2014/main" id="{BCFD104B-9EE8-4F17-8456-CB7D99028207}"/>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8" name="TextBox 467">
          <a:extLst>
            <a:ext uri="{FF2B5EF4-FFF2-40B4-BE49-F238E27FC236}">
              <a16:creationId xmlns:a16="http://schemas.microsoft.com/office/drawing/2014/main" id="{F9F03647-2FF2-40FA-A48E-D0BA3861C45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69" name="TextBox 468">
          <a:extLst>
            <a:ext uri="{FF2B5EF4-FFF2-40B4-BE49-F238E27FC236}">
              <a16:creationId xmlns:a16="http://schemas.microsoft.com/office/drawing/2014/main" id="{42C83D92-3386-4F63-9AF5-8FB858EC594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70" name="TextBox 469">
          <a:extLst>
            <a:ext uri="{FF2B5EF4-FFF2-40B4-BE49-F238E27FC236}">
              <a16:creationId xmlns:a16="http://schemas.microsoft.com/office/drawing/2014/main" id="{46767D3C-0D81-4381-A327-6DBEB44F9BB6}"/>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471" name="TextBox 470">
          <a:extLst>
            <a:ext uri="{FF2B5EF4-FFF2-40B4-BE49-F238E27FC236}">
              <a16:creationId xmlns:a16="http://schemas.microsoft.com/office/drawing/2014/main" id="{72F63D1E-A388-4DA2-A1F5-FB8D9BA4F40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2" name="TextBox 471">
          <a:extLst>
            <a:ext uri="{FF2B5EF4-FFF2-40B4-BE49-F238E27FC236}">
              <a16:creationId xmlns:a16="http://schemas.microsoft.com/office/drawing/2014/main" id="{6DB2AB11-44C8-40B8-9069-AEF0CE1DF71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3" name="TextBox 472">
          <a:extLst>
            <a:ext uri="{FF2B5EF4-FFF2-40B4-BE49-F238E27FC236}">
              <a16:creationId xmlns:a16="http://schemas.microsoft.com/office/drawing/2014/main" id="{B7AB76D1-52BF-4991-985E-C023C3101B4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4" name="TextBox 473">
          <a:extLst>
            <a:ext uri="{FF2B5EF4-FFF2-40B4-BE49-F238E27FC236}">
              <a16:creationId xmlns:a16="http://schemas.microsoft.com/office/drawing/2014/main" id="{2E4FBC6A-1B14-435E-AB56-CCB7E3F8A9C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5" name="TextBox 474">
          <a:extLst>
            <a:ext uri="{FF2B5EF4-FFF2-40B4-BE49-F238E27FC236}">
              <a16:creationId xmlns:a16="http://schemas.microsoft.com/office/drawing/2014/main" id="{D758EEAA-F4DD-403B-83C3-7917DECCEA4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6" name="TextBox 475">
          <a:extLst>
            <a:ext uri="{FF2B5EF4-FFF2-40B4-BE49-F238E27FC236}">
              <a16:creationId xmlns:a16="http://schemas.microsoft.com/office/drawing/2014/main" id="{A7FA75D6-3528-402F-9E79-59C17EE4497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7" name="TextBox 476">
          <a:extLst>
            <a:ext uri="{FF2B5EF4-FFF2-40B4-BE49-F238E27FC236}">
              <a16:creationId xmlns:a16="http://schemas.microsoft.com/office/drawing/2014/main" id="{7A011AED-AA09-40B2-B682-8831379DC6E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8" name="TextBox 477">
          <a:extLst>
            <a:ext uri="{FF2B5EF4-FFF2-40B4-BE49-F238E27FC236}">
              <a16:creationId xmlns:a16="http://schemas.microsoft.com/office/drawing/2014/main" id="{DC07C6F2-9D06-444E-B002-F95C226EE0C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79" name="TextBox 478">
          <a:extLst>
            <a:ext uri="{FF2B5EF4-FFF2-40B4-BE49-F238E27FC236}">
              <a16:creationId xmlns:a16="http://schemas.microsoft.com/office/drawing/2014/main" id="{45454A70-5142-401C-8280-10C0680126C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0" name="TextBox 479">
          <a:extLst>
            <a:ext uri="{FF2B5EF4-FFF2-40B4-BE49-F238E27FC236}">
              <a16:creationId xmlns:a16="http://schemas.microsoft.com/office/drawing/2014/main" id="{6F6CC9C5-82A3-432A-90D4-819321B035F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1" name="TextBox 480">
          <a:extLst>
            <a:ext uri="{FF2B5EF4-FFF2-40B4-BE49-F238E27FC236}">
              <a16:creationId xmlns:a16="http://schemas.microsoft.com/office/drawing/2014/main" id="{18B6F759-4551-4583-A02B-04D16E17DCA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2" name="TextBox 481">
          <a:extLst>
            <a:ext uri="{FF2B5EF4-FFF2-40B4-BE49-F238E27FC236}">
              <a16:creationId xmlns:a16="http://schemas.microsoft.com/office/drawing/2014/main" id="{481E9A64-DF44-4F97-A2DE-9CAF7F8E5C6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3" name="TextBox 482">
          <a:extLst>
            <a:ext uri="{FF2B5EF4-FFF2-40B4-BE49-F238E27FC236}">
              <a16:creationId xmlns:a16="http://schemas.microsoft.com/office/drawing/2014/main" id="{899B524B-66AA-4DF4-A778-CC18EC22321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4" name="TextBox 483">
          <a:extLst>
            <a:ext uri="{FF2B5EF4-FFF2-40B4-BE49-F238E27FC236}">
              <a16:creationId xmlns:a16="http://schemas.microsoft.com/office/drawing/2014/main" id="{B2DBA437-1A95-4774-AEEF-0092712B854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5" name="TextBox 484">
          <a:extLst>
            <a:ext uri="{FF2B5EF4-FFF2-40B4-BE49-F238E27FC236}">
              <a16:creationId xmlns:a16="http://schemas.microsoft.com/office/drawing/2014/main" id="{D288D514-1F65-4EE7-A35C-8D3F1E2392C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6" name="TextBox 485">
          <a:extLst>
            <a:ext uri="{FF2B5EF4-FFF2-40B4-BE49-F238E27FC236}">
              <a16:creationId xmlns:a16="http://schemas.microsoft.com/office/drawing/2014/main" id="{D02F60D7-384B-4D85-BA46-74DD1BCA8FE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7" name="TextBox 486">
          <a:extLst>
            <a:ext uri="{FF2B5EF4-FFF2-40B4-BE49-F238E27FC236}">
              <a16:creationId xmlns:a16="http://schemas.microsoft.com/office/drawing/2014/main" id="{FE2CBEDB-221C-473A-BB1D-2499A3E9C85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8" name="TextBox 487">
          <a:extLst>
            <a:ext uri="{FF2B5EF4-FFF2-40B4-BE49-F238E27FC236}">
              <a16:creationId xmlns:a16="http://schemas.microsoft.com/office/drawing/2014/main" id="{3987C741-34B9-4FD0-8864-E75515C44A21}"/>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89" name="TextBox 488">
          <a:extLst>
            <a:ext uri="{FF2B5EF4-FFF2-40B4-BE49-F238E27FC236}">
              <a16:creationId xmlns:a16="http://schemas.microsoft.com/office/drawing/2014/main" id="{7A9BFDEF-71AA-4FAD-8B2D-2241E3E2346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0" name="TextBox 489">
          <a:extLst>
            <a:ext uri="{FF2B5EF4-FFF2-40B4-BE49-F238E27FC236}">
              <a16:creationId xmlns:a16="http://schemas.microsoft.com/office/drawing/2014/main" id="{4F1F704D-9683-460D-B27C-B77EFE44CEF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1" name="TextBox 490">
          <a:extLst>
            <a:ext uri="{FF2B5EF4-FFF2-40B4-BE49-F238E27FC236}">
              <a16:creationId xmlns:a16="http://schemas.microsoft.com/office/drawing/2014/main" id="{8A053474-D038-4335-8C01-C9B8FF26F74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2" name="TextBox 491">
          <a:extLst>
            <a:ext uri="{FF2B5EF4-FFF2-40B4-BE49-F238E27FC236}">
              <a16:creationId xmlns:a16="http://schemas.microsoft.com/office/drawing/2014/main" id="{334C81CA-4290-45F4-A72F-74CDE8870D4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3" name="TextBox 492">
          <a:extLst>
            <a:ext uri="{FF2B5EF4-FFF2-40B4-BE49-F238E27FC236}">
              <a16:creationId xmlns:a16="http://schemas.microsoft.com/office/drawing/2014/main" id="{E7650626-2370-4936-BAA5-7B1524F3301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4" name="TextBox 493">
          <a:extLst>
            <a:ext uri="{FF2B5EF4-FFF2-40B4-BE49-F238E27FC236}">
              <a16:creationId xmlns:a16="http://schemas.microsoft.com/office/drawing/2014/main" id="{902C8961-22F9-4A90-985F-AD2A25D8FEA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5" name="TextBox 494">
          <a:extLst>
            <a:ext uri="{FF2B5EF4-FFF2-40B4-BE49-F238E27FC236}">
              <a16:creationId xmlns:a16="http://schemas.microsoft.com/office/drawing/2014/main" id="{93E90D58-9943-4DB9-891D-89E1E06DB90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6" name="TextBox 495">
          <a:extLst>
            <a:ext uri="{FF2B5EF4-FFF2-40B4-BE49-F238E27FC236}">
              <a16:creationId xmlns:a16="http://schemas.microsoft.com/office/drawing/2014/main" id="{0F9754B9-96FE-467D-AC51-F244E869E7D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7" name="TextBox 496">
          <a:extLst>
            <a:ext uri="{FF2B5EF4-FFF2-40B4-BE49-F238E27FC236}">
              <a16:creationId xmlns:a16="http://schemas.microsoft.com/office/drawing/2014/main" id="{F3088A74-FF99-438C-9577-93D6A513D1A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8" name="TextBox 497">
          <a:extLst>
            <a:ext uri="{FF2B5EF4-FFF2-40B4-BE49-F238E27FC236}">
              <a16:creationId xmlns:a16="http://schemas.microsoft.com/office/drawing/2014/main" id="{CE017FF4-0453-48E8-A474-18776F93CDF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499" name="TextBox 498">
          <a:extLst>
            <a:ext uri="{FF2B5EF4-FFF2-40B4-BE49-F238E27FC236}">
              <a16:creationId xmlns:a16="http://schemas.microsoft.com/office/drawing/2014/main" id="{68A17D78-454D-47CA-8FF8-2718AF0B0C3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500" name="TextBox 499">
          <a:extLst>
            <a:ext uri="{FF2B5EF4-FFF2-40B4-BE49-F238E27FC236}">
              <a16:creationId xmlns:a16="http://schemas.microsoft.com/office/drawing/2014/main" id="{BA788AC4-CFBB-4FD4-ACAD-43CC6FD6DB0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501" name="TextBox 500">
          <a:extLst>
            <a:ext uri="{FF2B5EF4-FFF2-40B4-BE49-F238E27FC236}">
              <a16:creationId xmlns:a16="http://schemas.microsoft.com/office/drawing/2014/main" id="{39AD09B9-1AD9-48AB-94FE-8A26E66D182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502" name="TextBox 501">
          <a:extLst>
            <a:ext uri="{FF2B5EF4-FFF2-40B4-BE49-F238E27FC236}">
              <a16:creationId xmlns:a16="http://schemas.microsoft.com/office/drawing/2014/main" id="{35EA60A6-1A7A-4FE0-88E9-3E3E2B29F3F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503" name="TextBox 502">
          <a:extLst>
            <a:ext uri="{FF2B5EF4-FFF2-40B4-BE49-F238E27FC236}">
              <a16:creationId xmlns:a16="http://schemas.microsoft.com/office/drawing/2014/main" id="{F4B67ADB-293C-4052-8EFB-12E5A85CFD9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4" name="TextBox 503">
          <a:extLst>
            <a:ext uri="{FF2B5EF4-FFF2-40B4-BE49-F238E27FC236}">
              <a16:creationId xmlns:a16="http://schemas.microsoft.com/office/drawing/2014/main" id="{4027F0AB-5D72-44F7-9DA2-AE9304A72609}"/>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5" name="TextBox 504">
          <a:extLst>
            <a:ext uri="{FF2B5EF4-FFF2-40B4-BE49-F238E27FC236}">
              <a16:creationId xmlns:a16="http://schemas.microsoft.com/office/drawing/2014/main" id="{EC56F3BA-B120-4ECB-9083-69AB6F45155B}"/>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6" name="TextBox 505">
          <a:extLst>
            <a:ext uri="{FF2B5EF4-FFF2-40B4-BE49-F238E27FC236}">
              <a16:creationId xmlns:a16="http://schemas.microsoft.com/office/drawing/2014/main" id="{88E8CA65-825B-40CC-A805-891B07EF4AF1}"/>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7" name="TextBox 506">
          <a:extLst>
            <a:ext uri="{FF2B5EF4-FFF2-40B4-BE49-F238E27FC236}">
              <a16:creationId xmlns:a16="http://schemas.microsoft.com/office/drawing/2014/main" id="{F5DCD401-3C91-44D9-9EBF-8B008898B0BF}"/>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8" name="TextBox 507">
          <a:extLst>
            <a:ext uri="{FF2B5EF4-FFF2-40B4-BE49-F238E27FC236}">
              <a16:creationId xmlns:a16="http://schemas.microsoft.com/office/drawing/2014/main" id="{FAF88942-B675-4693-BBEA-A69E7D42974E}"/>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09" name="TextBox 508">
          <a:extLst>
            <a:ext uri="{FF2B5EF4-FFF2-40B4-BE49-F238E27FC236}">
              <a16:creationId xmlns:a16="http://schemas.microsoft.com/office/drawing/2014/main" id="{F2A87FB0-AC00-4ADB-A4BF-7DEE0679E5C2}"/>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0" name="TextBox 509">
          <a:extLst>
            <a:ext uri="{FF2B5EF4-FFF2-40B4-BE49-F238E27FC236}">
              <a16:creationId xmlns:a16="http://schemas.microsoft.com/office/drawing/2014/main" id="{FCE558FC-0DD8-4AE0-8619-AED8878DD214}"/>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1" name="TextBox 510">
          <a:extLst>
            <a:ext uri="{FF2B5EF4-FFF2-40B4-BE49-F238E27FC236}">
              <a16:creationId xmlns:a16="http://schemas.microsoft.com/office/drawing/2014/main" id="{5B6C8D57-55DB-414C-8DAB-CF6A8F33DF79}"/>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2" name="TextBox 511">
          <a:extLst>
            <a:ext uri="{FF2B5EF4-FFF2-40B4-BE49-F238E27FC236}">
              <a16:creationId xmlns:a16="http://schemas.microsoft.com/office/drawing/2014/main" id="{69E060E1-7DD4-4831-9E64-1B1C5A3A5282}"/>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3" name="TextBox 512">
          <a:extLst>
            <a:ext uri="{FF2B5EF4-FFF2-40B4-BE49-F238E27FC236}">
              <a16:creationId xmlns:a16="http://schemas.microsoft.com/office/drawing/2014/main" id="{65B4D5DE-18F2-40DB-8665-D90E25CEB4A5}"/>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4" name="TextBox 513">
          <a:extLst>
            <a:ext uri="{FF2B5EF4-FFF2-40B4-BE49-F238E27FC236}">
              <a16:creationId xmlns:a16="http://schemas.microsoft.com/office/drawing/2014/main" id="{449A844D-51A7-4BEF-8EC6-AB74A202763A}"/>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5" name="TextBox 514">
          <a:extLst>
            <a:ext uri="{FF2B5EF4-FFF2-40B4-BE49-F238E27FC236}">
              <a16:creationId xmlns:a16="http://schemas.microsoft.com/office/drawing/2014/main" id="{9CC70B3B-6311-4C3B-8F55-C5DC3AF64ECA}"/>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6" name="TextBox 515">
          <a:extLst>
            <a:ext uri="{FF2B5EF4-FFF2-40B4-BE49-F238E27FC236}">
              <a16:creationId xmlns:a16="http://schemas.microsoft.com/office/drawing/2014/main" id="{7F2FC539-CEEA-4A21-B0CF-8FAFE6C4916D}"/>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7" name="TextBox 516">
          <a:extLst>
            <a:ext uri="{FF2B5EF4-FFF2-40B4-BE49-F238E27FC236}">
              <a16:creationId xmlns:a16="http://schemas.microsoft.com/office/drawing/2014/main" id="{F77C3144-7FC7-44C6-BDBF-3BC07D66169D}"/>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8" name="TextBox 517">
          <a:extLst>
            <a:ext uri="{FF2B5EF4-FFF2-40B4-BE49-F238E27FC236}">
              <a16:creationId xmlns:a16="http://schemas.microsoft.com/office/drawing/2014/main" id="{60D106C9-57B8-4D82-B830-BBC2209C3D15}"/>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19" name="TextBox 518">
          <a:extLst>
            <a:ext uri="{FF2B5EF4-FFF2-40B4-BE49-F238E27FC236}">
              <a16:creationId xmlns:a16="http://schemas.microsoft.com/office/drawing/2014/main" id="{5FBD32ED-7655-4645-9786-02955BBAD2E2}"/>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0" name="TextBox 519">
          <a:extLst>
            <a:ext uri="{FF2B5EF4-FFF2-40B4-BE49-F238E27FC236}">
              <a16:creationId xmlns:a16="http://schemas.microsoft.com/office/drawing/2014/main" id="{CE88AF00-81DE-4FA1-9748-9CDBD48A16FB}"/>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1" name="TextBox 520">
          <a:extLst>
            <a:ext uri="{FF2B5EF4-FFF2-40B4-BE49-F238E27FC236}">
              <a16:creationId xmlns:a16="http://schemas.microsoft.com/office/drawing/2014/main" id="{08D39BCE-237E-4FC4-8183-8280694609F5}"/>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2" name="TextBox 521">
          <a:extLst>
            <a:ext uri="{FF2B5EF4-FFF2-40B4-BE49-F238E27FC236}">
              <a16:creationId xmlns:a16="http://schemas.microsoft.com/office/drawing/2014/main" id="{CF3B8B7B-44AA-4EA9-B926-886815202E4B}"/>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3" name="TextBox 522">
          <a:extLst>
            <a:ext uri="{FF2B5EF4-FFF2-40B4-BE49-F238E27FC236}">
              <a16:creationId xmlns:a16="http://schemas.microsoft.com/office/drawing/2014/main" id="{706F8AD2-714B-4B67-8D9E-B930AE10725C}"/>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4" name="TextBox 523">
          <a:extLst>
            <a:ext uri="{FF2B5EF4-FFF2-40B4-BE49-F238E27FC236}">
              <a16:creationId xmlns:a16="http://schemas.microsoft.com/office/drawing/2014/main" id="{C0902F71-E5DD-41D4-ADE9-48E374E37C97}"/>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5" name="TextBox 524">
          <a:extLst>
            <a:ext uri="{FF2B5EF4-FFF2-40B4-BE49-F238E27FC236}">
              <a16:creationId xmlns:a16="http://schemas.microsoft.com/office/drawing/2014/main" id="{4F152F19-5EC8-4C66-9FDB-10AC31669FEA}"/>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6" name="TextBox 525">
          <a:extLst>
            <a:ext uri="{FF2B5EF4-FFF2-40B4-BE49-F238E27FC236}">
              <a16:creationId xmlns:a16="http://schemas.microsoft.com/office/drawing/2014/main" id="{36B1B4D8-CC3C-4E57-A692-866C2508237A}"/>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7" name="TextBox 526">
          <a:extLst>
            <a:ext uri="{FF2B5EF4-FFF2-40B4-BE49-F238E27FC236}">
              <a16:creationId xmlns:a16="http://schemas.microsoft.com/office/drawing/2014/main" id="{F01FCB77-3A0C-4B68-B718-9A2B8A65376F}"/>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8" name="TextBox 527">
          <a:extLst>
            <a:ext uri="{FF2B5EF4-FFF2-40B4-BE49-F238E27FC236}">
              <a16:creationId xmlns:a16="http://schemas.microsoft.com/office/drawing/2014/main" id="{1E825ABF-CA12-4C29-BD14-0B0C744E3799}"/>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29" name="TextBox 528">
          <a:extLst>
            <a:ext uri="{FF2B5EF4-FFF2-40B4-BE49-F238E27FC236}">
              <a16:creationId xmlns:a16="http://schemas.microsoft.com/office/drawing/2014/main" id="{05E6F6C8-C935-4F8D-A78C-24502DCDAE9C}"/>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0" name="TextBox 529">
          <a:extLst>
            <a:ext uri="{FF2B5EF4-FFF2-40B4-BE49-F238E27FC236}">
              <a16:creationId xmlns:a16="http://schemas.microsoft.com/office/drawing/2014/main" id="{D82762A2-5AD4-46B5-A6CE-C6D3BD886987}"/>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1" name="TextBox 530">
          <a:extLst>
            <a:ext uri="{FF2B5EF4-FFF2-40B4-BE49-F238E27FC236}">
              <a16:creationId xmlns:a16="http://schemas.microsoft.com/office/drawing/2014/main" id="{B9AD7D9F-80D0-418E-BECF-EA8F8707BF64}"/>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2" name="TextBox 531">
          <a:extLst>
            <a:ext uri="{FF2B5EF4-FFF2-40B4-BE49-F238E27FC236}">
              <a16:creationId xmlns:a16="http://schemas.microsoft.com/office/drawing/2014/main" id="{E0C548AF-E71F-4E25-ADD5-BF3F45FEED34}"/>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3" name="TextBox 532">
          <a:extLst>
            <a:ext uri="{FF2B5EF4-FFF2-40B4-BE49-F238E27FC236}">
              <a16:creationId xmlns:a16="http://schemas.microsoft.com/office/drawing/2014/main" id="{52F5E385-EF57-4169-9F0F-989720590945}"/>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4" name="TextBox 533">
          <a:extLst>
            <a:ext uri="{FF2B5EF4-FFF2-40B4-BE49-F238E27FC236}">
              <a16:creationId xmlns:a16="http://schemas.microsoft.com/office/drawing/2014/main" id="{7DE5E660-5FAE-42A8-82E0-E1EF1C382037}"/>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93</xdr:row>
      <xdr:rowOff>0</xdr:rowOff>
    </xdr:from>
    <xdr:ext cx="65" cy="172227"/>
    <xdr:sp macro="" textlink="">
      <xdr:nvSpPr>
        <xdr:cNvPr id="535" name="TextBox 534">
          <a:extLst>
            <a:ext uri="{FF2B5EF4-FFF2-40B4-BE49-F238E27FC236}">
              <a16:creationId xmlns:a16="http://schemas.microsoft.com/office/drawing/2014/main" id="{563D2492-D4EE-4C28-BCF6-394A3A5A6EE6}"/>
            </a:ext>
          </a:extLst>
        </xdr:cNvPr>
        <xdr:cNvSpPr txBox="1"/>
      </xdr:nvSpPr>
      <xdr:spPr>
        <a:xfrm flipH="1">
          <a:off x="6343650" y="205549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36" name="TextBox 535">
          <a:extLst>
            <a:ext uri="{FF2B5EF4-FFF2-40B4-BE49-F238E27FC236}">
              <a16:creationId xmlns:a16="http://schemas.microsoft.com/office/drawing/2014/main" id="{20704380-625D-4626-AD68-B7648B542943}"/>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37" name="TextBox 536">
          <a:extLst>
            <a:ext uri="{FF2B5EF4-FFF2-40B4-BE49-F238E27FC236}">
              <a16:creationId xmlns:a16="http://schemas.microsoft.com/office/drawing/2014/main" id="{02D677BF-C0CB-400A-80B8-772FB68BE269}"/>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38" name="TextBox 537">
          <a:extLst>
            <a:ext uri="{FF2B5EF4-FFF2-40B4-BE49-F238E27FC236}">
              <a16:creationId xmlns:a16="http://schemas.microsoft.com/office/drawing/2014/main" id="{8504BC5B-72A3-46D1-A156-24BB66F345D8}"/>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39" name="TextBox 538">
          <a:extLst>
            <a:ext uri="{FF2B5EF4-FFF2-40B4-BE49-F238E27FC236}">
              <a16:creationId xmlns:a16="http://schemas.microsoft.com/office/drawing/2014/main" id="{71868CFF-CAC0-4F86-AF64-0C1375F366AF}"/>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0" name="TextBox 539">
          <a:extLst>
            <a:ext uri="{FF2B5EF4-FFF2-40B4-BE49-F238E27FC236}">
              <a16:creationId xmlns:a16="http://schemas.microsoft.com/office/drawing/2014/main" id="{06185CE5-2825-4C00-A8DD-6B7CF89E267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1" name="TextBox 540">
          <a:extLst>
            <a:ext uri="{FF2B5EF4-FFF2-40B4-BE49-F238E27FC236}">
              <a16:creationId xmlns:a16="http://schemas.microsoft.com/office/drawing/2014/main" id="{7D76A051-392B-48C0-89C3-1BFFDCFD0806}"/>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2" name="TextBox 541">
          <a:extLst>
            <a:ext uri="{FF2B5EF4-FFF2-40B4-BE49-F238E27FC236}">
              <a16:creationId xmlns:a16="http://schemas.microsoft.com/office/drawing/2014/main" id="{C80AFDFD-E78E-4595-9C95-DC98DA9FED0F}"/>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3" name="TextBox 542">
          <a:extLst>
            <a:ext uri="{FF2B5EF4-FFF2-40B4-BE49-F238E27FC236}">
              <a16:creationId xmlns:a16="http://schemas.microsoft.com/office/drawing/2014/main" id="{0627B0B0-9D16-4D85-BD21-F5824627E9D8}"/>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4" name="TextBox 543">
          <a:extLst>
            <a:ext uri="{FF2B5EF4-FFF2-40B4-BE49-F238E27FC236}">
              <a16:creationId xmlns:a16="http://schemas.microsoft.com/office/drawing/2014/main" id="{298F9F22-1DC0-4377-8D20-9EAAB8E58C3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5" name="TextBox 544">
          <a:extLst>
            <a:ext uri="{FF2B5EF4-FFF2-40B4-BE49-F238E27FC236}">
              <a16:creationId xmlns:a16="http://schemas.microsoft.com/office/drawing/2014/main" id="{526B6FF0-85E9-45DF-BA0B-90E7B37B03FC}"/>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6" name="TextBox 545">
          <a:extLst>
            <a:ext uri="{FF2B5EF4-FFF2-40B4-BE49-F238E27FC236}">
              <a16:creationId xmlns:a16="http://schemas.microsoft.com/office/drawing/2014/main" id="{A1798879-3712-40C3-9512-76436B4B4865}"/>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7" name="TextBox 546">
          <a:extLst>
            <a:ext uri="{FF2B5EF4-FFF2-40B4-BE49-F238E27FC236}">
              <a16:creationId xmlns:a16="http://schemas.microsoft.com/office/drawing/2014/main" id="{33B1453F-777D-4C87-B433-AD3D0714589B}"/>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8" name="TextBox 547">
          <a:extLst>
            <a:ext uri="{FF2B5EF4-FFF2-40B4-BE49-F238E27FC236}">
              <a16:creationId xmlns:a16="http://schemas.microsoft.com/office/drawing/2014/main" id="{8A3A7D7B-E970-41B4-A6F3-59B874BFD08B}"/>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49" name="TextBox 548">
          <a:extLst>
            <a:ext uri="{FF2B5EF4-FFF2-40B4-BE49-F238E27FC236}">
              <a16:creationId xmlns:a16="http://schemas.microsoft.com/office/drawing/2014/main" id="{35151E55-BDE5-4BEE-B10F-DBD7116F8ADF}"/>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0" name="TextBox 549">
          <a:extLst>
            <a:ext uri="{FF2B5EF4-FFF2-40B4-BE49-F238E27FC236}">
              <a16:creationId xmlns:a16="http://schemas.microsoft.com/office/drawing/2014/main" id="{FFE72069-1A24-41FE-9E6F-92095E259FD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1" name="TextBox 550">
          <a:extLst>
            <a:ext uri="{FF2B5EF4-FFF2-40B4-BE49-F238E27FC236}">
              <a16:creationId xmlns:a16="http://schemas.microsoft.com/office/drawing/2014/main" id="{D7093D69-A567-4764-B11B-B8DE2A6FA200}"/>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2" name="TextBox 551">
          <a:extLst>
            <a:ext uri="{FF2B5EF4-FFF2-40B4-BE49-F238E27FC236}">
              <a16:creationId xmlns:a16="http://schemas.microsoft.com/office/drawing/2014/main" id="{E2354246-34D1-4AEB-A3DF-FA46CDF1E2F1}"/>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3" name="TextBox 552">
          <a:extLst>
            <a:ext uri="{FF2B5EF4-FFF2-40B4-BE49-F238E27FC236}">
              <a16:creationId xmlns:a16="http://schemas.microsoft.com/office/drawing/2014/main" id="{C4A4A196-28BC-43CD-B494-B44CA7927EB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4" name="TextBox 553">
          <a:extLst>
            <a:ext uri="{FF2B5EF4-FFF2-40B4-BE49-F238E27FC236}">
              <a16:creationId xmlns:a16="http://schemas.microsoft.com/office/drawing/2014/main" id="{FFFC79D7-C05D-4647-8768-C5045AB8D0A0}"/>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5" name="TextBox 554">
          <a:extLst>
            <a:ext uri="{FF2B5EF4-FFF2-40B4-BE49-F238E27FC236}">
              <a16:creationId xmlns:a16="http://schemas.microsoft.com/office/drawing/2014/main" id="{228A5372-CE2F-4AE1-9CF5-9B00A28BF96A}"/>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6" name="TextBox 555">
          <a:extLst>
            <a:ext uri="{FF2B5EF4-FFF2-40B4-BE49-F238E27FC236}">
              <a16:creationId xmlns:a16="http://schemas.microsoft.com/office/drawing/2014/main" id="{B501739B-C4FD-4FD9-98B3-3F149B0995A7}"/>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7" name="TextBox 556">
          <a:extLst>
            <a:ext uri="{FF2B5EF4-FFF2-40B4-BE49-F238E27FC236}">
              <a16:creationId xmlns:a16="http://schemas.microsoft.com/office/drawing/2014/main" id="{1FED8B9D-F00E-47F4-98C9-38417D7686B6}"/>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8" name="TextBox 557">
          <a:extLst>
            <a:ext uri="{FF2B5EF4-FFF2-40B4-BE49-F238E27FC236}">
              <a16:creationId xmlns:a16="http://schemas.microsoft.com/office/drawing/2014/main" id="{7F03D943-E619-472F-B542-D1DB645FD2B9}"/>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59" name="TextBox 558">
          <a:extLst>
            <a:ext uri="{FF2B5EF4-FFF2-40B4-BE49-F238E27FC236}">
              <a16:creationId xmlns:a16="http://schemas.microsoft.com/office/drawing/2014/main" id="{3692C13A-4F7F-4B3A-A00D-31BA73635226}"/>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0" name="TextBox 559">
          <a:extLst>
            <a:ext uri="{FF2B5EF4-FFF2-40B4-BE49-F238E27FC236}">
              <a16:creationId xmlns:a16="http://schemas.microsoft.com/office/drawing/2014/main" id="{81C59A3A-209B-4A92-B758-EDC149C1E7E6}"/>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1" name="TextBox 560">
          <a:extLst>
            <a:ext uri="{FF2B5EF4-FFF2-40B4-BE49-F238E27FC236}">
              <a16:creationId xmlns:a16="http://schemas.microsoft.com/office/drawing/2014/main" id="{CA12ACAE-7FE8-46BD-AE90-F23B44EDEAEC}"/>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2" name="TextBox 561">
          <a:extLst>
            <a:ext uri="{FF2B5EF4-FFF2-40B4-BE49-F238E27FC236}">
              <a16:creationId xmlns:a16="http://schemas.microsoft.com/office/drawing/2014/main" id="{FB96CEDD-147D-48F4-8171-F3E8E2024C8C}"/>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3" name="TextBox 562">
          <a:extLst>
            <a:ext uri="{FF2B5EF4-FFF2-40B4-BE49-F238E27FC236}">
              <a16:creationId xmlns:a16="http://schemas.microsoft.com/office/drawing/2014/main" id="{B0E8148C-84E6-403A-9FC9-521D417CA530}"/>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4" name="TextBox 563">
          <a:extLst>
            <a:ext uri="{FF2B5EF4-FFF2-40B4-BE49-F238E27FC236}">
              <a16:creationId xmlns:a16="http://schemas.microsoft.com/office/drawing/2014/main" id="{6E8425F6-CD5F-4F9C-8D5E-0FBDF33E091D}"/>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5" name="TextBox 564">
          <a:extLst>
            <a:ext uri="{FF2B5EF4-FFF2-40B4-BE49-F238E27FC236}">
              <a16:creationId xmlns:a16="http://schemas.microsoft.com/office/drawing/2014/main" id="{2F30E85A-7281-4109-86E5-9DBD6DF94F4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6" name="TextBox 565">
          <a:extLst>
            <a:ext uri="{FF2B5EF4-FFF2-40B4-BE49-F238E27FC236}">
              <a16:creationId xmlns:a16="http://schemas.microsoft.com/office/drawing/2014/main" id="{9CB17287-BF38-4605-AB1F-2A0D3C9D632F}"/>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94</xdr:row>
      <xdr:rowOff>0</xdr:rowOff>
    </xdr:from>
    <xdr:ext cx="65" cy="172227"/>
    <xdr:sp macro="" textlink="">
      <xdr:nvSpPr>
        <xdr:cNvPr id="567" name="TextBox 566">
          <a:extLst>
            <a:ext uri="{FF2B5EF4-FFF2-40B4-BE49-F238E27FC236}">
              <a16:creationId xmlns:a16="http://schemas.microsoft.com/office/drawing/2014/main" id="{F338C091-0A4F-4B77-A2E1-20DDEE15E0CE}"/>
            </a:ext>
          </a:extLst>
        </xdr:cNvPr>
        <xdr:cNvSpPr txBox="1"/>
      </xdr:nvSpPr>
      <xdr:spPr>
        <a:xfrm flipH="1">
          <a:off x="6343650" y="20754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68" name="TextBox 567">
          <a:extLst>
            <a:ext uri="{FF2B5EF4-FFF2-40B4-BE49-F238E27FC236}">
              <a16:creationId xmlns:a16="http://schemas.microsoft.com/office/drawing/2014/main" id="{9744E243-D426-416B-88F2-F89A08B5E0D9}"/>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69" name="TextBox 568">
          <a:extLst>
            <a:ext uri="{FF2B5EF4-FFF2-40B4-BE49-F238E27FC236}">
              <a16:creationId xmlns:a16="http://schemas.microsoft.com/office/drawing/2014/main" id="{0CD39108-E352-47A9-A341-BA3030A00639}"/>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0" name="TextBox 569">
          <a:extLst>
            <a:ext uri="{FF2B5EF4-FFF2-40B4-BE49-F238E27FC236}">
              <a16:creationId xmlns:a16="http://schemas.microsoft.com/office/drawing/2014/main" id="{3AF21F52-AB2A-4C71-A249-AEC51E1D10D4}"/>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1" name="TextBox 570">
          <a:extLst>
            <a:ext uri="{FF2B5EF4-FFF2-40B4-BE49-F238E27FC236}">
              <a16:creationId xmlns:a16="http://schemas.microsoft.com/office/drawing/2014/main" id="{B141F359-788E-4766-A096-A7B875C71D1A}"/>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2" name="TextBox 571">
          <a:extLst>
            <a:ext uri="{FF2B5EF4-FFF2-40B4-BE49-F238E27FC236}">
              <a16:creationId xmlns:a16="http://schemas.microsoft.com/office/drawing/2014/main" id="{1E969745-F931-45E8-8A6B-1546C9FA02BB}"/>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3" name="TextBox 572">
          <a:extLst>
            <a:ext uri="{FF2B5EF4-FFF2-40B4-BE49-F238E27FC236}">
              <a16:creationId xmlns:a16="http://schemas.microsoft.com/office/drawing/2014/main" id="{15AE9B45-A24D-478A-9AC1-37292C108687}"/>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4" name="TextBox 573">
          <a:extLst>
            <a:ext uri="{FF2B5EF4-FFF2-40B4-BE49-F238E27FC236}">
              <a16:creationId xmlns:a16="http://schemas.microsoft.com/office/drawing/2014/main" id="{C03C5127-D9BA-42B1-ACEF-AFAF79E421FC}"/>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5" name="TextBox 574">
          <a:extLst>
            <a:ext uri="{FF2B5EF4-FFF2-40B4-BE49-F238E27FC236}">
              <a16:creationId xmlns:a16="http://schemas.microsoft.com/office/drawing/2014/main" id="{F15A1423-55CF-4F6E-9379-AEF5058B2CB3}"/>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6" name="TextBox 575">
          <a:extLst>
            <a:ext uri="{FF2B5EF4-FFF2-40B4-BE49-F238E27FC236}">
              <a16:creationId xmlns:a16="http://schemas.microsoft.com/office/drawing/2014/main" id="{4662F79E-4ED0-42A1-B430-4578D20FFEB6}"/>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7" name="TextBox 576">
          <a:extLst>
            <a:ext uri="{FF2B5EF4-FFF2-40B4-BE49-F238E27FC236}">
              <a16:creationId xmlns:a16="http://schemas.microsoft.com/office/drawing/2014/main" id="{8402D778-3F6C-43FE-B6BB-D043FF48AA45}"/>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8" name="TextBox 577">
          <a:extLst>
            <a:ext uri="{FF2B5EF4-FFF2-40B4-BE49-F238E27FC236}">
              <a16:creationId xmlns:a16="http://schemas.microsoft.com/office/drawing/2014/main" id="{41ADCBCC-D23A-4D0D-B16B-C8F18075BAEF}"/>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79" name="TextBox 578">
          <a:extLst>
            <a:ext uri="{FF2B5EF4-FFF2-40B4-BE49-F238E27FC236}">
              <a16:creationId xmlns:a16="http://schemas.microsoft.com/office/drawing/2014/main" id="{099EA4CF-CC7C-434D-B05E-24857DD6FBB1}"/>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80" name="TextBox 579">
          <a:extLst>
            <a:ext uri="{FF2B5EF4-FFF2-40B4-BE49-F238E27FC236}">
              <a16:creationId xmlns:a16="http://schemas.microsoft.com/office/drawing/2014/main" id="{B8173B3D-91E6-46D6-9884-98358C6C0098}"/>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81" name="TextBox 580">
          <a:extLst>
            <a:ext uri="{FF2B5EF4-FFF2-40B4-BE49-F238E27FC236}">
              <a16:creationId xmlns:a16="http://schemas.microsoft.com/office/drawing/2014/main" id="{0F168CAD-CD0D-4EEB-B4F0-27AC236A4B3C}"/>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82" name="TextBox 581">
          <a:extLst>
            <a:ext uri="{FF2B5EF4-FFF2-40B4-BE49-F238E27FC236}">
              <a16:creationId xmlns:a16="http://schemas.microsoft.com/office/drawing/2014/main" id="{96D492B8-BEA6-4FFC-9F4D-20E405593E23}"/>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583" name="TextBox 582">
          <a:extLst>
            <a:ext uri="{FF2B5EF4-FFF2-40B4-BE49-F238E27FC236}">
              <a16:creationId xmlns:a16="http://schemas.microsoft.com/office/drawing/2014/main" id="{C1620F41-6056-4EB0-BAE6-01F66F84243A}"/>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4" name="TextBox 583">
          <a:extLst>
            <a:ext uri="{FF2B5EF4-FFF2-40B4-BE49-F238E27FC236}">
              <a16:creationId xmlns:a16="http://schemas.microsoft.com/office/drawing/2014/main" id="{EC5DB7B7-9D1E-4609-AE35-D547BF6380A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5" name="TextBox 584">
          <a:extLst>
            <a:ext uri="{FF2B5EF4-FFF2-40B4-BE49-F238E27FC236}">
              <a16:creationId xmlns:a16="http://schemas.microsoft.com/office/drawing/2014/main" id="{F1820F3F-33CD-4642-8E94-9D43B5277F2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6" name="TextBox 585">
          <a:extLst>
            <a:ext uri="{FF2B5EF4-FFF2-40B4-BE49-F238E27FC236}">
              <a16:creationId xmlns:a16="http://schemas.microsoft.com/office/drawing/2014/main" id="{CF3C6679-62AD-4884-AB18-FAADB6153856}"/>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7" name="TextBox 586">
          <a:extLst>
            <a:ext uri="{FF2B5EF4-FFF2-40B4-BE49-F238E27FC236}">
              <a16:creationId xmlns:a16="http://schemas.microsoft.com/office/drawing/2014/main" id="{A8E2B6B4-FF49-4442-8F9E-DE6C2314381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8" name="TextBox 587">
          <a:extLst>
            <a:ext uri="{FF2B5EF4-FFF2-40B4-BE49-F238E27FC236}">
              <a16:creationId xmlns:a16="http://schemas.microsoft.com/office/drawing/2014/main" id="{A2080082-7061-4668-90ED-3585FD4EF852}"/>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89" name="TextBox 588">
          <a:extLst>
            <a:ext uri="{FF2B5EF4-FFF2-40B4-BE49-F238E27FC236}">
              <a16:creationId xmlns:a16="http://schemas.microsoft.com/office/drawing/2014/main" id="{370C646F-2719-4D5A-AE25-30967F775CB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0" name="TextBox 589">
          <a:extLst>
            <a:ext uri="{FF2B5EF4-FFF2-40B4-BE49-F238E27FC236}">
              <a16:creationId xmlns:a16="http://schemas.microsoft.com/office/drawing/2014/main" id="{5FC2712F-DB48-4EB7-ACF2-6135C847F4E0}"/>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1" name="TextBox 590">
          <a:extLst>
            <a:ext uri="{FF2B5EF4-FFF2-40B4-BE49-F238E27FC236}">
              <a16:creationId xmlns:a16="http://schemas.microsoft.com/office/drawing/2014/main" id="{19E97524-220B-41F0-BAEB-AB37589A0156}"/>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2" name="TextBox 591">
          <a:extLst>
            <a:ext uri="{FF2B5EF4-FFF2-40B4-BE49-F238E27FC236}">
              <a16:creationId xmlns:a16="http://schemas.microsoft.com/office/drawing/2014/main" id="{2151C2B9-AB03-4013-A756-69100E1E9C55}"/>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3" name="TextBox 592">
          <a:extLst>
            <a:ext uri="{FF2B5EF4-FFF2-40B4-BE49-F238E27FC236}">
              <a16:creationId xmlns:a16="http://schemas.microsoft.com/office/drawing/2014/main" id="{43C626F2-62E6-4CFF-A4B5-4CC1E46BEF04}"/>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4" name="TextBox 593">
          <a:extLst>
            <a:ext uri="{FF2B5EF4-FFF2-40B4-BE49-F238E27FC236}">
              <a16:creationId xmlns:a16="http://schemas.microsoft.com/office/drawing/2014/main" id="{4A8D4BAF-D82B-474A-B06B-3F23CB9C565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5" name="TextBox 594">
          <a:extLst>
            <a:ext uri="{FF2B5EF4-FFF2-40B4-BE49-F238E27FC236}">
              <a16:creationId xmlns:a16="http://schemas.microsoft.com/office/drawing/2014/main" id="{97E96C9E-47E7-4221-A0D3-AB019BCF9C84}"/>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6" name="TextBox 595">
          <a:extLst>
            <a:ext uri="{FF2B5EF4-FFF2-40B4-BE49-F238E27FC236}">
              <a16:creationId xmlns:a16="http://schemas.microsoft.com/office/drawing/2014/main" id="{0B64AE93-153B-4E7F-AA13-1E4E6C473C10}"/>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7" name="TextBox 596">
          <a:extLst>
            <a:ext uri="{FF2B5EF4-FFF2-40B4-BE49-F238E27FC236}">
              <a16:creationId xmlns:a16="http://schemas.microsoft.com/office/drawing/2014/main" id="{8C43E871-67A8-4397-B97D-D91B0DDD043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8" name="TextBox 597">
          <a:extLst>
            <a:ext uri="{FF2B5EF4-FFF2-40B4-BE49-F238E27FC236}">
              <a16:creationId xmlns:a16="http://schemas.microsoft.com/office/drawing/2014/main" id="{34236F48-851C-434B-B926-6AC05770DB7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599" name="TextBox 598">
          <a:extLst>
            <a:ext uri="{FF2B5EF4-FFF2-40B4-BE49-F238E27FC236}">
              <a16:creationId xmlns:a16="http://schemas.microsoft.com/office/drawing/2014/main" id="{C07D82FB-AF5D-4B53-ACFD-DC42D9655BA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0" name="TextBox 599">
          <a:extLst>
            <a:ext uri="{FF2B5EF4-FFF2-40B4-BE49-F238E27FC236}">
              <a16:creationId xmlns:a16="http://schemas.microsoft.com/office/drawing/2014/main" id="{38967E6C-FEAF-4A66-BB70-4AFCAC3BCD6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1" name="TextBox 600">
          <a:extLst>
            <a:ext uri="{FF2B5EF4-FFF2-40B4-BE49-F238E27FC236}">
              <a16:creationId xmlns:a16="http://schemas.microsoft.com/office/drawing/2014/main" id="{C8A4D6EB-9CC1-4263-B264-D746B908EBD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2" name="TextBox 601">
          <a:extLst>
            <a:ext uri="{FF2B5EF4-FFF2-40B4-BE49-F238E27FC236}">
              <a16:creationId xmlns:a16="http://schemas.microsoft.com/office/drawing/2014/main" id="{EEBEDFAF-639E-409D-8E1B-1FCCFB4498A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3" name="TextBox 602">
          <a:extLst>
            <a:ext uri="{FF2B5EF4-FFF2-40B4-BE49-F238E27FC236}">
              <a16:creationId xmlns:a16="http://schemas.microsoft.com/office/drawing/2014/main" id="{3F91FC4E-5E33-40DD-A70F-63C37A873182}"/>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4" name="TextBox 603">
          <a:extLst>
            <a:ext uri="{FF2B5EF4-FFF2-40B4-BE49-F238E27FC236}">
              <a16:creationId xmlns:a16="http://schemas.microsoft.com/office/drawing/2014/main" id="{5343CBF6-CF17-4E6D-B1F9-04064C3A493E}"/>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5" name="TextBox 604">
          <a:extLst>
            <a:ext uri="{FF2B5EF4-FFF2-40B4-BE49-F238E27FC236}">
              <a16:creationId xmlns:a16="http://schemas.microsoft.com/office/drawing/2014/main" id="{FA6DC637-D292-4488-B9B3-ECD00194707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6" name="TextBox 605">
          <a:extLst>
            <a:ext uri="{FF2B5EF4-FFF2-40B4-BE49-F238E27FC236}">
              <a16:creationId xmlns:a16="http://schemas.microsoft.com/office/drawing/2014/main" id="{1B0B5709-B8DA-4240-93CD-A6586B41A727}"/>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7" name="TextBox 606">
          <a:extLst>
            <a:ext uri="{FF2B5EF4-FFF2-40B4-BE49-F238E27FC236}">
              <a16:creationId xmlns:a16="http://schemas.microsoft.com/office/drawing/2014/main" id="{FA4712C5-DD2F-43A9-AB93-9F3B941C9222}"/>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8" name="TextBox 607">
          <a:extLst>
            <a:ext uri="{FF2B5EF4-FFF2-40B4-BE49-F238E27FC236}">
              <a16:creationId xmlns:a16="http://schemas.microsoft.com/office/drawing/2014/main" id="{2B430517-B0D5-4DCC-89DF-CC42590100A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09" name="TextBox 608">
          <a:extLst>
            <a:ext uri="{FF2B5EF4-FFF2-40B4-BE49-F238E27FC236}">
              <a16:creationId xmlns:a16="http://schemas.microsoft.com/office/drawing/2014/main" id="{E7276E47-0E91-4700-8B2C-A7DF6CDA8735}"/>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0" name="TextBox 609">
          <a:extLst>
            <a:ext uri="{FF2B5EF4-FFF2-40B4-BE49-F238E27FC236}">
              <a16:creationId xmlns:a16="http://schemas.microsoft.com/office/drawing/2014/main" id="{58E7BF89-DC62-456E-95DC-9E27F8F6D474}"/>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1" name="TextBox 610">
          <a:extLst>
            <a:ext uri="{FF2B5EF4-FFF2-40B4-BE49-F238E27FC236}">
              <a16:creationId xmlns:a16="http://schemas.microsoft.com/office/drawing/2014/main" id="{AE26F068-4CE0-4B89-9D8A-B39CF988D38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2" name="TextBox 611">
          <a:extLst>
            <a:ext uri="{FF2B5EF4-FFF2-40B4-BE49-F238E27FC236}">
              <a16:creationId xmlns:a16="http://schemas.microsoft.com/office/drawing/2014/main" id="{8991A137-CC18-4E5F-A7B5-CF931D7114A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3" name="TextBox 612">
          <a:extLst>
            <a:ext uri="{FF2B5EF4-FFF2-40B4-BE49-F238E27FC236}">
              <a16:creationId xmlns:a16="http://schemas.microsoft.com/office/drawing/2014/main" id="{77D9AC08-A066-4655-897A-5700251D1C8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4" name="TextBox 613">
          <a:extLst>
            <a:ext uri="{FF2B5EF4-FFF2-40B4-BE49-F238E27FC236}">
              <a16:creationId xmlns:a16="http://schemas.microsoft.com/office/drawing/2014/main" id="{ECFD3CC0-3BA2-440A-A5AB-BDB90760926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5" name="TextBox 614">
          <a:extLst>
            <a:ext uri="{FF2B5EF4-FFF2-40B4-BE49-F238E27FC236}">
              <a16:creationId xmlns:a16="http://schemas.microsoft.com/office/drawing/2014/main" id="{E311FB1D-1D48-4177-8D4E-962143B64E5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6" name="TextBox 615">
          <a:extLst>
            <a:ext uri="{FF2B5EF4-FFF2-40B4-BE49-F238E27FC236}">
              <a16:creationId xmlns:a16="http://schemas.microsoft.com/office/drawing/2014/main" id="{D702CD43-F82B-411F-A9E6-6516389BCD54}"/>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7" name="TextBox 616">
          <a:extLst>
            <a:ext uri="{FF2B5EF4-FFF2-40B4-BE49-F238E27FC236}">
              <a16:creationId xmlns:a16="http://schemas.microsoft.com/office/drawing/2014/main" id="{9F611595-A026-4449-8A98-4C14A6EF2F8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8" name="TextBox 617">
          <a:extLst>
            <a:ext uri="{FF2B5EF4-FFF2-40B4-BE49-F238E27FC236}">
              <a16:creationId xmlns:a16="http://schemas.microsoft.com/office/drawing/2014/main" id="{21235D47-23D4-421D-9234-4F8A723F17E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19" name="TextBox 618">
          <a:extLst>
            <a:ext uri="{FF2B5EF4-FFF2-40B4-BE49-F238E27FC236}">
              <a16:creationId xmlns:a16="http://schemas.microsoft.com/office/drawing/2014/main" id="{30C9E593-C453-451F-B32A-E6147A1FFC4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0" name="TextBox 619">
          <a:extLst>
            <a:ext uri="{FF2B5EF4-FFF2-40B4-BE49-F238E27FC236}">
              <a16:creationId xmlns:a16="http://schemas.microsoft.com/office/drawing/2014/main" id="{08485332-3469-4133-82F7-073680023A9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1" name="TextBox 620">
          <a:extLst>
            <a:ext uri="{FF2B5EF4-FFF2-40B4-BE49-F238E27FC236}">
              <a16:creationId xmlns:a16="http://schemas.microsoft.com/office/drawing/2014/main" id="{6A5F272C-7005-4F43-BA41-AC7DC722F41D}"/>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2" name="TextBox 621">
          <a:extLst>
            <a:ext uri="{FF2B5EF4-FFF2-40B4-BE49-F238E27FC236}">
              <a16:creationId xmlns:a16="http://schemas.microsoft.com/office/drawing/2014/main" id="{73FC3C5F-8066-409D-B406-71051054765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3" name="TextBox 622">
          <a:extLst>
            <a:ext uri="{FF2B5EF4-FFF2-40B4-BE49-F238E27FC236}">
              <a16:creationId xmlns:a16="http://schemas.microsoft.com/office/drawing/2014/main" id="{49A72A37-1460-49EE-92D8-5B422F58AC8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4" name="TextBox 623">
          <a:extLst>
            <a:ext uri="{FF2B5EF4-FFF2-40B4-BE49-F238E27FC236}">
              <a16:creationId xmlns:a16="http://schemas.microsoft.com/office/drawing/2014/main" id="{752B573B-3AEF-4D99-BB76-CB8434C1D0D2}"/>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5" name="TextBox 624">
          <a:extLst>
            <a:ext uri="{FF2B5EF4-FFF2-40B4-BE49-F238E27FC236}">
              <a16:creationId xmlns:a16="http://schemas.microsoft.com/office/drawing/2014/main" id="{9EB4C95A-D122-4AEE-98A6-28DA2DD5A5B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6" name="TextBox 625">
          <a:extLst>
            <a:ext uri="{FF2B5EF4-FFF2-40B4-BE49-F238E27FC236}">
              <a16:creationId xmlns:a16="http://schemas.microsoft.com/office/drawing/2014/main" id="{D3B46570-2DF6-4133-B67C-6B45A7D52D0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7" name="TextBox 626">
          <a:extLst>
            <a:ext uri="{FF2B5EF4-FFF2-40B4-BE49-F238E27FC236}">
              <a16:creationId xmlns:a16="http://schemas.microsoft.com/office/drawing/2014/main" id="{077DD0E6-E6F7-4FB7-9D75-19326B94D9A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8" name="TextBox 627">
          <a:extLst>
            <a:ext uri="{FF2B5EF4-FFF2-40B4-BE49-F238E27FC236}">
              <a16:creationId xmlns:a16="http://schemas.microsoft.com/office/drawing/2014/main" id="{EAB84957-ADE8-4AF5-B3DB-0A6C53639244}"/>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29" name="TextBox 628">
          <a:extLst>
            <a:ext uri="{FF2B5EF4-FFF2-40B4-BE49-F238E27FC236}">
              <a16:creationId xmlns:a16="http://schemas.microsoft.com/office/drawing/2014/main" id="{EEF05F23-92C3-480C-AD05-23B1A979064F}"/>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0" name="TextBox 629">
          <a:extLst>
            <a:ext uri="{FF2B5EF4-FFF2-40B4-BE49-F238E27FC236}">
              <a16:creationId xmlns:a16="http://schemas.microsoft.com/office/drawing/2014/main" id="{7DBB425A-7787-42D2-9B28-0539B607AC1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1" name="TextBox 630">
          <a:extLst>
            <a:ext uri="{FF2B5EF4-FFF2-40B4-BE49-F238E27FC236}">
              <a16:creationId xmlns:a16="http://schemas.microsoft.com/office/drawing/2014/main" id="{40B06AF3-3AAD-41B3-9F1D-56935237F8C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2" name="TextBox 631">
          <a:extLst>
            <a:ext uri="{FF2B5EF4-FFF2-40B4-BE49-F238E27FC236}">
              <a16:creationId xmlns:a16="http://schemas.microsoft.com/office/drawing/2014/main" id="{B1B21336-F007-4841-8C45-B03907C4F01E}"/>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3" name="TextBox 632">
          <a:extLst>
            <a:ext uri="{FF2B5EF4-FFF2-40B4-BE49-F238E27FC236}">
              <a16:creationId xmlns:a16="http://schemas.microsoft.com/office/drawing/2014/main" id="{AC507F47-CD59-4E93-A012-5C4D1A7E5F3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4" name="TextBox 633">
          <a:extLst>
            <a:ext uri="{FF2B5EF4-FFF2-40B4-BE49-F238E27FC236}">
              <a16:creationId xmlns:a16="http://schemas.microsoft.com/office/drawing/2014/main" id="{64D8628B-AC3D-4056-A5BB-186CF2A9F07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5" name="TextBox 634">
          <a:extLst>
            <a:ext uri="{FF2B5EF4-FFF2-40B4-BE49-F238E27FC236}">
              <a16:creationId xmlns:a16="http://schemas.microsoft.com/office/drawing/2014/main" id="{0C295F39-E1F7-4F0D-BA70-F01D9F3FF6EE}"/>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6" name="TextBox 635">
          <a:extLst>
            <a:ext uri="{FF2B5EF4-FFF2-40B4-BE49-F238E27FC236}">
              <a16:creationId xmlns:a16="http://schemas.microsoft.com/office/drawing/2014/main" id="{BAA8B3A7-A5C1-4A77-8A4D-B85AF9F5676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7" name="TextBox 636">
          <a:extLst>
            <a:ext uri="{FF2B5EF4-FFF2-40B4-BE49-F238E27FC236}">
              <a16:creationId xmlns:a16="http://schemas.microsoft.com/office/drawing/2014/main" id="{3A5FC561-E7D6-4839-8915-FCB63C2C2FF6}"/>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8" name="TextBox 637">
          <a:extLst>
            <a:ext uri="{FF2B5EF4-FFF2-40B4-BE49-F238E27FC236}">
              <a16:creationId xmlns:a16="http://schemas.microsoft.com/office/drawing/2014/main" id="{27043887-53F8-43E3-9EF1-7123FB6687B8}"/>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39" name="TextBox 638">
          <a:extLst>
            <a:ext uri="{FF2B5EF4-FFF2-40B4-BE49-F238E27FC236}">
              <a16:creationId xmlns:a16="http://schemas.microsoft.com/office/drawing/2014/main" id="{EF4EC796-FD38-4009-AA6C-57782F009CD6}"/>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0" name="TextBox 639">
          <a:extLst>
            <a:ext uri="{FF2B5EF4-FFF2-40B4-BE49-F238E27FC236}">
              <a16:creationId xmlns:a16="http://schemas.microsoft.com/office/drawing/2014/main" id="{9A7550BF-26B9-4109-AF98-74B4F9AF0D89}"/>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1" name="TextBox 640">
          <a:extLst>
            <a:ext uri="{FF2B5EF4-FFF2-40B4-BE49-F238E27FC236}">
              <a16:creationId xmlns:a16="http://schemas.microsoft.com/office/drawing/2014/main" id="{A505EED7-BC91-45F6-AC77-382C9930F51C}"/>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2" name="TextBox 641">
          <a:extLst>
            <a:ext uri="{FF2B5EF4-FFF2-40B4-BE49-F238E27FC236}">
              <a16:creationId xmlns:a16="http://schemas.microsoft.com/office/drawing/2014/main" id="{D6DBDB12-809B-4D3F-8FFF-13D24D77FBC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3" name="TextBox 642">
          <a:extLst>
            <a:ext uri="{FF2B5EF4-FFF2-40B4-BE49-F238E27FC236}">
              <a16:creationId xmlns:a16="http://schemas.microsoft.com/office/drawing/2014/main" id="{61638694-F6D5-4984-BE20-87F42DD10CB5}"/>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4" name="TextBox 643">
          <a:extLst>
            <a:ext uri="{FF2B5EF4-FFF2-40B4-BE49-F238E27FC236}">
              <a16:creationId xmlns:a16="http://schemas.microsoft.com/office/drawing/2014/main" id="{AF30B3A8-1728-4B35-9CAB-8816BB439F4E}"/>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5" name="TextBox 644">
          <a:extLst>
            <a:ext uri="{FF2B5EF4-FFF2-40B4-BE49-F238E27FC236}">
              <a16:creationId xmlns:a16="http://schemas.microsoft.com/office/drawing/2014/main" id="{AABCAB33-DE48-4CDC-9DF6-95C0D08C9E21}"/>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6" name="TextBox 645">
          <a:extLst>
            <a:ext uri="{FF2B5EF4-FFF2-40B4-BE49-F238E27FC236}">
              <a16:creationId xmlns:a16="http://schemas.microsoft.com/office/drawing/2014/main" id="{A8D6E15A-3A72-4F57-8FCE-F8AD5E96FAA3}"/>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101</xdr:row>
      <xdr:rowOff>0</xdr:rowOff>
    </xdr:from>
    <xdr:ext cx="65" cy="172227"/>
    <xdr:sp macro="" textlink="">
      <xdr:nvSpPr>
        <xdr:cNvPr id="647" name="TextBox 646">
          <a:extLst>
            <a:ext uri="{FF2B5EF4-FFF2-40B4-BE49-F238E27FC236}">
              <a16:creationId xmlns:a16="http://schemas.microsoft.com/office/drawing/2014/main" id="{BE5B8A39-DFBA-44C4-B5CD-242CD92E027A}"/>
            </a:ext>
          </a:extLst>
        </xdr:cNvPr>
        <xdr:cNvSpPr txBox="1"/>
      </xdr:nvSpPr>
      <xdr:spPr>
        <a:xfrm flipH="1">
          <a:off x="6343650" y="22126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48" name="TextBox 647">
          <a:extLst>
            <a:ext uri="{FF2B5EF4-FFF2-40B4-BE49-F238E27FC236}">
              <a16:creationId xmlns:a16="http://schemas.microsoft.com/office/drawing/2014/main" id="{B3D1E7BB-E2FA-443D-9F64-38BC70AA5A66}"/>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49" name="TextBox 648">
          <a:extLst>
            <a:ext uri="{FF2B5EF4-FFF2-40B4-BE49-F238E27FC236}">
              <a16:creationId xmlns:a16="http://schemas.microsoft.com/office/drawing/2014/main" id="{8DACE0FF-91C4-4B31-9BD9-462E817B3644}"/>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0" name="TextBox 649">
          <a:extLst>
            <a:ext uri="{FF2B5EF4-FFF2-40B4-BE49-F238E27FC236}">
              <a16:creationId xmlns:a16="http://schemas.microsoft.com/office/drawing/2014/main" id="{802F9532-B210-4190-B10B-681E1F0FE634}"/>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1" name="TextBox 650">
          <a:extLst>
            <a:ext uri="{FF2B5EF4-FFF2-40B4-BE49-F238E27FC236}">
              <a16:creationId xmlns:a16="http://schemas.microsoft.com/office/drawing/2014/main" id="{8CE76FD5-B903-4BEF-A02D-5FCE2DB716CF}"/>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2" name="TextBox 651">
          <a:extLst>
            <a:ext uri="{FF2B5EF4-FFF2-40B4-BE49-F238E27FC236}">
              <a16:creationId xmlns:a16="http://schemas.microsoft.com/office/drawing/2014/main" id="{AEEDFD46-81A8-4974-985C-71F4BB268EA9}"/>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3" name="TextBox 652">
          <a:extLst>
            <a:ext uri="{FF2B5EF4-FFF2-40B4-BE49-F238E27FC236}">
              <a16:creationId xmlns:a16="http://schemas.microsoft.com/office/drawing/2014/main" id="{430B1E22-7803-47C2-96CB-97234E3620A1}"/>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4" name="TextBox 653">
          <a:extLst>
            <a:ext uri="{FF2B5EF4-FFF2-40B4-BE49-F238E27FC236}">
              <a16:creationId xmlns:a16="http://schemas.microsoft.com/office/drawing/2014/main" id="{B9E9C706-DB8F-4C05-87C6-8488A5F4C11D}"/>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5" name="TextBox 654">
          <a:extLst>
            <a:ext uri="{FF2B5EF4-FFF2-40B4-BE49-F238E27FC236}">
              <a16:creationId xmlns:a16="http://schemas.microsoft.com/office/drawing/2014/main" id="{0AD365FC-AAF5-4D22-9DFF-2FD8A989300D}"/>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6" name="TextBox 655">
          <a:extLst>
            <a:ext uri="{FF2B5EF4-FFF2-40B4-BE49-F238E27FC236}">
              <a16:creationId xmlns:a16="http://schemas.microsoft.com/office/drawing/2014/main" id="{91798407-897C-4AE1-80E0-3A9EBC014BD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7" name="TextBox 656">
          <a:extLst>
            <a:ext uri="{FF2B5EF4-FFF2-40B4-BE49-F238E27FC236}">
              <a16:creationId xmlns:a16="http://schemas.microsoft.com/office/drawing/2014/main" id="{8F60F9DD-D9D6-4470-A7F5-C978A537586C}"/>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8" name="TextBox 657">
          <a:extLst>
            <a:ext uri="{FF2B5EF4-FFF2-40B4-BE49-F238E27FC236}">
              <a16:creationId xmlns:a16="http://schemas.microsoft.com/office/drawing/2014/main" id="{43947BDB-898A-4D71-9CA8-34940BA22E3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59" name="TextBox 658">
          <a:extLst>
            <a:ext uri="{FF2B5EF4-FFF2-40B4-BE49-F238E27FC236}">
              <a16:creationId xmlns:a16="http://schemas.microsoft.com/office/drawing/2014/main" id="{794B3A75-2BAD-4795-B976-87EAF7F19654}"/>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0" name="TextBox 659">
          <a:extLst>
            <a:ext uri="{FF2B5EF4-FFF2-40B4-BE49-F238E27FC236}">
              <a16:creationId xmlns:a16="http://schemas.microsoft.com/office/drawing/2014/main" id="{223ED9B1-7854-4536-9D59-B87C95653FFE}"/>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1" name="TextBox 660">
          <a:extLst>
            <a:ext uri="{FF2B5EF4-FFF2-40B4-BE49-F238E27FC236}">
              <a16:creationId xmlns:a16="http://schemas.microsoft.com/office/drawing/2014/main" id="{C159FCAB-50F4-4167-9DF8-747812D775F2}"/>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2" name="TextBox 661">
          <a:extLst>
            <a:ext uri="{FF2B5EF4-FFF2-40B4-BE49-F238E27FC236}">
              <a16:creationId xmlns:a16="http://schemas.microsoft.com/office/drawing/2014/main" id="{5E6CF0E0-4F9B-45CE-A605-6A37A5A4738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3" name="TextBox 662">
          <a:extLst>
            <a:ext uri="{FF2B5EF4-FFF2-40B4-BE49-F238E27FC236}">
              <a16:creationId xmlns:a16="http://schemas.microsoft.com/office/drawing/2014/main" id="{B4426576-CBA1-4C19-8639-5E4DCECB5F3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4" name="TextBox 663">
          <a:extLst>
            <a:ext uri="{FF2B5EF4-FFF2-40B4-BE49-F238E27FC236}">
              <a16:creationId xmlns:a16="http://schemas.microsoft.com/office/drawing/2014/main" id="{7BA71FCF-A2C5-42AA-8C55-677E7B490F7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5" name="TextBox 664">
          <a:extLst>
            <a:ext uri="{FF2B5EF4-FFF2-40B4-BE49-F238E27FC236}">
              <a16:creationId xmlns:a16="http://schemas.microsoft.com/office/drawing/2014/main" id="{217B3B3A-9C43-4223-B5E4-E4FF66CD877F}"/>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6" name="TextBox 665">
          <a:extLst>
            <a:ext uri="{FF2B5EF4-FFF2-40B4-BE49-F238E27FC236}">
              <a16:creationId xmlns:a16="http://schemas.microsoft.com/office/drawing/2014/main" id="{D1A515C3-D0DE-47EF-A166-371EFA1F39E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7" name="TextBox 666">
          <a:extLst>
            <a:ext uri="{FF2B5EF4-FFF2-40B4-BE49-F238E27FC236}">
              <a16:creationId xmlns:a16="http://schemas.microsoft.com/office/drawing/2014/main" id="{09345513-08D3-4458-ABC6-1282EABCF7A4}"/>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8" name="TextBox 667">
          <a:extLst>
            <a:ext uri="{FF2B5EF4-FFF2-40B4-BE49-F238E27FC236}">
              <a16:creationId xmlns:a16="http://schemas.microsoft.com/office/drawing/2014/main" id="{4B5D6A4B-BB22-45B3-A9B4-F77AB82F4235}"/>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69" name="TextBox 668">
          <a:extLst>
            <a:ext uri="{FF2B5EF4-FFF2-40B4-BE49-F238E27FC236}">
              <a16:creationId xmlns:a16="http://schemas.microsoft.com/office/drawing/2014/main" id="{29701076-582C-4A70-A86C-631224F6729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0" name="TextBox 669">
          <a:extLst>
            <a:ext uri="{FF2B5EF4-FFF2-40B4-BE49-F238E27FC236}">
              <a16:creationId xmlns:a16="http://schemas.microsoft.com/office/drawing/2014/main" id="{3A6262A8-8096-4FF8-9C35-A9455C96BC8C}"/>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1" name="TextBox 670">
          <a:extLst>
            <a:ext uri="{FF2B5EF4-FFF2-40B4-BE49-F238E27FC236}">
              <a16:creationId xmlns:a16="http://schemas.microsoft.com/office/drawing/2014/main" id="{5D390292-A234-480E-A7E6-B35ABC8DA7C4}"/>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2" name="TextBox 671">
          <a:extLst>
            <a:ext uri="{FF2B5EF4-FFF2-40B4-BE49-F238E27FC236}">
              <a16:creationId xmlns:a16="http://schemas.microsoft.com/office/drawing/2014/main" id="{0428D130-5762-4CC6-AE22-3006CCDEA527}"/>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3" name="TextBox 672">
          <a:extLst>
            <a:ext uri="{FF2B5EF4-FFF2-40B4-BE49-F238E27FC236}">
              <a16:creationId xmlns:a16="http://schemas.microsoft.com/office/drawing/2014/main" id="{4930AE30-D944-45DA-ABEF-8EE762122E05}"/>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4" name="TextBox 673">
          <a:extLst>
            <a:ext uri="{FF2B5EF4-FFF2-40B4-BE49-F238E27FC236}">
              <a16:creationId xmlns:a16="http://schemas.microsoft.com/office/drawing/2014/main" id="{58BBB22B-03EF-49F3-AAB7-96AA714F04E9}"/>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5" name="TextBox 674">
          <a:extLst>
            <a:ext uri="{FF2B5EF4-FFF2-40B4-BE49-F238E27FC236}">
              <a16:creationId xmlns:a16="http://schemas.microsoft.com/office/drawing/2014/main" id="{7C8F05BE-E983-4BC4-8CAF-931418A76F9D}"/>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6" name="TextBox 675">
          <a:extLst>
            <a:ext uri="{FF2B5EF4-FFF2-40B4-BE49-F238E27FC236}">
              <a16:creationId xmlns:a16="http://schemas.microsoft.com/office/drawing/2014/main" id="{A98D12F0-74EB-49EF-B148-5D8C65B862F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7" name="TextBox 676">
          <a:extLst>
            <a:ext uri="{FF2B5EF4-FFF2-40B4-BE49-F238E27FC236}">
              <a16:creationId xmlns:a16="http://schemas.microsoft.com/office/drawing/2014/main" id="{FAD244BF-E457-4BAD-B626-BB8FFD5BDD28}"/>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8" name="TextBox 677">
          <a:extLst>
            <a:ext uri="{FF2B5EF4-FFF2-40B4-BE49-F238E27FC236}">
              <a16:creationId xmlns:a16="http://schemas.microsoft.com/office/drawing/2014/main" id="{8D954651-DDF5-4ADE-9323-B3D8537BAD65}"/>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79" name="TextBox 678">
          <a:extLst>
            <a:ext uri="{FF2B5EF4-FFF2-40B4-BE49-F238E27FC236}">
              <a16:creationId xmlns:a16="http://schemas.microsoft.com/office/drawing/2014/main" id="{3C57C486-D719-4C1D-85C1-D1D34B70DF37}"/>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0" name="TextBox 679">
          <a:extLst>
            <a:ext uri="{FF2B5EF4-FFF2-40B4-BE49-F238E27FC236}">
              <a16:creationId xmlns:a16="http://schemas.microsoft.com/office/drawing/2014/main" id="{F0130483-0261-47AD-9ADA-800EFD36E516}"/>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1" name="TextBox 680">
          <a:extLst>
            <a:ext uri="{FF2B5EF4-FFF2-40B4-BE49-F238E27FC236}">
              <a16:creationId xmlns:a16="http://schemas.microsoft.com/office/drawing/2014/main" id="{DA1D0F73-BDF8-4E28-99B1-5FE3690B24A6}"/>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2" name="TextBox 681">
          <a:extLst>
            <a:ext uri="{FF2B5EF4-FFF2-40B4-BE49-F238E27FC236}">
              <a16:creationId xmlns:a16="http://schemas.microsoft.com/office/drawing/2014/main" id="{48AC14E7-F2E7-4A9C-B306-EAC4F6F8EFAF}"/>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3" name="TextBox 682">
          <a:extLst>
            <a:ext uri="{FF2B5EF4-FFF2-40B4-BE49-F238E27FC236}">
              <a16:creationId xmlns:a16="http://schemas.microsoft.com/office/drawing/2014/main" id="{7200F115-BF3C-47AF-857B-9F8F87DFA5B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4" name="TextBox 683">
          <a:extLst>
            <a:ext uri="{FF2B5EF4-FFF2-40B4-BE49-F238E27FC236}">
              <a16:creationId xmlns:a16="http://schemas.microsoft.com/office/drawing/2014/main" id="{F6D3D57A-C6C0-4A10-BC79-91DDACDFF3A0}"/>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5" name="TextBox 684">
          <a:extLst>
            <a:ext uri="{FF2B5EF4-FFF2-40B4-BE49-F238E27FC236}">
              <a16:creationId xmlns:a16="http://schemas.microsoft.com/office/drawing/2014/main" id="{A7A8AC51-77F2-4693-AC54-A33F1FD135A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6" name="TextBox 685">
          <a:extLst>
            <a:ext uri="{FF2B5EF4-FFF2-40B4-BE49-F238E27FC236}">
              <a16:creationId xmlns:a16="http://schemas.microsoft.com/office/drawing/2014/main" id="{B7AFD084-851E-4D58-9333-5BEA0EB55B33}"/>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7" name="TextBox 686">
          <a:extLst>
            <a:ext uri="{FF2B5EF4-FFF2-40B4-BE49-F238E27FC236}">
              <a16:creationId xmlns:a16="http://schemas.microsoft.com/office/drawing/2014/main" id="{2DDE016B-5B3A-4FF4-B4E0-98A6557D98D8}"/>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8" name="TextBox 687">
          <a:extLst>
            <a:ext uri="{FF2B5EF4-FFF2-40B4-BE49-F238E27FC236}">
              <a16:creationId xmlns:a16="http://schemas.microsoft.com/office/drawing/2014/main" id="{40E57B1C-674E-46EB-ADDC-AD7AB9313BFE}"/>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89" name="TextBox 688">
          <a:extLst>
            <a:ext uri="{FF2B5EF4-FFF2-40B4-BE49-F238E27FC236}">
              <a16:creationId xmlns:a16="http://schemas.microsoft.com/office/drawing/2014/main" id="{D0400F56-AC3B-4646-BD84-52122659434A}"/>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90" name="TextBox 689">
          <a:extLst>
            <a:ext uri="{FF2B5EF4-FFF2-40B4-BE49-F238E27FC236}">
              <a16:creationId xmlns:a16="http://schemas.microsoft.com/office/drawing/2014/main" id="{FABE8BEF-9B47-4D81-A985-F4F5D8034257}"/>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91" name="TextBox 690">
          <a:extLst>
            <a:ext uri="{FF2B5EF4-FFF2-40B4-BE49-F238E27FC236}">
              <a16:creationId xmlns:a16="http://schemas.microsoft.com/office/drawing/2014/main" id="{1D57F848-F68B-4725-8019-C4708DE5AB0B}"/>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92" name="TextBox 691">
          <a:extLst>
            <a:ext uri="{FF2B5EF4-FFF2-40B4-BE49-F238E27FC236}">
              <a16:creationId xmlns:a16="http://schemas.microsoft.com/office/drawing/2014/main" id="{F54584E8-DC4F-4C8A-BF43-E45C4B0F46F5}"/>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62</xdr:row>
      <xdr:rowOff>0</xdr:rowOff>
    </xdr:from>
    <xdr:ext cx="65" cy="172227"/>
    <xdr:sp macro="" textlink="">
      <xdr:nvSpPr>
        <xdr:cNvPr id="693" name="TextBox 692">
          <a:extLst>
            <a:ext uri="{FF2B5EF4-FFF2-40B4-BE49-F238E27FC236}">
              <a16:creationId xmlns:a16="http://schemas.microsoft.com/office/drawing/2014/main" id="{72DDF398-DE4C-4081-B6B9-9E85AACA3801}"/>
            </a:ext>
          </a:extLst>
        </xdr:cNvPr>
        <xdr:cNvSpPr txBox="1"/>
      </xdr:nvSpPr>
      <xdr:spPr>
        <a:xfrm flipH="1">
          <a:off x="6343650" y="13220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4" name="TextBox 693">
          <a:extLst>
            <a:ext uri="{FF2B5EF4-FFF2-40B4-BE49-F238E27FC236}">
              <a16:creationId xmlns:a16="http://schemas.microsoft.com/office/drawing/2014/main" id="{3C7E4FA2-0D5B-46A7-A098-97565FA0A5E3}"/>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5" name="TextBox 694">
          <a:extLst>
            <a:ext uri="{FF2B5EF4-FFF2-40B4-BE49-F238E27FC236}">
              <a16:creationId xmlns:a16="http://schemas.microsoft.com/office/drawing/2014/main" id="{367F2154-B39F-488E-9991-99E48DC2CF07}"/>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6" name="TextBox 695">
          <a:extLst>
            <a:ext uri="{FF2B5EF4-FFF2-40B4-BE49-F238E27FC236}">
              <a16:creationId xmlns:a16="http://schemas.microsoft.com/office/drawing/2014/main" id="{C9B53604-4B23-43AB-96A7-21081A1BD7B8}"/>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7" name="TextBox 696">
          <a:extLst>
            <a:ext uri="{FF2B5EF4-FFF2-40B4-BE49-F238E27FC236}">
              <a16:creationId xmlns:a16="http://schemas.microsoft.com/office/drawing/2014/main" id="{0FBB1E33-140B-42F4-8AE1-E9514410B2C9}"/>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8" name="TextBox 697">
          <a:extLst>
            <a:ext uri="{FF2B5EF4-FFF2-40B4-BE49-F238E27FC236}">
              <a16:creationId xmlns:a16="http://schemas.microsoft.com/office/drawing/2014/main" id="{63F80F2E-65C2-4E25-837E-B6D05FA280CB}"/>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699" name="TextBox 698">
          <a:extLst>
            <a:ext uri="{FF2B5EF4-FFF2-40B4-BE49-F238E27FC236}">
              <a16:creationId xmlns:a16="http://schemas.microsoft.com/office/drawing/2014/main" id="{B9B40EA7-7A61-48A7-AF38-9B2AC9F2C477}"/>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0" name="TextBox 699">
          <a:extLst>
            <a:ext uri="{FF2B5EF4-FFF2-40B4-BE49-F238E27FC236}">
              <a16:creationId xmlns:a16="http://schemas.microsoft.com/office/drawing/2014/main" id="{A9128477-FB1A-40D1-AD27-097E9D0B48B4}"/>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1" name="TextBox 700">
          <a:extLst>
            <a:ext uri="{FF2B5EF4-FFF2-40B4-BE49-F238E27FC236}">
              <a16:creationId xmlns:a16="http://schemas.microsoft.com/office/drawing/2014/main" id="{1AA11697-E757-4353-B3C6-2C66FF1A1C29}"/>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2" name="TextBox 701">
          <a:extLst>
            <a:ext uri="{FF2B5EF4-FFF2-40B4-BE49-F238E27FC236}">
              <a16:creationId xmlns:a16="http://schemas.microsoft.com/office/drawing/2014/main" id="{CD7994D2-4122-4D56-BE11-2E8BD817B5ED}"/>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3" name="TextBox 702">
          <a:extLst>
            <a:ext uri="{FF2B5EF4-FFF2-40B4-BE49-F238E27FC236}">
              <a16:creationId xmlns:a16="http://schemas.microsoft.com/office/drawing/2014/main" id="{0081D372-2D4B-43F8-926F-5E6A964AFCA2}"/>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4" name="TextBox 703">
          <a:extLst>
            <a:ext uri="{FF2B5EF4-FFF2-40B4-BE49-F238E27FC236}">
              <a16:creationId xmlns:a16="http://schemas.microsoft.com/office/drawing/2014/main" id="{4290A080-5467-409E-B76B-3DDF10A14797}"/>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5" name="TextBox 704">
          <a:extLst>
            <a:ext uri="{FF2B5EF4-FFF2-40B4-BE49-F238E27FC236}">
              <a16:creationId xmlns:a16="http://schemas.microsoft.com/office/drawing/2014/main" id="{97DA5040-D3FB-4A8B-8371-A484E6D527D6}"/>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6" name="TextBox 705">
          <a:extLst>
            <a:ext uri="{FF2B5EF4-FFF2-40B4-BE49-F238E27FC236}">
              <a16:creationId xmlns:a16="http://schemas.microsoft.com/office/drawing/2014/main" id="{C7A58044-D7E3-4C9A-B461-EE1173968682}"/>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7" name="TextBox 706">
          <a:extLst>
            <a:ext uri="{FF2B5EF4-FFF2-40B4-BE49-F238E27FC236}">
              <a16:creationId xmlns:a16="http://schemas.microsoft.com/office/drawing/2014/main" id="{E2CAE336-20CE-4834-9818-1017F51BE289}"/>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8" name="TextBox 707">
          <a:extLst>
            <a:ext uri="{FF2B5EF4-FFF2-40B4-BE49-F238E27FC236}">
              <a16:creationId xmlns:a16="http://schemas.microsoft.com/office/drawing/2014/main" id="{8CFDAF2E-B3EC-45AF-8197-B0CE93EB556D}"/>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59</xdr:row>
      <xdr:rowOff>0</xdr:rowOff>
    </xdr:from>
    <xdr:ext cx="65" cy="172227"/>
    <xdr:sp macro="" textlink="">
      <xdr:nvSpPr>
        <xdr:cNvPr id="709" name="TextBox 708">
          <a:extLst>
            <a:ext uri="{FF2B5EF4-FFF2-40B4-BE49-F238E27FC236}">
              <a16:creationId xmlns:a16="http://schemas.microsoft.com/office/drawing/2014/main" id="{BFDD4D1F-CEC6-4C2D-9685-AC27311E7926}"/>
            </a:ext>
          </a:extLst>
        </xdr:cNvPr>
        <xdr:cNvSpPr txBox="1"/>
      </xdr:nvSpPr>
      <xdr:spPr>
        <a:xfrm flipH="1">
          <a:off x="6343650" y="1224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0" name="TextBox 709">
          <a:extLst>
            <a:ext uri="{FF2B5EF4-FFF2-40B4-BE49-F238E27FC236}">
              <a16:creationId xmlns:a16="http://schemas.microsoft.com/office/drawing/2014/main" id="{393B98D8-C25A-4FFD-AD32-BF8D46612C5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1" name="TextBox 710">
          <a:extLst>
            <a:ext uri="{FF2B5EF4-FFF2-40B4-BE49-F238E27FC236}">
              <a16:creationId xmlns:a16="http://schemas.microsoft.com/office/drawing/2014/main" id="{1B143809-10CA-4D42-B843-89FDE6BB0C5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2" name="TextBox 711">
          <a:extLst>
            <a:ext uri="{FF2B5EF4-FFF2-40B4-BE49-F238E27FC236}">
              <a16:creationId xmlns:a16="http://schemas.microsoft.com/office/drawing/2014/main" id="{D1F3D812-C39B-496D-A7D4-A8547511186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3" name="TextBox 712">
          <a:extLst>
            <a:ext uri="{FF2B5EF4-FFF2-40B4-BE49-F238E27FC236}">
              <a16:creationId xmlns:a16="http://schemas.microsoft.com/office/drawing/2014/main" id="{B0B34DE9-8776-4A45-9255-AF74B27E56B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4" name="TextBox 713">
          <a:extLst>
            <a:ext uri="{FF2B5EF4-FFF2-40B4-BE49-F238E27FC236}">
              <a16:creationId xmlns:a16="http://schemas.microsoft.com/office/drawing/2014/main" id="{2417132E-3C32-48CE-9E39-25A872902F6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5" name="TextBox 714">
          <a:extLst>
            <a:ext uri="{FF2B5EF4-FFF2-40B4-BE49-F238E27FC236}">
              <a16:creationId xmlns:a16="http://schemas.microsoft.com/office/drawing/2014/main" id="{95471DB3-A7BA-465C-9BEA-6A18C9FBBD8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6" name="TextBox 715">
          <a:extLst>
            <a:ext uri="{FF2B5EF4-FFF2-40B4-BE49-F238E27FC236}">
              <a16:creationId xmlns:a16="http://schemas.microsoft.com/office/drawing/2014/main" id="{899EBF42-CB94-47DA-AD24-1D62B26C162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7" name="TextBox 716">
          <a:extLst>
            <a:ext uri="{FF2B5EF4-FFF2-40B4-BE49-F238E27FC236}">
              <a16:creationId xmlns:a16="http://schemas.microsoft.com/office/drawing/2014/main" id="{1FB03842-2088-487D-B983-98579227650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8" name="TextBox 717">
          <a:extLst>
            <a:ext uri="{FF2B5EF4-FFF2-40B4-BE49-F238E27FC236}">
              <a16:creationId xmlns:a16="http://schemas.microsoft.com/office/drawing/2014/main" id="{15F22460-B4D4-4C95-9925-DA01A88BBFA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19" name="TextBox 718">
          <a:extLst>
            <a:ext uri="{FF2B5EF4-FFF2-40B4-BE49-F238E27FC236}">
              <a16:creationId xmlns:a16="http://schemas.microsoft.com/office/drawing/2014/main" id="{00B6B1E1-E24C-422D-8686-05E0DD31A64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0" name="TextBox 719">
          <a:extLst>
            <a:ext uri="{FF2B5EF4-FFF2-40B4-BE49-F238E27FC236}">
              <a16:creationId xmlns:a16="http://schemas.microsoft.com/office/drawing/2014/main" id="{FBB25C8F-85EC-49C8-B613-AA3139433AC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1" name="TextBox 720">
          <a:extLst>
            <a:ext uri="{FF2B5EF4-FFF2-40B4-BE49-F238E27FC236}">
              <a16:creationId xmlns:a16="http://schemas.microsoft.com/office/drawing/2014/main" id="{C0769490-3B53-46F1-9D4E-E7A9AA679D3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2" name="TextBox 721">
          <a:extLst>
            <a:ext uri="{FF2B5EF4-FFF2-40B4-BE49-F238E27FC236}">
              <a16:creationId xmlns:a16="http://schemas.microsoft.com/office/drawing/2014/main" id="{C63C65E7-59CB-406C-8111-9FB9DBB8141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3" name="TextBox 722">
          <a:extLst>
            <a:ext uri="{FF2B5EF4-FFF2-40B4-BE49-F238E27FC236}">
              <a16:creationId xmlns:a16="http://schemas.microsoft.com/office/drawing/2014/main" id="{ED86FC04-4D87-4677-AB94-6FBF9585E3C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4" name="TextBox 723">
          <a:extLst>
            <a:ext uri="{FF2B5EF4-FFF2-40B4-BE49-F238E27FC236}">
              <a16:creationId xmlns:a16="http://schemas.microsoft.com/office/drawing/2014/main" id="{EB3A8894-C937-4C6A-B508-F9A30637A3E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5" name="TextBox 724">
          <a:extLst>
            <a:ext uri="{FF2B5EF4-FFF2-40B4-BE49-F238E27FC236}">
              <a16:creationId xmlns:a16="http://schemas.microsoft.com/office/drawing/2014/main" id="{0B661E77-3DA4-4CEA-8C68-F1911D595ED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6" name="TextBox 725">
          <a:extLst>
            <a:ext uri="{FF2B5EF4-FFF2-40B4-BE49-F238E27FC236}">
              <a16:creationId xmlns:a16="http://schemas.microsoft.com/office/drawing/2014/main" id="{A138584D-CA51-48D0-B609-5C31C48A418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7" name="TextBox 726">
          <a:extLst>
            <a:ext uri="{FF2B5EF4-FFF2-40B4-BE49-F238E27FC236}">
              <a16:creationId xmlns:a16="http://schemas.microsoft.com/office/drawing/2014/main" id="{AB7B6B07-41FB-4207-A57A-9E2B4E2DE23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8" name="TextBox 727">
          <a:extLst>
            <a:ext uri="{FF2B5EF4-FFF2-40B4-BE49-F238E27FC236}">
              <a16:creationId xmlns:a16="http://schemas.microsoft.com/office/drawing/2014/main" id="{1C023217-24AD-4B56-887E-3105AED16BF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29" name="TextBox 728">
          <a:extLst>
            <a:ext uri="{FF2B5EF4-FFF2-40B4-BE49-F238E27FC236}">
              <a16:creationId xmlns:a16="http://schemas.microsoft.com/office/drawing/2014/main" id="{D3FF73B0-E658-401E-B4AD-0933B69178A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0" name="TextBox 729">
          <a:extLst>
            <a:ext uri="{FF2B5EF4-FFF2-40B4-BE49-F238E27FC236}">
              <a16:creationId xmlns:a16="http://schemas.microsoft.com/office/drawing/2014/main" id="{8FA37A29-8122-4B0D-AC2B-B5EAF5490FA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1" name="TextBox 730">
          <a:extLst>
            <a:ext uri="{FF2B5EF4-FFF2-40B4-BE49-F238E27FC236}">
              <a16:creationId xmlns:a16="http://schemas.microsoft.com/office/drawing/2014/main" id="{11E3DA96-C71B-48EF-ADA8-9E6C8E800EB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2" name="TextBox 731">
          <a:extLst>
            <a:ext uri="{FF2B5EF4-FFF2-40B4-BE49-F238E27FC236}">
              <a16:creationId xmlns:a16="http://schemas.microsoft.com/office/drawing/2014/main" id="{57B85F0A-20AA-498C-980F-A45F038251B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3" name="TextBox 732">
          <a:extLst>
            <a:ext uri="{FF2B5EF4-FFF2-40B4-BE49-F238E27FC236}">
              <a16:creationId xmlns:a16="http://schemas.microsoft.com/office/drawing/2014/main" id="{6254D481-4A95-437C-A87A-9572284753B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4" name="TextBox 733">
          <a:extLst>
            <a:ext uri="{FF2B5EF4-FFF2-40B4-BE49-F238E27FC236}">
              <a16:creationId xmlns:a16="http://schemas.microsoft.com/office/drawing/2014/main" id="{4991319A-63D8-42E2-9C18-26939F46BAF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5" name="TextBox 734">
          <a:extLst>
            <a:ext uri="{FF2B5EF4-FFF2-40B4-BE49-F238E27FC236}">
              <a16:creationId xmlns:a16="http://schemas.microsoft.com/office/drawing/2014/main" id="{A38412C0-C142-49BD-AB5A-4F48EDEAF82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6" name="TextBox 735">
          <a:extLst>
            <a:ext uri="{FF2B5EF4-FFF2-40B4-BE49-F238E27FC236}">
              <a16:creationId xmlns:a16="http://schemas.microsoft.com/office/drawing/2014/main" id="{EA44E834-70EB-4A9D-8888-3BE7C247F16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7" name="TextBox 736">
          <a:extLst>
            <a:ext uri="{FF2B5EF4-FFF2-40B4-BE49-F238E27FC236}">
              <a16:creationId xmlns:a16="http://schemas.microsoft.com/office/drawing/2014/main" id="{43CA0B85-26C0-410D-96FA-D0B7B6DFAD2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8" name="TextBox 737">
          <a:extLst>
            <a:ext uri="{FF2B5EF4-FFF2-40B4-BE49-F238E27FC236}">
              <a16:creationId xmlns:a16="http://schemas.microsoft.com/office/drawing/2014/main" id="{BDC45A4B-807E-4E84-956B-85BB46F051F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39" name="TextBox 738">
          <a:extLst>
            <a:ext uri="{FF2B5EF4-FFF2-40B4-BE49-F238E27FC236}">
              <a16:creationId xmlns:a16="http://schemas.microsoft.com/office/drawing/2014/main" id="{CC0EE1A2-9415-4761-BCA6-CCE9B67B2A9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0" name="TextBox 739">
          <a:extLst>
            <a:ext uri="{FF2B5EF4-FFF2-40B4-BE49-F238E27FC236}">
              <a16:creationId xmlns:a16="http://schemas.microsoft.com/office/drawing/2014/main" id="{5F233323-039C-4A4E-AB27-EBDF6951FB4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1" name="TextBox 740">
          <a:extLst>
            <a:ext uri="{FF2B5EF4-FFF2-40B4-BE49-F238E27FC236}">
              <a16:creationId xmlns:a16="http://schemas.microsoft.com/office/drawing/2014/main" id="{B57C7B8B-5E71-44A7-9792-E4A147FA05A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2" name="TextBox 741">
          <a:extLst>
            <a:ext uri="{FF2B5EF4-FFF2-40B4-BE49-F238E27FC236}">
              <a16:creationId xmlns:a16="http://schemas.microsoft.com/office/drawing/2014/main" id="{82BFE303-76DA-4A78-9E03-40110DE15A8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3" name="TextBox 742">
          <a:extLst>
            <a:ext uri="{FF2B5EF4-FFF2-40B4-BE49-F238E27FC236}">
              <a16:creationId xmlns:a16="http://schemas.microsoft.com/office/drawing/2014/main" id="{F16D6DA8-4C20-4656-B71E-DB27CEFD5F3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4" name="TextBox 743">
          <a:extLst>
            <a:ext uri="{FF2B5EF4-FFF2-40B4-BE49-F238E27FC236}">
              <a16:creationId xmlns:a16="http://schemas.microsoft.com/office/drawing/2014/main" id="{F945B205-9D33-42FE-B78B-D5E4BF58B49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5" name="TextBox 744">
          <a:extLst>
            <a:ext uri="{FF2B5EF4-FFF2-40B4-BE49-F238E27FC236}">
              <a16:creationId xmlns:a16="http://schemas.microsoft.com/office/drawing/2014/main" id="{C39CBEA0-676F-41F9-96EE-67345B800FE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6" name="TextBox 745">
          <a:extLst>
            <a:ext uri="{FF2B5EF4-FFF2-40B4-BE49-F238E27FC236}">
              <a16:creationId xmlns:a16="http://schemas.microsoft.com/office/drawing/2014/main" id="{99F48985-7E10-4492-96BE-63BBED4EBCA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7" name="TextBox 746">
          <a:extLst>
            <a:ext uri="{FF2B5EF4-FFF2-40B4-BE49-F238E27FC236}">
              <a16:creationId xmlns:a16="http://schemas.microsoft.com/office/drawing/2014/main" id="{6482AD83-C2D8-4626-A1AF-0FF03E99887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8" name="TextBox 747">
          <a:extLst>
            <a:ext uri="{FF2B5EF4-FFF2-40B4-BE49-F238E27FC236}">
              <a16:creationId xmlns:a16="http://schemas.microsoft.com/office/drawing/2014/main" id="{CCE3B604-A0C2-4D20-99D1-0AA1947A869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49" name="TextBox 748">
          <a:extLst>
            <a:ext uri="{FF2B5EF4-FFF2-40B4-BE49-F238E27FC236}">
              <a16:creationId xmlns:a16="http://schemas.microsoft.com/office/drawing/2014/main" id="{027B7FE5-35C6-4E29-9764-3E9553F6ABD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0" name="TextBox 749">
          <a:extLst>
            <a:ext uri="{FF2B5EF4-FFF2-40B4-BE49-F238E27FC236}">
              <a16:creationId xmlns:a16="http://schemas.microsoft.com/office/drawing/2014/main" id="{6F684637-6FE3-4E8F-B4AF-02DEB1E6518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1" name="TextBox 750">
          <a:extLst>
            <a:ext uri="{FF2B5EF4-FFF2-40B4-BE49-F238E27FC236}">
              <a16:creationId xmlns:a16="http://schemas.microsoft.com/office/drawing/2014/main" id="{CD8DF4B3-53E6-43C6-99D9-D38EEE9F1F2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2" name="TextBox 751">
          <a:extLst>
            <a:ext uri="{FF2B5EF4-FFF2-40B4-BE49-F238E27FC236}">
              <a16:creationId xmlns:a16="http://schemas.microsoft.com/office/drawing/2014/main" id="{2F25AF0E-431C-4732-B42A-9F447147799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3" name="TextBox 752">
          <a:extLst>
            <a:ext uri="{FF2B5EF4-FFF2-40B4-BE49-F238E27FC236}">
              <a16:creationId xmlns:a16="http://schemas.microsoft.com/office/drawing/2014/main" id="{5016489F-0BED-4AC2-B181-25CF6C4A1C8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4" name="TextBox 753">
          <a:extLst>
            <a:ext uri="{FF2B5EF4-FFF2-40B4-BE49-F238E27FC236}">
              <a16:creationId xmlns:a16="http://schemas.microsoft.com/office/drawing/2014/main" id="{666BAF20-A72D-4AD7-A692-F3E09143893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5" name="TextBox 754">
          <a:extLst>
            <a:ext uri="{FF2B5EF4-FFF2-40B4-BE49-F238E27FC236}">
              <a16:creationId xmlns:a16="http://schemas.microsoft.com/office/drawing/2014/main" id="{863C02E7-1F2D-49E4-AFD9-D1C6BE432A1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6" name="TextBox 755">
          <a:extLst>
            <a:ext uri="{FF2B5EF4-FFF2-40B4-BE49-F238E27FC236}">
              <a16:creationId xmlns:a16="http://schemas.microsoft.com/office/drawing/2014/main" id="{1C1DE83E-51CC-44BC-98D8-8925CBDA08B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7" name="TextBox 756">
          <a:extLst>
            <a:ext uri="{FF2B5EF4-FFF2-40B4-BE49-F238E27FC236}">
              <a16:creationId xmlns:a16="http://schemas.microsoft.com/office/drawing/2014/main" id="{62B7C104-5F27-4D2D-82D1-A48BCA1DC51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8" name="TextBox 757">
          <a:extLst>
            <a:ext uri="{FF2B5EF4-FFF2-40B4-BE49-F238E27FC236}">
              <a16:creationId xmlns:a16="http://schemas.microsoft.com/office/drawing/2014/main" id="{38407CB3-11D4-489E-BD6E-123D290A1AB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59" name="TextBox 758">
          <a:extLst>
            <a:ext uri="{FF2B5EF4-FFF2-40B4-BE49-F238E27FC236}">
              <a16:creationId xmlns:a16="http://schemas.microsoft.com/office/drawing/2014/main" id="{FA6CC6DB-BD0D-4F7A-9DD2-B5B462C56AE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0" name="TextBox 759">
          <a:extLst>
            <a:ext uri="{FF2B5EF4-FFF2-40B4-BE49-F238E27FC236}">
              <a16:creationId xmlns:a16="http://schemas.microsoft.com/office/drawing/2014/main" id="{21493BFA-0E65-4BB0-A812-13BD0DB0C1A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1" name="TextBox 760">
          <a:extLst>
            <a:ext uri="{FF2B5EF4-FFF2-40B4-BE49-F238E27FC236}">
              <a16:creationId xmlns:a16="http://schemas.microsoft.com/office/drawing/2014/main" id="{F8910635-8087-42FE-A49D-081D01F35FC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2" name="TextBox 761">
          <a:extLst>
            <a:ext uri="{FF2B5EF4-FFF2-40B4-BE49-F238E27FC236}">
              <a16:creationId xmlns:a16="http://schemas.microsoft.com/office/drawing/2014/main" id="{21FD7E4F-1D69-467C-9338-9182E3FCC13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3" name="TextBox 762">
          <a:extLst>
            <a:ext uri="{FF2B5EF4-FFF2-40B4-BE49-F238E27FC236}">
              <a16:creationId xmlns:a16="http://schemas.microsoft.com/office/drawing/2014/main" id="{F20E5146-F0E2-471B-8986-641D468B579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4" name="TextBox 763">
          <a:extLst>
            <a:ext uri="{FF2B5EF4-FFF2-40B4-BE49-F238E27FC236}">
              <a16:creationId xmlns:a16="http://schemas.microsoft.com/office/drawing/2014/main" id="{C5B4E2FA-E0CF-487B-BF2E-A00BCB98FA4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5" name="TextBox 764">
          <a:extLst>
            <a:ext uri="{FF2B5EF4-FFF2-40B4-BE49-F238E27FC236}">
              <a16:creationId xmlns:a16="http://schemas.microsoft.com/office/drawing/2014/main" id="{7BA4FBC6-3043-41FD-820C-164CC0FDBF3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6" name="TextBox 765">
          <a:extLst>
            <a:ext uri="{FF2B5EF4-FFF2-40B4-BE49-F238E27FC236}">
              <a16:creationId xmlns:a16="http://schemas.microsoft.com/office/drawing/2014/main" id="{A87DF2A2-4EA1-450A-B996-FF65392FBF6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7" name="TextBox 766">
          <a:extLst>
            <a:ext uri="{FF2B5EF4-FFF2-40B4-BE49-F238E27FC236}">
              <a16:creationId xmlns:a16="http://schemas.microsoft.com/office/drawing/2014/main" id="{B8CFC91D-DF4E-4736-89C9-7668EBCDBC8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8" name="TextBox 767">
          <a:extLst>
            <a:ext uri="{FF2B5EF4-FFF2-40B4-BE49-F238E27FC236}">
              <a16:creationId xmlns:a16="http://schemas.microsoft.com/office/drawing/2014/main" id="{FC69252C-F429-4EF5-BDA8-2CC32E01BA1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69" name="TextBox 768">
          <a:extLst>
            <a:ext uri="{FF2B5EF4-FFF2-40B4-BE49-F238E27FC236}">
              <a16:creationId xmlns:a16="http://schemas.microsoft.com/office/drawing/2014/main" id="{C892748B-CF8C-4155-9CB3-799A74F7BFF1}"/>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0" name="TextBox 769">
          <a:extLst>
            <a:ext uri="{FF2B5EF4-FFF2-40B4-BE49-F238E27FC236}">
              <a16:creationId xmlns:a16="http://schemas.microsoft.com/office/drawing/2014/main" id="{BEBA2921-281F-4414-BE64-011F11F093B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1" name="TextBox 770">
          <a:extLst>
            <a:ext uri="{FF2B5EF4-FFF2-40B4-BE49-F238E27FC236}">
              <a16:creationId xmlns:a16="http://schemas.microsoft.com/office/drawing/2014/main" id="{C152A10B-966E-4ED7-A1EA-152D5DAE4C1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2" name="TextBox 771">
          <a:extLst>
            <a:ext uri="{FF2B5EF4-FFF2-40B4-BE49-F238E27FC236}">
              <a16:creationId xmlns:a16="http://schemas.microsoft.com/office/drawing/2014/main" id="{CBF92A03-FE7D-4AC6-AFEA-9E000F1BA37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3" name="TextBox 772">
          <a:extLst>
            <a:ext uri="{FF2B5EF4-FFF2-40B4-BE49-F238E27FC236}">
              <a16:creationId xmlns:a16="http://schemas.microsoft.com/office/drawing/2014/main" id="{A5DA049B-E68E-4D22-99AE-EFDE8FDE1FA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4" name="TextBox 773">
          <a:extLst>
            <a:ext uri="{FF2B5EF4-FFF2-40B4-BE49-F238E27FC236}">
              <a16:creationId xmlns:a16="http://schemas.microsoft.com/office/drawing/2014/main" id="{EFB6CDE2-366D-4462-BF5E-921CFE01DE8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5" name="TextBox 774">
          <a:extLst>
            <a:ext uri="{FF2B5EF4-FFF2-40B4-BE49-F238E27FC236}">
              <a16:creationId xmlns:a16="http://schemas.microsoft.com/office/drawing/2014/main" id="{B4649885-40FC-4219-95D2-D0D9BE3E657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6" name="TextBox 775">
          <a:extLst>
            <a:ext uri="{FF2B5EF4-FFF2-40B4-BE49-F238E27FC236}">
              <a16:creationId xmlns:a16="http://schemas.microsoft.com/office/drawing/2014/main" id="{B45644FE-8B27-497D-B89A-6924B4CF561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7" name="TextBox 776">
          <a:extLst>
            <a:ext uri="{FF2B5EF4-FFF2-40B4-BE49-F238E27FC236}">
              <a16:creationId xmlns:a16="http://schemas.microsoft.com/office/drawing/2014/main" id="{1E9950A4-C2E9-4AC2-82FB-C6114964457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8" name="TextBox 777">
          <a:extLst>
            <a:ext uri="{FF2B5EF4-FFF2-40B4-BE49-F238E27FC236}">
              <a16:creationId xmlns:a16="http://schemas.microsoft.com/office/drawing/2014/main" id="{210A0979-4C57-44B1-AD1D-8E65E9938B8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79" name="TextBox 778">
          <a:extLst>
            <a:ext uri="{FF2B5EF4-FFF2-40B4-BE49-F238E27FC236}">
              <a16:creationId xmlns:a16="http://schemas.microsoft.com/office/drawing/2014/main" id="{D62C877A-DD28-47C4-92A6-A0923C01FFF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0" name="TextBox 779">
          <a:extLst>
            <a:ext uri="{FF2B5EF4-FFF2-40B4-BE49-F238E27FC236}">
              <a16:creationId xmlns:a16="http://schemas.microsoft.com/office/drawing/2014/main" id="{A708BBDC-3B14-4BA9-9F26-03E6A48BDAD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1" name="TextBox 780">
          <a:extLst>
            <a:ext uri="{FF2B5EF4-FFF2-40B4-BE49-F238E27FC236}">
              <a16:creationId xmlns:a16="http://schemas.microsoft.com/office/drawing/2014/main" id="{CEA973D2-9B95-449E-AEBF-0BB33159DDA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2" name="TextBox 781">
          <a:extLst>
            <a:ext uri="{FF2B5EF4-FFF2-40B4-BE49-F238E27FC236}">
              <a16:creationId xmlns:a16="http://schemas.microsoft.com/office/drawing/2014/main" id="{D21CD7CA-CAA7-4372-AF37-8AA249CEF57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3" name="TextBox 782">
          <a:extLst>
            <a:ext uri="{FF2B5EF4-FFF2-40B4-BE49-F238E27FC236}">
              <a16:creationId xmlns:a16="http://schemas.microsoft.com/office/drawing/2014/main" id="{4EAD507C-8CE7-4EFA-A910-F739F7A4CAF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4" name="TextBox 783">
          <a:extLst>
            <a:ext uri="{FF2B5EF4-FFF2-40B4-BE49-F238E27FC236}">
              <a16:creationId xmlns:a16="http://schemas.microsoft.com/office/drawing/2014/main" id="{3D68284E-B10F-4A29-8D3A-E73C5094824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5" name="TextBox 784">
          <a:extLst>
            <a:ext uri="{FF2B5EF4-FFF2-40B4-BE49-F238E27FC236}">
              <a16:creationId xmlns:a16="http://schemas.microsoft.com/office/drawing/2014/main" id="{73008C31-BBE6-4C13-9422-04505D9486D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6" name="TextBox 785">
          <a:extLst>
            <a:ext uri="{FF2B5EF4-FFF2-40B4-BE49-F238E27FC236}">
              <a16:creationId xmlns:a16="http://schemas.microsoft.com/office/drawing/2014/main" id="{0B5CF977-3176-4B47-80E0-C90525DEFF7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7" name="TextBox 786">
          <a:extLst>
            <a:ext uri="{FF2B5EF4-FFF2-40B4-BE49-F238E27FC236}">
              <a16:creationId xmlns:a16="http://schemas.microsoft.com/office/drawing/2014/main" id="{EF6952AF-405F-46E8-A2C1-D95C2619B11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8" name="TextBox 787">
          <a:extLst>
            <a:ext uri="{FF2B5EF4-FFF2-40B4-BE49-F238E27FC236}">
              <a16:creationId xmlns:a16="http://schemas.microsoft.com/office/drawing/2014/main" id="{3C6D229A-A07E-4079-A819-2FBE9DD792F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89" name="TextBox 788">
          <a:extLst>
            <a:ext uri="{FF2B5EF4-FFF2-40B4-BE49-F238E27FC236}">
              <a16:creationId xmlns:a16="http://schemas.microsoft.com/office/drawing/2014/main" id="{926387E2-CBC8-4719-AC23-7B26C5EBE8A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0" name="TextBox 789">
          <a:extLst>
            <a:ext uri="{FF2B5EF4-FFF2-40B4-BE49-F238E27FC236}">
              <a16:creationId xmlns:a16="http://schemas.microsoft.com/office/drawing/2014/main" id="{66A65A9A-F6A1-4DA8-BD59-0253528AE62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1" name="TextBox 790">
          <a:extLst>
            <a:ext uri="{FF2B5EF4-FFF2-40B4-BE49-F238E27FC236}">
              <a16:creationId xmlns:a16="http://schemas.microsoft.com/office/drawing/2014/main" id="{637FB581-2F08-41D4-9CEA-2A0283A7881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2" name="TextBox 791">
          <a:extLst>
            <a:ext uri="{FF2B5EF4-FFF2-40B4-BE49-F238E27FC236}">
              <a16:creationId xmlns:a16="http://schemas.microsoft.com/office/drawing/2014/main" id="{978CEFB7-2FD1-4C2F-A656-2890D983D3B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3" name="TextBox 792">
          <a:extLst>
            <a:ext uri="{FF2B5EF4-FFF2-40B4-BE49-F238E27FC236}">
              <a16:creationId xmlns:a16="http://schemas.microsoft.com/office/drawing/2014/main" id="{3836A279-CB3A-4ED8-B6BC-79CD72B7A27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4" name="TextBox 793">
          <a:extLst>
            <a:ext uri="{FF2B5EF4-FFF2-40B4-BE49-F238E27FC236}">
              <a16:creationId xmlns:a16="http://schemas.microsoft.com/office/drawing/2014/main" id="{F3BEB4DF-EA85-45DE-B8C0-1AA1A88D576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5" name="TextBox 794">
          <a:extLst>
            <a:ext uri="{FF2B5EF4-FFF2-40B4-BE49-F238E27FC236}">
              <a16:creationId xmlns:a16="http://schemas.microsoft.com/office/drawing/2014/main" id="{6C80F465-CCA6-4D80-8046-E056CC0B924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6" name="TextBox 795">
          <a:extLst>
            <a:ext uri="{FF2B5EF4-FFF2-40B4-BE49-F238E27FC236}">
              <a16:creationId xmlns:a16="http://schemas.microsoft.com/office/drawing/2014/main" id="{05C04795-0A44-4656-A5A6-D81623B0967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7" name="TextBox 796">
          <a:extLst>
            <a:ext uri="{FF2B5EF4-FFF2-40B4-BE49-F238E27FC236}">
              <a16:creationId xmlns:a16="http://schemas.microsoft.com/office/drawing/2014/main" id="{27959851-5C5C-4C82-82A6-45A2CA587360}"/>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8" name="TextBox 797">
          <a:extLst>
            <a:ext uri="{FF2B5EF4-FFF2-40B4-BE49-F238E27FC236}">
              <a16:creationId xmlns:a16="http://schemas.microsoft.com/office/drawing/2014/main" id="{2F8D1906-F470-4B49-962E-1C0D934AC02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799" name="TextBox 798">
          <a:extLst>
            <a:ext uri="{FF2B5EF4-FFF2-40B4-BE49-F238E27FC236}">
              <a16:creationId xmlns:a16="http://schemas.microsoft.com/office/drawing/2014/main" id="{AA6B42B3-47CD-40B6-8127-16584D8F7E7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0" name="TextBox 799">
          <a:extLst>
            <a:ext uri="{FF2B5EF4-FFF2-40B4-BE49-F238E27FC236}">
              <a16:creationId xmlns:a16="http://schemas.microsoft.com/office/drawing/2014/main" id="{2E6EC510-7970-4576-8978-68B3CFA283F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1" name="TextBox 800">
          <a:extLst>
            <a:ext uri="{FF2B5EF4-FFF2-40B4-BE49-F238E27FC236}">
              <a16:creationId xmlns:a16="http://schemas.microsoft.com/office/drawing/2014/main" id="{C1D33479-58D6-494B-87DE-BEE8FE39652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2" name="TextBox 801">
          <a:extLst>
            <a:ext uri="{FF2B5EF4-FFF2-40B4-BE49-F238E27FC236}">
              <a16:creationId xmlns:a16="http://schemas.microsoft.com/office/drawing/2014/main" id="{BB00812F-5C58-4CDC-8251-78B338222E8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3" name="TextBox 802">
          <a:extLst>
            <a:ext uri="{FF2B5EF4-FFF2-40B4-BE49-F238E27FC236}">
              <a16:creationId xmlns:a16="http://schemas.microsoft.com/office/drawing/2014/main" id="{5C670443-1381-456B-B472-0D1050C8D7E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4" name="TextBox 803">
          <a:extLst>
            <a:ext uri="{FF2B5EF4-FFF2-40B4-BE49-F238E27FC236}">
              <a16:creationId xmlns:a16="http://schemas.microsoft.com/office/drawing/2014/main" id="{691BF08B-4CD9-45D0-8D7A-2A124371B5B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5" name="TextBox 804">
          <a:extLst>
            <a:ext uri="{FF2B5EF4-FFF2-40B4-BE49-F238E27FC236}">
              <a16:creationId xmlns:a16="http://schemas.microsoft.com/office/drawing/2014/main" id="{F86D9441-CF30-420B-A942-088E7B655F5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6" name="TextBox 805">
          <a:extLst>
            <a:ext uri="{FF2B5EF4-FFF2-40B4-BE49-F238E27FC236}">
              <a16:creationId xmlns:a16="http://schemas.microsoft.com/office/drawing/2014/main" id="{037FA33D-0E2D-4DB2-9F05-63271FA81B2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7" name="TextBox 806">
          <a:extLst>
            <a:ext uri="{FF2B5EF4-FFF2-40B4-BE49-F238E27FC236}">
              <a16:creationId xmlns:a16="http://schemas.microsoft.com/office/drawing/2014/main" id="{4878DFF1-A44F-4B2E-B46E-0A573DFD1F51}"/>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8" name="TextBox 807">
          <a:extLst>
            <a:ext uri="{FF2B5EF4-FFF2-40B4-BE49-F238E27FC236}">
              <a16:creationId xmlns:a16="http://schemas.microsoft.com/office/drawing/2014/main" id="{366C31F4-499F-4E7D-B4F6-5BC3F2AEB7C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09" name="TextBox 808">
          <a:extLst>
            <a:ext uri="{FF2B5EF4-FFF2-40B4-BE49-F238E27FC236}">
              <a16:creationId xmlns:a16="http://schemas.microsoft.com/office/drawing/2014/main" id="{C92E59AC-ACA7-42FB-AB10-F204B278975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0" name="TextBox 809">
          <a:extLst>
            <a:ext uri="{FF2B5EF4-FFF2-40B4-BE49-F238E27FC236}">
              <a16:creationId xmlns:a16="http://schemas.microsoft.com/office/drawing/2014/main" id="{67EA0BD1-6AA5-473D-A66A-1EDD7F895AF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1" name="TextBox 810">
          <a:extLst>
            <a:ext uri="{FF2B5EF4-FFF2-40B4-BE49-F238E27FC236}">
              <a16:creationId xmlns:a16="http://schemas.microsoft.com/office/drawing/2014/main" id="{E6FEEF78-C115-4A44-B5B1-40E19827AF7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2" name="TextBox 811">
          <a:extLst>
            <a:ext uri="{FF2B5EF4-FFF2-40B4-BE49-F238E27FC236}">
              <a16:creationId xmlns:a16="http://schemas.microsoft.com/office/drawing/2014/main" id="{91927494-707B-437E-B179-C1621F1CC2F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3" name="TextBox 812">
          <a:extLst>
            <a:ext uri="{FF2B5EF4-FFF2-40B4-BE49-F238E27FC236}">
              <a16:creationId xmlns:a16="http://schemas.microsoft.com/office/drawing/2014/main" id="{C633AD94-EA0F-4B6A-B428-0D6A50FC4F1A}"/>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4" name="TextBox 813">
          <a:extLst>
            <a:ext uri="{FF2B5EF4-FFF2-40B4-BE49-F238E27FC236}">
              <a16:creationId xmlns:a16="http://schemas.microsoft.com/office/drawing/2014/main" id="{61BA3869-0CF8-4D70-8B1D-2CE10A8875CF}"/>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5" name="TextBox 814">
          <a:extLst>
            <a:ext uri="{FF2B5EF4-FFF2-40B4-BE49-F238E27FC236}">
              <a16:creationId xmlns:a16="http://schemas.microsoft.com/office/drawing/2014/main" id="{8BAD0DA5-C48A-4B8E-8296-3E58A152B052}"/>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6" name="TextBox 815">
          <a:extLst>
            <a:ext uri="{FF2B5EF4-FFF2-40B4-BE49-F238E27FC236}">
              <a16:creationId xmlns:a16="http://schemas.microsoft.com/office/drawing/2014/main" id="{BCCFF48D-59E8-4BBF-9B2A-7499AEB57DB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7" name="TextBox 816">
          <a:extLst>
            <a:ext uri="{FF2B5EF4-FFF2-40B4-BE49-F238E27FC236}">
              <a16:creationId xmlns:a16="http://schemas.microsoft.com/office/drawing/2014/main" id="{C5CACE38-016A-437D-9D59-CF9C6AC66F17}"/>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8" name="TextBox 817">
          <a:extLst>
            <a:ext uri="{FF2B5EF4-FFF2-40B4-BE49-F238E27FC236}">
              <a16:creationId xmlns:a16="http://schemas.microsoft.com/office/drawing/2014/main" id="{1A958DAE-29D5-4C3E-A779-0FCB7E88BF8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19" name="TextBox 818">
          <a:extLst>
            <a:ext uri="{FF2B5EF4-FFF2-40B4-BE49-F238E27FC236}">
              <a16:creationId xmlns:a16="http://schemas.microsoft.com/office/drawing/2014/main" id="{F43A8960-C917-4149-8DC5-B4E230C4C9D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0" name="TextBox 819">
          <a:extLst>
            <a:ext uri="{FF2B5EF4-FFF2-40B4-BE49-F238E27FC236}">
              <a16:creationId xmlns:a16="http://schemas.microsoft.com/office/drawing/2014/main" id="{75B52140-2B1C-4390-AE32-F71E26756B4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1" name="TextBox 820">
          <a:extLst>
            <a:ext uri="{FF2B5EF4-FFF2-40B4-BE49-F238E27FC236}">
              <a16:creationId xmlns:a16="http://schemas.microsoft.com/office/drawing/2014/main" id="{AE11ADA9-3D54-4437-96F0-5E5555B6E65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2" name="TextBox 821">
          <a:extLst>
            <a:ext uri="{FF2B5EF4-FFF2-40B4-BE49-F238E27FC236}">
              <a16:creationId xmlns:a16="http://schemas.microsoft.com/office/drawing/2014/main" id="{FFA44633-8AE9-4E52-B522-0C7D301E7D7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3" name="TextBox 822">
          <a:extLst>
            <a:ext uri="{FF2B5EF4-FFF2-40B4-BE49-F238E27FC236}">
              <a16:creationId xmlns:a16="http://schemas.microsoft.com/office/drawing/2014/main" id="{AEBFFC53-50F0-47B4-B814-8770718B87F9}"/>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4" name="TextBox 823">
          <a:extLst>
            <a:ext uri="{FF2B5EF4-FFF2-40B4-BE49-F238E27FC236}">
              <a16:creationId xmlns:a16="http://schemas.microsoft.com/office/drawing/2014/main" id="{D18182C3-221E-4C67-84DD-8423150F33F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5" name="TextBox 824">
          <a:extLst>
            <a:ext uri="{FF2B5EF4-FFF2-40B4-BE49-F238E27FC236}">
              <a16:creationId xmlns:a16="http://schemas.microsoft.com/office/drawing/2014/main" id="{AFE674CD-1F89-4936-9D19-B2F4B364B9A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6" name="TextBox 825">
          <a:extLst>
            <a:ext uri="{FF2B5EF4-FFF2-40B4-BE49-F238E27FC236}">
              <a16:creationId xmlns:a16="http://schemas.microsoft.com/office/drawing/2014/main" id="{56BFA669-D06A-403E-A00A-D6B771C2B64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7" name="TextBox 826">
          <a:extLst>
            <a:ext uri="{FF2B5EF4-FFF2-40B4-BE49-F238E27FC236}">
              <a16:creationId xmlns:a16="http://schemas.microsoft.com/office/drawing/2014/main" id="{D252DE6F-5964-44B1-A966-7ED48CFCFC9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8" name="TextBox 827">
          <a:extLst>
            <a:ext uri="{FF2B5EF4-FFF2-40B4-BE49-F238E27FC236}">
              <a16:creationId xmlns:a16="http://schemas.microsoft.com/office/drawing/2014/main" id="{C4834093-3704-4EAB-A6BD-43B0BBC54F23}"/>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29" name="TextBox 828">
          <a:extLst>
            <a:ext uri="{FF2B5EF4-FFF2-40B4-BE49-F238E27FC236}">
              <a16:creationId xmlns:a16="http://schemas.microsoft.com/office/drawing/2014/main" id="{547E72F2-1F92-4ADC-BE19-46114303702D}"/>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0" name="TextBox 829">
          <a:extLst>
            <a:ext uri="{FF2B5EF4-FFF2-40B4-BE49-F238E27FC236}">
              <a16:creationId xmlns:a16="http://schemas.microsoft.com/office/drawing/2014/main" id="{BDA2B3D3-2BBD-42B7-B13E-060827CEFC04}"/>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1" name="TextBox 830">
          <a:extLst>
            <a:ext uri="{FF2B5EF4-FFF2-40B4-BE49-F238E27FC236}">
              <a16:creationId xmlns:a16="http://schemas.microsoft.com/office/drawing/2014/main" id="{0D667BD0-8233-4ADE-B358-EC70C5B0BD7E}"/>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2" name="TextBox 831">
          <a:extLst>
            <a:ext uri="{FF2B5EF4-FFF2-40B4-BE49-F238E27FC236}">
              <a16:creationId xmlns:a16="http://schemas.microsoft.com/office/drawing/2014/main" id="{95283E07-C129-490D-9098-A7BCCD1D244B}"/>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3" name="TextBox 832">
          <a:extLst>
            <a:ext uri="{FF2B5EF4-FFF2-40B4-BE49-F238E27FC236}">
              <a16:creationId xmlns:a16="http://schemas.microsoft.com/office/drawing/2014/main" id="{926B06C1-CF9A-4F09-8A39-1CC6C708090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4" name="TextBox 833">
          <a:extLst>
            <a:ext uri="{FF2B5EF4-FFF2-40B4-BE49-F238E27FC236}">
              <a16:creationId xmlns:a16="http://schemas.microsoft.com/office/drawing/2014/main" id="{6B1777A0-760A-4333-96E7-AA71A478D608}"/>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5" name="TextBox 834">
          <a:extLst>
            <a:ext uri="{FF2B5EF4-FFF2-40B4-BE49-F238E27FC236}">
              <a16:creationId xmlns:a16="http://schemas.microsoft.com/office/drawing/2014/main" id="{891C3332-5843-46CD-9DAA-EFC96737A43C}"/>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6" name="TextBox 835">
          <a:extLst>
            <a:ext uri="{FF2B5EF4-FFF2-40B4-BE49-F238E27FC236}">
              <a16:creationId xmlns:a16="http://schemas.microsoft.com/office/drawing/2014/main" id="{534BB6E0-2C22-4194-BD5B-9F5F6337D2B5}"/>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95</xdr:row>
      <xdr:rowOff>0</xdr:rowOff>
    </xdr:from>
    <xdr:ext cx="65" cy="172227"/>
    <xdr:sp macro="" textlink="">
      <xdr:nvSpPr>
        <xdr:cNvPr id="837" name="TextBox 836">
          <a:extLst>
            <a:ext uri="{FF2B5EF4-FFF2-40B4-BE49-F238E27FC236}">
              <a16:creationId xmlns:a16="http://schemas.microsoft.com/office/drawing/2014/main" id="{567F51B5-CCB5-4F5C-BB03-AC49A8CC7FE6}"/>
            </a:ext>
          </a:extLst>
        </xdr:cNvPr>
        <xdr:cNvSpPr txBox="1"/>
      </xdr:nvSpPr>
      <xdr:spPr>
        <a:xfrm flipH="1">
          <a:off x="6343650" y="20955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38" name="TextBox 837">
          <a:extLst>
            <a:ext uri="{FF2B5EF4-FFF2-40B4-BE49-F238E27FC236}">
              <a16:creationId xmlns:a16="http://schemas.microsoft.com/office/drawing/2014/main" id="{6B1FFAE5-46BE-4482-91EA-073D62F44758}"/>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39" name="TextBox 838">
          <a:extLst>
            <a:ext uri="{FF2B5EF4-FFF2-40B4-BE49-F238E27FC236}">
              <a16:creationId xmlns:a16="http://schemas.microsoft.com/office/drawing/2014/main" id="{21A6C359-EE0F-46B0-AC38-9F9D704BD2A3}"/>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0" name="TextBox 839">
          <a:extLst>
            <a:ext uri="{FF2B5EF4-FFF2-40B4-BE49-F238E27FC236}">
              <a16:creationId xmlns:a16="http://schemas.microsoft.com/office/drawing/2014/main" id="{D2EABF1A-F9E9-4554-A4FF-9ABC96B1312E}"/>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1" name="TextBox 840">
          <a:extLst>
            <a:ext uri="{FF2B5EF4-FFF2-40B4-BE49-F238E27FC236}">
              <a16:creationId xmlns:a16="http://schemas.microsoft.com/office/drawing/2014/main" id="{8DBD877B-4A59-4D00-A2DA-F56816369CA5}"/>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2" name="TextBox 841">
          <a:extLst>
            <a:ext uri="{FF2B5EF4-FFF2-40B4-BE49-F238E27FC236}">
              <a16:creationId xmlns:a16="http://schemas.microsoft.com/office/drawing/2014/main" id="{B1FF3777-F4A5-4760-96DE-7B52A4C4FD4E}"/>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3" name="TextBox 842">
          <a:extLst>
            <a:ext uri="{FF2B5EF4-FFF2-40B4-BE49-F238E27FC236}">
              <a16:creationId xmlns:a16="http://schemas.microsoft.com/office/drawing/2014/main" id="{DB8EA2CA-903C-49AB-A60C-48C7AE16C5AC}"/>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4" name="TextBox 843">
          <a:extLst>
            <a:ext uri="{FF2B5EF4-FFF2-40B4-BE49-F238E27FC236}">
              <a16:creationId xmlns:a16="http://schemas.microsoft.com/office/drawing/2014/main" id="{18F2CC8F-6F7D-46A2-BAFB-5850E71F98F4}"/>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5" name="TextBox 844">
          <a:extLst>
            <a:ext uri="{FF2B5EF4-FFF2-40B4-BE49-F238E27FC236}">
              <a16:creationId xmlns:a16="http://schemas.microsoft.com/office/drawing/2014/main" id="{942E27DC-3F58-4505-8A09-E92ECE40CFEE}"/>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6" name="TextBox 845">
          <a:extLst>
            <a:ext uri="{FF2B5EF4-FFF2-40B4-BE49-F238E27FC236}">
              <a16:creationId xmlns:a16="http://schemas.microsoft.com/office/drawing/2014/main" id="{476F03FE-91C6-44EB-87E4-440DBC941A56}"/>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7" name="TextBox 846">
          <a:extLst>
            <a:ext uri="{FF2B5EF4-FFF2-40B4-BE49-F238E27FC236}">
              <a16:creationId xmlns:a16="http://schemas.microsoft.com/office/drawing/2014/main" id="{3BA27773-46B5-4801-AF3E-288E40752F8F}"/>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8" name="TextBox 847">
          <a:extLst>
            <a:ext uri="{FF2B5EF4-FFF2-40B4-BE49-F238E27FC236}">
              <a16:creationId xmlns:a16="http://schemas.microsoft.com/office/drawing/2014/main" id="{15B0209B-801C-44F8-AB80-E9F517EA0586}"/>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49" name="TextBox 848">
          <a:extLst>
            <a:ext uri="{FF2B5EF4-FFF2-40B4-BE49-F238E27FC236}">
              <a16:creationId xmlns:a16="http://schemas.microsoft.com/office/drawing/2014/main" id="{273C1810-4496-4BCD-B61B-1241EB677DCF}"/>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50" name="TextBox 849">
          <a:extLst>
            <a:ext uri="{FF2B5EF4-FFF2-40B4-BE49-F238E27FC236}">
              <a16:creationId xmlns:a16="http://schemas.microsoft.com/office/drawing/2014/main" id="{FC514480-3730-4F4F-953A-126181FE75F7}"/>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60</xdr:row>
      <xdr:rowOff>0</xdr:rowOff>
    </xdr:from>
    <xdr:ext cx="65" cy="172227"/>
    <xdr:sp macro="" textlink="">
      <xdr:nvSpPr>
        <xdr:cNvPr id="851" name="TextBox 850">
          <a:extLst>
            <a:ext uri="{FF2B5EF4-FFF2-40B4-BE49-F238E27FC236}">
              <a16:creationId xmlns:a16="http://schemas.microsoft.com/office/drawing/2014/main" id="{25C9EA99-D64F-4C5D-BB99-7067316AFC38}"/>
            </a:ext>
          </a:extLst>
        </xdr:cNvPr>
        <xdr:cNvSpPr txBox="1"/>
      </xdr:nvSpPr>
      <xdr:spPr>
        <a:xfrm flipH="1">
          <a:off x="6343650" y="1257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2" name="TextBox 851">
          <a:extLst>
            <a:ext uri="{FF2B5EF4-FFF2-40B4-BE49-F238E27FC236}">
              <a16:creationId xmlns:a16="http://schemas.microsoft.com/office/drawing/2014/main" id="{82F50F60-0E43-457D-A53C-7DA57D8A18AE}"/>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3" name="TextBox 852">
          <a:extLst>
            <a:ext uri="{FF2B5EF4-FFF2-40B4-BE49-F238E27FC236}">
              <a16:creationId xmlns:a16="http://schemas.microsoft.com/office/drawing/2014/main" id="{01CADD6C-0E96-45B4-8705-5A43D7969F09}"/>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4" name="TextBox 853">
          <a:extLst>
            <a:ext uri="{FF2B5EF4-FFF2-40B4-BE49-F238E27FC236}">
              <a16:creationId xmlns:a16="http://schemas.microsoft.com/office/drawing/2014/main" id="{04AFA3A4-A905-440B-8F3E-E964AC9CF2E4}"/>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5" name="TextBox 854">
          <a:extLst>
            <a:ext uri="{FF2B5EF4-FFF2-40B4-BE49-F238E27FC236}">
              <a16:creationId xmlns:a16="http://schemas.microsoft.com/office/drawing/2014/main" id="{FC6A37D1-98C3-4B8A-8F9B-64B526CF906D}"/>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6" name="TextBox 855">
          <a:extLst>
            <a:ext uri="{FF2B5EF4-FFF2-40B4-BE49-F238E27FC236}">
              <a16:creationId xmlns:a16="http://schemas.microsoft.com/office/drawing/2014/main" id="{CA055C79-7315-4191-8C38-8D65B853447E}"/>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7" name="TextBox 856">
          <a:extLst>
            <a:ext uri="{FF2B5EF4-FFF2-40B4-BE49-F238E27FC236}">
              <a16:creationId xmlns:a16="http://schemas.microsoft.com/office/drawing/2014/main" id="{9BE15BD3-9A73-40E0-9E7B-C69C4D08AF16}"/>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8" name="TextBox 857">
          <a:extLst>
            <a:ext uri="{FF2B5EF4-FFF2-40B4-BE49-F238E27FC236}">
              <a16:creationId xmlns:a16="http://schemas.microsoft.com/office/drawing/2014/main" id="{F0FEBEF0-6747-463B-8D7A-F17DFBA85408}"/>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59" name="TextBox 858">
          <a:extLst>
            <a:ext uri="{FF2B5EF4-FFF2-40B4-BE49-F238E27FC236}">
              <a16:creationId xmlns:a16="http://schemas.microsoft.com/office/drawing/2014/main" id="{EA127B24-9A5E-40E8-8AAC-1D7575683861}"/>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0" name="TextBox 859">
          <a:extLst>
            <a:ext uri="{FF2B5EF4-FFF2-40B4-BE49-F238E27FC236}">
              <a16:creationId xmlns:a16="http://schemas.microsoft.com/office/drawing/2014/main" id="{680CF867-CCE8-4097-8960-26CC286AA944}"/>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1" name="TextBox 860">
          <a:extLst>
            <a:ext uri="{FF2B5EF4-FFF2-40B4-BE49-F238E27FC236}">
              <a16:creationId xmlns:a16="http://schemas.microsoft.com/office/drawing/2014/main" id="{0620CEEA-7735-414A-958B-EF3ECA35499C}"/>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2" name="TextBox 861">
          <a:extLst>
            <a:ext uri="{FF2B5EF4-FFF2-40B4-BE49-F238E27FC236}">
              <a16:creationId xmlns:a16="http://schemas.microsoft.com/office/drawing/2014/main" id="{0D688E34-A961-4012-9666-770BB349B21B}"/>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3" name="TextBox 862">
          <a:extLst>
            <a:ext uri="{FF2B5EF4-FFF2-40B4-BE49-F238E27FC236}">
              <a16:creationId xmlns:a16="http://schemas.microsoft.com/office/drawing/2014/main" id="{6B0038E9-3570-422D-B948-514F220E66FD}"/>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4" name="TextBox 863">
          <a:extLst>
            <a:ext uri="{FF2B5EF4-FFF2-40B4-BE49-F238E27FC236}">
              <a16:creationId xmlns:a16="http://schemas.microsoft.com/office/drawing/2014/main" id="{38615ACC-11E1-4A46-9376-E58041ECB51A}"/>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oneCellAnchor>
    <xdr:from>
      <xdr:col>4</xdr:col>
      <xdr:colOff>609600</xdr:colOff>
      <xdr:row>61</xdr:row>
      <xdr:rowOff>0</xdr:rowOff>
    </xdr:from>
    <xdr:ext cx="65" cy="172227"/>
    <xdr:sp macro="" textlink="">
      <xdr:nvSpPr>
        <xdr:cNvPr id="865" name="TextBox 864">
          <a:extLst>
            <a:ext uri="{FF2B5EF4-FFF2-40B4-BE49-F238E27FC236}">
              <a16:creationId xmlns:a16="http://schemas.microsoft.com/office/drawing/2014/main" id="{1BEA8313-7CAA-4E42-81BD-E55C08A26AB5}"/>
            </a:ext>
          </a:extLst>
        </xdr:cNvPr>
        <xdr:cNvSpPr txBox="1"/>
      </xdr:nvSpPr>
      <xdr:spPr>
        <a:xfrm flipH="1">
          <a:off x="6343650" y="12896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4</xdr:col>
      <xdr:colOff>339587</xdr:colOff>
      <xdr:row>4</xdr:row>
      <xdr:rowOff>480391</xdr:rowOff>
    </xdr:from>
    <xdr:to>
      <xdr:col>5</xdr:col>
      <xdr:colOff>579782</xdr:colOff>
      <xdr:row>10</xdr:row>
      <xdr:rowOff>21536</xdr:rowOff>
    </xdr:to>
    <xdr:pic>
      <xdr:nvPicPr>
        <xdr:cNvPr id="2" name="Picture 1" descr="C:\Users\yghannam\Desktop\New Identity\الشعارات\PNG\NewLogo.png">
          <a:extLst>
            <a:ext uri="{FF2B5EF4-FFF2-40B4-BE49-F238E27FC236}">
              <a16:creationId xmlns:a16="http://schemas.microsoft.com/office/drawing/2014/main" id="{FA4F5E05-67F6-40DD-94E0-9751F4A59A8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00168343" y="1232866"/>
          <a:ext cx="954570" cy="1274695"/>
        </a:xfrm>
        <a:prstGeom prst="rect">
          <a:avLst/>
        </a:prstGeom>
        <a:noFill/>
        <a:ln>
          <a:noFill/>
        </a:ln>
      </xdr:spPr>
    </xdr:pic>
    <xdr:clientData/>
  </xdr:twoCellAnchor>
  <xdr:twoCellAnchor editAs="oneCell">
    <xdr:from>
      <xdr:col>12</xdr:col>
      <xdr:colOff>207065</xdr:colOff>
      <xdr:row>5</xdr:row>
      <xdr:rowOff>49695</xdr:rowOff>
    </xdr:from>
    <xdr:to>
      <xdr:col>13</xdr:col>
      <xdr:colOff>447260</xdr:colOff>
      <xdr:row>10</xdr:row>
      <xdr:rowOff>157370</xdr:rowOff>
    </xdr:to>
    <xdr:pic>
      <xdr:nvPicPr>
        <xdr:cNvPr id="3" name="Picture 2" descr="C:\Users\yghannam\Desktop\New Identity\الشعارات\PNG\NewLogo.png">
          <a:extLst>
            <a:ext uri="{FF2B5EF4-FFF2-40B4-BE49-F238E27FC236}">
              <a16:creationId xmlns:a16="http://schemas.microsoft.com/office/drawing/2014/main" id="{C0BBA6F0-7636-4C95-9852-AE7385EC96C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94585865" y="1364145"/>
          <a:ext cx="954570" cy="12792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481828</xdr:colOff>
      <xdr:row>2</xdr:row>
      <xdr:rowOff>30615</xdr:rowOff>
    </xdr:from>
    <xdr:to>
      <xdr:col>8</xdr:col>
      <xdr:colOff>693416</xdr:colOff>
      <xdr:row>8</xdr:row>
      <xdr:rowOff>80722</xdr:rowOff>
    </xdr:to>
    <xdr:pic>
      <xdr:nvPicPr>
        <xdr:cNvPr id="2" name="Picture 1" descr="C:\Users\yghannam\Desktop\New Identity\الشعارات\PNG\NewLogo.png">
          <a:extLst>
            <a:ext uri="{FF2B5EF4-FFF2-40B4-BE49-F238E27FC236}">
              <a16:creationId xmlns:a16="http://schemas.microsoft.com/office/drawing/2014/main" id="{0148925E-BA07-4890-8453-41DAD3E58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5878" y="411615"/>
          <a:ext cx="782640" cy="1000366"/>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I42"/>
  <sheetViews>
    <sheetView showGridLines="0" view="pageBreakPreview" zoomScale="85" zoomScaleNormal="100" zoomScaleSheetLayoutView="85" workbookViewId="0">
      <selection activeCell="C5" sqref="C5"/>
    </sheetView>
  </sheetViews>
  <sheetFormatPr defaultColWidth="9.140625" defaultRowHeight="12.75" x14ac:dyDescent="0.2"/>
  <cols>
    <col min="1" max="1" width="23.5703125" style="14" customWidth="1"/>
    <col min="2" max="2" width="0.5703125" style="14" hidden="1" customWidth="1"/>
    <col min="3" max="3" width="63.42578125" style="4" bestFit="1" customWidth="1"/>
    <col min="4" max="4" width="62.85546875" style="4" bestFit="1" customWidth="1"/>
    <col min="5" max="5" width="0.140625" style="4" customWidth="1"/>
    <col min="6" max="6" width="11" style="25" customWidth="1"/>
    <col min="7" max="7" width="5" style="25" customWidth="1"/>
    <col min="8" max="8" width="8.28515625" style="25" customWidth="1"/>
    <col min="9" max="9" width="12.42578125" style="25" customWidth="1"/>
    <col min="10" max="16384" width="9.140625" style="4"/>
  </cols>
  <sheetData>
    <row r="1" spans="1:9" ht="18" customHeight="1" x14ac:dyDescent="0.2">
      <c r="A1" s="1012"/>
      <c r="B1" s="1012"/>
      <c r="C1" s="1012"/>
      <c r="D1" s="1012"/>
      <c r="E1" s="1012"/>
      <c r="F1" s="1012"/>
      <c r="G1" s="1012"/>
      <c r="H1" s="1012"/>
      <c r="I1" s="1012"/>
    </row>
    <row r="2" spans="1:9" ht="17.25" customHeight="1" x14ac:dyDescent="0.2">
      <c r="A2" s="41" t="s">
        <v>3</v>
      </c>
      <c r="B2" s="1"/>
      <c r="C2" s="48" t="s">
        <v>11</v>
      </c>
      <c r="D2" s="44" t="s">
        <v>4</v>
      </c>
      <c r="E2" s="5"/>
      <c r="F2" s="1013"/>
      <c r="G2" s="1014"/>
      <c r="H2" s="1014"/>
      <c r="I2" s="1015"/>
    </row>
    <row r="3" spans="1:9" ht="15" x14ac:dyDescent="0.2">
      <c r="A3" s="42" t="s">
        <v>5</v>
      </c>
      <c r="B3" s="2"/>
      <c r="C3" s="49" t="s">
        <v>2792</v>
      </c>
      <c r="D3" s="45" t="s">
        <v>2791</v>
      </c>
      <c r="E3" s="6"/>
      <c r="F3" s="1016"/>
      <c r="G3" s="1017"/>
      <c r="H3" s="1017"/>
      <c r="I3" s="1018"/>
    </row>
    <row r="4" spans="1:9" ht="19.5" customHeight="1" x14ac:dyDescent="0.2">
      <c r="A4" s="42" t="s">
        <v>6</v>
      </c>
      <c r="B4" s="2"/>
      <c r="C4" s="50" t="s">
        <v>18</v>
      </c>
      <c r="D4" s="45" t="s">
        <v>19</v>
      </c>
      <c r="E4" s="7"/>
      <c r="F4" s="1016"/>
      <c r="G4" s="1017"/>
      <c r="H4" s="1017"/>
      <c r="I4" s="1018"/>
    </row>
    <row r="5" spans="1:9" ht="21" customHeight="1" x14ac:dyDescent="0.2">
      <c r="A5" s="43" t="s">
        <v>7</v>
      </c>
      <c r="B5" s="3"/>
      <c r="C5" s="51" t="s">
        <v>2794</v>
      </c>
      <c r="D5" s="46" t="s">
        <v>2793</v>
      </c>
      <c r="E5" s="8"/>
      <c r="F5" s="1019"/>
      <c r="G5" s="1020"/>
      <c r="H5" s="1020"/>
      <c r="I5" s="1021"/>
    </row>
    <row r="6" spans="1:9" s="11" customFormat="1" x14ac:dyDescent="0.2">
      <c r="A6" s="1022" t="s">
        <v>2</v>
      </c>
      <c r="B6" s="9"/>
      <c r="C6" s="1023" t="s">
        <v>0</v>
      </c>
      <c r="D6" s="9"/>
      <c r="E6" s="10"/>
      <c r="F6" s="789"/>
      <c r="G6" s="1026"/>
      <c r="H6" s="1027"/>
      <c r="I6" s="1028" t="s">
        <v>1</v>
      </c>
    </row>
    <row r="7" spans="1:9" s="11" customFormat="1" x14ac:dyDescent="0.2">
      <c r="A7" s="1022"/>
      <c r="B7" s="12"/>
      <c r="C7" s="1024"/>
      <c r="D7" s="13" t="s">
        <v>8</v>
      </c>
      <c r="F7" s="790"/>
      <c r="G7" s="1026"/>
      <c r="H7" s="1027"/>
      <c r="I7" s="1028"/>
    </row>
    <row r="8" spans="1:9" s="11" customFormat="1" x14ac:dyDescent="0.2">
      <c r="A8" s="1022"/>
      <c r="B8" s="15"/>
      <c r="C8" s="1025"/>
      <c r="D8" s="15"/>
      <c r="E8" s="16"/>
      <c r="F8" s="791"/>
      <c r="G8" s="1026"/>
      <c r="H8" s="1027"/>
      <c r="I8" s="1028"/>
    </row>
    <row r="9" spans="1:9" x14ac:dyDescent="0.2">
      <c r="A9" s="17"/>
      <c r="C9" s="18"/>
      <c r="D9" s="19"/>
      <c r="E9" s="18"/>
      <c r="F9" s="792"/>
      <c r="G9" s="793"/>
      <c r="H9" s="794"/>
      <c r="I9" s="792"/>
    </row>
    <row r="10" spans="1:9" x14ac:dyDescent="0.2">
      <c r="A10" s="37"/>
      <c r="B10" s="55"/>
      <c r="C10" s="60"/>
      <c r="D10" s="57"/>
      <c r="E10" s="58"/>
      <c r="F10" s="795"/>
      <c r="G10" s="796"/>
      <c r="H10" s="797"/>
      <c r="I10" s="798"/>
    </row>
    <row r="11" spans="1:9" x14ac:dyDescent="0.2">
      <c r="A11" s="37" t="s">
        <v>15</v>
      </c>
      <c r="B11" s="55"/>
      <c r="C11" s="59" t="s">
        <v>24</v>
      </c>
      <c r="D11" s="54" t="s">
        <v>22</v>
      </c>
      <c r="E11" s="56"/>
      <c r="F11" s="799" t="s">
        <v>12</v>
      </c>
      <c r="G11" s="796"/>
      <c r="H11" s="800"/>
      <c r="I11" s="798">
        <f>P.1!F601</f>
        <v>226527683</v>
      </c>
    </row>
    <row r="12" spans="1:9" x14ac:dyDescent="0.2">
      <c r="A12" s="20"/>
      <c r="C12" s="23"/>
      <c r="D12" s="24"/>
      <c r="E12" s="22"/>
      <c r="F12" s="801"/>
      <c r="G12" s="802"/>
      <c r="H12" s="803"/>
      <c r="I12" s="804"/>
    </row>
    <row r="13" spans="1:9" x14ac:dyDescent="0.2">
      <c r="A13" s="62" t="s">
        <v>16</v>
      </c>
      <c r="B13" s="55"/>
      <c r="C13" s="59" t="s">
        <v>23</v>
      </c>
      <c r="D13" s="54" t="s">
        <v>20</v>
      </c>
      <c r="E13" s="56"/>
      <c r="F13" s="799" t="s">
        <v>13</v>
      </c>
      <c r="G13" s="796"/>
      <c r="H13" s="800"/>
      <c r="I13" s="798">
        <f>P.2!F632</f>
        <v>18085168</v>
      </c>
    </row>
    <row r="14" spans="1:9" x14ac:dyDescent="0.2">
      <c r="A14" s="37"/>
      <c r="B14" s="55"/>
      <c r="C14" s="59"/>
      <c r="D14" s="54"/>
      <c r="E14" s="56"/>
      <c r="F14" s="799"/>
      <c r="G14" s="796"/>
      <c r="H14" s="800"/>
      <c r="I14" s="798"/>
    </row>
    <row r="15" spans="1:9" ht="25.5" x14ac:dyDescent="0.2">
      <c r="A15" s="62" t="s">
        <v>17</v>
      </c>
      <c r="B15" s="55"/>
      <c r="C15" s="59" t="s">
        <v>25</v>
      </c>
      <c r="D15" s="821" t="s">
        <v>21</v>
      </c>
      <c r="E15" s="822"/>
      <c r="F15" s="823" t="s">
        <v>14</v>
      </c>
      <c r="G15" s="824"/>
      <c r="H15" s="825"/>
      <c r="I15" s="826">
        <f>P.3!I1208</f>
        <v>23118731</v>
      </c>
    </row>
    <row r="16" spans="1:9" ht="15.75" customHeight="1" x14ac:dyDescent="0.2">
      <c r="A16" s="38"/>
      <c r="B16" s="11"/>
      <c r="C16" s="21"/>
      <c r="D16" s="39"/>
      <c r="E16" s="25"/>
      <c r="F16" s="805"/>
      <c r="G16" s="802"/>
      <c r="H16" s="806"/>
      <c r="I16" s="804"/>
    </row>
    <row r="17" spans="1:9" x14ac:dyDescent="0.2">
      <c r="A17" s="37"/>
      <c r="B17" s="55"/>
      <c r="C17" s="59"/>
      <c r="D17" s="61"/>
      <c r="E17" s="56"/>
      <c r="F17" s="799"/>
      <c r="G17" s="796"/>
      <c r="H17" s="800"/>
      <c r="I17" s="798"/>
    </row>
    <row r="18" spans="1:9" ht="15.75" customHeight="1" x14ac:dyDescent="0.2">
      <c r="A18" s="38"/>
      <c r="B18" s="11"/>
      <c r="C18" s="21"/>
      <c r="D18" s="39"/>
      <c r="E18" s="25"/>
      <c r="F18" s="805"/>
      <c r="G18" s="802"/>
      <c r="H18" s="806"/>
      <c r="I18" s="804"/>
    </row>
    <row r="19" spans="1:9" ht="15.75" customHeight="1" x14ac:dyDescent="0.2">
      <c r="A19" s="38"/>
      <c r="B19" s="11"/>
      <c r="C19" s="21"/>
      <c r="D19" s="39"/>
      <c r="E19" s="25"/>
      <c r="F19" s="805"/>
      <c r="G19" s="802"/>
      <c r="H19" s="806"/>
      <c r="I19" s="804"/>
    </row>
    <row r="20" spans="1:9" ht="15.75" customHeight="1" x14ac:dyDescent="0.2">
      <c r="A20" s="38"/>
      <c r="B20" s="11"/>
      <c r="C20" s="21"/>
      <c r="D20" s="39"/>
      <c r="E20" s="25"/>
      <c r="F20" s="805"/>
      <c r="G20" s="802"/>
      <c r="H20" s="806"/>
      <c r="I20" s="804"/>
    </row>
    <row r="21" spans="1:9" ht="15.75" customHeight="1" x14ac:dyDescent="0.2">
      <c r="A21" s="38"/>
      <c r="B21" s="11"/>
      <c r="C21" s="21"/>
      <c r="D21" s="39"/>
      <c r="E21" s="25"/>
      <c r="F21" s="805"/>
      <c r="G21" s="802"/>
      <c r="H21" s="806"/>
      <c r="I21" s="804"/>
    </row>
    <row r="22" spans="1:9" ht="15.75" customHeight="1" x14ac:dyDescent="0.2">
      <c r="A22" s="38"/>
      <c r="B22" s="11"/>
      <c r="C22" s="21"/>
      <c r="D22" s="39"/>
      <c r="E22" s="25"/>
      <c r="F22" s="805"/>
      <c r="G22" s="802"/>
      <c r="H22" s="806"/>
      <c r="I22" s="804"/>
    </row>
    <row r="23" spans="1:9" ht="15.75" customHeight="1" x14ac:dyDescent="0.2">
      <c r="A23" s="38"/>
      <c r="B23" s="11"/>
      <c r="C23" s="21"/>
      <c r="D23" s="39"/>
      <c r="E23" s="25"/>
      <c r="F23" s="805"/>
      <c r="G23" s="802"/>
      <c r="H23" s="806"/>
      <c r="I23" s="804"/>
    </row>
    <row r="24" spans="1:9" ht="15.75" customHeight="1" x14ac:dyDescent="0.2">
      <c r="A24" s="38"/>
      <c r="B24" s="11"/>
      <c r="C24" s="21"/>
      <c r="D24" s="39"/>
      <c r="E24" s="25"/>
      <c r="F24" s="805"/>
      <c r="G24" s="802"/>
      <c r="H24" s="806"/>
      <c r="I24" s="804"/>
    </row>
    <row r="25" spans="1:9" ht="15.75" customHeight="1" x14ac:dyDescent="0.2">
      <c r="A25" s="38"/>
      <c r="B25" s="11"/>
      <c r="C25" s="21"/>
      <c r="D25" s="39"/>
      <c r="E25" s="25"/>
      <c r="F25" s="805"/>
      <c r="G25" s="802"/>
      <c r="H25" s="806"/>
      <c r="I25" s="804"/>
    </row>
    <row r="26" spans="1:9" ht="15.75" customHeight="1" x14ac:dyDescent="0.2">
      <c r="A26" s="38"/>
      <c r="B26" s="11"/>
      <c r="C26" s="21"/>
      <c r="D26" s="39"/>
      <c r="E26" s="25"/>
      <c r="F26" s="805"/>
      <c r="G26" s="802"/>
      <c r="H26" s="806"/>
      <c r="I26" s="804"/>
    </row>
    <row r="27" spans="1:9" ht="15.75" customHeight="1" x14ac:dyDescent="0.2">
      <c r="A27" s="38"/>
      <c r="B27" s="11"/>
      <c r="C27" s="21"/>
      <c r="D27" s="39"/>
      <c r="E27" s="25"/>
      <c r="F27" s="805"/>
      <c r="G27" s="802"/>
      <c r="H27" s="806"/>
      <c r="I27" s="804"/>
    </row>
    <row r="28" spans="1:9" ht="15.75" customHeight="1" x14ac:dyDescent="0.2">
      <c r="A28" s="38"/>
      <c r="B28" s="11"/>
      <c r="C28" s="21"/>
      <c r="D28" s="39"/>
      <c r="E28" s="25"/>
      <c r="F28" s="805"/>
      <c r="G28" s="802"/>
      <c r="H28" s="806"/>
      <c r="I28" s="804"/>
    </row>
    <row r="29" spans="1:9" ht="15" x14ac:dyDescent="0.2">
      <c r="A29" s="47"/>
      <c r="B29" s="11"/>
      <c r="C29" s="36"/>
      <c r="D29" s="40"/>
      <c r="E29" s="22"/>
      <c r="F29" s="807"/>
      <c r="G29" s="802"/>
      <c r="H29" s="803"/>
      <c r="I29" s="804"/>
    </row>
    <row r="30" spans="1:9" ht="15" x14ac:dyDescent="0.2">
      <c r="A30" s="47"/>
      <c r="B30" s="11"/>
      <c r="C30" s="36"/>
      <c r="D30" s="40"/>
      <c r="E30" s="22"/>
      <c r="F30" s="807"/>
      <c r="G30" s="802"/>
      <c r="H30" s="803"/>
      <c r="I30" s="804"/>
    </row>
    <row r="31" spans="1:9" ht="15" x14ac:dyDescent="0.2">
      <c r="A31" s="47"/>
      <c r="B31" s="11"/>
      <c r="C31" s="36"/>
      <c r="D31" s="40"/>
      <c r="E31" s="22"/>
      <c r="F31" s="807"/>
      <c r="G31" s="802"/>
      <c r="H31" s="803"/>
      <c r="I31" s="804"/>
    </row>
    <row r="32" spans="1:9" ht="15" x14ac:dyDescent="0.2">
      <c r="A32" s="47"/>
      <c r="B32" s="11"/>
      <c r="C32" s="36"/>
      <c r="D32" s="40"/>
      <c r="E32" s="22"/>
      <c r="F32" s="807"/>
      <c r="G32" s="802"/>
      <c r="H32" s="803"/>
      <c r="I32" s="804"/>
    </row>
    <row r="33" spans="1:9" ht="15" x14ac:dyDescent="0.2">
      <c r="A33" s="47"/>
      <c r="B33" s="11"/>
      <c r="C33" s="36"/>
      <c r="D33" s="40"/>
      <c r="E33" s="22"/>
      <c r="F33" s="807"/>
      <c r="G33" s="802"/>
      <c r="H33" s="803"/>
      <c r="I33" s="804"/>
    </row>
    <row r="34" spans="1:9" ht="15" x14ac:dyDescent="0.2">
      <c r="A34" s="47"/>
      <c r="B34" s="11"/>
      <c r="C34" s="36"/>
      <c r="D34" s="40"/>
      <c r="E34" s="22"/>
      <c r="F34" s="807"/>
      <c r="G34" s="802"/>
      <c r="H34" s="803"/>
      <c r="I34" s="804"/>
    </row>
    <row r="35" spans="1:9" ht="15" x14ac:dyDescent="0.2">
      <c r="A35" s="47"/>
      <c r="B35" s="11"/>
      <c r="C35" s="36"/>
      <c r="D35" s="40"/>
      <c r="E35" s="22"/>
      <c r="F35" s="808"/>
      <c r="G35" s="809"/>
      <c r="H35" s="810"/>
      <c r="I35" s="804"/>
    </row>
    <row r="36" spans="1:9" s="30" customFormat="1" ht="17.25" customHeight="1" x14ac:dyDescent="0.2">
      <c r="A36" s="26"/>
      <c r="B36" s="27"/>
      <c r="C36" s="28"/>
      <c r="D36" s="29"/>
      <c r="E36" s="27"/>
      <c r="F36" s="811"/>
      <c r="G36" s="811"/>
      <c r="H36" s="812"/>
      <c r="I36" s="813"/>
    </row>
    <row r="37" spans="1:9" s="30" customFormat="1" ht="17.25" customHeight="1" x14ac:dyDescent="0.2">
      <c r="A37" s="31"/>
      <c r="B37" s="32"/>
      <c r="C37" s="52" t="s">
        <v>9</v>
      </c>
      <c r="D37" s="53" t="s">
        <v>10</v>
      </c>
      <c r="E37" s="32"/>
      <c r="F37" s="814"/>
      <c r="G37" s="814"/>
      <c r="H37" s="815"/>
      <c r="I37" s="816">
        <f>SUM(I9:I35)</f>
        <v>267731582</v>
      </c>
    </row>
    <row r="38" spans="1:9" s="30" customFormat="1" x14ac:dyDescent="0.2">
      <c r="A38" s="33"/>
      <c r="B38" s="34"/>
      <c r="C38" s="35"/>
      <c r="D38" s="33"/>
      <c r="E38" s="34"/>
      <c r="F38" s="817"/>
      <c r="G38" s="817"/>
      <c r="H38" s="818"/>
      <c r="I38" s="819"/>
    </row>
    <row r="42" spans="1:9" x14ac:dyDescent="0.2">
      <c r="I42" s="820"/>
    </row>
  </sheetData>
  <mergeCells count="7">
    <mergeCell ref="A1:I1"/>
    <mergeCell ref="F2:I5"/>
    <mergeCell ref="A6:A8"/>
    <mergeCell ref="C6:C8"/>
    <mergeCell ref="G6:G8"/>
    <mergeCell ref="H6:H8"/>
    <mergeCell ref="I6:I8"/>
  </mergeCells>
  <phoneticPr fontId="19" type="noConversion"/>
  <dataValidations disablePrompts="1" count="1">
    <dataValidation type="decimal" allowBlank="1" showInputMessage="1" showErrorMessage="1" error="Only numeric values are allowed." sqref="I36 I38 H36:H38" xr:uid="{00000000-0002-0000-0100-000000000000}">
      <formula1>0</formula1>
      <formula2>100000000</formula2>
    </dataValidation>
  </dataValidations>
  <printOptions horizontalCentered="1" verticalCentered="1"/>
  <pageMargins left="0.15748031496063" right="0" top="0.43307086614173201" bottom="0.39370078740157499" header="0.31496062992126" footer="0.66929133858267698"/>
  <pageSetup paperSize="9" scale="7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D827-6EAC-45A9-AD5C-38DBEF6A0AB7}">
  <sheetPr>
    <tabColor rgb="FFFFFF00"/>
    <pageSetUpPr fitToPage="1"/>
  </sheetPr>
  <dimension ref="B1:R43"/>
  <sheetViews>
    <sheetView showGridLines="0" showWhiteSpace="0" view="pageBreakPreview" zoomScale="70" zoomScaleNormal="100" zoomScaleSheetLayoutView="70" workbookViewId="0">
      <selection activeCell="B27" sqref="B27"/>
    </sheetView>
  </sheetViews>
  <sheetFormatPr defaultColWidth="10.7109375" defaultRowHeight="12.75" x14ac:dyDescent="0.2"/>
  <cols>
    <col min="1" max="1" width="10.7109375" style="642"/>
    <col min="2" max="3" width="10.7109375" style="641"/>
    <col min="4" max="7" width="10.7109375" style="642"/>
    <col min="8" max="8" width="10.7109375" style="643"/>
    <col min="9" max="9" width="9.5703125" style="644" customWidth="1"/>
    <col min="10" max="16" width="10.7109375" style="642"/>
    <col min="17" max="17" width="12" style="642" customWidth="1"/>
    <col min="18" max="16384" width="10.7109375" style="642"/>
  </cols>
  <sheetData>
    <row r="1" spans="2:18" x14ac:dyDescent="0.2">
      <c r="J1" s="641"/>
      <c r="K1" s="641"/>
      <c r="P1" s="643"/>
      <c r="Q1" s="644"/>
      <c r="R1" s="644"/>
    </row>
    <row r="2" spans="2:18" x14ac:dyDescent="0.2">
      <c r="B2" s="1032"/>
      <c r="C2" s="1032"/>
      <c r="D2" s="1032"/>
      <c r="E2" s="1032"/>
      <c r="F2" s="1032"/>
      <c r="G2" s="1032"/>
      <c r="H2" s="1032"/>
      <c r="I2" s="1032"/>
      <c r="J2" s="1032"/>
      <c r="K2" s="1032"/>
      <c r="L2" s="1032"/>
      <c r="M2" s="1032"/>
      <c r="N2" s="1032"/>
      <c r="O2" s="1032"/>
      <c r="P2" s="1032"/>
      <c r="Q2" s="1032"/>
      <c r="R2" s="1032"/>
    </row>
    <row r="3" spans="2:18" ht="15.75" x14ac:dyDescent="0.2">
      <c r="B3" s="645"/>
      <c r="C3" s="645"/>
      <c r="D3" s="645"/>
      <c r="E3" s="645"/>
      <c r="F3" s="645"/>
      <c r="G3" s="645"/>
      <c r="H3" s="645"/>
      <c r="I3" s="645"/>
      <c r="J3" s="646"/>
      <c r="N3" s="646"/>
      <c r="O3" s="646"/>
      <c r="P3" s="645"/>
      <c r="Q3" s="645"/>
      <c r="R3" s="645"/>
    </row>
    <row r="4" spans="2:18" ht="28.5" customHeight="1" x14ac:dyDescent="0.3">
      <c r="B4" s="1033" t="s">
        <v>2493</v>
      </c>
      <c r="C4" s="1033"/>
      <c r="D4" s="1033"/>
      <c r="E4" s="1033"/>
      <c r="F4" s="1033"/>
      <c r="G4" s="1033"/>
      <c r="H4" s="1033"/>
      <c r="I4" s="1033"/>
      <c r="J4" s="1029" t="s">
        <v>2494</v>
      </c>
      <c r="K4" s="1029"/>
      <c r="L4" s="1029"/>
      <c r="M4" s="1029"/>
      <c r="N4" s="1029"/>
      <c r="O4" s="1029"/>
      <c r="P4" s="1029"/>
      <c r="Q4" s="1029"/>
    </row>
    <row r="5" spans="2:18" s="649" customFormat="1" ht="51" customHeight="1" x14ac:dyDescent="0.2">
      <c r="B5" s="1034" t="s">
        <v>2495</v>
      </c>
      <c r="C5" s="1034"/>
      <c r="D5" s="1034"/>
      <c r="E5" s="1034"/>
      <c r="F5" s="1034"/>
      <c r="G5" s="1034"/>
      <c r="H5" s="1034"/>
      <c r="I5" s="1034"/>
      <c r="J5" s="1034" t="s">
        <v>2496</v>
      </c>
      <c r="K5" s="1034"/>
      <c r="L5" s="1034"/>
      <c r="M5" s="1034"/>
      <c r="N5" s="1034"/>
      <c r="O5" s="1034"/>
      <c r="P5" s="1034"/>
      <c r="Q5" s="1034"/>
      <c r="R5" s="648"/>
    </row>
    <row r="6" spans="2:18" ht="18" x14ac:dyDescent="0.2">
      <c r="B6" s="650"/>
      <c r="C6" s="650"/>
      <c r="D6" s="650"/>
      <c r="E6" s="650"/>
      <c r="F6" s="650"/>
      <c r="G6" s="650"/>
      <c r="H6" s="650"/>
      <c r="I6" s="650"/>
      <c r="J6" s="650"/>
      <c r="K6" s="650"/>
      <c r="L6" s="650"/>
      <c r="M6" s="650"/>
      <c r="N6" s="650"/>
      <c r="O6" s="650"/>
      <c r="P6" s="650"/>
      <c r="Q6" s="650"/>
      <c r="R6" s="651"/>
    </row>
    <row r="7" spans="2:18" ht="18" x14ac:dyDescent="0.2">
      <c r="B7" s="650"/>
      <c r="C7" s="650"/>
      <c r="D7" s="650"/>
      <c r="E7" s="650"/>
      <c r="F7" s="650"/>
      <c r="G7" s="650"/>
      <c r="H7" s="650"/>
      <c r="I7" s="650"/>
      <c r="J7" s="650"/>
      <c r="K7" s="650"/>
      <c r="L7" s="650"/>
      <c r="M7" s="650"/>
      <c r="N7" s="650"/>
      <c r="O7" s="650"/>
      <c r="P7" s="650"/>
      <c r="Q7" s="650"/>
      <c r="R7" s="651"/>
    </row>
    <row r="8" spans="2:18" ht="18" x14ac:dyDescent="0.2">
      <c r="B8" s="650"/>
      <c r="C8" s="650"/>
      <c r="D8" s="650"/>
      <c r="E8" s="650"/>
      <c r="F8" s="650"/>
      <c r="G8" s="650"/>
      <c r="H8" s="650"/>
      <c r="I8" s="650"/>
      <c r="J8" s="650"/>
      <c r="K8" s="650"/>
      <c r="L8" s="650"/>
      <c r="M8" s="650"/>
      <c r="N8" s="650"/>
      <c r="O8" s="650"/>
      <c r="P8" s="650"/>
      <c r="Q8" s="650"/>
      <c r="R8" s="651"/>
    </row>
    <row r="9" spans="2:18" ht="18" x14ac:dyDescent="0.2">
      <c r="B9" s="650"/>
      <c r="C9" s="650"/>
      <c r="D9" s="650"/>
      <c r="E9" s="650"/>
      <c r="F9" s="650"/>
      <c r="G9" s="650"/>
      <c r="H9" s="650"/>
      <c r="I9" s="650"/>
      <c r="J9" s="650"/>
      <c r="K9" s="650"/>
      <c r="L9" s="650"/>
      <c r="M9" s="650"/>
      <c r="N9" s="650"/>
      <c r="O9" s="650"/>
      <c r="P9" s="650"/>
      <c r="Q9" s="650"/>
      <c r="R9" s="651"/>
    </row>
    <row r="10" spans="2:18" ht="20.25" x14ac:dyDescent="0.2">
      <c r="B10" s="1033"/>
      <c r="C10" s="1033"/>
      <c r="D10" s="1033"/>
      <c r="E10" s="1033"/>
      <c r="F10" s="1033"/>
      <c r="G10" s="1033"/>
      <c r="H10" s="1033"/>
      <c r="I10" s="1033"/>
      <c r="J10" s="650"/>
      <c r="K10" s="650"/>
      <c r="L10" s="650"/>
      <c r="M10" s="650"/>
      <c r="N10" s="650"/>
      <c r="O10" s="650"/>
      <c r="P10" s="650"/>
      <c r="Q10" s="650"/>
      <c r="R10" s="651"/>
    </row>
    <row r="11" spans="2:18" ht="28.5" customHeight="1" x14ac:dyDescent="0.2">
      <c r="B11" s="650"/>
      <c r="C11" s="650"/>
      <c r="D11" s="650"/>
      <c r="E11" s="650"/>
      <c r="F11" s="650"/>
      <c r="G11" s="650"/>
      <c r="H11" s="650"/>
      <c r="I11" s="650"/>
      <c r="J11" s="650"/>
      <c r="K11" s="650"/>
      <c r="L11" s="650"/>
      <c r="M11" s="650"/>
      <c r="N11" s="650"/>
      <c r="O11" s="650"/>
      <c r="P11" s="650"/>
      <c r="Q11" s="650"/>
      <c r="R11" s="651"/>
    </row>
    <row r="12" spans="2:18" ht="20.100000000000001" customHeight="1" x14ac:dyDescent="0.3">
      <c r="B12" s="1035" t="str">
        <f>'General Summary '!D3</f>
        <v>اسم المشروع: تطوير شبكات البنية التحتية في المدينة الصناعية بالخرج</v>
      </c>
      <c r="C12" s="1029"/>
      <c r="D12" s="1029"/>
      <c r="E12" s="1029"/>
      <c r="F12" s="1029"/>
      <c r="G12" s="1029"/>
      <c r="H12" s="1029"/>
      <c r="I12" s="1029"/>
      <c r="J12" s="1029" t="str">
        <f>'General Summary '!C3</f>
        <v>Development of Infrastructure in Kharj Industrial City</v>
      </c>
      <c r="K12" s="1029"/>
      <c r="L12" s="1029"/>
      <c r="M12" s="1029"/>
      <c r="N12" s="1029"/>
      <c r="O12" s="1029"/>
      <c r="P12" s="1029"/>
      <c r="Q12" s="1029"/>
      <c r="R12" s="652"/>
    </row>
    <row r="13" spans="2:18" ht="15.75" customHeight="1" x14ac:dyDescent="0.25">
      <c r="B13" s="1029"/>
      <c r="C13" s="1029"/>
      <c r="D13" s="1029"/>
      <c r="E13" s="1029"/>
      <c r="F13" s="1029"/>
      <c r="G13" s="1029"/>
      <c r="H13" s="1029"/>
      <c r="I13" s="1029"/>
      <c r="J13" s="1031"/>
      <c r="K13" s="1031"/>
      <c r="L13" s="1031"/>
      <c r="M13" s="1031"/>
      <c r="N13" s="1031"/>
      <c r="O13" s="1031"/>
      <c r="P13" s="1031"/>
      <c r="Q13" s="1031"/>
      <c r="R13" s="654"/>
    </row>
    <row r="14" spans="2:18" ht="23.25" customHeight="1" x14ac:dyDescent="0.25">
      <c r="B14" s="1029"/>
      <c r="C14" s="1029"/>
      <c r="D14" s="1029"/>
      <c r="E14" s="1029"/>
      <c r="F14" s="1029"/>
      <c r="G14" s="1029"/>
      <c r="H14" s="1029"/>
      <c r="I14" s="1029"/>
      <c r="J14" s="1031"/>
      <c r="K14" s="1031"/>
      <c r="L14" s="1031"/>
      <c r="M14" s="1031"/>
      <c r="N14" s="1031"/>
      <c r="O14" s="1031"/>
      <c r="P14" s="1031"/>
      <c r="Q14" s="1031"/>
      <c r="R14" s="654"/>
    </row>
    <row r="15" spans="2:18" ht="15.75" customHeight="1" x14ac:dyDescent="0.3">
      <c r="B15" s="1029"/>
      <c r="C15" s="1029"/>
      <c r="D15" s="1029"/>
      <c r="E15" s="1029"/>
      <c r="F15" s="1029"/>
      <c r="G15" s="1029"/>
      <c r="H15" s="1029"/>
      <c r="I15" s="1029"/>
      <c r="J15" s="647"/>
      <c r="K15" s="647"/>
      <c r="L15" s="647"/>
      <c r="M15" s="647"/>
      <c r="N15" s="647"/>
      <c r="O15" s="647"/>
      <c r="P15" s="647"/>
      <c r="Q15" s="647"/>
      <c r="R15" s="654"/>
    </row>
    <row r="16" spans="2:18" ht="25.5" customHeight="1" x14ac:dyDescent="0.3">
      <c r="B16" s="647"/>
      <c r="C16" s="647"/>
      <c r="D16" s="647"/>
      <c r="E16" s="647"/>
      <c r="F16" s="647"/>
      <c r="G16" s="647"/>
      <c r="H16" s="647"/>
      <c r="I16" s="647"/>
      <c r="J16" s="647"/>
      <c r="K16" s="647"/>
      <c r="L16" s="647"/>
      <c r="M16" s="647"/>
      <c r="N16" s="647"/>
      <c r="O16" s="647"/>
      <c r="P16" s="647"/>
      <c r="Q16" s="647"/>
      <c r="R16" s="654"/>
    </row>
    <row r="17" spans="2:18" ht="33" customHeight="1" x14ac:dyDescent="0.3">
      <c r="B17" s="1029" t="s">
        <v>2497</v>
      </c>
      <c r="C17" s="1029"/>
      <c r="D17" s="1029"/>
      <c r="E17" s="1029"/>
      <c r="F17" s="1029"/>
      <c r="G17" s="1029"/>
      <c r="H17" s="1029"/>
      <c r="I17" s="1029"/>
      <c r="J17" s="1029" t="s">
        <v>2498</v>
      </c>
      <c r="K17" s="1029"/>
      <c r="L17" s="1029"/>
      <c r="M17" s="1029"/>
      <c r="N17" s="1029"/>
      <c r="O17" s="1029"/>
      <c r="P17" s="1029"/>
      <c r="Q17" s="1029"/>
      <c r="R17" s="655"/>
    </row>
    <row r="18" spans="2:18" ht="15.75" customHeight="1" x14ac:dyDescent="0.3">
      <c r="B18" s="1029"/>
      <c r="C18" s="1029"/>
      <c r="D18" s="1029"/>
      <c r="E18" s="1029"/>
      <c r="F18" s="1029"/>
      <c r="G18" s="1029"/>
      <c r="H18" s="1029"/>
      <c r="I18" s="1029"/>
      <c r="J18" s="1029"/>
      <c r="K18" s="1029"/>
      <c r="L18" s="1029"/>
      <c r="M18" s="1029"/>
      <c r="N18" s="1029"/>
      <c r="O18" s="1029"/>
      <c r="P18" s="1029"/>
      <c r="Q18" s="1029"/>
      <c r="R18" s="655"/>
    </row>
    <row r="19" spans="2:18" ht="18" x14ac:dyDescent="0.25">
      <c r="B19" s="656"/>
      <c r="C19" s="656"/>
      <c r="D19" s="656"/>
      <c r="E19" s="656"/>
      <c r="F19" s="656"/>
      <c r="G19" s="656"/>
      <c r="H19" s="656"/>
      <c r="I19" s="656"/>
      <c r="J19" s="656"/>
      <c r="K19" s="656"/>
      <c r="L19" s="656"/>
      <c r="M19" s="656"/>
      <c r="N19" s="656"/>
      <c r="O19" s="656"/>
      <c r="P19" s="656"/>
      <c r="Q19" s="656"/>
      <c r="R19" s="655"/>
    </row>
    <row r="20" spans="2:18" ht="18" x14ac:dyDescent="0.25">
      <c r="B20" s="656"/>
      <c r="C20" s="656"/>
      <c r="D20" s="656"/>
      <c r="E20" s="656"/>
      <c r="F20" s="656"/>
      <c r="G20" s="656"/>
      <c r="H20" s="656"/>
      <c r="I20" s="656"/>
      <c r="J20" s="656"/>
      <c r="K20" s="656"/>
      <c r="L20" s="656"/>
      <c r="M20" s="656"/>
      <c r="N20" s="656"/>
      <c r="O20" s="656"/>
      <c r="P20" s="656"/>
      <c r="Q20" s="656"/>
      <c r="R20" s="655"/>
    </row>
    <row r="21" spans="2:18" ht="20.25" x14ac:dyDescent="0.3">
      <c r="B21" s="1031" t="s">
        <v>26</v>
      </c>
      <c r="C21" s="1031"/>
      <c r="D21" s="1031"/>
      <c r="E21" s="1031"/>
      <c r="F21" s="1031"/>
      <c r="G21" s="1031"/>
      <c r="H21" s="1031"/>
      <c r="I21" s="1031"/>
      <c r="J21" s="1031" t="s">
        <v>2499</v>
      </c>
      <c r="K21" s="1031"/>
      <c r="L21" s="1031"/>
      <c r="M21" s="1031"/>
      <c r="N21" s="1031"/>
      <c r="O21" s="1031"/>
      <c r="P21" s="1031"/>
      <c r="Q21" s="1031"/>
      <c r="R21" s="657"/>
    </row>
    <row r="22" spans="2:18" ht="12.75" customHeight="1" x14ac:dyDescent="0.25">
      <c r="B22" s="658"/>
      <c r="C22" s="658"/>
      <c r="D22" s="658"/>
      <c r="E22" s="658"/>
      <c r="F22" s="658"/>
      <c r="G22" s="658"/>
      <c r="H22" s="658"/>
      <c r="I22" s="658"/>
      <c r="J22" s="658"/>
      <c r="K22" s="658"/>
      <c r="L22" s="658"/>
      <c r="M22" s="658"/>
      <c r="N22" s="658"/>
      <c r="O22" s="658"/>
      <c r="P22" s="658"/>
      <c r="Q22" s="658"/>
      <c r="R22" s="657"/>
    </row>
    <row r="23" spans="2:18" ht="12.75" customHeight="1" x14ac:dyDescent="0.25">
      <c r="B23" s="658"/>
      <c r="C23" s="658"/>
      <c r="D23" s="658"/>
      <c r="E23" s="658"/>
      <c r="F23" s="658"/>
      <c r="G23" s="658"/>
      <c r="H23" s="658"/>
      <c r="I23" s="658"/>
      <c r="J23" s="658"/>
      <c r="K23" s="658"/>
      <c r="L23" s="658"/>
      <c r="M23" s="658"/>
      <c r="N23" s="658"/>
      <c r="O23" s="658"/>
      <c r="P23" s="658"/>
      <c r="Q23" s="658"/>
      <c r="R23" s="657"/>
    </row>
    <row r="24" spans="2:18" ht="12.75" customHeight="1" x14ac:dyDescent="0.25">
      <c r="B24" s="658"/>
      <c r="C24" s="658"/>
      <c r="D24" s="658"/>
      <c r="E24" s="658"/>
      <c r="F24" s="658"/>
      <c r="G24" s="658"/>
      <c r="H24" s="658"/>
      <c r="I24" s="658"/>
      <c r="J24" s="658"/>
      <c r="K24" s="658"/>
      <c r="L24" s="658"/>
      <c r="M24" s="658"/>
      <c r="N24" s="658"/>
      <c r="O24" s="658"/>
      <c r="P24" s="658"/>
      <c r="Q24" s="658"/>
      <c r="R24" s="657"/>
    </row>
    <row r="25" spans="2:18" ht="20.25" x14ac:dyDescent="0.3">
      <c r="B25" s="653"/>
      <c r="C25" s="653"/>
      <c r="D25" s="653"/>
      <c r="E25" s="653"/>
      <c r="F25" s="653"/>
      <c r="G25" s="653"/>
      <c r="H25" s="653"/>
      <c r="I25" s="653"/>
      <c r="J25" s="653"/>
      <c r="K25" s="653"/>
      <c r="L25" s="653"/>
      <c r="M25" s="653"/>
      <c r="N25" s="653"/>
      <c r="O25" s="653"/>
      <c r="P25" s="653"/>
      <c r="Q25" s="653"/>
      <c r="R25" s="657"/>
    </row>
    <row r="26" spans="2:18" ht="20.25" x14ac:dyDescent="0.3">
      <c r="B26" s="1029" t="s">
        <v>2795</v>
      </c>
      <c r="C26" s="1029"/>
      <c r="D26" s="1029"/>
      <c r="E26" s="1029"/>
      <c r="F26" s="1029"/>
      <c r="G26" s="1029"/>
      <c r="H26" s="1029"/>
      <c r="I26" s="1029"/>
      <c r="J26" s="1030">
        <v>45972</v>
      </c>
      <c r="K26" s="1031"/>
      <c r="L26" s="1031"/>
      <c r="M26" s="1031"/>
      <c r="N26" s="1031"/>
      <c r="O26" s="1031"/>
      <c r="P26" s="1031"/>
      <c r="Q26" s="1031"/>
      <c r="R26" s="657"/>
    </row>
    <row r="27" spans="2:18" ht="12.75" customHeight="1" x14ac:dyDescent="0.25">
      <c r="B27" s="658"/>
      <c r="C27" s="658"/>
      <c r="D27" s="658"/>
      <c r="E27" s="658"/>
      <c r="F27" s="658"/>
      <c r="G27" s="658"/>
      <c r="H27" s="658"/>
      <c r="I27" s="658"/>
      <c r="J27" s="658"/>
      <c r="K27" s="658"/>
      <c r="L27" s="658"/>
      <c r="M27" s="658"/>
      <c r="N27" s="658"/>
      <c r="O27" s="658"/>
      <c r="P27" s="658"/>
      <c r="Q27" s="658"/>
      <c r="R27" s="657"/>
    </row>
    <row r="28" spans="2:18" ht="18" x14ac:dyDescent="0.25">
      <c r="B28" s="658"/>
      <c r="C28" s="658"/>
      <c r="D28" s="658"/>
      <c r="E28" s="658"/>
      <c r="F28" s="658"/>
      <c r="G28" s="658"/>
      <c r="H28" s="658"/>
      <c r="I28" s="658"/>
      <c r="J28" s="658"/>
      <c r="K28" s="658"/>
      <c r="L28" s="658"/>
      <c r="M28" s="658"/>
      <c r="N28" s="658"/>
      <c r="O28" s="658"/>
      <c r="P28" s="658"/>
      <c r="Q28" s="658"/>
      <c r="R28" s="657"/>
    </row>
    <row r="29" spans="2:18" ht="12.75" customHeight="1" x14ac:dyDescent="0.25">
      <c r="B29" s="658"/>
      <c r="C29" s="658"/>
      <c r="D29" s="658"/>
      <c r="E29" s="658"/>
      <c r="F29" s="658"/>
      <c r="G29" s="658"/>
      <c r="H29" s="658"/>
      <c r="I29" s="658"/>
      <c r="J29" s="658"/>
      <c r="K29" s="658"/>
      <c r="L29" s="658"/>
      <c r="M29" s="658"/>
      <c r="N29" s="658"/>
      <c r="O29" s="658"/>
      <c r="P29" s="658"/>
      <c r="Q29" s="658"/>
      <c r="R29" s="657"/>
    </row>
    <row r="30" spans="2:18" ht="18" x14ac:dyDescent="0.25">
      <c r="B30" s="658"/>
      <c r="C30" s="658"/>
      <c r="D30" s="658"/>
      <c r="E30" s="658"/>
      <c r="F30" s="658"/>
      <c r="G30" s="658"/>
      <c r="H30" s="658"/>
      <c r="I30" s="658"/>
      <c r="J30" s="658"/>
      <c r="K30" s="658"/>
      <c r="L30" s="658"/>
      <c r="M30" s="658"/>
      <c r="N30" s="658"/>
      <c r="O30" s="658"/>
      <c r="P30" s="658"/>
      <c r="Q30" s="658"/>
      <c r="R30" s="657"/>
    </row>
    <row r="31" spans="2:18" ht="12.75" customHeight="1" x14ac:dyDescent="0.2">
      <c r="J31" s="641"/>
      <c r="K31" s="641"/>
      <c r="P31" s="643"/>
      <c r="Q31" s="644"/>
      <c r="R31" s="644"/>
    </row>
    <row r="32" spans="2:18" x14ac:dyDescent="0.2">
      <c r="J32" s="641"/>
      <c r="K32" s="641"/>
      <c r="P32" s="643"/>
      <c r="Q32" s="644"/>
      <c r="R32" s="644"/>
    </row>
    <row r="33" spans="10:18" ht="12.75" customHeight="1" x14ac:dyDescent="0.2">
      <c r="J33" s="641"/>
      <c r="K33" s="641"/>
      <c r="P33" s="643"/>
      <c r="Q33" s="644"/>
      <c r="R33" s="644"/>
    </row>
    <row r="34" spans="10:18" x14ac:dyDescent="0.2">
      <c r="J34" s="641"/>
      <c r="K34" s="641"/>
      <c r="P34" s="643"/>
      <c r="Q34" s="644"/>
      <c r="R34" s="644"/>
    </row>
    <row r="35" spans="10:18" ht="12.75" customHeight="1" x14ac:dyDescent="0.2">
      <c r="J35" s="641"/>
      <c r="K35" s="641"/>
      <c r="P35" s="643"/>
      <c r="Q35" s="644"/>
      <c r="R35" s="644"/>
    </row>
    <row r="36" spans="10:18" ht="12.75" customHeight="1" x14ac:dyDescent="0.2">
      <c r="J36" s="641"/>
      <c r="K36" s="641"/>
      <c r="P36" s="643"/>
      <c r="Q36" s="644"/>
      <c r="R36" s="644"/>
    </row>
    <row r="37" spans="10:18" ht="12.75" customHeight="1" x14ac:dyDescent="0.2"/>
    <row r="39" spans="10:18" ht="12.75" customHeight="1" x14ac:dyDescent="0.2"/>
    <row r="41" spans="10:18" ht="12.75" customHeight="1" x14ac:dyDescent="0.2"/>
    <row r="42" spans="10:18" x14ac:dyDescent="0.2">
      <c r="R42" s="659"/>
    </row>
    <row r="43" spans="10:18" ht="12.75" customHeight="1" x14ac:dyDescent="0.2"/>
  </sheetData>
  <mergeCells count="20">
    <mergeCell ref="B15:I15"/>
    <mergeCell ref="B2:I2"/>
    <mergeCell ref="J2:R2"/>
    <mergeCell ref="B4:I4"/>
    <mergeCell ref="J4:Q4"/>
    <mergeCell ref="B5:I5"/>
    <mergeCell ref="J5:Q5"/>
    <mergeCell ref="B10:I10"/>
    <mergeCell ref="B12:I12"/>
    <mergeCell ref="J12:Q12"/>
    <mergeCell ref="B13:I14"/>
    <mergeCell ref="J13:Q14"/>
    <mergeCell ref="B26:I26"/>
    <mergeCell ref="J26:Q26"/>
    <mergeCell ref="B17:I17"/>
    <mergeCell ref="J17:Q17"/>
    <mergeCell ref="B18:I18"/>
    <mergeCell ref="J18:Q18"/>
    <mergeCell ref="B21:I21"/>
    <mergeCell ref="J21:Q21"/>
  </mergeCells>
  <printOptions horizontalCentered="1"/>
  <pageMargins left="0.47244094488188981" right="0.57999999999999996" top="0.42" bottom="0.39370078740157483" header="0.27559055118110237" footer="0.19685039370078741"/>
  <pageSetup paperSize="9" scale="71" firstPageNumber="2"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A-C02B-462D-B954-64BDBD96AC02}">
  <sheetPr>
    <tabColor rgb="FFFFFF00"/>
    <pageSetUpPr fitToPage="1"/>
  </sheetPr>
  <dimension ref="A1:E95"/>
  <sheetViews>
    <sheetView view="pageBreakPreview" zoomScale="85" zoomScaleNormal="100" zoomScaleSheetLayoutView="85" zoomScalePageLayoutView="55" workbookViewId="0">
      <selection activeCell="D1" sqref="D1"/>
    </sheetView>
  </sheetViews>
  <sheetFormatPr defaultColWidth="9.140625" defaultRowHeight="12.75" x14ac:dyDescent="0.2"/>
  <cols>
    <col min="1" max="1" width="32" style="713" customWidth="1"/>
    <col min="2" max="2" width="82.28515625" style="714" customWidth="1"/>
    <col min="3" max="3" width="109.7109375" style="683" customWidth="1"/>
    <col min="4" max="4" width="33.5703125" style="715" customWidth="1"/>
    <col min="5" max="16384" width="9.140625" style="683"/>
  </cols>
  <sheetData>
    <row r="1" spans="1:5" s="664" customFormat="1" ht="54" x14ac:dyDescent="0.25">
      <c r="A1" s="754" t="str">
        <f>Cover1!B12</f>
        <v>اسم المشروع: تطوير شبكات البنية التحتية في المدينة الصناعية بالخرج</v>
      </c>
      <c r="B1" s="661"/>
      <c r="C1" s="662"/>
      <c r="D1" s="752" t="str">
        <f>Cover1!J12</f>
        <v>Development of Infrastructure in Kharj Industrial City</v>
      </c>
      <c r="E1" s="663"/>
    </row>
    <row r="2" spans="1:5" s="664" customFormat="1" ht="18" x14ac:dyDescent="0.25">
      <c r="A2" s="755" t="s">
        <v>26</v>
      </c>
      <c r="B2" s="666"/>
      <c r="C2" s="666"/>
      <c r="D2" s="753" t="s">
        <v>27</v>
      </c>
      <c r="E2" s="663"/>
    </row>
    <row r="3" spans="1:5" s="670" customFormat="1" ht="18" x14ac:dyDescent="0.25">
      <c r="A3" s="668"/>
      <c r="B3" s="666"/>
      <c r="C3" s="666"/>
      <c r="D3" s="667"/>
      <c r="E3" s="669"/>
    </row>
    <row r="4" spans="1:5" s="670" customFormat="1" ht="18" x14ac:dyDescent="0.25">
      <c r="A4" s="668"/>
      <c r="B4" s="666"/>
      <c r="C4" s="666"/>
      <c r="D4" s="667"/>
      <c r="E4" s="669"/>
    </row>
    <row r="5" spans="1:5" s="670" customFormat="1" ht="18.75" thickBot="1" x14ac:dyDescent="0.3">
      <c r="A5" s="668"/>
      <c r="B5" s="666" t="s">
        <v>2500</v>
      </c>
      <c r="C5" s="671" t="s">
        <v>2501</v>
      </c>
      <c r="D5" s="667"/>
      <c r="E5" s="669"/>
    </row>
    <row r="6" spans="1:5" s="677" customFormat="1" ht="20.25" x14ac:dyDescent="0.2">
      <c r="A6" s="672"/>
      <c r="B6" s="673" t="s">
        <v>2502</v>
      </c>
      <c r="C6" s="674" t="s">
        <v>2503</v>
      </c>
      <c r="D6" s="675"/>
      <c r="E6" s="676"/>
    </row>
    <row r="7" spans="1:5" ht="75" x14ac:dyDescent="0.2">
      <c r="A7" s="678">
        <v>1.1000000000000001</v>
      </c>
      <c r="B7" s="679" t="s">
        <v>2504</v>
      </c>
      <c r="C7" s="680" t="s">
        <v>2505</v>
      </c>
      <c r="D7" s="681">
        <v>1.1000000000000001</v>
      </c>
      <c r="E7" s="682"/>
    </row>
    <row r="8" spans="1:5" ht="120" x14ac:dyDescent="0.2">
      <c r="A8" s="678">
        <v>1.2</v>
      </c>
      <c r="B8" s="684" t="s">
        <v>2506</v>
      </c>
      <c r="C8" s="680" t="s">
        <v>2507</v>
      </c>
      <c r="D8" s="681">
        <v>1.2</v>
      </c>
      <c r="E8" s="682"/>
    </row>
    <row r="9" spans="1:5" ht="45" x14ac:dyDescent="0.2">
      <c r="A9" s="678">
        <v>1.3</v>
      </c>
      <c r="B9" s="684" t="s">
        <v>2508</v>
      </c>
      <c r="C9" s="680" t="s">
        <v>2509</v>
      </c>
      <c r="D9" s="681">
        <v>1.3</v>
      </c>
      <c r="E9" s="682"/>
    </row>
    <row r="10" spans="1:5" ht="120" x14ac:dyDescent="0.2">
      <c r="A10" s="678">
        <v>1.4</v>
      </c>
      <c r="B10" s="684" t="s">
        <v>2510</v>
      </c>
      <c r="C10" s="685" t="s">
        <v>2511</v>
      </c>
      <c r="D10" s="681">
        <v>1.4</v>
      </c>
      <c r="E10" s="682"/>
    </row>
    <row r="11" spans="1:5" ht="30" x14ac:dyDescent="0.2">
      <c r="A11" s="678">
        <v>1.5</v>
      </c>
      <c r="B11" s="684" t="s">
        <v>2512</v>
      </c>
      <c r="C11" s="680" t="s">
        <v>2513</v>
      </c>
      <c r="D11" s="681">
        <v>1.5</v>
      </c>
      <c r="E11" s="682"/>
    </row>
    <row r="12" spans="1:5" ht="45" x14ac:dyDescent="0.2">
      <c r="A12" s="678">
        <v>1.6</v>
      </c>
      <c r="B12" s="684" t="s">
        <v>2514</v>
      </c>
      <c r="C12" s="680" t="s">
        <v>2515</v>
      </c>
      <c r="D12" s="681">
        <v>1.6</v>
      </c>
      <c r="E12" s="682"/>
    </row>
    <row r="13" spans="1:5" ht="30" x14ac:dyDescent="0.2">
      <c r="A13" s="678">
        <v>1.7</v>
      </c>
      <c r="B13" s="684" t="s">
        <v>2516</v>
      </c>
      <c r="C13" s="680" t="s">
        <v>2517</v>
      </c>
      <c r="D13" s="681">
        <v>1.7</v>
      </c>
      <c r="E13" s="682"/>
    </row>
    <row r="14" spans="1:5" ht="30" x14ac:dyDescent="0.2">
      <c r="A14" s="678">
        <v>1.8</v>
      </c>
      <c r="B14" s="684" t="s">
        <v>2518</v>
      </c>
      <c r="C14" s="680" t="s">
        <v>2519</v>
      </c>
      <c r="D14" s="681">
        <v>1.8</v>
      </c>
      <c r="E14" s="682"/>
    </row>
    <row r="15" spans="1:5" ht="15" x14ac:dyDescent="0.2">
      <c r="A15" s="678" t="s">
        <v>2520</v>
      </c>
      <c r="B15" s="684" t="s">
        <v>2521</v>
      </c>
      <c r="C15" s="680" t="s">
        <v>2522</v>
      </c>
      <c r="D15" s="681" t="s">
        <v>2520</v>
      </c>
      <c r="E15" s="682"/>
    </row>
    <row r="16" spans="1:5" ht="90" x14ac:dyDescent="0.2">
      <c r="A16" s="678" t="s">
        <v>2523</v>
      </c>
      <c r="B16" s="684" t="s">
        <v>2524</v>
      </c>
      <c r="C16" s="680" t="s">
        <v>2525</v>
      </c>
      <c r="D16" s="681" t="s">
        <v>2523</v>
      </c>
      <c r="E16" s="682"/>
    </row>
    <row r="17" spans="1:5" ht="30" x14ac:dyDescent="0.2">
      <c r="A17" s="678" t="s">
        <v>2526</v>
      </c>
      <c r="B17" s="684" t="s">
        <v>2527</v>
      </c>
      <c r="C17" s="680" t="s">
        <v>2528</v>
      </c>
      <c r="D17" s="681" t="s">
        <v>2526</v>
      </c>
      <c r="E17" s="682"/>
    </row>
    <row r="18" spans="1:5" ht="20.25" x14ac:dyDescent="0.2">
      <c r="A18" s="686"/>
      <c r="B18" s="687" t="s">
        <v>2529</v>
      </c>
      <c r="C18" s="687" t="s">
        <v>2530</v>
      </c>
      <c r="D18" s="688"/>
      <c r="E18" s="682"/>
    </row>
    <row r="19" spans="1:5" ht="45" x14ac:dyDescent="0.2">
      <c r="A19" s="678">
        <v>2.1</v>
      </c>
      <c r="B19" s="684" t="s">
        <v>2531</v>
      </c>
      <c r="C19" s="685" t="s">
        <v>2532</v>
      </c>
      <c r="D19" s="681">
        <v>2.1</v>
      </c>
      <c r="E19" s="682"/>
    </row>
    <row r="20" spans="1:5" ht="30" x14ac:dyDescent="0.2">
      <c r="A20" s="678">
        <v>2.2000000000000002</v>
      </c>
      <c r="B20" s="684" t="s">
        <v>2533</v>
      </c>
      <c r="C20" s="685" t="s">
        <v>2534</v>
      </c>
      <c r="D20" s="681">
        <v>2.2000000000000002</v>
      </c>
      <c r="E20" s="682"/>
    </row>
    <row r="21" spans="1:5" ht="30" x14ac:dyDescent="0.2">
      <c r="A21" s="678">
        <v>2.2999999999999998</v>
      </c>
      <c r="B21" s="684" t="s">
        <v>2535</v>
      </c>
      <c r="C21" s="685" t="s">
        <v>2536</v>
      </c>
      <c r="D21" s="681">
        <v>2.2999999999999998</v>
      </c>
      <c r="E21" s="682"/>
    </row>
    <row r="22" spans="1:5" ht="30" x14ac:dyDescent="0.2">
      <c r="A22" s="678">
        <v>2.4</v>
      </c>
      <c r="B22" s="684" t="s">
        <v>2537</v>
      </c>
      <c r="C22" s="685" t="s">
        <v>2538</v>
      </c>
      <c r="D22" s="681">
        <v>2.4</v>
      </c>
      <c r="E22" s="682"/>
    </row>
    <row r="23" spans="1:5" ht="45" x14ac:dyDescent="0.2">
      <c r="A23" s="678">
        <v>2.5</v>
      </c>
      <c r="B23" s="684" t="s">
        <v>2539</v>
      </c>
      <c r="C23" s="689" t="s">
        <v>2540</v>
      </c>
      <c r="D23" s="681">
        <v>2.5</v>
      </c>
      <c r="E23" s="682"/>
    </row>
    <row r="24" spans="1:5" ht="45" x14ac:dyDescent="0.2">
      <c r="A24" s="678">
        <v>2.6</v>
      </c>
      <c r="B24" s="684" t="s">
        <v>2541</v>
      </c>
      <c r="C24" s="685" t="s">
        <v>2542</v>
      </c>
      <c r="D24" s="681">
        <v>2.6</v>
      </c>
      <c r="E24" s="682"/>
    </row>
    <row r="25" spans="1:5" ht="30" x14ac:dyDescent="0.2">
      <c r="A25" s="678">
        <v>2.7</v>
      </c>
      <c r="B25" s="684" t="s">
        <v>2543</v>
      </c>
      <c r="C25" s="685" t="s">
        <v>2544</v>
      </c>
      <c r="D25" s="681">
        <v>2.7</v>
      </c>
      <c r="E25" s="682"/>
    </row>
    <row r="26" spans="1:5" ht="45" x14ac:dyDescent="0.2">
      <c r="A26" s="678">
        <v>2.8</v>
      </c>
      <c r="B26" s="684" t="s">
        <v>2545</v>
      </c>
      <c r="C26" s="685" t="s">
        <v>2546</v>
      </c>
      <c r="D26" s="681">
        <v>2.8</v>
      </c>
      <c r="E26" s="682"/>
    </row>
    <row r="27" spans="1:5" ht="75" x14ac:dyDescent="0.2">
      <c r="A27" s="678">
        <v>2.9</v>
      </c>
      <c r="B27" s="684" t="s">
        <v>2547</v>
      </c>
      <c r="C27" s="685" t="s">
        <v>2548</v>
      </c>
      <c r="D27" s="681">
        <v>2.9</v>
      </c>
      <c r="E27" s="682"/>
    </row>
    <row r="28" spans="1:5" ht="30" x14ac:dyDescent="0.2">
      <c r="A28" s="678" t="s">
        <v>2549</v>
      </c>
      <c r="B28" s="679" t="s">
        <v>2550</v>
      </c>
      <c r="C28" s="685" t="s">
        <v>2551</v>
      </c>
      <c r="D28" s="681" t="s">
        <v>2549</v>
      </c>
      <c r="E28" s="682"/>
    </row>
    <row r="29" spans="1:5" ht="45" x14ac:dyDescent="0.2">
      <c r="A29" s="678">
        <v>2.11</v>
      </c>
      <c r="B29" s="679" t="s">
        <v>2552</v>
      </c>
      <c r="C29" s="685" t="s">
        <v>2553</v>
      </c>
      <c r="D29" s="681">
        <v>2.11</v>
      </c>
      <c r="E29" s="682"/>
    </row>
    <row r="30" spans="1:5" ht="15" x14ac:dyDescent="0.2">
      <c r="A30" s="678" t="s">
        <v>2554</v>
      </c>
      <c r="B30" s="684" t="s">
        <v>2555</v>
      </c>
      <c r="C30" s="685" t="s">
        <v>2556</v>
      </c>
      <c r="D30" s="681" t="s">
        <v>2554</v>
      </c>
      <c r="E30" s="682"/>
    </row>
    <row r="31" spans="1:5" ht="20.25" x14ac:dyDescent="0.2">
      <c r="A31" s="686"/>
      <c r="B31" s="687" t="s">
        <v>2557</v>
      </c>
      <c r="C31" s="687" t="s">
        <v>2558</v>
      </c>
      <c r="D31" s="688"/>
      <c r="E31" s="682"/>
    </row>
    <row r="32" spans="1:5" s="677" customFormat="1" ht="15.75" x14ac:dyDescent="0.2">
      <c r="A32" s="690" t="s">
        <v>2559</v>
      </c>
      <c r="B32" s="691" t="s">
        <v>2560</v>
      </c>
      <c r="C32" s="692" t="s">
        <v>2561</v>
      </c>
      <c r="D32" s="693" t="s">
        <v>2559</v>
      </c>
      <c r="E32" s="676"/>
    </row>
    <row r="33" spans="1:5" ht="210" x14ac:dyDescent="0.2">
      <c r="A33" s="694"/>
      <c r="B33" s="695" t="s">
        <v>2562</v>
      </c>
      <c r="C33" s="696" t="s">
        <v>2563</v>
      </c>
      <c r="D33" s="697"/>
      <c r="E33" s="682"/>
    </row>
    <row r="34" spans="1:5" s="677" customFormat="1" ht="15.75" x14ac:dyDescent="0.2">
      <c r="A34" s="690" t="s">
        <v>2564</v>
      </c>
      <c r="B34" s="691" t="s">
        <v>2565</v>
      </c>
      <c r="C34" s="692" t="s">
        <v>2566</v>
      </c>
      <c r="D34" s="693" t="s">
        <v>2564</v>
      </c>
      <c r="E34" s="676"/>
    </row>
    <row r="35" spans="1:5" ht="225" x14ac:dyDescent="0.2">
      <c r="A35" s="694"/>
      <c r="B35" s="695" t="s">
        <v>2567</v>
      </c>
      <c r="C35" s="685" t="s">
        <v>2568</v>
      </c>
      <c r="D35" s="681"/>
      <c r="E35" s="682"/>
    </row>
    <row r="36" spans="1:5" s="677" customFormat="1" ht="15.75" x14ac:dyDescent="0.2">
      <c r="A36" s="690" t="s">
        <v>2569</v>
      </c>
      <c r="B36" s="691" t="s">
        <v>2570</v>
      </c>
      <c r="C36" s="692" t="s">
        <v>2571</v>
      </c>
      <c r="D36" s="693" t="s">
        <v>2569</v>
      </c>
      <c r="E36" s="676"/>
    </row>
    <row r="37" spans="1:5" ht="135" x14ac:dyDescent="0.2">
      <c r="A37" s="694"/>
      <c r="B37" s="695" t="s">
        <v>2572</v>
      </c>
      <c r="C37" s="680" t="s">
        <v>2573</v>
      </c>
      <c r="D37" s="697"/>
      <c r="E37" s="682"/>
    </row>
    <row r="38" spans="1:5" s="677" customFormat="1" ht="15.75" x14ac:dyDescent="0.2">
      <c r="A38" s="690" t="s">
        <v>2574</v>
      </c>
      <c r="B38" s="691" t="s">
        <v>2575</v>
      </c>
      <c r="C38" s="692" t="s">
        <v>1904</v>
      </c>
      <c r="D38" s="693" t="s">
        <v>2574</v>
      </c>
      <c r="E38" s="676"/>
    </row>
    <row r="39" spans="1:5" ht="135" x14ac:dyDescent="0.2">
      <c r="A39" s="694"/>
      <c r="B39" s="695" t="s">
        <v>2576</v>
      </c>
      <c r="C39" s="685" t="s">
        <v>2577</v>
      </c>
      <c r="D39" s="697"/>
      <c r="E39" s="682"/>
    </row>
    <row r="40" spans="1:5" ht="30" x14ac:dyDescent="0.2">
      <c r="A40" s="678" t="s">
        <v>2578</v>
      </c>
      <c r="B40" s="679" t="s">
        <v>2579</v>
      </c>
      <c r="C40" s="698" t="s">
        <v>2580</v>
      </c>
      <c r="D40" s="681" t="s">
        <v>2578</v>
      </c>
      <c r="E40" s="682"/>
    </row>
    <row r="41" spans="1:5" ht="30" x14ac:dyDescent="0.2">
      <c r="A41" s="678" t="s">
        <v>2581</v>
      </c>
      <c r="B41" s="695" t="s">
        <v>2582</v>
      </c>
      <c r="C41" s="699" t="s">
        <v>2583</v>
      </c>
      <c r="D41" s="681" t="s">
        <v>2581</v>
      </c>
      <c r="E41" s="682"/>
    </row>
    <row r="42" spans="1:5" ht="30" x14ac:dyDescent="0.2">
      <c r="A42" s="678" t="s">
        <v>2584</v>
      </c>
      <c r="B42" s="679" t="s">
        <v>2585</v>
      </c>
      <c r="C42" s="680" t="s">
        <v>2586</v>
      </c>
      <c r="D42" s="681" t="s">
        <v>2584</v>
      </c>
      <c r="E42" s="682"/>
    </row>
    <row r="43" spans="1:5" ht="30" x14ac:dyDescent="0.2">
      <c r="A43" s="678" t="s">
        <v>2587</v>
      </c>
      <c r="B43" s="679" t="s">
        <v>2585</v>
      </c>
      <c r="C43" s="680" t="s">
        <v>2586</v>
      </c>
      <c r="D43" s="681" t="s">
        <v>2587</v>
      </c>
      <c r="E43" s="682"/>
    </row>
    <row r="44" spans="1:5" ht="20.25" x14ac:dyDescent="0.2">
      <c r="A44" s="678"/>
      <c r="B44" s="687" t="s">
        <v>2588</v>
      </c>
      <c r="C44" s="687" t="s">
        <v>2589</v>
      </c>
      <c r="D44" s="681"/>
      <c r="E44" s="682"/>
    </row>
    <row r="45" spans="1:5" ht="45" x14ac:dyDescent="0.2">
      <c r="A45" s="678" t="s">
        <v>2590</v>
      </c>
      <c r="B45" s="679" t="s">
        <v>2591</v>
      </c>
      <c r="C45" s="680" t="s">
        <v>2592</v>
      </c>
      <c r="D45" s="681" t="s">
        <v>2590</v>
      </c>
      <c r="E45" s="682"/>
    </row>
    <row r="46" spans="1:5" s="701" customFormat="1" ht="20.25" x14ac:dyDescent="0.2">
      <c r="A46" s="678"/>
      <c r="B46" s="687" t="s">
        <v>134</v>
      </c>
      <c r="C46" s="700" t="s">
        <v>135</v>
      </c>
      <c r="D46" s="681"/>
    </row>
    <row r="47" spans="1:5" s="702" customFormat="1" ht="15.75" x14ac:dyDescent="0.2">
      <c r="A47" s="690"/>
      <c r="B47" s="429" t="s">
        <v>2593</v>
      </c>
      <c r="C47" s="429" t="s">
        <v>2594</v>
      </c>
      <c r="D47" s="693"/>
    </row>
    <row r="48" spans="1:5" s="702" customFormat="1" ht="60.75" x14ac:dyDescent="0.2">
      <c r="A48" s="678" t="s">
        <v>2595</v>
      </c>
      <c r="B48" s="679" t="s">
        <v>2596</v>
      </c>
      <c r="C48" s="680" t="s">
        <v>2597</v>
      </c>
      <c r="D48" s="681" t="s">
        <v>2595</v>
      </c>
    </row>
    <row r="49" spans="1:5" s="702" customFormat="1" ht="60.75" x14ac:dyDescent="0.2">
      <c r="A49" s="678" t="s">
        <v>2595</v>
      </c>
      <c r="B49" s="679" t="s">
        <v>2596</v>
      </c>
      <c r="C49" s="685" t="s">
        <v>2597</v>
      </c>
      <c r="D49" s="681" t="s">
        <v>2595</v>
      </c>
    </row>
    <row r="50" spans="1:5" s="702" customFormat="1" ht="45.75" x14ac:dyDescent="0.2">
      <c r="A50" s="678" t="s">
        <v>2598</v>
      </c>
      <c r="B50" s="679" t="s">
        <v>2599</v>
      </c>
      <c r="C50" s="685" t="s">
        <v>2600</v>
      </c>
      <c r="D50" s="681" t="s">
        <v>2598</v>
      </c>
    </row>
    <row r="51" spans="1:5" s="702" customFormat="1" ht="45.75" x14ac:dyDescent="0.2">
      <c r="A51" s="678" t="s">
        <v>2601</v>
      </c>
      <c r="B51" s="679" t="s">
        <v>2602</v>
      </c>
      <c r="C51" s="680" t="s">
        <v>2603</v>
      </c>
      <c r="D51" s="681" t="s">
        <v>2601</v>
      </c>
    </row>
    <row r="52" spans="1:5" s="702" customFormat="1" ht="45.75" x14ac:dyDescent="0.2">
      <c r="A52" s="678" t="s">
        <v>2604</v>
      </c>
      <c r="B52" s="679" t="s">
        <v>2605</v>
      </c>
      <c r="C52" s="680" t="s">
        <v>2606</v>
      </c>
      <c r="D52" s="681" t="s">
        <v>2604</v>
      </c>
    </row>
    <row r="53" spans="1:5" ht="45.75" x14ac:dyDescent="0.2">
      <c r="A53" s="678" t="s">
        <v>2607</v>
      </c>
      <c r="B53" s="679" t="s">
        <v>2608</v>
      </c>
      <c r="C53" s="680" t="s">
        <v>2609</v>
      </c>
      <c r="D53" s="681" t="s">
        <v>2607</v>
      </c>
      <c r="E53" s="682"/>
    </row>
    <row r="54" spans="1:5" s="677" customFormat="1" ht="45.75" x14ac:dyDescent="0.2">
      <c r="A54" s="678" t="s">
        <v>2610</v>
      </c>
      <c r="B54" s="679" t="s">
        <v>2611</v>
      </c>
      <c r="C54" s="680" t="s">
        <v>2612</v>
      </c>
      <c r="D54" s="681" t="s">
        <v>2610</v>
      </c>
      <c r="E54" s="676"/>
    </row>
    <row r="55" spans="1:5" ht="60.75" x14ac:dyDescent="0.2">
      <c r="A55" s="678" t="s">
        <v>2613</v>
      </c>
      <c r="B55" s="679" t="s">
        <v>2614</v>
      </c>
      <c r="C55" s="680" t="s">
        <v>2615</v>
      </c>
      <c r="D55" s="681" t="s">
        <v>2613</v>
      </c>
      <c r="E55" s="682"/>
    </row>
    <row r="56" spans="1:5" ht="60.75" x14ac:dyDescent="0.2">
      <c r="A56" s="678" t="s">
        <v>2616</v>
      </c>
      <c r="B56" s="679" t="s">
        <v>2617</v>
      </c>
      <c r="C56" s="680" t="s">
        <v>2618</v>
      </c>
      <c r="D56" s="681" t="s">
        <v>2616</v>
      </c>
      <c r="E56" s="682"/>
    </row>
    <row r="57" spans="1:5" ht="75.75" x14ac:dyDescent="0.2">
      <c r="A57" s="678" t="s">
        <v>2619</v>
      </c>
      <c r="B57" s="679" t="s">
        <v>2620</v>
      </c>
      <c r="C57" s="680" t="s">
        <v>2621</v>
      </c>
      <c r="D57" s="681" t="s">
        <v>2619</v>
      </c>
      <c r="E57" s="682"/>
    </row>
    <row r="58" spans="1:5" ht="45.75" x14ac:dyDescent="0.2">
      <c r="A58" s="678" t="s">
        <v>2622</v>
      </c>
      <c r="B58" s="679" t="s">
        <v>2623</v>
      </c>
      <c r="C58" s="680" t="s">
        <v>2624</v>
      </c>
      <c r="D58" s="681" t="s">
        <v>2622</v>
      </c>
      <c r="E58" s="682"/>
    </row>
    <row r="59" spans="1:5" ht="45.75" x14ac:dyDescent="0.2">
      <c r="A59" s="678" t="s">
        <v>2625</v>
      </c>
      <c r="B59" s="679" t="s">
        <v>2626</v>
      </c>
      <c r="C59" s="680" t="s">
        <v>2627</v>
      </c>
      <c r="D59" s="681" t="s">
        <v>2625</v>
      </c>
      <c r="E59" s="682"/>
    </row>
    <row r="60" spans="1:5" ht="60.75" x14ac:dyDescent="0.2">
      <c r="A60" s="678" t="s">
        <v>2628</v>
      </c>
      <c r="B60" s="679" t="s">
        <v>2629</v>
      </c>
      <c r="C60" s="680" t="s">
        <v>2630</v>
      </c>
      <c r="D60" s="681" t="s">
        <v>2628</v>
      </c>
      <c r="E60" s="682"/>
    </row>
    <row r="61" spans="1:5" ht="45.75" x14ac:dyDescent="0.2">
      <c r="A61" s="678" t="s">
        <v>2631</v>
      </c>
      <c r="B61" s="679" t="s">
        <v>2632</v>
      </c>
      <c r="C61" s="680" t="s">
        <v>2633</v>
      </c>
      <c r="D61" s="681" t="s">
        <v>2631</v>
      </c>
      <c r="E61" s="682"/>
    </row>
    <row r="62" spans="1:5" ht="30" x14ac:dyDescent="0.2">
      <c r="A62" s="678" t="s">
        <v>2634</v>
      </c>
      <c r="B62" s="679" t="s">
        <v>2635</v>
      </c>
      <c r="C62" s="680" t="s">
        <v>2636</v>
      </c>
      <c r="D62" s="681" t="s">
        <v>2634</v>
      </c>
      <c r="E62" s="682"/>
    </row>
    <row r="63" spans="1:5" ht="30" x14ac:dyDescent="0.2">
      <c r="A63" s="678" t="s">
        <v>2637</v>
      </c>
      <c r="B63" s="679" t="s">
        <v>2638</v>
      </c>
      <c r="C63" s="680" t="s">
        <v>2639</v>
      </c>
      <c r="D63" s="681" t="s">
        <v>2637</v>
      </c>
      <c r="E63" s="682"/>
    </row>
    <row r="64" spans="1:5" ht="20.25" x14ac:dyDescent="0.2">
      <c r="A64" s="690"/>
      <c r="B64" s="687" t="s">
        <v>279</v>
      </c>
      <c r="C64" s="700" t="s">
        <v>2640</v>
      </c>
      <c r="D64" s="693"/>
      <c r="E64" s="682"/>
    </row>
    <row r="65" spans="1:5" s="677" customFormat="1" ht="15.75" x14ac:dyDescent="0.2">
      <c r="A65" s="690"/>
      <c r="B65" s="301" t="s">
        <v>289</v>
      </c>
      <c r="C65" s="379" t="s">
        <v>2641</v>
      </c>
      <c r="D65" s="693"/>
      <c r="E65" s="676"/>
    </row>
    <row r="66" spans="1:5" ht="45" x14ac:dyDescent="0.2">
      <c r="A66" s="678" t="s">
        <v>2642</v>
      </c>
      <c r="B66" s="679" t="s">
        <v>2643</v>
      </c>
      <c r="C66" s="680" t="s">
        <v>2644</v>
      </c>
      <c r="D66" s="681" t="s">
        <v>2642</v>
      </c>
      <c r="E66" s="682"/>
    </row>
    <row r="67" spans="1:5" s="677" customFormat="1" ht="15.75" x14ac:dyDescent="0.2">
      <c r="A67" s="690"/>
      <c r="B67" s="301" t="s">
        <v>2645</v>
      </c>
      <c r="C67" s="703" t="s">
        <v>458</v>
      </c>
      <c r="D67" s="693"/>
      <c r="E67" s="676"/>
    </row>
    <row r="68" spans="1:5" ht="45" x14ac:dyDescent="0.2">
      <c r="A68" s="678" t="s">
        <v>2646</v>
      </c>
      <c r="B68" s="679" t="s">
        <v>2647</v>
      </c>
      <c r="C68" s="680" t="s">
        <v>2648</v>
      </c>
      <c r="D68" s="681" t="s">
        <v>2646</v>
      </c>
      <c r="E68" s="682"/>
    </row>
    <row r="69" spans="1:5" s="701" customFormat="1" ht="20.25" x14ac:dyDescent="0.2">
      <c r="A69" s="678"/>
      <c r="B69" s="687" t="s">
        <v>2649</v>
      </c>
      <c r="C69" s="700" t="s">
        <v>2650</v>
      </c>
      <c r="D69" s="681"/>
    </row>
    <row r="70" spans="1:5" ht="60" x14ac:dyDescent="0.2">
      <c r="A70" s="678" t="s">
        <v>2651</v>
      </c>
      <c r="B70" s="679" t="s">
        <v>2652</v>
      </c>
      <c r="C70" s="680" t="s">
        <v>2653</v>
      </c>
      <c r="D70" s="681" t="s">
        <v>2651</v>
      </c>
      <c r="E70" s="682"/>
    </row>
    <row r="71" spans="1:5" ht="75" x14ac:dyDescent="0.2">
      <c r="A71" s="678" t="s">
        <v>2654</v>
      </c>
      <c r="B71" s="679" t="s">
        <v>2655</v>
      </c>
      <c r="C71" s="680" t="s">
        <v>2656</v>
      </c>
      <c r="D71" s="681" t="s">
        <v>2654</v>
      </c>
      <c r="E71" s="682"/>
    </row>
    <row r="72" spans="1:5" ht="120" x14ac:dyDescent="0.2">
      <c r="A72" s="678" t="s">
        <v>2657</v>
      </c>
      <c r="B72" s="679" t="s">
        <v>2658</v>
      </c>
      <c r="C72" s="680" t="s">
        <v>2659</v>
      </c>
      <c r="D72" s="681" t="s">
        <v>2657</v>
      </c>
      <c r="E72" s="682"/>
    </row>
    <row r="73" spans="1:5" ht="45" x14ac:dyDescent="0.2">
      <c r="A73" s="678" t="s">
        <v>2660</v>
      </c>
      <c r="B73" s="679" t="s">
        <v>2508</v>
      </c>
      <c r="C73" s="680" t="s">
        <v>2509</v>
      </c>
      <c r="D73" s="681" t="s">
        <v>2660</v>
      </c>
      <c r="E73" s="682"/>
    </row>
    <row r="74" spans="1:5" ht="105" x14ac:dyDescent="0.2">
      <c r="A74" s="678" t="s">
        <v>2661</v>
      </c>
      <c r="B74" s="679" t="s">
        <v>2662</v>
      </c>
      <c r="C74" s="680" t="s">
        <v>2663</v>
      </c>
      <c r="D74" s="681" t="s">
        <v>2661</v>
      </c>
      <c r="E74" s="682"/>
    </row>
    <row r="75" spans="1:5" ht="30" x14ac:dyDescent="0.2">
      <c r="A75" s="678" t="s">
        <v>2664</v>
      </c>
      <c r="B75" s="679" t="s">
        <v>2665</v>
      </c>
      <c r="C75" s="680" t="s">
        <v>2513</v>
      </c>
      <c r="D75" s="681" t="s">
        <v>2664</v>
      </c>
      <c r="E75" s="682"/>
    </row>
    <row r="76" spans="1:5" ht="45" x14ac:dyDescent="0.2">
      <c r="A76" s="678" t="s">
        <v>2666</v>
      </c>
      <c r="B76" s="679" t="s">
        <v>2514</v>
      </c>
      <c r="C76" s="680" t="s">
        <v>2515</v>
      </c>
      <c r="D76" s="681" t="s">
        <v>2666</v>
      </c>
      <c r="E76" s="682"/>
    </row>
    <row r="77" spans="1:5" ht="30" x14ac:dyDescent="0.2">
      <c r="A77" s="678" t="s">
        <v>2667</v>
      </c>
      <c r="B77" s="679" t="s">
        <v>2516</v>
      </c>
      <c r="C77" s="680" t="s">
        <v>2517</v>
      </c>
      <c r="D77" s="681" t="s">
        <v>2667</v>
      </c>
      <c r="E77" s="682"/>
    </row>
    <row r="78" spans="1:5" ht="30" x14ac:dyDescent="0.2">
      <c r="A78" s="678" t="s">
        <v>2668</v>
      </c>
      <c r="B78" s="684" t="s">
        <v>2518</v>
      </c>
      <c r="C78" s="680" t="s">
        <v>2519</v>
      </c>
      <c r="D78" s="681" t="s">
        <v>2668</v>
      </c>
      <c r="E78" s="682"/>
    </row>
    <row r="79" spans="1:5" s="677" customFormat="1" ht="15" x14ac:dyDescent="0.2">
      <c r="A79" s="690" t="s">
        <v>2669</v>
      </c>
      <c r="B79" s="684" t="s">
        <v>2521</v>
      </c>
      <c r="C79" s="704" t="s">
        <v>2522</v>
      </c>
      <c r="D79" s="693" t="s">
        <v>2669</v>
      </c>
      <c r="E79" s="676"/>
    </row>
    <row r="80" spans="1:5" ht="90" x14ac:dyDescent="0.2">
      <c r="A80" s="678" t="s">
        <v>2670</v>
      </c>
      <c r="B80" s="679" t="s">
        <v>2524</v>
      </c>
      <c r="C80" s="680" t="s">
        <v>2525</v>
      </c>
      <c r="D80" s="681" t="s">
        <v>2670</v>
      </c>
      <c r="E80" s="682"/>
    </row>
    <row r="81" spans="1:5" ht="30" x14ac:dyDescent="0.2">
      <c r="A81" s="678" t="s">
        <v>2671</v>
      </c>
      <c r="B81" s="679" t="s">
        <v>2527</v>
      </c>
      <c r="C81" s="680" t="s">
        <v>2672</v>
      </c>
      <c r="D81" s="681" t="s">
        <v>2671</v>
      </c>
      <c r="E81" s="682"/>
    </row>
    <row r="82" spans="1:5" ht="30" x14ac:dyDescent="0.2">
      <c r="A82" s="678" t="s">
        <v>2673</v>
      </c>
      <c r="B82" s="679" t="s">
        <v>2674</v>
      </c>
      <c r="C82" s="680" t="s">
        <v>2675</v>
      </c>
      <c r="D82" s="681" t="s">
        <v>2673</v>
      </c>
      <c r="E82" s="682"/>
    </row>
    <row r="83" spans="1:5" s="701" customFormat="1" ht="40.5" x14ac:dyDescent="0.2">
      <c r="A83" s="678"/>
      <c r="B83" s="687" t="s">
        <v>2676</v>
      </c>
      <c r="C83" s="700" t="s">
        <v>2677</v>
      </c>
      <c r="D83" s="681"/>
    </row>
    <row r="84" spans="1:5" ht="75" x14ac:dyDescent="0.2">
      <c r="A84" s="678" t="s">
        <v>2678</v>
      </c>
      <c r="B84" s="679" t="s">
        <v>2679</v>
      </c>
      <c r="C84" s="680" t="s">
        <v>2680</v>
      </c>
      <c r="D84" s="681" t="s">
        <v>2678</v>
      </c>
      <c r="E84" s="682"/>
    </row>
    <row r="85" spans="1:5" ht="45" x14ac:dyDescent="0.2">
      <c r="A85" s="678" t="s">
        <v>2681</v>
      </c>
      <c r="B85" s="679" t="s">
        <v>2682</v>
      </c>
      <c r="C85" s="680" t="s">
        <v>2683</v>
      </c>
      <c r="D85" s="681" t="s">
        <v>2681</v>
      </c>
      <c r="E85" s="682"/>
    </row>
    <row r="86" spans="1:5" ht="30" x14ac:dyDescent="0.2">
      <c r="A86" s="678" t="s">
        <v>2684</v>
      </c>
      <c r="B86" s="679" t="s">
        <v>2685</v>
      </c>
      <c r="C86" s="680" t="s">
        <v>2686</v>
      </c>
      <c r="D86" s="681" t="s">
        <v>2684</v>
      </c>
      <c r="E86" s="682"/>
    </row>
    <row r="87" spans="1:5" ht="75" x14ac:dyDescent="0.2">
      <c r="A87" s="678" t="s">
        <v>2687</v>
      </c>
      <c r="B87" s="679" t="s">
        <v>2688</v>
      </c>
      <c r="C87" s="680" t="s">
        <v>2689</v>
      </c>
      <c r="D87" s="681" t="s">
        <v>2687</v>
      </c>
      <c r="E87" s="682"/>
    </row>
    <row r="88" spans="1:5" ht="45" x14ac:dyDescent="0.2">
      <c r="A88" s="678" t="s">
        <v>2690</v>
      </c>
      <c r="B88" s="679" t="s">
        <v>2691</v>
      </c>
      <c r="C88" s="680" t="s">
        <v>2692</v>
      </c>
      <c r="D88" s="681" t="s">
        <v>2690</v>
      </c>
      <c r="E88" s="682"/>
    </row>
    <row r="89" spans="1:5" ht="30" x14ac:dyDescent="0.2">
      <c r="A89" s="678" t="s">
        <v>2693</v>
      </c>
      <c r="B89" s="679" t="s">
        <v>2694</v>
      </c>
      <c r="C89" s="680" t="s">
        <v>2695</v>
      </c>
      <c r="D89" s="681" t="s">
        <v>2693</v>
      </c>
      <c r="E89" s="682"/>
    </row>
    <row r="90" spans="1:5" ht="30" x14ac:dyDescent="0.2">
      <c r="A90" s="678" t="s">
        <v>2696</v>
      </c>
      <c r="B90" s="679" t="s">
        <v>2697</v>
      </c>
      <c r="C90" s="680" t="s">
        <v>2698</v>
      </c>
      <c r="D90" s="681" t="s">
        <v>2696</v>
      </c>
      <c r="E90" s="682"/>
    </row>
    <row r="91" spans="1:5" ht="60" x14ac:dyDescent="0.2">
      <c r="A91" s="678" t="s">
        <v>2699</v>
      </c>
      <c r="B91" s="679" t="s">
        <v>2700</v>
      </c>
      <c r="C91" s="680" t="s">
        <v>2701</v>
      </c>
      <c r="D91" s="681" t="s">
        <v>2699</v>
      </c>
      <c r="E91" s="682"/>
    </row>
    <row r="92" spans="1:5" ht="45" x14ac:dyDescent="0.2">
      <c r="A92" s="678" t="s">
        <v>2702</v>
      </c>
      <c r="B92" s="679" t="s">
        <v>2703</v>
      </c>
      <c r="C92" s="680" t="s">
        <v>2704</v>
      </c>
      <c r="D92" s="681" t="s">
        <v>2702</v>
      </c>
      <c r="E92" s="682"/>
    </row>
    <row r="93" spans="1:5" ht="45" x14ac:dyDescent="0.2">
      <c r="A93" s="678" t="s">
        <v>2705</v>
      </c>
      <c r="B93" s="679" t="s">
        <v>2706</v>
      </c>
      <c r="C93" s="680" t="s">
        <v>2707</v>
      </c>
      <c r="D93" s="681" t="s">
        <v>2705</v>
      </c>
      <c r="E93" s="682"/>
    </row>
    <row r="94" spans="1:5" ht="45.75" thickBot="1" x14ac:dyDescent="0.25">
      <c r="A94" s="705" t="s">
        <v>2708</v>
      </c>
      <c r="B94" s="706" t="s">
        <v>2709</v>
      </c>
      <c r="C94" s="707" t="s">
        <v>2710</v>
      </c>
      <c r="D94" s="708" t="s">
        <v>2708</v>
      </c>
      <c r="E94" s="682"/>
    </row>
    <row r="95" spans="1:5" x14ac:dyDescent="0.2">
      <c r="A95" s="709"/>
      <c r="B95" s="710"/>
      <c r="C95" s="711"/>
      <c r="D95" s="712"/>
    </row>
  </sheetData>
  <pageMargins left="0.70866141732283505" right="0.70866141732283505" top="0.74803149606299202" bottom="0.74803149606299202" header="0.31496062992126" footer="0.31496062992126"/>
  <pageSetup paperSize="9" scale="51" firstPageNumber="3" fitToHeight="0" orientation="landscape" r:id="rId1"/>
  <rowBreaks count="5" manualBreakCount="5">
    <brk id="17" max="3" man="1"/>
    <brk id="30" max="3" man="1"/>
    <brk id="45" max="3" man="1"/>
    <brk id="63" max="3" man="1"/>
    <brk id="82"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8483-10FF-44BF-B070-0284232E10B0}">
  <sheetPr>
    <tabColor rgb="FFFFFF00"/>
    <pageSetUpPr fitToPage="1"/>
  </sheetPr>
  <dimension ref="A1:Y662"/>
  <sheetViews>
    <sheetView showGridLines="0" showZeros="0" view="pageBreakPreview" zoomScale="85" zoomScaleNormal="100" zoomScaleSheetLayoutView="85" zoomScalePageLayoutView="55" workbookViewId="0">
      <selection activeCell="A2" sqref="A2"/>
    </sheetView>
  </sheetViews>
  <sheetFormatPr defaultColWidth="9.140625" defaultRowHeight="12.75" outlineLevelRow="1" x14ac:dyDescent="0.2"/>
  <cols>
    <col min="1" max="1" width="15.42578125" style="275" customWidth="1"/>
    <col min="2" max="2" width="52.5703125" style="96" customWidth="1"/>
    <col min="3" max="3" width="7.7109375" style="276" customWidth="1"/>
    <col min="4" max="4" width="10.28515625" style="95" bestFit="1" customWidth="1"/>
    <col min="5" max="5" width="12" style="848" bestFit="1" customWidth="1"/>
    <col min="6" max="6" width="21.5703125" style="849" customWidth="1"/>
    <col min="7" max="7" width="58.85546875" style="64" customWidth="1"/>
    <col min="8" max="8" width="36" style="64" customWidth="1"/>
    <col min="9" max="15" width="9.140625" style="64"/>
    <col min="16" max="16" width="12.7109375" style="64" customWidth="1"/>
    <col min="17" max="20" width="9.140625" style="64"/>
    <col min="21" max="21" width="11.85546875" style="64" customWidth="1"/>
    <col min="22" max="24" width="9.140625" style="64"/>
    <col min="25" max="25" width="12.85546875" style="64" customWidth="1"/>
    <col min="26" max="16384" width="9.140625" style="64"/>
  </cols>
  <sheetData>
    <row r="1" spans="1:9" ht="37.5" customHeight="1" outlineLevel="1" x14ac:dyDescent="0.2">
      <c r="A1" s="1064" t="str">
        <f>Cover1!B12</f>
        <v>اسم المشروع: تطوير شبكات البنية التحتية في المدينة الصناعية بالخرج</v>
      </c>
      <c r="B1" s="1065"/>
      <c r="C1" s="1066"/>
      <c r="D1" s="1067"/>
      <c r="E1" s="1067"/>
      <c r="F1" s="1068"/>
      <c r="G1" s="63"/>
      <c r="H1" s="853" t="str">
        <f>Cover1!J12</f>
        <v>Development of Infrastructure in Kharj Industrial City</v>
      </c>
      <c r="I1" s="885"/>
    </row>
    <row r="2" spans="1:9" ht="20.100000000000001" customHeight="1" outlineLevel="1" x14ac:dyDescent="0.2">
      <c r="A2" s="65" t="s">
        <v>26</v>
      </c>
      <c r="B2" s="66"/>
      <c r="C2" s="1069"/>
      <c r="D2" s="1070"/>
      <c r="E2" s="1070"/>
      <c r="F2" s="1071"/>
      <c r="G2" s="67"/>
      <c r="H2" s="854" t="s">
        <v>27</v>
      </c>
      <c r="I2" s="885"/>
    </row>
    <row r="3" spans="1:9" ht="24.75" customHeight="1" outlineLevel="1" x14ac:dyDescent="0.2">
      <c r="A3" s="68"/>
      <c r="B3" s="69"/>
      <c r="C3" s="1069"/>
      <c r="D3" s="1070"/>
      <c r="E3" s="1070"/>
      <c r="F3" s="1071"/>
      <c r="G3" s="70"/>
      <c r="H3" s="855"/>
      <c r="I3" s="885"/>
    </row>
    <row r="4" spans="1:9" ht="32.25" customHeight="1" outlineLevel="1" x14ac:dyDescent="0.2">
      <c r="A4" s="1072" t="s">
        <v>28</v>
      </c>
      <c r="B4" s="1072" t="s">
        <v>8</v>
      </c>
      <c r="C4" s="71" t="s">
        <v>29</v>
      </c>
      <c r="D4" s="72" t="s">
        <v>30</v>
      </c>
      <c r="E4" s="827" t="s">
        <v>31</v>
      </c>
      <c r="F4" s="827" t="s">
        <v>32</v>
      </c>
      <c r="G4" s="1073" t="s">
        <v>33</v>
      </c>
      <c r="H4" s="1063" t="s">
        <v>34</v>
      </c>
      <c r="I4" s="885"/>
    </row>
    <row r="5" spans="1:9" ht="19.5" customHeight="1" outlineLevel="1" x14ac:dyDescent="0.2">
      <c r="A5" s="1072"/>
      <c r="B5" s="1072"/>
      <c r="C5" s="71" t="s">
        <v>35</v>
      </c>
      <c r="D5" s="72" t="s">
        <v>36</v>
      </c>
      <c r="E5" s="827" t="s">
        <v>37</v>
      </c>
      <c r="F5" s="827" t="s">
        <v>38</v>
      </c>
      <c r="G5" s="1073"/>
      <c r="H5" s="1063"/>
      <c r="I5" s="885"/>
    </row>
    <row r="6" spans="1:9" ht="21" customHeight="1" outlineLevel="1" x14ac:dyDescent="0.2">
      <c r="A6" s="1056" t="s">
        <v>39</v>
      </c>
      <c r="B6" s="1057"/>
      <c r="C6" s="1058"/>
      <c r="D6" s="1059"/>
      <c r="E6" s="1059"/>
      <c r="F6" s="1060"/>
      <c r="G6" s="1061" t="s">
        <v>40</v>
      </c>
      <c r="H6" s="1062"/>
      <c r="I6" s="885"/>
    </row>
    <row r="7" spans="1:9" s="79" customFormat="1" ht="23.25" customHeight="1" outlineLevel="1" x14ac:dyDescent="0.2">
      <c r="A7" s="73" t="str">
        <f t="shared" ref="A7:A10" si="0">H7</f>
        <v>02 41 00</v>
      </c>
      <c r="B7" s="74" t="s">
        <v>41</v>
      </c>
      <c r="C7" s="75"/>
      <c r="D7" s="76"/>
      <c r="E7" s="77"/>
      <c r="F7" s="77"/>
      <c r="G7" s="78" t="s">
        <v>42</v>
      </c>
      <c r="H7" s="856" t="s">
        <v>43</v>
      </c>
    </row>
    <row r="8" spans="1:9" s="79" customFormat="1" ht="23.25" customHeight="1" outlineLevel="1" x14ac:dyDescent="0.2">
      <c r="A8" s="73" t="str">
        <f t="shared" si="0"/>
        <v>B1.02 41 00.1</v>
      </c>
      <c r="B8" s="80" t="s">
        <v>44</v>
      </c>
      <c r="C8" s="81" t="s">
        <v>45</v>
      </c>
      <c r="D8" s="82">
        <v>2200</v>
      </c>
      <c r="E8" s="82">
        <v>9</v>
      </c>
      <c r="F8" s="82">
        <f>E8*D8</f>
        <v>19800</v>
      </c>
      <c r="G8" s="83" t="s">
        <v>46</v>
      </c>
      <c r="H8" s="856" t="s">
        <v>47</v>
      </c>
    </row>
    <row r="9" spans="1:9" s="79" customFormat="1" ht="23.25" customHeight="1" outlineLevel="1" x14ac:dyDescent="0.2">
      <c r="A9" s="73" t="str">
        <f t="shared" si="0"/>
        <v>B1.02 41 00.2</v>
      </c>
      <c r="B9" s="80" t="s">
        <v>48</v>
      </c>
      <c r="C9" s="81" t="s">
        <v>45</v>
      </c>
      <c r="D9" s="82">
        <v>2200</v>
      </c>
      <c r="E9" s="82">
        <v>5</v>
      </c>
      <c r="F9" s="82">
        <f t="shared" ref="F9:F24" si="1">E9*D9</f>
        <v>11000</v>
      </c>
      <c r="G9" s="83" t="s">
        <v>49</v>
      </c>
      <c r="H9" s="856" t="s">
        <v>50</v>
      </c>
    </row>
    <row r="10" spans="1:9" s="79" customFormat="1" ht="23.25" customHeight="1" outlineLevel="1" x14ac:dyDescent="0.2">
      <c r="A10" s="73" t="str">
        <f t="shared" si="0"/>
        <v>B1.02 41 00.3</v>
      </c>
      <c r="B10" s="80" t="s">
        <v>51</v>
      </c>
      <c r="C10" s="81" t="s">
        <v>52</v>
      </c>
      <c r="D10" s="82">
        <v>464</v>
      </c>
      <c r="E10" s="82">
        <v>12</v>
      </c>
      <c r="F10" s="82">
        <f t="shared" si="1"/>
        <v>5568</v>
      </c>
      <c r="G10" s="83" t="s">
        <v>53</v>
      </c>
      <c r="H10" s="856" t="s">
        <v>54</v>
      </c>
    </row>
    <row r="11" spans="1:9" ht="24.75" customHeight="1" x14ac:dyDescent="0.2">
      <c r="A11" s="84" t="str">
        <f>H11</f>
        <v>31 22 00</v>
      </c>
      <c r="B11" s="85" t="s">
        <v>55</v>
      </c>
      <c r="C11" s="86"/>
      <c r="D11" s="87">
        <v>0</v>
      </c>
      <c r="E11" s="313"/>
      <c r="F11" s="82"/>
      <c r="G11" s="88" t="s">
        <v>56</v>
      </c>
      <c r="H11" s="857" t="s">
        <v>57</v>
      </c>
      <c r="I11" s="885"/>
    </row>
    <row r="12" spans="1:9" ht="27.75" customHeight="1" x14ac:dyDescent="0.2">
      <c r="A12" s="84" t="str">
        <f t="shared" ref="A12:A18" si="2">H12</f>
        <v>B1.31 22 00.01</v>
      </c>
      <c r="B12" s="90" t="s">
        <v>58</v>
      </c>
      <c r="C12" s="84" t="s">
        <v>59</v>
      </c>
      <c r="D12" s="91">
        <v>205106</v>
      </c>
      <c r="E12" s="82">
        <v>14</v>
      </c>
      <c r="F12" s="82">
        <f t="shared" si="1"/>
        <v>2871484</v>
      </c>
      <c r="G12" s="93" t="s">
        <v>60</v>
      </c>
      <c r="H12" s="857" t="s">
        <v>61</v>
      </c>
      <c r="I12" s="885"/>
    </row>
    <row r="13" spans="1:9" s="96" customFormat="1" ht="27" customHeight="1" x14ac:dyDescent="0.2">
      <c r="A13" s="84" t="str">
        <f t="shared" si="2"/>
        <v>B1.31 22 00.02</v>
      </c>
      <c r="B13" s="90" t="s">
        <v>62</v>
      </c>
      <c r="C13" s="84" t="s">
        <v>59</v>
      </c>
      <c r="D13" s="91">
        <v>1378709</v>
      </c>
      <c r="E13" s="82">
        <v>20</v>
      </c>
      <c r="F13" s="82">
        <f t="shared" si="1"/>
        <v>27574180</v>
      </c>
      <c r="G13" s="93" t="s">
        <v>63</v>
      </c>
      <c r="H13" s="857" t="s">
        <v>64</v>
      </c>
      <c r="I13" s="886"/>
    </row>
    <row r="14" spans="1:9" s="98" customFormat="1" ht="26.25" customHeight="1" x14ac:dyDescent="0.2">
      <c r="A14" s="84" t="str">
        <f t="shared" si="2"/>
        <v>B1.31 22 00.03</v>
      </c>
      <c r="B14" s="97" t="s">
        <v>65</v>
      </c>
      <c r="C14" s="84" t="s">
        <v>59</v>
      </c>
      <c r="D14" s="91">
        <v>222337</v>
      </c>
      <c r="E14" s="82">
        <v>18</v>
      </c>
      <c r="F14" s="82">
        <f t="shared" si="1"/>
        <v>4002066</v>
      </c>
      <c r="G14" s="93" t="s">
        <v>66</v>
      </c>
      <c r="H14" s="857" t="s">
        <v>67</v>
      </c>
      <c r="I14" s="887"/>
    </row>
    <row r="15" spans="1:9" s="98" customFormat="1" ht="24" customHeight="1" x14ac:dyDescent="0.2">
      <c r="A15" s="84" t="str">
        <f t="shared" si="2"/>
        <v>32 11 23</v>
      </c>
      <c r="B15" s="85" t="s">
        <v>68</v>
      </c>
      <c r="C15" s="86"/>
      <c r="D15" s="99">
        <v>0</v>
      </c>
      <c r="E15" s="828"/>
      <c r="F15" s="82"/>
      <c r="G15" s="100" t="s">
        <v>69</v>
      </c>
      <c r="H15" s="858" t="s">
        <v>70</v>
      </c>
      <c r="I15" s="887"/>
    </row>
    <row r="16" spans="1:9" s="98" customFormat="1" ht="24.75" customHeight="1" x14ac:dyDescent="0.2">
      <c r="A16" s="84" t="str">
        <f t="shared" si="2"/>
        <v>B1.32 11 23.01</v>
      </c>
      <c r="B16" s="90" t="s">
        <v>68</v>
      </c>
      <c r="C16" s="84" t="s">
        <v>59</v>
      </c>
      <c r="D16" s="91">
        <v>145216</v>
      </c>
      <c r="E16" s="82">
        <v>65</v>
      </c>
      <c r="F16" s="82">
        <f t="shared" si="1"/>
        <v>9439040</v>
      </c>
      <c r="G16" s="93" t="s">
        <v>71</v>
      </c>
      <c r="H16" s="858" t="s">
        <v>72</v>
      </c>
      <c r="I16" s="887"/>
    </row>
    <row r="17" spans="1:9" s="101" customFormat="1" ht="21.75" customHeight="1" x14ac:dyDescent="0.2">
      <c r="A17" s="84" t="str">
        <f t="shared" si="2"/>
        <v>32 11 26</v>
      </c>
      <c r="B17" s="102" t="s">
        <v>73</v>
      </c>
      <c r="C17" s="86"/>
      <c r="D17" s="87">
        <v>0</v>
      </c>
      <c r="E17" s="313"/>
      <c r="F17" s="82"/>
      <c r="G17" s="88" t="s">
        <v>74</v>
      </c>
      <c r="H17" s="857" t="s">
        <v>75</v>
      </c>
      <c r="I17" s="888"/>
    </row>
    <row r="18" spans="1:9" s="98" customFormat="1" ht="33.75" customHeight="1" x14ac:dyDescent="0.2">
      <c r="A18" s="84" t="str">
        <f t="shared" si="2"/>
        <v>B1.32 11 26.02</v>
      </c>
      <c r="B18" s="90" t="s">
        <v>76</v>
      </c>
      <c r="C18" s="84" t="s">
        <v>59</v>
      </c>
      <c r="D18" s="91">
        <v>63389</v>
      </c>
      <c r="E18" s="82">
        <v>642</v>
      </c>
      <c r="F18" s="82">
        <f t="shared" si="1"/>
        <v>40695738</v>
      </c>
      <c r="G18" s="93" t="s">
        <v>77</v>
      </c>
      <c r="H18" s="857" t="s">
        <v>78</v>
      </c>
      <c r="I18" s="887"/>
    </row>
    <row r="19" spans="1:9" s="98" customFormat="1" ht="24" customHeight="1" x14ac:dyDescent="0.2">
      <c r="A19" s="84" t="str">
        <f>H19</f>
        <v>32 12 16</v>
      </c>
      <c r="B19" s="85" t="s">
        <v>79</v>
      </c>
      <c r="C19" s="86"/>
      <c r="D19" s="99">
        <v>0</v>
      </c>
      <c r="E19" s="828"/>
      <c r="F19" s="82"/>
      <c r="G19" s="100" t="s">
        <v>80</v>
      </c>
      <c r="H19" s="858" t="s">
        <v>81</v>
      </c>
      <c r="I19" s="887"/>
    </row>
    <row r="20" spans="1:9" s="101" customFormat="1" ht="34.5" customHeight="1" x14ac:dyDescent="0.2">
      <c r="A20" s="84" t="str">
        <f t="shared" ref="A20" si="3">H20</f>
        <v>B1.32 12 16.01</v>
      </c>
      <c r="B20" s="90" t="s">
        <v>82</v>
      </c>
      <c r="C20" s="84" t="s">
        <v>59</v>
      </c>
      <c r="D20" s="91">
        <v>36304</v>
      </c>
      <c r="E20" s="82">
        <v>648</v>
      </c>
      <c r="F20" s="82">
        <f t="shared" si="1"/>
        <v>23524992</v>
      </c>
      <c r="G20" s="93" t="s">
        <v>83</v>
      </c>
      <c r="H20" s="859" t="s">
        <v>84</v>
      </c>
      <c r="I20" s="888"/>
    </row>
    <row r="21" spans="1:9" s="104" customFormat="1" ht="20.25" customHeight="1" x14ac:dyDescent="0.2">
      <c r="A21" s="84" t="str">
        <f>H21</f>
        <v>32 14 13</v>
      </c>
      <c r="B21" s="85" t="s">
        <v>85</v>
      </c>
      <c r="C21" s="86"/>
      <c r="D21" s="87">
        <v>0</v>
      </c>
      <c r="E21" s="313"/>
      <c r="F21" s="82"/>
      <c r="G21" s="100" t="s">
        <v>86</v>
      </c>
      <c r="H21" s="859" t="s">
        <v>87</v>
      </c>
      <c r="I21" s="889"/>
    </row>
    <row r="22" spans="1:9" s="104" customFormat="1" ht="21.75" customHeight="1" x14ac:dyDescent="0.2">
      <c r="A22" s="84" t="str">
        <f>H22</f>
        <v>B1.32 14 13.01</v>
      </c>
      <c r="B22" s="90" t="s">
        <v>88</v>
      </c>
      <c r="C22" s="84" t="s">
        <v>52</v>
      </c>
      <c r="D22" s="91">
        <v>79448</v>
      </c>
      <c r="E22" s="82">
        <v>65</v>
      </c>
      <c r="F22" s="82">
        <f t="shared" si="1"/>
        <v>5164120</v>
      </c>
      <c r="G22" s="93" t="s">
        <v>89</v>
      </c>
      <c r="H22" s="859" t="s">
        <v>90</v>
      </c>
      <c r="I22" s="889"/>
    </row>
    <row r="23" spans="1:9" s="104" customFormat="1" ht="22.5" customHeight="1" x14ac:dyDescent="0.2">
      <c r="A23" s="84" t="str">
        <f>H23</f>
        <v>B1.32 14 13.02</v>
      </c>
      <c r="B23" s="90" t="s">
        <v>91</v>
      </c>
      <c r="C23" s="84" t="s">
        <v>52</v>
      </c>
      <c r="D23" s="91">
        <v>21624</v>
      </c>
      <c r="E23" s="82">
        <v>60</v>
      </c>
      <c r="F23" s="82">
        <f t="shared" si="1"/>
        <v>1297440</v>
      </c>
      <c r="G23" s="93" t="s">
        <v>92</v>
      </c>
      <c r="H23" s="859" t="s">
        <v>93</v>
      </c>
      <c r="I23" s="889"/>
    </row>
    <row r="24" spans="1:9" s="104" customFormat="1" ht="22.5" customHeight="1" x14ac:dyDescent="0.2">
      <c r="A24" s="84" t="str">
        <f>H24</f>
        <v>B1.32 14 13.03</v>
      </c>
      <c r="B24" s="90" t="s">
        <v>94</v>
      </c>
      <c r="C24" s="84" t="s">
        <v>52</v>
      </c>
      <c r="D24" s="91">
        <v>2755</v>
      </c>
      <c r="E24" s="82">
        <v>63</v>
      </c>
      <c r="F24" s="82">
        <f t="shared" si="1"/>
        <v>173565</v>
      </c>
      <c r="G24" s="93" t="s">
        <v>95</v>
      </c>
      <c r="H24" s="859" t="s">
        <v>96</v>
      </c>
      <c r="I24" s="889"/>
    </row>
    <row r="25" spans="1:9" s="104" customFormat="1" ht="22.5" customHeight="1" x14ac:dyDescent="0.2">
      <c r="A25" s="84"/>
      <c r="B25" s="90"/>
      <c r="C25" s="84"/>
      <c r="D25" s="91"/>
      <c r="E25" s="113"/>
      <c r="F25" s="113"/>
      <c r="G25" s="93"/>
      <c r="H25" s="859"/>
      <c r="I25" s="889"/>
    </row>
    <row r="26" spans="1:9" s="104" customFormat="1" ht="22.5" customHeight="1" x14ac:dyDescent="0.2">
      <c r="A26" s="84"/>
      <c r="B26" s="90"/>
      <c r="C26" s="84"/>
      <c r="D26" s="91"/>
      <c r="E26" s="113"/>
      <c r="F26" s="113"/>
      <c r="G26" s="93"/>
      <c r="H26" s="859"/>
      <c r="I26" s="889"/>
    </row>
    <row r="27" spans="1:9" s="104" customFormat="1" ht="22.5" customHeight="1" x14ac:dyDescent="0.2">
      <c r="A27" s="84"/>
      <c r="B27" s="90"/>
      <c r="C27" s="84"/>
      <c r="D27" s="91"/>
      <c r="E27" s="113"/>
      <c r="F27" s="113"/>
      <c r="G27" s="93"/>
      <c r="H27" s="859"/>
      <c r="I27" s="889"/>
    </row>
    <row r="28" spans="1:9" s="104" customFormat="1" ht="22.5" customHeight="1" x14ac:dyDescent="0.2">
      <c r="A28" s="84"/>
      <c r="B28" s="90"/>
      <c r="C28" s="84"/>
      <c r="D28" s="91"/>
      <c r="E28" s="113"/>
      <c r="F28" s="113"/>
      <c r="G28" s="93"/>
      <c r="H28" s="859"/>
      <c r="I28" s="889"/>
    </row>
    <row r="29" spans="1:9" s="104" customFormat="1" ht="22.5" customHeight="1" x14ac:dyDescent="0.2">
      <c r="A29" s="84"/>
      <c r="B29" s="90"/>
      <c r="C29" s="84"/>
      <c r="D29" s="91"/>
      <c r="E29" s="113"/>
      <c r="F29" s="113"/>
      <c r="G29" s="93"/>
      <c r="H29" s="859"/>
      <c r="I29" s="889"/>
    </row>
    <row r="30" spans="1:9" s="104" customFormat="1" ht="22.5" customHeight="1" x14ac:dyDescent="0.2">
      <c r="A30" s="84"/>
      <c r="B30" s="90"/>
      <c r="C30" s="84"/>
      <c r="D30" s="91"/>
      <c r="E30" s="113"/>
      <c r="F30" s="113"/>
      <c r="G30" s="93"/>
      <c r="H30" s="859"/>
      <c r="I30" s="889"/>
    </row>
    <row r="31" spans="1:9" s="104" customFormat="1" ht="22.5" customHeight="1" x14ac:dyDescent="0.2">
      <c r="A31" s="84"/>
      <c r="B31" s="90"/>
      <c r="C31" s="84"/>
      <c r="D31" s="91"/>
      <c r="E31" s="113"/>
      <c r="F31" s="113"/>
      <c r="G31" s="93"/>
      <c r="H31" s="859"/>
      <c r="I31" s="889"/>
    </row>
    <row r="32" spans="1:9" s="110" customFormat="1" ht="30" customHeight="1" x14ac:dyDescent="0.2">
      <c r="A32" s="105"/>
      <c r="B32" s="106" t="s">
        <v>97</v>
      </c>
      <c r="C32" s="1039" t="s">
        <v>98</v>
      </c>
      <c r="D32" s="1039"/>
      <c r="E32" s="1039"/>
      <c r="F32" s="829">
        <f>SUM(F8:F24)</f>
        <v>114778993</v>
      </c>
      <c r="G32" s="109" t="s">
        <v>99</v>
      </c>
      <c r="H32" s="860"/>
      <c r="I32" s="890"/>
    </row>
    <row r="33" spans="1:9" s="98" customFormat="1" ht="26.25" customHeight="1" x14ac:dyDescent="0.2">
      <c r="A33" s="84" t="str">
        <f t="shared" ref="A33:A43" si="4">H33</f>
        <v>32 17 23</v>
      </c>
      <c r="B33" s="111" t="s">
        <v>100</v>
      </c>
      <c r="C33" s="112"/>
      <c r="D33" s="87"/>
      <c r="E33" s="313"/>
      <c r="F33" s="830"/>
      <c r="G33" s="88" t="s">
        <v>101</v>
      </c>
      <c r="H33" s="859" t="s">
        <v>102</v>
      </c>
      <c r="I33" s="887"/>
    </row>
    <row r="34" spans="1:9" s="98" customFormat="1" ht="25.5" customHeight="1" x14ac:dyDescent="0.2">
      <c r="A34" s="84" t="str">
        <f t="shared" si="4"/>
        <v>32 17 23.01</v>
      </c>
      <c r="B34" s="111" t="s">
        <v>103</v>
      </c>
      <c r="C34" s="112"/>
      <c r="D34" s="87"/>
      <c r="E34" s="313"/>
      <c r="F34" s="830"/>
      <c r="G34" s="88" t="s">
        <v>104</v>
      </c>
      <c r="H34" s="859" t="s">
        <v>105</v>
      </c>
      <c r="I34" s="887"/>
    </row>
    <row r="35" spans="1:9" s="98" customFormat="1" ht="25.5" customHeight="1" x14ac:dyDescent="0.2">
      <c r="A35" s="84" t="str">
        <f t="shared" si="4"/>
        <v>B1.32 17 23.01.01</v>
      </c>
      <c r="B35" s="97" t="s">
        <v>106</v>
      </c>
      <c r="C35" s="84" t="s">
        <v>107</v>
      </c>
      <c r="D35" s="113">
        <v>18149</v>
      </c>
      <c r="E35" s="82">
        <v>41</v>
      </c>
      <c r="F35" s="113">
        <f>E35*D35</f>
        <v>744109</v>
      </c>
      <c r="G35" s="114" t="s">
        <v>108</v>
      </c>
      <c r="H35" s="859" t="s">
        <v>109</v>
      </c>
      <c r="I35" s="887"/>
    </row>
    <row r="36" spans="1:9" s="101" customFormat="1" ht="24.75" customHeight="1" x14ac:dyDescent="0.2">
      <c r="A36" s="84" t="str">
        <f t="shared" si="4"/>
        <v>B1.32 17 23.01.02</v>
      </c>
      <c r="B36" s="97" t="s">
        <v>110</v>
      </c>
      <c r="C36" s="84" t="s">
        <v>107</v>
      </c>
      <c r="D36" s="113">
        <v>11771</v>
      </c>
      <c r="E36" s="82">
        <v>41</v>
      </c>
      <c r="F36" s="113">
        <f>E36*D36</f>
        <v>482611</v>
      </c>
      <c r="G36" s="114" t="s">
        <v>111</v>
      </c>
      <c r="H36" s="859" t="s">
        <v>112</v>
      </c>
      <c r="I36" s="888"/>
    </row>
    <row r="37" spans="1:9" s="101" customFormat="1" ht="24" customHeight="1" x14ac:dyDescent="0.2">
      <c r="A37" s="84" t="str">
        <f t="shared" si="4"/>
        <v>10 14 53</v>
      </c>
      <c r="B37" s="85" t="s">
        <v>113</v>
      </c>
      <c r="C37" s="86"/>
      <c r="D37" s="87">
        <v>0</v>
      </c>
      <c r="E37" s="313"/>
      <c r="F37" s="113"/>
      <c r="G37" s="88" t="s">
        <v>114</v>
      </c>
      <c r="H37" s="857" t="s">
        <v>115</v>
      </c>
      <c r="I37" s="888"/>
    </row>
    <row r="38" spans="1:9" s="101" customFormat="1" ht="42" customHeight="1" x14ac:dyDescent="0.2">
      <c r="A38" s="84" t="str">
        <f t="shared" si="4"/>
        <v>B1.10 14 53.01</v>
      </c>
      <c r="B38" s="97" t="s">
        <v>116</v>
      </c>
      <c r="C38" s="103" t="s">
        <v>35</v>
      </c>
      <c r="D38" s="91">
        <v>482</v>
      </c>
      <c r="E38" s="82">
        <v>1065</v>
      </c>
      <c r="F38" s="113">
        <f t="shared" ref="F38:F43" si="5">E38*D38</f>
        <v>513330</v>
      </c>
      <c r="G38" s="93" t="s">
        <v>117</v>
      </c>
      <c r="H38" s="857" t="s">
        <v>118</v>
      </c>
      <c r="I38" s="888"/>
    </row>
    <row r="39" spans="1:9" s="101" customFormat="1" ht="45.75" customHeight="1" x14ac:dyDescent="0.2">
      <c r="A39" s="84" t="str">
        <f t="shared" si="4"/>
        <v>B1.10 14 53.02</v>
      </c>
      <c r="B39" s="97" t="s">
        <v>119</v>
      </c>
      <c r="C39" s="103" t="s">
        <v>35</v>
      </c>
      <c r="D39" s="91">
        <v>275</v>
      </c>
      <c r="E39" s="82">
        <v>1597</v>
      </c>
      <c r="F39" s="113">
        <f t="shared" si="5"/>
        <v>439175</v>
      </c>
      <c r="G39" s="93" t="s">
        <v>120</v>
      </c>
      <c r="H39" s="857" t="s">
        <v>121</v>
      </c>
      <c r="I39" s="888"/>
    </row>
    <row r="40" spans="1:9" s="98" customFormat="1" ht="41.25" customHeight="1" x14ac:dyDescent="0.2">
      <c r="A40" s="84" t="str">
        <f t="shared" si="4"/>
        <v>B1.10 14 53.03</v>
      </c>
      <c r="B40" s="97" t="s">
        <v>122</v>
      </c>
      <c r="C40" s="103" t="s">
        <v>35</v>
      </c>
      <c r="D40" s="91">
        <v>45</v>
      </c>
      <c r="E40" s="82">
        <v>2070</v>
      </c>
      <c r="F40" s="113">
        <f t="shared" si="5"/>
        <v>93150</v>
      </c>
      <c r="G40" s="93" t="s">
        <v>123</v>
      </c>
      <c r="H40" s="857" t="s">
        <v>124</v>
      </c>
      <c r="I40" s="887"/>
    </row>
    <row r="41" spans="1:9" s="98" customFormat="1" ht="35.25" customHeight="1" x14ac:dyDescent="0.2">
      <c r="A41" s="84" t="str">
        <f t="shared" si="4"/>
        <v>B1.10 14 53.04</v>
      </c>
      <c r="B41" s="97" t="s">
        <v>125</v>
      </c>
      <c r="C41" s="103" t="s">
        <v>35</v>
      </c>
      <c r="D41" s="91">
        <v>500</v>
      </c>
      <c r="E41" s="82">
        <v>30</v>
      </c>
      <c r="F41" s="113">
        <f t="shared" si="5"/>
        <v>15000</v>
      </c>
      <c r="G41" s="93" t="s">
        <v>126</v>
      </c>
      <c r="H41" s="857" t="s">
        <v>127</v>
      </c>
      <c r="I41" s="887"/>
    </row>
    <row r="42" spans="1:9" s="98" customFormat="1" ht="32.25" customHeight="1" x14ac:dyDescent="0.2">
      <c r="A42" s="84" t="str">
        <f t="shared" si="4"/>
        <v>B1.10 14 53.05</v>
      </c>
      <c r="B42" s="97" t="s">
        <v>128</v>
      </c>
      <c r="C42" s="103" t="s">
        <v>35</v>
      </c>
      <c r="D42" s="91">
        <v>500</v>
      </c>
      <c r="E42" s="82">
        <v>12</v>
      </c>
      <c r="F42" s="113">
        <f t="shared" si="5"/>
        <v>6000</v>
      </c>
      <c r="G42" s="93" t="s">
        <v>129</v>
      </c>
      <c r="H42" s="857" t="s">
        <v>130</v>
      </c>
      <c r="I42" s="887"/>
    </row>
    <row r="43" spans="1:9" s="98" customFormat="1" ht="32.25" customHeight="1" x14ac:dyDescent="0.2">
      <c r="A43" s="84" t="str">
        <f t="shared" si="4"/>
        <v>B1.10 14 53.06</v>
      </c>
      <c r="B43" s="97" t="s">
        <v>131</v>
      </c>
      <c r="C43" s="103" t="s">
        <v>35</v>
      </c>
      <c r="D43" s="91">
        <v>500</v>
      </c>
      <c r="E43" s="82">
        <v>166</v>
      </c>
      <c r="F43" s="113">
        <f t="shared" si="5"/>
        <v>83000</v>
      </c>
      <c r="G43" s="93" t="s">
        <v>132</v>
      </c>
      <c r="H43" s="857" t="s">
        <v>133</v>
      </c>
      <c r="I43" s="887"/>
    </row>
    <row r="44" spans="1:9" s="98" customFormat="1" ht="29.25" customHeight="1" x14ac:dyDescent="0.2">
      <c r="A44" s="84"/>
      <c r="B44" s="97"/>
      <c r="C44" s="103"/>
      <c r="D44" s="91"/>
      <c r="E44" s="113"/>
      <c r="F44" s="113">
        <f t="shared" ref="F44:F98" si="6">E44+D44</f>
        <v>0</v>
      </c>
      <c r="G44" s="93"/>
      <c r="H44" s="857"/>
      <c r="I44" s="887"/>
    </row>
    <row r="45" spans="1:9" s="98" customFormat="1" ht="29.25" customHeight="1" x14ac:dyDescent="0.2">
      <c r="A45" s="84"/>
      <c r="B45" s="97"/>
      <c r="C45" s="103"/>
      <c r="D45" s="91"/>
      <c r="E45" s="113"/>
      <c r="F45" s="113">
        <f t="shared" si="6"/>
        <v>0</v>
      </c>
      <c r="G45" s="93"/>
      <c r="H45" s="857"/>
      <c r="I45" s="887"/>
    </row>
    <row r="46" spans="1:9" s="98" customFormat="1" ht="29.25" customHeight="1" x14ac:dyDescent="0.2">
      <c r="A46" s="84"/>
      <c r="B46" s="97"/>
      <c r="C46" s="103"/>
      <c r="D46" s="91"/>
      <c r="E46" s="113"/>
      <c r="F46" s="113">
        <f t="shared" si="6"/>
        <v>0</v>
      </c>
      <c r="G46" s="93"/>
      <c r="H46" s="857"/>
      <c r="I46" s="887"/>
    </row>
    <row r="47" spans="1:9" s="98" customFormat="1" ht="29.25" customHeight="1" x14ac:dyDescent="0.2">
      <c r="A47" s="84"/>
      <c r="B47" s="97"/>
      <c r="C47" s="103"/>
      <c r="D47" s="91"/>
      <c r="E47" s="113"/>
      <c r="F47" s="113"/>
      <c r="G47" s="93"/>
      <c r="H47" s="857"/>
      <c r="I47" s="887"/>
    </row>
    <row r="48" spans="1:9" s="98" customFormat="1" ht="29.25" customHeight="1" x14ac:dyDescent="0.2">
      <c r="A48" s="84"/>
      <c r="B48" s="97"/>
      <c r="C48" s="103"/>
      <c r="D48" s="91"/>
      <c r="E48" s="113"/>
      <c r="F48" s="113"/>
      <c r="G48" s="93"/>
      <c r="H48" s="857"/>
      <c r="I48" s="887"/>
    </row>
    <row r="49" spans="1:9" s="98" customFormat="1" ht="29.25" customHeight="1" x14ac:dyDescent="0.2">
      <c r="A49" s="84"/>
      <c r="B49" s="97"/>
      <c r="C49" s="103"/>
      <c r="D49" s="91"/>
      <c r="E49" s="113"/>
      <c r="F49" s="113"/>
      <c r="G49" s="93"/>
      <c r="H49" s="857"/>
      <c r="I49" s="887"/>
    </row>
    <row r="50" spans="1:9" s="98" customFormat="1" ht="29.25" customHeight="1" x14ac:dyDescent="0.2">
      <c r="A50" s="84"/>
      <c r="B50" s="97"/>
      <c r="C50" s="103"/>
      <c r="D50" s="91"/>
      <c r="E50" s="113"/>
      <c r="F50" s="113">
        <f t="shared" si="6"/>
        <v>0</v>
      </c>
      <c r="G50" s="93"/>
      <c r="H50" s="857"/>
      <c r="I50" s="887"/>
    </row>
    <row r="51" spans="1:9" s="98" customFormat="1" ht="29.25" customHeight="1" x14ac:dyDescent="0.2">
      <c r="A51" s="84"/>
      <c r="B51" s="97"/>
      <c r="C51" s="103"/>
      <c r="D51" s="91"/>
      <c r="E51" s="113"/>
      <c r="F51" s="113"/>
      <c r="G51" s="93"/>
      <c r="H51" s="857"/>
      <c r="I51" s="887"/>
    </row>
    <row r="52" spans="1:9" s="98" customFormat="1" ht="29.25" customHeight="1" x14ac:dyDescent="0.2">
      <c r="A52" s="84"/>
      <c r="B52" s="97"/>
      <c r="C52" s="103"/>
      <c r="D52" s="91"/>
      <c r="E52" s="113"/>
      <c r="F52" s="113">
        <f t="shared" si="6"/>
        <v>0</v>
      </c>
      <c r="G52" s="93"/>
      <c r="H52" s="857"/>
      <c r="I52" s="887"/>
    </row>
    <row r="53" spans="1:9" s="110" customFormat="1" ht="27" customHeight="1" x14ac:dyDescent="0.2">
      <c r="A53" s="105"/>
      <c r="B53" s="106" t="s">
        <v>97</v>
      </c>
      <c r="C53" s="1039" t="s">
        <v>98</v>
      </c>
      <c r="D53" s="1039"/>
      <c r="E53" s="1039"/>
      <c r="F53" s="113">
        <f>SUM(F35:F43)</f>
        <v>2376375</v>
      </c>
      <c r="G53" s="109" t="s">
        <v>99</v>
      </c>
      <c r="H53" s="860"/>
      <c r="I53" s="890"/>
    </row>
    <row r="54" spans="1:9" s="110" customFormat="1" ht="24.75" customHeight="1" x14ac:dyDescent="0.2">
      <c r="A54" s="1049" t="s">
        <v>134</v>
      </c>
      <c r="B54" s="1050"/>
      <c r="C54" s="107"/>
      <c r="D54" s="107"/>
      <c r="E54" s="831"/>
      <c r="F54" s="831">
        <f t="shared" si="6"/>
        <v>0</v>
      </c>
      <c r="G54" s="1054" t="s">
        <v>135</v>
      </c>
      <c r="H54" s="1055"/>
      <c r="I54" s="890"/>
    </row>
    <row r="55" spans="1:9" s="120" customFormat="1" ht="30" customHeight="1" x14ac:dyDescent="0.2">
      <c r="A55" s="115" t="str">
        <f t="shared" ref="A55:A76" si="7">H55</f>
        <v>31 23 00</v>
      </c>
      <c r="B55" s="85" t="s">
        <v>136</v>
      </c>
      <c r="C55" s="116"/>
      <c r="D55" s="117"/>
      <c r="E55" s="832"/>
      <c r="F55" s="113">
        <f t="shared" si="6"/>
        <v>0</v>
      </c>
      <c r="G55" s="118" t="s">
        <v>137</v>
      </c>
      <c r="H55" s="861" t="s">
        <v>138</v>
      </c>
    </row>
    <row r="56" spans="1:9" s="122" customFormat="1" ht="30" customHeight="1" x14ac:dyDescent="0.2">
      <c r="A56" s="115" t="str">
        <f t="shared" si="7"/>
        <v>B2.31 23 00.01</v>
      </c>
      <c r="B56" s="90" t="s">
        <v>139</v>
      </c>
      <c r="C56" s="121" t="s">
        <v>140</v>
      </c>
      <c r="D56" s="92">
        <v>6570</v>
      </c>
      <c r="E56" s="82">
        <v>7</v>
      </c>
      <c r="F56" s="113">
        <f>E56*D56</f>
        <v>45990</v>
      </c>
      <c r="G56" s="93" t="s">
        <v>141</v>
      </c>
      <c r="H56" s="862" t="s">
        <v>142</v>
      </c>
    </row>
    <row r="57" spans="1:9" s="122" customFormat="1" ht="30" customHeight="1" x14ac:dyDescent="0.2">
      <c r="A57" s="115" t="str">
        <f t="shared" si="7"/>
        <v>B2.31 23 00.02</v>
      </c>
      <c r="B57" s="123" t="s">
        <v>143</v>
      </c>
      <c r="C57" s="121" t="s">
        <v>140</v>
      </c>
      <c r="D57" s="92">
        <v>4186</v>
      </c>
      <c r="E57" s="82">
        <v>10</v>
      </c>
      <c r="F57" s="113">
        <f t="shared" ref="F57:F72" si="8">E57*D57</f>
        <v>41860</v>
      </c>
      <c r="G57" s="93" t="s">
        <v>144</v>
      </c>
      <c r="H57" s="862" t="s">
        <v>145</v>
      </c>
    </row>
    <row r="58" spans="1:9" s="122" customFormat="1" ht="30" customHeight="1" x14ac:dyDescent="0.2">
      <c r="A58" s="115" t="str">
        <f t="shared" si="7"/>
        <v>B2.31 23 00.03</v>
      </c>
      <c r="B58" s="123" t="s">
        <v>146</v>
      </c>
      <c r="C58" s="121" t="s">
        <v>140</v>
      </c>
      <c r="D58" s="92">
        <v>905</v>
      </c>
      <c r="E58" s="82">
        <v>15</v>
      </c>
      <c r="F58" s="113">
        <f t="shared" si="8"/>
        <v>13575</v>
      </c>
      <c r="G58" s="93" t="s">
        <v>147</v>
      </c>
      <c r="H58" s="862" t="s">
        <v>148</v>
      </c>
    </row>
    <row r="59" spans="1:9" s="122" customFormat="1" ht="30" customHeight="1" x14ac:dyDescent="0.2">
      <c r="A59" s="115" t="str">
        <f t="shared" si="7"/>
        <v>B2.31 23 00.04</v>
      </c>
      <c r="B59" s="123" t="s">
        <v>149</v>
      </c>
      <c r="C59" s="121" t="s">
        <v>140</v>
      </c>
      <c r="D59" s="92">
        <v>470</v>
      </c>
      <c r="E59" s="82">
        <v>20</v>
      </c>
      <c r="F59" s="113">
        <f t="shared" si="8"/>
        <v>9400</v>
      </c>
      <c r="G59" s="93" t="s">
        <v>150</v>
      </c>
      <c r="H59" s="862" t="s">
        <v>151</v>
      </c>
    </row>
    <row r="60" spans="1:9" s="122" customFormat="1" ht="30" customHeight="1" x14ac:dyDescent="0.2">
      <c r="A60" s="115" t="str">
        <f t="shared" si="7"/>
        <v>B2.31 23 00.05</v>
      </c>
      <c r="B60" s="124" t="s">
        <v>152</v>
      </c>
      <c r="C60" s="121" t="s">
        <v>140</v>
      </c>
      <c r="D60" s="92">
        <v>182</v>
      </c>
      <c r="E60" s="82">
        <v>25</v>
      </c>
      <c r="F60" s="113">
        <f t="shared" si="8"/>
        <v>4550</v>
      </c>
      <c r="G60" s="114" t="s">
        <v>153</v>
      </c>
      <c r="H60" s="862" t="s">
        <v>154</v>
      </c>
    </row>
    <row r="61" spans="1:9" s="122" customFormat="1" ht="30" customHeight="1" x14ac:dyDescent="0.2">
      <c r="A61" s="115" t="str">
        <f t="shared" si="7"/>
        <v>B2.31 23 00.06</v>
      </c>
      <c r="B61" s="124" t="s">
        <v>155</v>
      </c>
      <c r="C61" s="121" t="s">
        <v>140</v>
      </c>
      <c r="D61" s="92">
        <v>1494</v>
      </c>
      <c r="E61" s="82">
        <v>30</v>
      </c>
      <c r="F61" s="113">
        <f t="shared" si="8"/>
        <v>44820</v>
      </c>
      <c r="G61" s="114" t="s">
        <v>156</v>
      </c>
      <c r="H61" s="862" t="s">
        <v>157</v>
      </c>
    </row>
    <row r="62" spans="1:9" s="122" customFormat="1" ht="30" customHeight="1" x14ac:dyDescent="0.2">
      <c r="A62" s="115" t="str">
        <f t="shared" si="7"/>
        <v>B2.31 23 00.07</v>
      </c>
      <c r="B62" s="124" t="s">
        <v>158</v>
      </c>
      <c r="C62" s="121" t="s">
        <v>140</v>
      </c>
      <c r="D62" s="92">
        <v>6330</v>
      </c>
      <c r="E62" s="82">
        <v>40</v>
      </c>
      <c r="F62" s="113">
        <f t="shared" si="8"/>
        <v>253200</v>
      </c>
      <c r="G62" s="114" t="s">
        <v>159</v>
      </c>
      <c r="H62" s="862" t="s">
        <v>160</v>
      </c>
    </row>
    <row r="63" spans="1:9" s="125" customFormat="1" ht="30" customHeight="1" x14ac:dyDescent="0.2">
      <c r="A63" s="115" t="str">
        <f t="shared" si="7"/>
        <v>33 71 19</v>
      </c>
      <c r="B63" s="85" t="s">
        <v>161</v>
      </c>
      <c r="C63" s="116"/>
      <c r="D63" s="117"/>
      <c r="E63" s="833"/>
      <c r="F63" s="113"/>
      <c r="G63" s="118" t="s">
        <v>162</v>
      </c>
      <c r="H63" s="861" t="s">
        <v>163</v>
      </c>
    </row>
    <row r="64" spans="1:9" s="122" customFormat="1" ht="30" customHeight="1" x14ac:dyDescent="0.2">
      <c r="A64" s="115" t="str">
        <f t="shared" si="7"/>
        <v>B2.33 71 19.01</v>
      </c>
      <c r="B64" s="90" t="s">
        <v>164</v>
      </c>
      <c r="C64" s="115" t="s">
        <v>52</v>
      </c>
      <c r="D64" s="92">
        <v>484</v>
      </c>
      <c r="E64" s="82">
        <v>271</v>
      </c>
      <c r="F64" s="113">
        <f t="shared" si="8"/>
        <v>131164</v>
      </c>
      <c r="G64" s="126" t="s">
        <v>165</v>
      </c>
      <c r="H64" s="862" t="s">
        <v>166</v>
      </c>
    </row>
    <row r="65" spans="1:25" s="122" customFormat="1" ht="30" customHeight="1" x14ac:dyDescent="0.2">
      <c r="A65" s="115" t="str">
        <f t="shared" si="7"/>
        <v>B2.33 71 19.02</v>
      </c>
      <c r="B65" s="90" t="s">
        <v>167</v>
      </c>
      <c r="C65" s="115" t="s">
        <v>52</v>
      </c>
      <c r="D65" s="92">
        <v>117</v>
      </c>
      <c r="E65" s="82">
        <v>504</v>
      </c>
      <c r="F65" s="113">
        <f t="shared" si="8"/>
        <v>58968</v>
      </c>
      <c r="G65" s="126" t="s">
        <v>168</v>
      </c>
      <c r="H65" s="862" t="s">
        <v>169</v>
      </c>
    </row>
    <row r="66" spans="1:25" s="122" customFormat="1" ht="30" customHeight="1" x14ac:dyDescent="0.2">
      <c r="A66" s="115" t="str">
        <f t="shared" si="7"/>
        <v>B2.33 71 19.03</v>
      </c>
      <c r="B66" s="90" t="s">
        <v>170</v>
      </c>
      <c r="C66" s="115" t="s">
        <v>52</v>
      </c>
      <c r="D66" s="92">
        <v>115</v>
      </c>
      <c r="E66" s="82">
        <v>737</v>
      </c>
      <c r="F66" s="113">
        <f t="shared" si="8"/>
        <v>84755</v>
      </c>
      <c r="G66" s="126" t="s">
        <v>171</v>
      </c>
      <c r="H66" s="862" t="s">
        <v>172</v>
      </c>
    </row>
    <row r="67" spans="1:25" s="122" customFormat="1" ht="30" customHeight="1" x14ac:dyDescent="0.2">
      <c r="A67" s="115" t="str">
        <f t="shared" si="7"/>
        <v>B2.33 71 19.04</v>
      </c>
      <c r="B67" s="90" t="s">
        <v>173</v>
      </c>
      <c r="C67" s="115" t="s">
        <v>52</v>
      </c>
      <c r="D67" s="92">
        <v>945</v>
      </c>
      <c r="E67" s="82">
        <v>768</v>
      </c>
      <c r="F67" s="113">
        <f t="shared" si="8"/>
        <v>725760</v>
      </c>
      <c r="G67" s="126" t="s">
        <v>174</v>
      </c>
      <c r="H67" s="862" t="s">
        <v>175</v>
      </c>
    </row>
    <row r="68" spans="1:25" s="125" customFormat="1" ht="30" customHeight="1" x14ac:dyDescent="0.2">
      <c r="A68" s="119" t="str">
        <f t="shared" si="7"/>
        <v>26 05 13.16</v>
      </c>
      <c r="B68" s="85" t="s">
        <v>176</v>
      </c>
      <c r="C68" s="116"/>
      <c r="D68" s="117"/>
      <c r="E68" s="832"/>
      <c r="F68" s="113">
        <f t="shared" si="6"/>
        <v>0</v>
      </c>
      <c r="G68" s="118" t="s">
        <v>177</v>
      </c>
      <c r="H68" s="861" t="s">
        <v>178</v>
      </c>
    </row>
    <row r="69" spans="1:25" s="122" customFormat="1" ht="30" customHeight="1" x14ac:dyDescent="0.25">
      <c r="A69" s="119" t="str">
        <f t="shared" si="7"/>
        <v>B2.26.05.13.16.01</v>
      </c>
      <c r="B69" s="127" t="s">
        <v>179</v>
      </c>
      <c r="C69" s="115" t="s">
        <v>52</v>
      </c>
      <c r="D69" s="128">
        <v>78000</v>
      </c>
      <c r="E69" s="82">
        <v>151</v>
      </c>
      <c r="F69" s="113">
        <f t="shared" si="8"/>
        <v>11778000</v>
      </c>
      <c r="G69" s="129" t="s">
        <v>180</v>
      </c>
      <c r="H69" s="862" t="s">
        <v>181</v>
      </c>
      <c r="I69" s="896" t="b">
        <f>F69=Y69</f>
        <v>0</v>
      </c>
      <c r="J69" s="897" t="s">
        <v>2727</v>
      </c>
      <c r="K69" s="898"/>
      <c r="L69" s="899"/>
      <c r="M69" s="899"/>
      <c r="N69" s="899"/>
      <c r="O69" s="899"/>
      <c r="P69" s="899"/>
      <c r="Q69" s="900">
        <f>SUMIF(J70:J73,J70,N70:N73)</f>
        <v>170</v>
      </c>
      <c r="R69" s="900">
        <f>SUMIF(J70:J73,J73,N70:N73)</f>
        <v>20</v>
      </c>
      <c r="S69" s="900">
        <f>SUMIF(J70:J73,#REF!,N70:N73)</f>
        <v>0</v>
      </c>
      <c r="T69" s="900"/>
      <c r="U69" s="900">
        <f>Q69*$D$69</f>
        <v>13260000</v>
      </c>
      <c r="V69" s="900">
        <f>R69*$D$69</f>
        <v>1560000</v>
      </c>
      <c r="W69" s="900">
        <f>S69*$D$69</f>
        <v>0</v>
      </c>
      <c r="X69" s="901"/>
      <c r="Y69" s="900">
        <f>(S69+R69+Q69+T69)*$D$69</f>
        <v>14820000</v>
      </c>
    </row>
    <row r="70" spans="1:25" s="122" customFormat="1" ht="30" customHeight="1" x14ac:dyDescent="0.2">
      <c r="A70" s="119" t="str">
        <f t="shared" si="7"/>
        <v>B2.26.05.13.16.02</v>
      </c>
      <c r="B70" s="97" t="s">
        <v>182</v>
      </c>
      <c r="C70" s="115" t="s">
        <v>52</v>
      </c>
      <c r="D70" s="128">
        <v>120</v>
      </c>
      <c r="E70" s="82">
        <v>71</v>
      </c>
      <c r="F70" s="113">
        <f t="shared" si="8"/>
        <v>8520</v>
      </c>
      <c r="G70" s="93" t="s">
        <v>183</v>
      </c>
      <c r="H70" s="862" t="s">
        <v>184</v>
      </c>
      <c r="I70" s="902" t="s">
        <v>2</v>
      </c>
      <c r="J70" s="903" t="s">
        <v>2720</v>
      </c>
      <c r="K70" s="904" t="s">
        <v>52</v>
      </c>
      <c r="L70" s="905">
        <v>1</v>
      </c>
      <c r="M70" s="906">
        <v>170</v>
      </c>
      <c r="N70" s="907">
        <f t="shared" ref="N70:N73" si="9">M70*L70</f>
        <v>170</v>
      </c>
      <c r="O70" s="907">
        <f>L70*$D$69</f>
        <v>78000</v>
      </c>
      <c r="P70" s="907">
        <f>O70*M70</f>
        <v>13260000</v>
      </c>
      <c r="Q70"/>
      <c r="R70"/>
      <c r="S70"/>
      <c r="T70"/>
      <c r="U70"/>
      <c r="V70"/>
      <c r="W70"/>
      <c r="X70"/>
      <c r="Y70"/>
    </row>
    <row r="71" spans="1:25" s="122" customFormat="1" ht="30" customHeight="1" x14ac:dyDescent="0.2">
      <c r="A71" s="119" t="str">
        <f t="shared" si="7"/>
        <v>B2.26.05.13.16.03</v>
      </c>
      <c r="B71" s="97" t="s">
        <v>185</v>
      </c>
      <c r="C71" s="115" t="s">
        <v>35</v>
      </c>
      <c r="D71" s="128">
        <v>170</v>
      </c>
      <c r="E71" s="82">
        <v>2301</v>
      </c>
      <c r="F71" s="113">
        <f t="shared" si="8"/>
        <v>391170</v>
      </c>
      <c r="G71" s="93" t="s">
        <v>186</v>
      </c>
      <c r="H71" s="862" t="s">
        <v>187</v>
      </c>
      <c r="I71" s="902" t="s">
        <v>2721</v>
      </c>
      <c r="J71" s="903" t="s">
        <v>2720</v>
      </c>
      <c r="K71" s="908" t="s">
        <v>52</v>
      </c>
      <c r="L71" s="909"/>
      <c r="M71" s="906">
        <v>5</v>
      </c>
      <c r="N71" s="907">
        <f t="shared" si="9"/>
        <v>0</v>
      </c>
      <c r="O71" s="907">
        <f t="shared" ref="O71:O73" si="10">L71*$D$69</f>
        <v>0</v>
      </c>
      <c r="P71" s="907">
        <f t="shared" ref="P71:P73" si="11">O71*M71</f>
        <v>0</v>
      </c>
      <c r="Q71"/>
      <c r="R71"/>
      <c r="S71"/>
      <c r="T71"/>
      <c r="U71"/>
      <c r="V71"/>
      <c r="W71"/>
      <c r="X71"/>
      <c r="Y71"/>
    </row>
    <row r="72" spans="1:25" s="122" customFormat="1" ht="30" customHeight="1" x14ac:dyDescent="0.2">
      <c r="A72" s="119" t="str">
        <f t="shared" si="7"/>
        <v>B2.26.05.13.16.04</v>
      </c>
      <c r="B72" s="97" t="s">
        <v>188</v>
      </c>
      <c r="C72" s="115" t="s">
        <v>35</v>
      </c>
      <c r="D72" s="128">
        <v>40</v>
      </c>
      <c r="E72" s="82">
        <v>1534</v>
      </c>
      <c r="F72" s="113">
        <f t="shared" si="8"/>
        <v>61360</v>
      </c>
      <c r="G72" s="93" t="s">
        <v>189</v>
      </c>
      <c r="H72" s="862" t="s">
        <v>190</v>
      </c>
      <c r="I72" s="902" t="s">
        <v>2722</v>
      </c>
      <c r="J72" s="903" t="s">
        <v>2720</v>
      </c>
      <c r="K72" s="908" t="s">
        <v>52</v>
      </c>
      <c r="L72" s="909"/>
      <c r="M72" s="906">
        <v>27</v>
      </c>
      <c r="N72" s="907">
        <f t="shared" si="9"/>
        <v>0</v>
      </c>
      <c r="O72" s="907">
        <f t="shared" si="10"/>
        <v>0</v>
      </c>
      <c r="P72" s="907">
        <f t="shared" si="11"/>
        <v>0</v>
      </c>
      <c r="Q72"/>
      <c r="R72"/>
      <c r="S72"/>
      <c r="T72"/>
      <c r="U72"/>
      <c r="V72"/>
      <c r="W72"/>
      <c r="X72"/>
      <c r="Y72"/>
    </row>
    <row r="73" spans="1:25" s="122" customFormat="1" ht="30" customHeight="1" x14ac:dyDescent="0.2">
      <c r="A73" s="119"/>
      <c r="B73" s="97"/>
      <c r="C73" s="115"/>
      <c r="D73" s="128"/>
      <c r="E73" s="135"/>
      <c r="F73" s="113"/>
      <c r="G73" s="93"/>
      <c r="H73" s="862"/>
      <c r="I73" s="902" t="s">
        <v>2723</v>
      </c>
      <c r="J73" s="903" t="s">
        <v>2724</v>
      </c>
      <c r="K73" s="908" t="s">
        <v>2725</v>
      </c>
      <c r="L73" s="909">
        <v>1</v>
      </c>
      <c r="M73" s="906">
        <f>K74*I74</f>
        <v>20</v>
      </c>
      <c r="N73" s="907">
        <f t="shared" si="9"/>
        <v>20</v>
      </c>
      <c r="O73" s="907">
        <f t="shared" si="10"/>
        <v>78000</v>
      </c>
      <c r="P73" s="907">
        <f t="shared" si="11"/>
        <v>1560000</v>
      </c>
      <c r="Q73"/>
      <c r="R73"/>
      <c r="S73"/>
      <c r="T73"/>
      <c r="U73"/>
      <c r="V73"/>
      <c r="W73"/>
      <c r="X73"/>
      <c r="Y73"/>
    </row>
    <row r="74" spans="1:25" s="132" customFormat="1" ht="30.75" customHeight="1" x14ac:dyDescent="0.25">
      <c r="A74" s="130"/>
      <c r="B74" s="106" t="s">
        <v>191</v>
      </c>
      <c r="C74" s="1039" t="s">
        <v>98</v>
      </c>
      <c r="D74" s="1048"/>
      <c r="E74" s="1048"/>
      <c r="F74" s="113">
        <f>SUM(F56:F72)</f>
        <v>13653092</v>
      </c>
      <c r="G74" s="131" t="s">
        <v>192</v>
      </c>
      <c r="H74" s="863"/>
      <c r="I74" s="910">
        <f>(4500*4)/30/8</f>
        <v>75</v>
      </c>
      <c r="J74" s="910">
        <f>30/8</f>
        <v>3.75</v>
      </c>
      <c r="K74" s="905">
        <f>1/J74</f>
        <v>0.26666666666666666</v>
      </c>
      <c r="L74" s="911"/>
      <c r="M74" s="911"/>
      <c r="N74" s="911"/>
      <c r="O74" s="911"/>
      <c r="P74" s="911"/>
      <c r="Q74" s="911"/>
      <c r="R74" s="911"/>
      <c r="S74" s="911"/>
      <c r="T74" s="911"/>
      <c r="U74" s="911"/>
      <c r="V74" s="911"/>
      <c r="W74" s="911"/>
      <c r="X74" s="911"/>
      <c r="Y74" s="911"/>
    </row>
    <row r="75" spans="1:25" s="125" customFormat="1" ht="30" customHeight="1" x14ac:dyDescent="0.2">
      <c r="A75" s="119" t="str">
        <f t="shared" si="7"/>
        <v>26 13 00</v>
      </c>
      <c r="B75" s="133" t="s">
        <v>193</v>
      </c>
      <c r="C75" s="134"/>
      <c r="D75" s="128"/>
      <c r="E75" s="135"/>
      <c r="F75" s="113">
        <f t="shared" si="6"/>
        <v>0</v>
      </c>
      <c r="G75" s="136" t="s">
        <v>194</v>
      </c>
      <c r="H75" s="861" t="s">
        <v>195</v>
      </c>
    </row>
    <row r="76" spans="1:25" s="132" customFormat="1" ht="30" customHeight="1" x14ac:dyDescent="0.2">
      <c r="A76" s="137" t="str">
        <f t="shared" si="7"/>
        <v>B2.26 13 00.01</v>
      </c>
      <c r="B76" s="138" t="s">
        <v>196</v>
      </c>
      <c r="C76" s="105" t="s">
        <v>35</v>
      </c>
      <c r="D76" s="92">
        <v>7</v>
      </c>
      <c r="E76" s="82">
        <v>76697</v>
      </c>
      <c r="F76" s="113">
        <f>E76*D76</f>
        <v>536879</v>
      </c>
      <c r="G76" s="123" t="s">
        <v>197</v>
      </c>
      <c r="H76" s="862" t="s">
        <v>198</v>
      </c>
    </row>
    <row r="77" spans="1:25" s="142" customFormat="1" ht="30" customHeight="1" x14ac:dyDescent="0.2">
      <c r="A77" s="139"/>
      <c r="B77" s="140" t="s">
        <v>199</v>
      </c>
      <c r="C77" s="107"/>
      <c r="D77" s="108"/>
      <c r="E77" s="449"/>
      <c r="F77" s="113">
        <f t="shared" si="6"/>
        <v>0</v>
      </c>
      <c r="G77" s="141" t="s">
        <v>200</v>
      </c>
      <c r="H77" s="862"/>
    </row>
    <row r="78" spans="1:25" s="132" customFormat="1" ht="27" customHeight="1" x14ac:dyDescent="0.2">
      <c r="A78" s="137" t="str">
        <f>H78</f>
        <v>26 11 16</v>
      </c>
      <c r="B78" s="85" t="s">
        <v>201</v>
      </c>
      <c r="C78" s="116"/>
      <c r="D78" s="117"/>
      <c r="E78" s="833"/>
      <c r="F78" s="113">
        <f t="shared" si="6"/>
        <v>0</v>
      </c>
      <c r="G78" s="118" t="s">
        <v>202</v>
      </c>
      <c r="H78" s="861" t="s">
        <v>203</v>
      </c>
    </row>
    <row r="79" spans="1:25" s="132" customFormat="1" ht="30" customHeight="1" x14ac:dyDescent="0.2">
      <c r="A79" s="137" t="str">
        <f t="shared" ref="A79:A80" si="12">H79</f>
        <v>B2.26 11 16.01</v>
      </c>
      <c r="B79" s="138" t="s">
        <v>204</v>
      </c>
      <c r="C79" s="105" t="s">
        <v>35</v>
      </c>
      <c r="D79" s="92">
        <v>5</v>
      </c>
      <c r="E79" s="82">
        <v>60701</v>
      </c>
      <c r="F79" s="113">
        <f t="shared" ref="F79:F80" si="13">E79*D79</f>
        <v>303505</v>
      </c>
      <c r="G79" s="123" t="s">
        <v>205</v>
      </c>
      <c r="H79" s="864" t="s">
        <v>206</v>
      </c>
      <c r="I79" s="912" t="s">
        <v>2727</v>
      </c>
    </row>
    <row r="80" spans="1:25" s="132" customFormat="1" ht="30" customHeight="1" x14ac:dyDescent="0.2">
      <c r="A80" s="137" t="str">
        <f t="shared" si="12"/>
        <v>B2.26 11 16.04</v>
      </c>
      <c r="B80" s="138" t="s">
        <v>207</v>
      </c>
      <c r="C80" s="105" t="s">
        <v>35</v>
      </c>
      <c r="D80" s="92">
        <v>5</v>
      </c>
      <c r="E80" s="82">
        <v>41526</v>
      </c>
      <c r="F80" s="113">
        <f t="shared" si="13"/>
        <v>207630</v>
      </c>
      <c r="G80" s="123" t="s">
        <v>208</v>
      </c>
      <c r="H80" s="864" t="s">
        <v>209</v>
      </c>
      <c r="I80" s="912" t="s">
        <v>2727</v>
      </c>
    </row>
    <row r="81" spans="1:9" s="132" customFormat="1" ht="27" customHeight="1" x14ac:dyDescent="0.2">
      <c r="A81" s="137" t="str">
        <f>H81</f>
        <v>26 05 19</v>
      </c>
      <c r="B81" s="85" t="s">
        <v>210</v>
      </c>
      <c r="C81" s="116"/>
      <c r="D81" s="117"/>
      <c r="E81" s="833"/>
      <c r="F81" s="113">
        <f t="shared" si="6"/>
        <v>0</v>
      </c>
      <c r="G81" s="118" t="s">
        <v>211</v>
      </c>
      <c r="H81" s="861" t="s">
        <v>212</v>
      </c>
    </row>
    <row r="82" spans="1:9" s="145" customFormat="1" ht="33.75" customHeight="1" x14ac:dyDescent="0.2">
      <c r="A82" s="137" t="str">
        <f>H82</f>
        <v>B2.26 05 19.01</v>
      </c>
      <c r="B82" s="143" t="s">
        <v>213</v>
      </c>
      <c r="C82" s="84" t="s">
        <v>52</v>
      </c>
      <c r="D82" s="128">
        <v>100</v>
      </c>
      <c r="E82" s="82">
        <v>57</v>
      </c>
      <c r="F82" s="113">
        <f t="shared" ref="F82:F85" si="14">E82*D82</f>
        <v>5700</v>
      </c>
      <c r="G82" s="144" t="s">
        <v>214</v>
      </c>
      <c r="H82" s="864" t="s">
        <v>215</v>
      </c>
      <c r="I82" s="122" t="s">
        <v>2726</v>
      </c>
    </row>
    <row r="83" spans="1:9" s="145" customFormat="1" ht="33.75" customHeight="1" x14ac:dyDescent="0.2">
      <c r="A83" s="137" t="str">
        <f>H83</f>
        <v>B2.26 05 19.02</v>
      </c>
      <c r="B83" s="143" t="s">
        <v>216</v>
      </c>
      <c r="C83" s="84" t="s">
        <v>52</v>
      </c>
      <c r="D83" s="128">
        <v>50</v>
      </c>
      <c r="E83" s="82">
        <v>100</v>
      </c>
      <c r="F83" s="113">
        <f t="shared" si="14"/>
        <v>5000</v>
      </c>
      <c r="G83" s="144" t="s">
        <v>217</v>
      </c>
      <c r="H83" s="864" t="s">
        <v>218</v>
      </c>
      <c r="I83" s="122" t="s">
        <v>2726</v>
      </c>
    </row>
    <row r="84" spans="1:9" s="145" customFormat="1" ht="33.75" customHeight="1" x14ac:dyDescent="0.2">
      <c r="A84" s="115" t="str">
        <f t="shared" ref="A84:A85" si="15">H84</f>
        <v>B2.26 05 19.03</v>
      </c>
      <c r="B84" s="143" t="s">
        <v>219</v>
      </c>
      <c r="C84" s="84" t="s">
        <v>52</v>
      </c>
      <c r="D84" s="128">
        <v>7240</v>
      </c>
      <c r="E84" s="82">
        <v>164</v>
      </c>
      <c r="F84" s="113">
        <f t="shared" si="14"/>
        <v>1187360</v>
      </c>
      <c r="G84" s="144" t="s">
        <v>220</v>
      </c>
      <c r="H84" s="864" t="s">
        <v>221</v>
      </c>
      <c r="I84" s="122" t="s">
        <v>2726</v>
      </c>
    </row>
    <row r="85" spans="1:9" s="145" customFormat="1" ht="33.75" customHeight="1" x14ac:dyDescent="0.2">
      <c r="A85" s="115" t="str">
        <f t="shared" si="15"/>
        <v>B2.26 05 19.04</v>
      </c>
      <c r="B85" s="143" t="s">
        <v>222</v>
      </c>
      <c r="C85" s="84" t="s">
        <v>52</v>
      </c>
      <c r="D85" s="92">
        <v>57370</v>
      </c>
      <c r="E85" s="82">
        <v>43</v>
      </c>
      <c r="F85" s="113">
        <f t="shared" si="14"/>
        <v>2466910</v>
      </c>
      <c r="G85" s="144" t="s">
        <v>223</v>
      </c>
      <c r="H85" s="864" t="s">
        <v>224</v>
      </c>
      <c r="I85" s="122" t="s">
        <v>2726</v>
      </c>
    </row>
    <row r="86" spans="1:9" s="132" customFormat="1" ht="30" customHeight="1" x14ac:dyDescent="0.2">
      <c r="A86" s="137" t="str">
        <f>H86</f>
        <v>26 27 33</v>
      </c>
      <c r="B86" s="85" t="s">
        <v>225</v>
      </c>
      <c r="C86" s="116"/>
      <c r="D86" s="117"/>
      <c r="E86" s="833"/>
      <c r="F86" s="113">
        <f t="shared" si="6"/>
        <v>0</v>
      </c>
      <c r="G86" s="118" t="s">
        <v>226</v>
      </c>
      <c r="H86" s="861" t="s">
        <v>227</v>
      </c>
    </row>
    <row r="87" spans="1:9" s="132" customFormat="1" ht="30" customHeight="1" x14ac:dyDescent="0.2">
      <c r="A87" s="137" t="str">
        <f>H87</f>
        <v>B2.26 27 33.01</v>
      </c>
      <c r="B87" s="90" t="s">
        <v>228</v>
      </c>
      <c r="C87" s="105" t="s">
        <v>35</v>
      </c>
      <c r="D87" s="92">
        <v>5</v>
      </c>
      <c r="E87" s="82">
        <v>19722</v>
      </c>
      <c r="F87" s="113">
        <f>E87*D87</f>
        <v>98610</v>
      </c>
      <c r="G87" s="123" t="s">
        <v>229</v>
      </c>
      <c r="H87" s="864" t="s">
        <v>230</v>
      </c>
    </row>
    <row r="88" spans="1:9" s="132" customFormat="1" ht="27" customHeight="1" x14ac:dyDescent="0.2">
      <c r="A88" s="137"/>
      <c r="B88" s="90"/>
      <c r="C88" s="105"/>
      <c r="D88" s="92"/>
      <c r="E88" s="128"/>
      <c r="F88" s="113"/>
      <c r="G88" s="123"/>
      <c r="H88" s="864"/>
    </row>
    <row r="89" spans="1:9" s="132" customFormat="1" ht="27" customHeight="1" x14ac:dyDescent="0.2">
      <c r="A89" s="137"/>
      <c r="B89" s="90"/>
      <c r="C89" s="105"/>
      <c r="D89" s="92"/>
      <c r="E89" s="128"/>
      <c r="F89" s="113"/>
      <c r="G89" s="123"/>
      <c r="H89" s="864"/>
    </row>
    <row r="90" spans="1:9" s="132" customFormat="1" ht="27" customHeight="1" x14ac:dyDescent="0.2">
      <c r="A90" s="137"/>
      <c r="B90" s="90"/>
      <c r="C90" s="105"/>
      <c r="D90" s="92"/>
      <c r="E90" s="128"/>
      <c r="F90" s="113"/>
      <c r="G90" s="123"/>
      <c r="H90" s="864"/>
    </row>
    <row r="91" spans="1:9" s="132" customFormat="1" ht="27" customHeight="1" x14ac:dyDescent="0.2">
      <c r="A91" s="137"/>
      <c r="B91" s="90"/>
      <c r="C91" s="105"/>
      <c r="D91" s="92"/>
      <c r="E91" s="128"/>
      <c r="F91" s="113"/>
      <c r="G91" s="123"/>
      <c r="H91" s="864"/>
    </row>
    <row r="92" spans="1:9" s="132" customFormat="1" ht="27" customHeight="1" x14ac:dyDescent="0.2">
      <c r="A92" s="137"/>
      <c r="B92" s="90"/>
      <c r="C92" s="105"/>
      <c r="D92" s="92"/>
      <c r="E92" s="128"/>
      <c r="F92" s="113"/>
      <c r="G92" s="123"/>
      <c r="H92" s="864"/>
    </row>
    <row r="93" spans="1:9" s="132" customFormat="1" ht="30.75" customHeight="1" x14ac:dyDescent="0.2">
      <c r="A93" s="130"/>
      <c r="B93" s="106" t="s">
        <v>191</v>
      </c>
      <c r="C93" s="1039" t="s">
        <v>98</v>
      </c>
      <c r="D93" s="1048"/>
      <c r="E93" s="1048"/>
      <c r="F93" s="113">
        <f>SUM(F76:F87)</f>
        <v>4811594</v>
      </c>
      <c r="G93" s="131" t="s">
        <v>192</v>
      </c>
      <c r="H93" s="863"/>
    </row>
    <row r="94" spans="1:9" s="132" customFormat="1" ht="26.25" customHeight="1" x14ac:dyDescent="0.2">
      <c r="A94" s="119" t="str">
        <f>H94</f>
        <v>26 56 19</v>
      </c>
      <c r="B94" s="146" t="s">
        <v>231</v>
      </c>
      <c r="C94" s="86"/>
      <c r="D94" s="147"/>
      <c r="E94" s="833"/>
      <c r="F94" s="113">
        <f t="shared" si="6"/>
        <v>0</v>
      </c>
      <c r="G94" s="118" t="s">
        <v>232</v>
      </c>
      <c r="H94" s="861" t="s">
        <v>233</v>
      </c>
    </row>
    <row r="95" spans="1:9" s="145" customFormat="1" ht="37.5" customHeight="1" x14ac:dyDescent="0.2">
      <c r="A95" s="115" t="str">
        <f t="shared" ref="A95:A101" si="16">H95</f>
        <v>B2.26 56 19.01</v>
      </c>
      <c r="B95" s="143" t="s">
        <v>234</v>
      </c>
      <c r="C95" s="84" t="s">
        <v>35</v>
      </c>
      <c r="D95" s="92">
        <v>107</v>
      </c>
      <c r="E95" s="82">
        <v>4306</v>
      </c>
      <c r="F95" s="113">
        <f>E95*D95</f>
        <v>460742</v>
      </c>
      <c r="G95" s="148" t="s">
        <v>235</v>
      </c>
      <c r="H95" s="864" t="s">
        <v>236</v>
      </c>
      <c r="I95" s="122" t="s">
        <v>2727</v>
      </c>
    </row>
    <row r="96" spans="1:9" s="145" customFormat="1" ht="34.5" customHeight="1" x14ac:dyDescent="0.2">
      <c r="A96" s="115" t="str">
        <f t="shared" si="16"/>
        <v>B2.26 56 19.02</v>
      </c>
      <c r="B96" s="143" t="s">
        <v>237</v>
      </c>
      <c r="C96" s="84" t="s">
        <v>35</v>
      </c>
      <c r="D96" s="92">
        <v>8</v>
      </c>
      <c r="E96" s="82">
        <v>4218</v>
      </c>
      <c r="F96" s="113">
        <f t="shared" ref="F96:F97" si="17">E96*D96</f>
        <v>33744</v>
      </c>
      <c r="G96" s="148" t="s">
        <v>238</v>
      </c>
      <c r="H96" s="864" t="s">
        <v>239</v>
      </c>
      <c r="I96" s="122" t="s">
        <v>2727</v>
      </c>
    </row>
    <row r="97" spans="1:9" s="145" customFormat="1" ht="30.75" customHeight="1" x14ac:dyDescent="0.2">
      <c r="A97" s="115" t="str">
        <f t="shared" si="16"/>
        <v>B2.26 56 19.03</v>
      </c>
      <c r="B97" s="143" t="s">
        <v>240</v>
      </c>
      <c r="C97" s="84" t="s">
        <v>35</v>
      </c>
      <c r="D97" s="92">
        <v>748</v>
      </c>
      <c r="E97" s="82">
        <v>3408</v>
      </c>
      <c r="F97" s="113">
        <f t="shared" si="17"/>
        <v>2549184</v>
      </c>
      <c r="G97" s="148" t="s">
        <v>241</v>
      </c>
      <c r="H97" s="864" t="s">
        <v>242</v>
      </c>
      <c r="I97" s="122" t="s">
        <v>2727</v>
      </c>
    </row>
    <row r="98" spans="1:9" s="132" customFormat="1" ht="25.5" customHeight="1" x14ac:dyDescent="0.2">
      <c r="A98" s="119" t="str">
        <f>H98</f>
        <v>26 56 19</v>
      </c>
      <c r="B98" s="85" t="s">
        <v>243</v>
      </c>
      <c r="C98" s="116"/>
      <c r="D98" s="117"/>
      <c r="E98" s="833"/>
      <c r="F98" s="113">
        <f t="shared" si="6"/>
        <v>0</v>
      </c>
      <c r="G98" s="118" t="s">
        <v>244</v>
      </c>
      <c r="H98" s="861" t="s">
        <v>233</v>
      </c>
    </row>
    <row r="99" spans="1:9" s="145" customFormat="1" ht="33" customHeight="1" x14ac:dyDescent="0.2">
      <c r="A99" s="115" t="str">
        <f t="shared" si="16"/>
        <v>B2.26.56.19.04</v>
      </c>
      <c r="B99" s="143" t="s">
        <v>245</v>
      </c>
      <c r="C99" s="84" t="s">
        <v>35</v>
      </c>
      <c r="D99" s="92">
        <v>70</v>
      </c>
      <c r="E99" s="82">
        <v>1205</v>
      </c>
      <c r="F99" s="113">
        <f t="shared" ref="F99:F101" si="18">E99*D99</f>
        <v>84350</v>
      </c>
      <c r="G99" s="148" t="s">
        <v>246</v>
      </c>
      <c r="H99" s="864" t="s">
        <v>247</v>
      </c>
      <c r="I99" s="122" t="s">
        <v>2727</v>
      </c>
    </row>
    <row r="100" spans="1:9" s="145" customFormat="1" ht="32.25" customHeight="1" x14ac:dyDescent="0.2">
      <c r="A100" s="115" t="str">
        <f t="shared" si="16"/>
        <v>B2.26.56.19.05</v>
      </c>
      <c r="B100" s="143" t="s">
        <v>248</v>
      </c>
      <c r="C100" s="84" t="s">
        <v>35</v>
      </c>
      <c r="D100" s="92">
        <v>214</v>
      </c>
      <c r="E100" s="82">
        <v>981</v>
      </c>
      <c r="F100" s="113">
        <f t="shared" si="18"/>
        <v>209934</v>
      </c>
      <c r="G100" s="148" t="s">
        <v>249</v>
      </c>
      <c r="H100" s="864" t="s">
        <v>250</v>
      </c>
      <c r="I100" s="122" t="s">
        <v>2727</v>
      </c>
    </row>
    <row r="101" spans="1:9" s="145" customFormat="1" ht="32.25" customHeight="1" x14ac:dyDescent="0.2">
      <c r="A101" s="115" t="str">
        <f t="shared" si="16"/>
        <v>B2.26.56.19.06</v>
      </c>
      <c r="B101" s="143" t="s">
        <v>251</v>
      </c>
      <c r="C101" s="84" t="s">
        <v>35</v>
      </c>
      <c r="D101" s="92">
        <v>748</v>
      </c>
      <c r="E101" s="82">
        <v>849</v>
      </c>
      <c r="F101" s="113">
        <f t="shared" si="18"/>
        <v>635052</v>
      </c>
      <c r="G101" s="148" t="s">
        <v>252</v>
      </c>
      <c r="H101" s="864" t="s">
        <v>253</v>
      </c>
      <c r="I101" s="122" t="s">
        <v>2727</v>
      </c>
    </row>
    <row r="102" spans="1:9" s="132" customFormat="1" ht="30" customHeight="1" x14ac:dyDescent="0.2">
      <c r="A102" s="119" t="str">
        <f>H102</f>
        <v>26 05 26</v>
      </c>
      <c r="B102" s="85" t="s">
        <v>254</v>
      </c>
      <c r="C102" s="116"/>
      <c r="D102" s="117"/>
      <c r="E102" s="833"/>
      <c r="F102" s="113">
        <f t="shared" ref="F102:F138" si="19">E102+D102</f>
        <v>0</v>
      </c>
      <c r="G102" s="118" t="s">
        <v>255</v>
      </c>
      <c r="H102" s="861" t="s">
        <v>256</v>
      </c>
    </row>
    <row r="103" spans="1:9" s="145" customFormat="1" ht="34.5" customHeight="1" x14ac:dyDescent="0.2">
      <c r="A103" s="115" t="str">
        <f t="shared" ref="A103" si="20">H103</f>
        <v>B2.26 05 26.01</v>
      </c>
      <c r="B103" s="143" t="s">
        <v>257</v>
      </c>
      <c r="C103" s="84" t="s">
        <v>35</v>
      </c>
      <c r="D103" s="92">
        <v>86</v>
      </c>
      <c r="E103" s="82">
        <v>1041</v>
      </c>
      <c r="F103" s="113">
        <f>E103*D103</f>
        <v>89526</v>
      </c>
      <c r="G103" s="144" t="s">
        <v>258</v>
      </c>
      <c r="H103" s="864" t="s">
        <v>259</v>
      </c>
    </row>
    <row r="104" spans="1:9" s="125" customFormat="1" ht="30" customHeight="1" x14ac:dyDescent="0.2">
      <c r="A104" s="119" t="str">
        <f>H104</f>
        <v>33 71 19</v>
      </c>
      <c r="B104" s="149" t="s">
        <v>260</v>
      </c>
      <c r="C104" s="116"/>
      <c r="D104" s="117">
        <v>0</v>
      </c>
      <c r="E104" s="833"/>
      <c r="F104" s="113"/>
      <c r="G104" s="118" t="s">
        <v>261</v>
      </c>
      <c r="H104" s="861" t="s">
        <v>163</v>
      </c>
    </row>
    <row r="105" spans="1:9" s="145" customFormat="1" ht="33.75" customHeight="1" x14ac:dyDescent="0.2">
      <c r="A105" s="115" t="str">
        <f t="shared" ref="A105" si="21">H105</f>
        <v>B2.33 71 19.04</v>
      </c>
      <c r="B105" s="150" t="s">
        <v>262</v>
      </c>
      <c r="C105" s="84" t="s">
        <v>52</v>
      </c>
      <c r="D105" s="92">
        <v>5074</v>
      </c>
      <c r="E105" s="82">
        <v>271</v>
      </c>
      <c r="F105" s="113">
        <f>E105*D105</f>
        <v>1375054</v>
      </c>
      <c r="G105" s="144" t="s">
        <v>263</v>
      </c>
      <c r="H105" s="864" t="s">
        <v>175</v>
      </c>
    </row>
    <row r="106" spans="1:9" s="125" customFormat="1" ht="30" customHeight="1" x14ac:dyDescent="0.2">
      <c r="A106" s="119" t="str">
        <f>H106</f>
        <v>26 24 16</v>
      </c>
      <c r="B106" s="149" t="s">
        <v>264</v>
      </c>
      <c r="C106" s="116"/>
      <c r="D106" s="117">
        <v>0</v>
      </c>
      <c r="E106" s="833"/>
      <c r="F106" s="113"/>
      <c r="G106" s="118" t="s">
        <v>265</v>
      </c>
      <c r="H106" s="861" t="s">
        <v>266</v>
      </c>
    </row>
    <row r="107" spans="1:9" s="145" customFormat="1" ht="33.75" customHeight="1" x14ac:dyDescent="0.2">
      <c r="A107" s="115" t="str">
        <f t="shared" ref="A107:A108" si="22">H107</f>
        <v>B2.26 24 16.01</v>
      </c>
      <c r="B107" s="150" t="s">
        <v>267</v>
      </c>
      <c r="C107" s="84" t="s">
        <v>35</v>
      </c>
      <c r="D107" s="92">
        <v>13</v>
      </c>
      <c r="E107" s="82">
        <v>9752</v>
      </c>
      <c r="F107" s="113">
        <f t="shared" ref="F107:F108" si="23">E107*D107</f>
        <v>126776</v>
      </c>
      <c r="G107" s="144" t="s">
        <v>268</v>
      </c>
      <c r="H107" s="864" t="s">
        <v>269</v>
      </c>
    </row>
    <row r="108" spans="1:9" s="145" customFormat="1" ht="41.25" customHeight="1" x14ac:dyDescent="0.2">
      <c r="A108" s="115" t="str">
        <f t="shared" si="22"/>
        <v>B2.26 24 16.02</v>
      </c>
      <c r="B108" s="126" t="s">
        <v>270</v>
      </c>
      <c r="C108" s="84" t="s">
        <v>35</v>
      </c>
      <c r="D108" s="92">
        <v>5</v>
      </c>
      <c r="E108" s="82">
        <v>822</v>
      </c>
      <c r="F108" s="113">
        <f t="shared" si="23"/>
        <v>4110</v>
      </c>
      <c r="G108" s="151" t="s">
        <v>271</v>
      </c>
      <c r="H108" s="862" t="s">
        <v>272</v>
      </c>
    </row>
    <row r="109" spans="1:9" s="125" customFormat="1" ht="30" customHeight="1" x14ac:dyDescent="0.25">
      <c r="A109" s="152" t="str">
        <f>H109</f>
        <v xml:space="preserve">33 71 19.13 </v>
      </c>
      <c r="B109" s="153" t="s">
        <v>273</v>
      </c>
      <c r="C109" s="154"/>
      <c r="D109" s="155">
        <v>0</v>
      </c>
      <c r="E109" s="155"/>
      <c r="F109" s="113"/>
      <c r="G109" s="156" t="s">
        <v>274</v>
      </c>
      <c r="H109" s="865" t="s">
        <v>275</v>
      </c>
    </row>
    <row r="110" spans="1:9" s="125" customFormat="1" ht="30" customHeight="1" x14ac:dyDescent="0.2">
      <c r="A110" s="134" t="str">
        <f>H110</f>
        <v>B2.33 71 19.13.01</v>
      </c>
      <c r="B110" s="157" t="s">
        <v>276</v>
      </c>
      <c r="C110" s="158" t="s">
        <v>35</v>
      </c>
      <c r="D110" s="128">
        <v>187</v>
      </c>
      <c r="E110" s="82">
        <v>4588</v>
      </c>
      <c r="F110" s="113">
        <f>E110*D110</f>
        <v>857956</v>
      </c>
      <c r="G110" s="159" t="s">
        <v>277</v>
      </c>
      <c r="H110" s="866" t="s">
        <v>278</v>
      </c>
    </row>
    <row r="111" spans="1:9" s="125" customFormat="1" ht="30" customHeight="1" x14ac:dyDescent="0.2">
      <c r="A111" s="134"/>
      <c r="B111" s="157"/>
      <c r="C111" s="158"/>
      <c r="D111" s="128"/>
      <c r="E111" s="128"/>
      <c r="F111" s="113"/>
      <c r="G111" s="159"/>
      <c r="H111" s="866"/>
    </row>
    <row r="112" spans="1:9" s="132" customFormat="1" ht="30" customHeight="1" x14ac:dyDescent="0.2">
      <c r="A112" s="137"/>
      <c r="B112" s="90"/>
      <c r="C112" s="105"/>
      <c r="D112" s="92"/>
      <c r="E112" s="337"/>
      <c r="F112" s="113">
        <f t="shared" si="19"/>
        <v>0</v>
      </c>
      <c r="G112" s="123"/>
      <c r="H112" s="862"/>
    </row>
    <row r="113" spans="1:8" s="132" customFormat="1" ht="34.5" customHeight="1" x14ac:dyDescent="0.2">
      <c r="A113" s="130"/>
      <c r="B113" s="106" t="s">
        <v>191</v>
      </c>
      <c r="C113" s="1039" t="s">
        <v>98</v>
      </c>
      <c r="D113" s="1048"/>
      <c r="E113" s="1048"/>
      <c r="F113" s="113">
        <f>SUM(F95:F110)</f>
        <v>6426428</v>
      </c>
      <c r="G113" s="131" t="s">
        <v>192</v>
      </c>
      <c r="H113" s="863"/>
    </row>
    <row r="114" spans="1:8" s="161" customFormat="1" ht="30" customHeight="1" x14ac:dyDescent="0.2">
      <c r="A114" s="119"/>
      <c r="B114" s="160" t="s">
        <v>279</v>
      </c>
      <c r="C114" s="116"/>
      <c r="D114" s="147"/>
      <c r="E114" s="832"/>
      <c r="F114" s="113">
        <f t="shared" si="19"/>
        <v>0</v>
      </c>
      <c r="G114" s="118" t="s">
        <v>280</v>
      </c>
      <c r="H114" s="861"/>
    </row>
    <row r="115" spans="1:8" s="125" customFormat="1" ht="30" customHeight="1" x14ac:dyDescent="0.2">
      <c r="A115" s="119" t="str">
        <f>H115</f>
        <v>33 71 19</v>
      </c>
      <c r="B115" s="149" t="s">
        <v>281</v>
      </c>
      <c r="C115" s="116"/>
      <c r="D115" s="117"/>
      <c r="E115" s="833"/>
      <c r="F115" s="113">
        <f t="shared" si="19"/>
        <v>0</v>
      </c>
      <c r="G115" s="118" t="s">
        <v>282</v>
      </c>
      <c r="H115" s="861" t="s">
        <v>163</v>
      </c>
    </row>
    <row r="116" spans="1:8" s="145" customFormat="1" ht="33.75" customHeight="1" x14ac:dyDescent="0.2">
      <c r="A116" s="115" t="str">
        <f t="shared" ref="A116" si="24">H116</f>
        <v>B2.33 71 19.05</v>
      </c>
      <c r="B116" s="150" t="s">
        <v>283</v>
      </c>
      <c r="C116" s="84" t="s">
        <v>52</v>
      </c>
      <c r="D116" s="92">
        <v>1700</v>
      </c>
      <c r="E116" s="82">
        <v>157</v>
      </c>
      <c r="F116" s="113">
        <f>E116*D116</f>
        <v>266900</v>
      </c>
      <c r="G116" s="144" t="s">
        <v>284</v>
      </c>
      <c r="H116" s="864" t="s">
        <v>285</v>
      </c>
    </row>
    <row r="117" spans="1:8" s="125" customFormat="1" ht="30" customHeight="1" x14ac:dyDescent="0.2">
      <c r="A117" s="119" t="str">
        <f>H117</f>
        <v>33 71 19</v>
      </c>
      <c r="B117" s="149" t="s">
        <v>286</v>
      </c>
      <c r="C117" s="116"/>
      <c r="D117" s="117">
        <v>0</v>
      </c>
      <c r="E117" s="833"/>
      <c r="F117" s="113"/>
      <c r="G117" s="118" t="s">
        <v>287</v>
      </c>
      <c r="H117" s="861" t="s">
        <v>163</v>
      </c>
    </row>
    <row r="118" spans="1:8" s="145" customFormat="1" ht="33.75" customHeight="1" x14ac:dyDescent="0.2">
      <c r="A118" s="115" t="str">
        <f t="shared" ref="A118:A124" si="25">H118</f>
        <v>B2.33 71 19.06</v>
      </c>
      <c r="B118" s="150" t="s">
        <v>283</v>
      </c>
      <c r="C118" s="84" t="s">
        <v>52</v>
      </c>
      <c r="D118" s="92">
        <v>34650</v>
      </c>
      <c r="E118" s="82">
        <v>83</v>
      </c>
      <c r="F118" s="113">
        <f>E118*D118</f>
        <v>2875950</v>
      </c>
      <c r="G118" s="144" t="s">
        <v>284</v>
      </c>
      <c r="H118" s="864" t="s">
        <v>288</v>
      </c>
    </row>
    <row r="119" spans="1:8" s="122" customFormat="1" ht="30" customHeight="1" x14ac:dyDescent="0.2">
      <c r="A119" s="119" t="str">
        <f t="shared" si="25"/>
        <v>33 71 19</v>
      </c>
      <c r="B119" s="149" t="s">
        <v>289</v>
      </c>
      <c r="C119" s="116"/>
      <c r="D119" s="117">
        <v>0</v>
      </c>
      <c r="E119" s="833"/>
      <c r="F119" s="113"/>
      <c r="G119" s="118" t="s">
        <v>290</v>
      </c>
      <c r="H119" s="861" t="s">
        <v>163</v>
      </c>
    </row>
    <row r="120" spans="1:8" s="162" customFormat="1" ht="30" customHeight="1" x14ac:dyDescent="0.2">
      <c r="A120" s="115" t="str">
        <f t="shared" si="25"/>
        <v>B2.33 71 19.07</v>
      </c>
      <c r="B120" s="97" t="s">
        <v>291</v>
      </c>
      <c r="C120" s="115" t="s">
        <v>52</v>
      </c>
      <c r="D120" s="92">
        <v>30590</v>
      </c>
      <c r="E120" s="82">
        <v>49</v>
      </c>
      <c r="F120" s="113">
        <f>E120*D120</f>
        <v>1498910</v>
      </c>
      <c r="G120" s="93" t="s">
        <v>292</v>
      </c>
      <c r="H120" s="864" t="s">
        <v>293</v>
      </c>
    </row>
    <row r="121" spans="1:8" s="125" customFormat="1" ht="30" customHeight="1" x14ac:dyDescent="0.2">
      <c r="A121" s="115" t="str">
        <f t="shared" si="25"/>
        <v>33 71 19.13</v>
      </c>
      <c r="B121" s="111" t="s">
        <v>294</v>
      </c>
      <c r="C121" s="116"/>
      <c r="D121" s="147">
        <v>0</v>
      </c>
      <c r="E121" s="834"/>
      <c r="F121" s="113"/>
      <c r="G121" s="118" t="s">
        <v>295</v>
      </c>
      <c r="H121" s="861" t="s">
        <v>296</v>
      </c>
    </row>
    <row r="122" spans="1:8" s="162" customFormat="1" ht="30" customHeight="1" x14ac:dyDescent="0.2">
      <c r="A122" s="115" t="str">
        <f t="shared" si="25"/>
        <v>B2.33.71.19.13.02</v>
      </c>
      <c r="B122" s="97" t="s">
        <v>297</v>
      </c>
      <c r="C122" s="115" t="s">
        <v>298</v>
      </c>
      <c r="D122" s="92">
        <v>79</v>
      </c>
      <c r="E122" s="82">
        <v>5901</v>
      </c>
      <c r="F122" s="113">
        <f t="shared" ref="F122:F124" si="26">E122*D122</f>
        <v>466179</v>
      </c>
      <c r="G122" s="93" t="s">
        <v>299</v>
      </c>
      <c r="H122" s="864" t="s">
        <v>300</v>
      </c>
    </row>
    <row r="123" spans="1:8" s="162" customFormat="1" ht="30" customHeight="1" x14ac:dyDescent="0.2">
      <c r="A123" s="115" t="str">
        <f t="shared" si="25"/>
        <v>B2.33.71.19.13.03</v>
      </c>
      <c r="B123" s="97" t="s">
        <v>301</v>
      </c>
      <c r="C123" s="115" t="s">
        <v>298</v>
      </c>
      <c r="D123" s="92">
        <v>103</v>
      </c>
      <c r="E123" s="82">
        <v>5901</v>
      </c>
      <c r="F123" s="113">
        <f t="shared" si="26"/>
        <v>607803</v>
      </c>
      <c r="G123" s="93" t="s">
        <v>302</v>
      </c>
      <c r="H123" s="864" t="s">
        <v>303</v>
      </c>
    </row>
    <row r="124" spans="1:8" s="162" customFormat="1" ht="30" customHeight="1" x14ac:dyDescent="0.2">
      <c r="A124" s="115" t="str">
        <f t="shared" si="25"/>
        <v>B2.33.71.19.13.04</v>
      </c>
      <c r="B124" s="97" t="s">
        <v>304</v>
      </c>
      <c r="C124" s="115" t="s">
        <v>298</v>
      </c>
      <c r="D124" s="92">
        <v>2</v>
      </c>
      <c r="E124" s="82">
        <v>5901</v>
      </c>
      <c r="F124" s="113">
        <f t="shared" si="26"/>
        <v>11802</v>
      </c>
      <c r="G124" s="93" t="s">
        <v>305</v>
      </c>
      <c r="H124" s="864" t="s">
        <v>306</v>
      </c>
    </row>
    <row r="125" spans="1:8" s="122" customFormat="1" ht="30" customHeight="1" x14ac:dyDescent="0.2">
      <c r="A125" s="115"/>
      <c r="B125" s="97"/>
      <c r="C125" s="115"/>
      <c r="D125" s="92"/>
      <c r="E125" s="135"/>
      <c r="F125" s="113">
        <f t="shared" si="19"/>
        <v>0</v>
      </c>
      <c r="G125" s="93"/>
      <c r="H125" s="864"/>
    </row>
    <row r="126" spans="1:8" s="122" customFormat="1" ht="30" customHeight="1" x14ac:dyDescent="0.2">
      <c r="A126" s="115"/>
      <c r="B126" s="97"/>
      <c r="C126" s="115"/>
      <c r="D126" s="92"/>
      <c r="E126" s="135"/>
      <c r="F126" s="113">
        <f t="shared" si="19"/>
        <v>0</v>
      </c>
      <c r="G126" s="93"/>
      <c r="H126" s="864"/>
    </row>
    <row r="127" spans="1:8" s="122" customFormat="1" ht="30" customHeight="1" x14ac:dyDescent="0.2">
      <c r="A127" s="115"/>
      <c r="B127" s="97"/>
      <c r="C127" s="115"/>
      <c r="D127" s="92"/>
      <c r="E127" s="135"/>
      <c r="F127" s="113">
        <f t="shared" si="19"/>
        <v>0</v>
      </c>
      <c r="G127" s="93"/>
      <c r="H127" s="864"/>
    </row>
    <row r="128" spans="1:8" s="122" customFormat="1" ht="30" customHeight="1" x14ac:dyDescent="0.2">
      <c r="A128" s="115"/>
      <c r="B128" s="97"/>
      <c r="C128" s="115"/>
      <c r="D128" s="92"/>
      <c r="E128" s="135"/>
      <c r="F128" s="113">
        <f t="shared" si="19"/>
        <v>0</v>
      </c>
      <c r="G128" s="93"/>
      <c r="H128" s="864"/>
    </row>
    <row r="129" spans="1:9" s="122" customFormat="1" ht="30" customHeight="1" x14ac:dyDescent="0.2">
      <c r="A129" s="115"/>
      <c r="B129" s="97"/>
      <c r="C129" s="115"/>
      <c r="D129" s="92"/>
      <c r="E129" s="135"/>
      <c r="F129" s="113">
        <f t="shared" si="19"/>
        <v>0</v>
      </c>
      <c r="G129" s="93"/>
      <c r="H129" s="864"/>
    </row>
    <row r="130" spans="1:9" s="122" customFormat="1" ht="32.25" customHeight="1" x14ac:dyDescent="0.2">
      <c r="A130" s="115"/>
      <c r="B130" s="97"/>
      <c r="C130" s="115"/>
      <c r="D130" s="92"/>
      <c r="E130" s="135"/>
      <c r="F130" s="113">
        <f t="shared" si="19"/>
        <v>0</v>
      </c>
      <c r="G130" s="93"/>
      <c r="H130" s="864"/>
    </row>
    <row r="131" spans="1:9" s="122" customFormat="1" ht="32.25" customHeight="1" x14ac:dyDescent="0.2">
      <c r="A131" s="115"/>
      <c r="B131" s="97"/>
      <c r="C131" s="115"/>
      <c r="D131" s="92"/>
      <c r="E131" s="135"/>
      <c r="F131" s="113">
        <f t="shared" si="19"/>
        <v>0</v>
      </c>
      <c r="G131" s="93"/>
      <c r="H131" s="864"/>
    </row>
    <row r="132" spans="1:9" s="122" customFormat="1" ht="25.5" customHeight="1" x14ac:dyDescent="0.2">
      <c r="A132" s="115"/>
      <c r="B132" s="97"/>
      <c r="C132" s="115"/>
      <c r="D132" s="92"/>
      <c r="E132" s="135"/>
      <c r="F132" s="113">
        <f t="shared" si="19"/>
        <v>0</v>
      </c>
      <c r="G132" s="93"/>
      <c r="H132" s="864"/>
    </row>
    <row r="133" spans="1:9" s="122" customFormat="1" ht="30" customHeight="1" x14ac:dyDescent="0.2">
      <c r="A133" s="115"/>
      <c r="B133" s="97"/>
      <c r="C133" s="115"/>
      <c r="D133" s="92"/>
      <c r="E133" s="135"/>
      <c r="F133" s="113">
        <f t="shared" si="19"/>
        <v>0</v>
      </c>
      <c r="G133" s="93"/>
      <c r="H133" s="864"/>
    </row>
    <row r="134" spans="1:9" s="132" customFormat="1" ht="36.75" customHeight="1" x14ac:dyDescent="0.2">
      <c r="A134" s="130"/>
      <c r="B134" s="106" t="s">
        <v>191</v>
      </c>
      <c r="C134" s="1039" t="s">
        <v>98</v>
      </c>
      <c r="D134" s="1048"/>
      <c r="E134" s="1048"/>
      <c r="F134" s="113">
        <f>SUM(F116:F124)</f>
        <v>5727544</v>
      </c>
      <c r="G134" s="131" t="s">
        <v>192</v>
      </c>
      <c r="H134" s="863"/>
    </row>
    <row r="135" spans="1:9" s="110" customFormat="1" ht="24.75" customHeight="1" x14ac:dyDescent="0.2">
      <c r="A135" s="1049" t="s">
        <v>307</v>
      </c>
      <c r="B135" s="1050"/>
      <c r="C135" s="107"/>
      <c r="D135" s="107"/>
      <c r="E135" s="831"/>
      <c r="F135" s="831">
        <f t="shared" si="19"/>
        <v>0</v>
      </c>
      <c r="G135" s="1054" t="s">
        <v>308</v>
      </c>
      <c r="H135" s="1055"/>
      <c r="I135" s="890"/>
    </row>
    <row r="136" spans="1:9" s="168" customFormat="1" ht="23.25" customHeight="1" x14ac:dyDescent="0.2">
      <c r="A136" s="105"/>
      <c r="B136" s="163" t="s">
        <v>309</v>
      </c>
      <c r="C136" s="164"/>
      <c r="D136" s="165"/>
      <c r="E136" s="390"/>
      <c r="F136" s="113">
        <f t="shared" si="19"/>
        <v>0</v>
      </c>
      <c r="G136" s="166" t="s">
        <v>310</v>
      </c>
      <c r="H136" s="867"/>
      <c r="I136" s="891"/>
    </row>
    <row r="137" spans="1:9" s="110" customFormat="1" ht="30.75" customHeight="1" x14ac:dyDescent="0.2">
      <c r="A137" s="105" t="str">
        <f t="shared" ref="A137" si="27">H137</f>
        <v>33 14 13</v>
      </c>
      <c r="B137" s="169" t="s">
        <v>311</v>
      </c>
      <c r="C137" s="164"/>
      <c r="D137" s="165"/>
      <c r="E137" s="390"/>
      <c r="F137" s="113">
        <f t="shared" si="19"/>
        <v>0</v>
      </c>
      <c r="G137" s="166" t="s">
        <v>312</v>
      </c>
      <c r="H137" s="868" t="s">
        <v>313</v>
      </c>
      <c r="I137" s="890"/>
    </row>
    <row r="138" spans="1:9" s="110" customFormat="1" ht="21.75" customHeight="1" x14ac:dyDescent="0.2">
      <c r="A138" s="105"/>
      <c r="B138" s="169" t="s">
        <v>314</v>
      </c>
      <c r="C138" s="164"/>
      <c r="D138" s="165"/>
      <c r="E138" s="390"/>
      <c r="F138" s="113">
        <f t="shared" si="19"/>
        <v>0</v>
      </c>
      <c r="G138" s="166" t="s">
        <v>315</v>
      </c>
      <c r="H138" s="868"/>
      <c r="I138" s="890"/>
    </row>
    <row r="139" spans="1:9" s="110" customFormat="1" ht="26.25" customHeight="1" x14ac:dyDescent="0.2">
      <c r="A139" s="105" t="str">
        <f t="shared" ref="A139:A141" si="28">H139</f>
        <v>B3.33 14 13.01</v>
      </c>
      <c r="B139" s="170" t="s">
        <v>316</v>
      </c>
      <c r="C139" s="115" t="s">
        <v>52</v>
      </c>
      <c r="D139" s="92">
        <v>51</v>
      </c>
      <c r="E139" s="82">
        <v>82</v>
      </c>
      <c r="F139" s="113">
        <f>E139*D139</f>
        <v>4182</v>
      </c>
      <c r="G139" s="171" t="s">
        <v>317</v>
      </c>
      <c r="H139" s="868" t="s">
        <v>318</v>
      </c>
      <c r="I139" s="890"/>
    </row>
    <row r="140" spans="1:9" s="110" customFormat="1" ht="26.25" customHeight="1" x14ac:dyDescent="0.2">
      <c r="A140" s="105" t="str">
        <f t="shared" si="28"/>
        <v>B3.33 14 13.02</v>
      </c>
      <c r="B140" s="170" t="s">
        <v>319</v>
      </c>
      <c r="C140" s="115" t="s">
        <v>52</v>
      </c>
      <c r="D140" s="92">
        <v>14</v>
      </c>
      <c r="E140" s="82">
        <v>106</v>
      </c>
      <c r="F140" s="113">
        <f t="shared" ref="F140:F141" si="29">E140*D140</f>
        <v>1484</v>
      </c>
      <c r="G140" s="171" t="s">
        <v>320</v>
      </c>
      <c r="H140" s="868" t="s">
        <v>321</v>
      </c>
      <c r="I140" s="890"/>
    </row>
    <row r="141" spans="1:9" s="110" customFormat="1" ht="26.25" customHeight="1" x14ac:dyDescent="0.2">
      <c r="A141" s="105" t="str">
        <f t="shared" si="28"/>
        <v>B3.33 14 13.03</v>
      </c>
      <c r="B141" s="170" t="s">
        <v>322</v>
      </c>
      <c r="C141" s="115" t="s">
        <v>52</v>
      </c>
      <c r="D141" s="92">
        <v>10</v>
      </c>
      <c r="E141" s="82">
        <v>138</v>
      </c>
      <c r="F141" s="113">
        <f t="shared" si="29"/>
        <v>1380</v>
      </c>
      <c r="G141" s="171" t="s">
        <v>323</v>
      </c>
      <c r="H141" s="868" t="s">
        <v>324</v>
      </c>
      <c r="I141" s="890"/>
    </row>
    <row r="142" spans="1:9" s="110" customFormat="1" ht="21.75" customHeight="1" x14ac:dyDescent="0.2">
      <c r="A142" s="105"/>
      <c r="B142" s="169" t="s">
        <v>325</v>
      </c>
      <c r="C142" s="164"/>
      <c r="D142" s="165">
        <v>0</v>
      </c>
      <c r="E142" s="411"/>
      <c r="F142" s="113"/>
      <c r="G142" s="166" t="s">
        <v>326</v>
      </c>
      <c r="H142" s="868"/>
      <c r="I142" s="890"/>
    </row>
    <row r="143" spans="1:9" s="110" customFormat="1" ht="26.25" customHeight="1" x14ac:dyDescent="0.2">
      <c r="A143" s="105" t="str">
        <f t="shared" ref="A143:A145" si="30">H143</f>
        <v>B3.33 14 13.04</v>
      </c>
      <c r="B143" s="170" t="s">
        <v>316</v>
      </c>
      <c r="C143" s="115" t="s">
        <v>52</v>
      </c>
      <c r="D143" s="92">
        <v>4464</v>
      </c>
      <c r="E143" s="82">
        <v>117</v>
      </c>
      <c r="F143" s="113">
        <f t="shared" ref="F143:F150" si="31">E143*D143</f>
        <v>522288</v>
      </c>
      <c r="G143" s="171" t="s">
        <v>317</v>
      </c>
      <c r="H143" s="868" t="s">
        <v>327</v>
      </c>
      <c r="I143" s="890"/>
    </row>
    <row r="144" spans="1:9" s="110" customFormat="1" ht="26.25" customHeight="1" x14ac:dyDescent="0.2">
      <c r="A144" s="105" t="str">
        <f t="shared" si="30"/>
        <v>B3.33 14 13.05</v>
      </c>
      <c r="B144" s="170" t="s">
        <v>319</v>
      </c>
      <c r="C144" s="115" t="s">
        <v>52</v>
      </c>
      <c r="D144" s="92">
        <v>633</v>
      </c>
      <c r="E144" s="82">
        <v>129</v>
      </c>
      <c r="F144" s="113">
        <f t="shared" si="31"/>
        <v>81657</v>
      </c>
      <c r="G144" s="171" t="s">
        <v>320</v>
      </c>
      <c r="H144" s="868" t="s">
        <v>328</v>
      </c>
      <c r="I144" s="890"/>
    </row>
    <row r="145" spans="1:9" s="110" customFormat="1" ht="26.25" customHeight="1" x14ac:dyDescent="0.2">
      <c r="A145" s="105" t="str">
        <f t="shared" si="30"/>
        <v>B3.33 14 13.03</v>
      </c>
      <c r="B145" s="170" t="s">
        <v>322</v>
      </c>
      <c r="C145" s="115" t="s">
        <v>52</v>
      </c>
      <c r="D145" s="92">
        <v>10</v>
      </c>
      <c r="E145" s="82">
        <v>138</v>
      </c>
      <c r="F145" s="113">
        <f t="shared" si="31"/>
        <v>1380</v>
      </c>
      <c r="G145" s="171" t="s">
        <v>323</v>
      </c>
      <c r="H145" s="868" t="s">
        <v>324</v>
      </c>
      <c r="I145" s="890"/>
    </row>
    <row r="146" spans="1:9" s="110" customFormat="1" ht="20.25" customHeight="1" x14ac:dyDescent="0.2">
      <c r="A146" s="105"/>
      <c r="B146" s="169" t="s">
        <v>329</v>
      </c>
      <c r="C146" s="164"/>
      <c r="D146" s="165">
        <v>0</v>
      </c>
      <c r="E146" s="411"/>
      <c r="F146" s="113">
        <f t="shared" si="31"/>
        <v>0</v>
      </c>
      <c r="G146" s="166" t="s">
        <v>330</v>
      </c>
      <c r="H146" s="868"/>
      <c r="I146" s="890"/>
    </row>
    <row r="147" spans="1:9" s="110" customFormat="1" ht="26.25" customHeight="1" x14ac:dyDescent="0.2">
      <c r="A147" s="105" t="str">
        <f>H147</f>
        <v>B3.33 14 13.07</v>
      </c>
      <c r="B147" s="170" t="s">
        <v>316</v>
      </c>
      <c r="C147" s="115" t="s">
        <v>52</v>
      </c>
      <c r="D147" s="92">
        <v>9788</v>
      </c>
      <c r="E147" s="82">
        <v>167</v>
      </c>
      <c r="F147" s="113">
        <f t="shared" si="31"/>
        <v>1634596</v>
      </c>
      <c r="G147" s="171" t="s">
        <v>317</v>
      </c>
      <c r="H147" s="868" t="s">
        <v>331</v>
      </c>
      <c r="I147" s="890"/>
    </row>
    <row r="148" spans="1:9" s="110" customFormat="1" ht="26.25" customHeight="1" x14ac:dyDescent="0.2">
      <c r="A148" s="105" t="str">
        <f t="shared" ref="A148:A150" si="32">H148</f>
        <v>B3.33 14 13.08</v>
      </c>
      <c r="B148" s="170" t="s">
        <v>319</v>
      </c>
      <c r="C148" s="115" t="s">
        <v>52</v>
      </c>
      <c r="D148" s="92">
        <v>1416</v>
      </c>
      <c r="E148" s="82">
        <v>179</v>
      </c>
      <c r="F148" s="113">
        <f t="shared" si="31"/>
        <v>253464</v>
      </c>
      <c r="G148" s="171" t="s">
        <v>320</v>
      </c>
      <c r="H148" s="868" t="s">
        <v>332</v>
      </c>
      <c r="I148" s="890"/>
    </row>
    <row r="149" spans="1:9" s="142" customFormat="1" ht="30" customHeight="1" x14ac:dyDescent="0.2">
      <c r="A149" s="105" t="str">
        <f t="shared" si="32"/>
        <v>B3.33 14 13.09</v>
      </c>
      <c r="B149" s="170" t="s">
        <v>333</v>
      </c>
      <c r="C149" s="115" t="s">
        <v>52</v>
      </c>
      <c r="D149" s="92">
        <v>71</v>
      </c>
      <c r="E149" s="82">
        <v>208</v>
      </c>
      <c r="F149" s="113">
        <f t="shared" si="31"/>
        <v>14768</v>
      </c>
      <c r="G149" s="171" t="s">
        <v>334</v>
      </c>
      <c r="H149" s="868" t="s">
        <v>335</v>
      </c>
    </row>
    <row r="150" spans="1:9" s="142" customFormat="1" ht="30" customHeight="1" x14ac:dyDescent="0.2">
      <c r="A150" s="105" t="str">
        <f t="shared" si="32"/>
        <v>B3.33 14 13.03</v>
      </c>
      <c r="B150" s="170" t="s">
        <v>336</v>
      </c>
      <c r="C150" s="115" t="s">
        <v>52</v>
      </c>
      <c r="D150" s="92">
        <v>10</v>
      </c>
      <c r="E150" s="82">
        <v>138</v>
      </c>
      <c r="F150" s="113">
        <f t="shared" si="31"/>
        <v>1380</v>
      </c>
      <c r="G150" s="171" t="s">
        <v>337</v>
      </c>
      <c r="H150" s="868" t="s">
        <v>324</v>
      </c>
    </row>
    <row r="151" spans="1:9" s="110" customFormat="1" ht="20.25" customHeight="1" x14ac:dyDescent="0.2">
      <c r="A151" s="105"/>
      <c r="B151" s="169" t="s">
        <v>338</v>
      </c>
      <c r="C151" s="164"/>
      <c r="D151" s="165">
        <v>0</v>
      </c>
      <c r="E151" s="390"/>
      <c r="F151" s="113"/>
      <c r="G151" s="166" t="s">
        <v>339</v>
      </c>
      <c r="H151" s="868"/>
      <c r="I151" s="890"/>
    </row>
    <row r="152" spans="1:9" s="110" customFormat="1" ht="26.25" customHeight="1" x14ac:dyDescent="0.2">
      <c r="A152" s="105" t="str">
        <f>H152</f>
        <v>B3.33 14 13.11</v>
      </c>
      <c r="B152" s="170" t="s">
        <v>316</v>
      </c>
      <c r="C152" s="115" t="s">
        <v>52</v>
      </c>
      <c r="D152" s="92">
        <v>7254</v>
      </c>
      <c r="E152" s="82">
        <v>184</v>
      </c>
      <c r="F152" s="113">
        <f t="shared" ref="F152:F155" si="33">E152*D152</f>
        <v>1334736</v>
      </c>
      <c r="G152" s="171" t="s">
        <v>317</v>
      </c>
      <c r="H152" s="868" t="s">
        <v>340</v>
      </c>
      <c r="I152" s="890"/>
    </row>
    <row r="153" spans="1:9" s="110" customFormat="1" ht="26.25" customHeight="1" x14ac:dyDescent="0.2">
      <c r="A153" s="105" t="str">
        <f t="shared" ref="A153:A155" si="34">H153</f>
        <v>B3.33 14 13.12</v>
      </c>
      <c r="B153" s="170" t="s">
        <v>319</v>
      </c>
      <c r="C153" s="115" t="s">
        <v>52</v>
      </c>
      <c r="D153" s="92">
        <v>1431</v>
      </c>
      <c r="E153" s="82">
        <v>196</v>
      </c>
      <c r="F153" s="113">
        <f t="shared" si="33"/>
        <v>280476</v>
      </c>
      <c r="G153" s="171" t="s">
        <v>320</v>
      </c>
      <c r="H153" s="868" t="s">
        <v>341</v>
      </c>
      <c r="I153" s="890"/>
    </row>
    <row r="154" spans="1:9" s="142" customFormat="1" ht="27" customHeight="1" x14ac:dyDescent="0.2">
      <c r="A154" s="105" t="str">
        <f t="shared" si="34"/>
        <v>B3.33 14 13.13</v>
      </c>
      <c r="B154" s="170" t="s">
        <v>333</v>
      </c>
      <c r="C154" s="115" t="s">
        <v>52</v>
      </c>
      <c r="D154" s="92">
        <v>69</v>
      </c>
      <c r="E154" s="82">
        <v>226</v>
      </c>
      <c r="F154" s="113">
        <f t="shared" si="33"/>
        <v>15594</v>
      </c>
      <c r="G154" s="171" t="s">
        <v>334</v>
      </c>
      <c r="H154" s="868" t="s">
        <v>342</v>
      </c>
    </row>
    <row r="155" spans="1:9" s="142" customFormat="1" ht="30" customHeight="1" x14ac:dyDescent="0.2">
      <c r="A155" s="105" t="str">
        <f t="shared" si="34"/>
        <v>B3.33 14 13.14</v>
      </c>
      <c r="B155" s="170" t="s">
        <v>336</v>
      </c>
      <c r="C155" s="115" t="s">
        <v>52</v>
      </c>
      <c r="D155" s="92">
        <v>10</v>
      </c>
      <c r="E155" s="82">
        <v>243</v>
      </c>
      <c r="F155" s="113">
        <f t="shared" si="33"/>
        <v>2430</v>
      </c>
      <c r="G155" s="171" t="s">
        <v>337</v>
      </c>
      <c r="H155" s="868" t="s">
        <v>343</v>
      </c>
    </row>
    <row r="156" spans="1:9" s="142" customFormat="1" ht="30" customHeight="1" x14ac:dyDescent="0.2">
      <c r="A156" s="105"/>
      <c r="B156" s="170"/>
      <c r="C156" s="115"/>
      <c r="D156" s="92"/>
      <c r="E156" s="835"/>
      <c r="F156" s="113"/>
      <c r="G156" s="171"/>
      <c r="H156" s="868"/>
    </row>
    <row r="157" spans="1:9" s="142" customFormat="1" ht="30" customHeight="1" x14ac:dyDescent="0.2">
      <c r="A157" s="105"/>
      <c r="B157" s="170"/>
      <c r="C157" s="115"/>
      <c r="D157" s="92"/>
      <c r="E157" s="835"/>
      <c r="F157" s="113"/>
      <c r="G157" s="171"/>
      <c r="H157" s="868"/>
    </row>
    <row r="158" spans="1:9" s="110" customFormat="1" ht="30" customHeight="1" x14ac:dyDescent="0.2">
      <c r="A158" s="172"/>
      <c r="B158" s="106" t="s">
        <v>344</v>
      </c>
      <c r="C158" s="1051" t="s">
        <v>98</v>
      </c>
      <c r="D158" s="1052"/>
      <c r="E158" s="1053"/>
      <c r="F158" s="113">
        <f>SUM(F139:F155)</f>
        <v>4149815</v>
      </c>
      <c r="G158" s="109" t="s">
        <v>345</v>
      </c>
      <c r="H158" s="869"/>
      <c r="I158" s="890"/>
    </row>
    <row r="159" spans="1:9" s="110" customFormat="1" ht="30" customHeight="1" x14ac:dyDescent="0.2">
      <c r="A159" s="105"/>
      <c r="B159" s="169" t="s">
        <v>309</v>
      </c>
      <c r="C159" s="164"/>
      <c r="D159" s="165"/>
      <c r="E159" s="390"/>
      <c r="F159" s="113">
        <f t="shared" ref="F159" si="35">E159+D159</f>
        <v>0</v>
      </c>
      <c r="G159" s="166" t="s">
        <v>310</v>
      </c>
      <c r="H159" s="867"/>
      <c r="I159" s="890"/>
    </row>
    <row r="160" spans="1:9" s="110" customFormat="1" ht="21" customHeight="1" x14ac:dyDescent="0.2">
      <c r="A160" s="105"/>
      <c r="B160" s="169" t="s">
        <v>346</v>
      </c>
      <c r="C160" s="164"/>
      <c r="D160" s="165">
        <v>0</v>
      </c>
      <c r="E160" s="390"/>
      <c r="F160" s="113"/>
      <c r="G160" s="166" t="s">
        <v>347</v>
      </c>
      <c r="H160" s="868"/>
      <c r="I160" s="890"/>
    </row>
    <row r="161" spans="1:9" s="110" customFormat="1" ht="26.25" customHeight="1" x14ac:dyDescent="0.2">
      <c r="A161" s="105" t="str">
        <f t="shared" ref="A161:A163" si="36">H161</f>
        <v>B3.33 14 13.15</v>
      </c>
      <c r="B161" s="170" t="s">
        <v>316</v>
      </c>
      <c r="C161" s="115" t="s">
        <v>52</v>
      </c>
      <c r="D161" s="92">
        <v>201</v>
      </c>
      <c r="E161" s="82">
        <v>259</v>
      </c>
      <c r="F161" s="113">
        <f>E161*D161</f>
        <v>52059</v>
      </c>
      <c r="G161" s="171" t="s">
        <v>317</v>
      </c>
      <c r="H161" s="868" t="s">
        <v>348</v>
      </c>
      <c r="I161" s="890"/>
    </row>
    <row r="162" spans="1:9" s="110" customFormat="1" ht="26.25" customHeight="1" x14ac:dyDescent="0.2">
      <c r="A162" s="105" t="str">
        <f t="shared" si="36"/>
        <v>B3.33 14 13.16</v>
      </c>
      <c r="B162" s="170" t="s">
        <v>319</v>
      </c>
      <c r="C162" s="115" t="s">
        <v>52</v>
      </c>
      <c r="D162" s="92">
        <v>151</v>
      </c>
      <c r="E162" s="82">
        <v>271</v>
      </c>
      <c r="F162" s="113">
        <f t="shared" ref="F162:F163" si="37">E162*D162</f>
        <v>40921</v>
      </c>
      <c r="G162" s="171" t="s">
        <v>320</v>
      </c>
      <c r="H162" s="868" t="s">
        <v>349</v>
      </c>
      <c r="I162" s="890"/>
    </row>
    <row r="163" spans="1:9" s="110" customFormat="1" ht="26.25" customHeight="1" x14ac:dyDescent="0.2">
      <c r="A163" s="105" t="str">
        <f t="shared" si="36"/>
        <v>B3.33 14 13.17</v>
      </c>
      <c r="B163" s="170" t="s">
        <v>322</v>
      </c>
      <c r="C163" s="115" t="s">
        <v>52</v>
      </c>
      <c r="D163" s="92">
        <v>10</v>
      </c>
      <c r="E163" s="82">
        <v>300</v>
      </c>
      <c r="F163" s="113">
        <f t="shared" si="37"/>
        <v>3000</v>
      </c>
      <c r="G163" s="171" t="s">
        <v>323</v>
      </c>
      <c r="H163" s="868" t="s">
        <v>350</v>
      </c>
      <c r="I163" s="890"/>
    </row>
    <row r="164" spans="1:9" s="110" customFormat="1" ht="25.5" customHeight="1" x14ac:dyDescent="0.2">
      <c r="A164" s="105"/>
      <c r="B164" s="169" t="s">
        <v>351</v>
      </c>
      <c r="C164" s="164"/>
      <c r="D164" s="165">
        <v>0</v>
      </c>
      <c r="E164" s="390"/>
      <c r="F164" s="113"/>
      <c r="G164" s="166" t="s">
        <v>352</v>
      </c>
      <c r="H164" s="868"/>
      <c r="I164" s="890"/>
    </row>
    <row r="165" spans="1:9" s="173" customFormat="1" ht="30" customHeight="1" x14ac:dyDescent="0.2">
      <c r="A165" s="105" t="str">
        <f>H165</f>
        <v>B3.33 14 13.18</v>
      </c>
      <c r="B165" s="170" t="s">
        <v>316</v>
      </c>
      <c r="C165" s="115" t="s">
        <v>52</v>
      </c>
      <c r="D165" s="92">
        <v>60</v>
      </c>
      <c r="E165" s="82">
        <v>329</v>
      </c>
      <c r="F165" s="113">
        <f t="shared" ref="F165:F166" si="38">E165*D165</f>
        <v>19740</v>
      </c>
      <c r="G165" s="171" t="s">
        <v>317</v>
      </c>
      <c r="H165" s="868" t="s">
        <v>353</v>
      </c>
    </row>
    <row r="166" spans="1:9" s="110" customFormat="1" ht="26.25" customHeight="1" x14ac:dyDescent="0.2">
      <c r="A166" s="105" t="str">
        <f t="shared" ref="A166" si="39">H166</f>
        <v>B3.33 14 13.19</v>
      </c>
      <c r="B166" s="170" t="s">
        <v>354</v>
      </c>
      <c r="C166" s="115" t="s">
        <v>52</v>
      </c>
      <c r="D166" s="92">
        <v>10</v>
      </c>
      <c r="E166" s="82">
        <v>342</v>
      </c>
      <c r="F166" s="113">
        <f t="shared" si="38"/>
        <v>3420</v>
      </c>
      <c r="G166" s="171" t="s">
        <v>355</v>
      </c>
      <c r="H166" s="868" t="s">
        <v>356</v>
      </c>
      <c r="I166" s="890"/>
    </row>
    <row r="167" spans="1:9" s="110" customFormat="1" ht="30" customHeight="1" x14ac:dyDescent="0.2">
      <c r="A167" s="105"/>
      <c r="B167" s="169" t="s">
        <v>309</v>
      </c>
      <c r="C167" s="164"/>
      <c r="D167" s="165"/>
      <c r="E167" s="390"/>
      <c r="F167" s="113">
        <f t="shared" ref="F167:F227" si="40">E167+D167</f>
        <v>0</v>
      </c>
      <c r="G167" s="166" t="s">
        <v>310</v>
      </c>
      <c r="H167" s="867"/>
      <c r="I167" s="890"/>
    </row>
    <row r="168" spans="1:9" s="110" customFormat="1" ht="30" customHeight="1" x14ac:dyDescent="0.2">
      <c r="A168" s="115" t="str">
        <f>H168</f>
        <v>33 14 11</v>
      </c>
      <c r="B168" s="169" t="s">
        <v>357</v>
      </c>
      <c r="C168" s="164"/>
      <c r="D168" s="165"/>
      <c r="E168" s="390"/>
      <c r="F168" s="113">
        <f t="shared" si="40"/>
        <v>0</v>
      </c>
      <c r="G168" s="166" t="s">
        <v>358</v>
      </c>
      <c r="H168" s="858" t="s">
        <v>359</v>
      </c>
      <c r="I168" s="890"/>
    </row>
    <row r="169" spans="1:9" s="110" customFormat="1" ht="30" customHeight="1" x14ac:dyDescent="0.2">
      <c r="A169" s="115" t="str">
        <f>H169</f>
        <v>B3.33 14 11.01</v>
      </c>
      <c r="B169" s="90" t="s">
        <v>360</v>
      </c>
      <c r="C169" s="115" t="s">
        <v>52</v>
      </c>
      <c r="D169" s="92">
        <v>289</v>
      </c>
      <c r="E169" s="82">
        <v>83</v>
      </c>
      <c r="F169" s="113">
        <f t="shared" ref="F169:F173" si="41">E169*D169</f>
        <v>23987</v>
      </c>
      <c r="G169" s="171" t="s">
        <v>361</v>
      </c>
      <c r="H169" s="858" t="s">
        <v>362</v>
      </c>
      <c r="I169" s="890"/>
    </row>
    <row r="170" spans="1:9" s="110" customFormat="1" ht="30" customHeight="1" x14ac:dyDescent="0.2">
      <c r="A170" s="115" t="str">
        <f>H170</f>
        <v>B3.33 14 11.02</v>
      </c>
      <c r="B170" s="90" t="s">
        <v>363</v>
      </c>
      <c r="C170" s="115" t="s">
        <v>52</v>
      </c>
      <c r="D170" s="92">
        <v>562</v>
      </c>
      <c r="E170" s="82">
        <v>96</v>
      </c>
      <c r="F170" s="113">
        <f t="shared" si="41"/>
        <v>53952</v>
      </c>
      <c r="G170" s="171" t="s">
        <v>364</v>
      </c>
      <c r="H170" s="858" t="s">
        <v>365</v>
      </c>
      <c r="I170" s="890"/>
    </row>
    <row r="171" spans="1:9" s="110" customFormat="1" ht="30" customHeight="1" x14ac:dyDescent="0.2">
      <c r="A171" s="115" t="str">
        <f t="shared" ref="A171" si="42">H171</f>
        <v>B3.33 14 11.03</v>
      </c>
      <c r="B171" s="90" t="s">
        <v>366</v>
      </c>
      <c r="C171" s="115" t="s">
        <v>52</v>
      </c>
      <c r="D171" s="92">
        <v>553</v>
      </c>
      <c r="E171" s="82">
        <v>110</v>
      </c>
      <c r="F171" s="113">
        <f t="shared" si="41"/>
        <v>60830</v>
      </c>
      <c r="G171" s="171" t="s">
        <v>367</v>
      </c>
      <c r="H171" s="858" t="s">
        <v>368</v>
      </c>
      <c r="I171" s="890"/>
    </row>
    <row r="172" spans="1:9" s="110" customFormat="1" ht="30" customHeight="1" x14ac:dyDescent="0.2">
      <c r="A172" s="115" t="str">
        <f>H172</f>
        <v>B3.33 14 11.04</v>
      </c>
      <c r="B172" s="90" t="s">
        <v>369</v>
      </c>
      <c r="C172" s="115" t="s">
        <v>52</v>
      </c>
      <c r="D172" s="92">
        <v>7</v>
      </c>
      <c r="E172" s="82">
        <v>131</v>
      </c>
      <c r="F172" s="113">
        <f t="shared" si="41"/>
        <v>917</v>
      </c>
      <c r="G172" s="171" t="s">
        <v>370</v>
      </c>
      <c r="H172" s="858" t="s">
        <v>371</v>
      </c>
      <c r="I172" s="890"/>
    </row>
    <row r="173" spans="1:9" s="110" customFormat="1" ht="30" customHeight="1" x14ac:dyDescent="0.2">
      <c r="A173" s="115" t="str">
        <f t="shared" ref="A173" si="43">H173</f>
        <v>B3.33 14 11.05</v>
      </c>
      <c r="B173" s="90" t="s">
        <v>372</v>
      </c>
      <c r="C173" s="115" t="s">
        <v>52</v>
      </c>
      <c r="D173" s="92">
        <v>60</v>
      </c>
      <c r="E173" s="82">
        <v>145</v>
      </c>
      <c r="F173" s="113">
        <f t="shared" si="41"/>
        <v>8700</v>
      </c>
      <c r="G173" s="171" t="s">
        <v>373</v>
      </c>
      <c r="H173" s="858" t="s">
        <v>374</v>
      </c>
      <c r="I173" s="890"/>
    </row>
    <row r="174" spans="1:9" s="174" customFormat="1" ht="30" customHeight="1" x14ac:dyDescent="0.2">
      <c r="A174" s="115"/>
      <c r="B174" s="169" t="s">
        <v>375</v>
      </c>
      <c r="C174" s="164"/>
      <c r="D174" s="165"/>
      <c r="E174" s="390"/>
      <c r="F174" s="113">
        <f t="shared" si="40"/>
        <v>0</v>
      </c>
      <c r="G174" s="166" t="s">
        <v>376</v>
      </c>
      <c r="H174" s="862"/>
      <c r="I174" s="892"/>
    </row>
    <row r="175" spans="1:9" s="101" customFormat="1" ht="30" customHeight="1" x14ac:dyDescent="0.2">
      <c r="A175" s="115" t="str">
        <f>H175</f>
        <v>33 14 19</v>
      </c>
      <c r="B175" s="169" t="s">
        <v>377</v>
      </c>
      <c r="C175" s="164"/>
      <c r="D175" s="165"/>
      <c r="E175" s="390"/>
      <c r="F175" s="113">
        <f t="shared" si="40"/>
        <v>0</v>
      </c>
      <c r="G175" s="166" t="s">
        <v>378</v>
      </c>
      <c r="H175" s="870" t="s">
        <v>379</v>
      </c>
      <c r="I175" s="888"/>
    </row>
    <row r="176" spans="1:9" s="101" customFormat="1" ht="30" customHeight="1" x14ac:dyDescent="0.2">
      <c r="A176" s="115">
        <f>H176</f>
        <v>0</v>
      </c>
      <c r="B176" s="169" t="s">
        <v>380</v>
      </c>
      <c r="C176" s="164"/>
      <c r="D176" s="165"/>
      <c r="E176" s="390"/>
      <c r="F176" s="113">
        <f t="shared" si="40"/>
        <v>0</v>
      </c>
      <c r="G176" s="166" t="s">
        <v>381</v>
      </c>
      <c r="H176" s="862"/>
      <c r="I176" s="888"/>
    </row>
    <row r="177" spans="1:9" s="98" customFormat="1" ht="30" customHeight="1" x14ac:dyDescent="0.2">
      <c r="A177" s="115" t="str">
        <f t="shared" ref="A177" si="44">H177</f>
        <v>B3.33 14 19.01</v>
      </c>
      <c r="B177" s="176" t="s">
        <v>382</v>
      </c>
      <c r="C177" s="115" t="s">
        <v>298</v>
      </c>
      <c r="D177" s="92">
        <v>19</v>
      </c>
      <c r="E177" s="82">
        <v>2817</v>
      </c>
      <c r="F177" s="113">
        <f t="shared" ref="F177:F179" si="45">E177*D177</f>
        <v>53523</v>
      </c>
      <c r="G177" s="123" t="s">
        <v>383</v>
      </c>
      <c r="H177" s="862" t="s">
        <v>384</v>
      </c>
      <c r="I177" s="887"/>
    </row>
    <row r="178" spans="1:9" s="98" customFormat="1" ht="30" customHeight="1" x14ac:dyDescent="0.2">
      <c r="A178" s="115" t="str">
        <f>H178</f>
        <v>B3.33 14 19.02</v>
      </c>
      <c r="B178" s="176" t="s">
        <v>385</v>
      </c>
      <c r="C178" s="115" t="s">
        <v>298</v>
      </c>
      <c r="D178" s="92">
        <v>45</v>
      </c>
      <c r="E178" s="82">
        <v>3689</v>
      </c>
      <c r="F178" s="113">
        <f t="shared" si="45"/>
        <v>166005</v>
      </c>
      <c r="G178" s="123" t="s">
        <v>386</v>
      </c>
      <c r="H178" s="862" t="s">
        <v>387</v>
      </c>
      <c r="I178" s="887"/>
    </row>
    <row r="179" spans="1:9" s="98" customFormat="1" ht="30" customHeight="1" x14ac:dyDescent="0.2">
      <c r="A179" s="115" t="str">
        <f>H179</f>
        <v>B3.33 14 19.03</v>
      </c>
      <c r="B179" s="176" t="s">
        <v>388</v>
      </c>
      <c r="C179" s="115" t="s">
        <v>298</v>
      </c>
      <c r="D179" s="92">
        <v>39</v>
      </c>
      <c r="E179" s="82">
        <v>5128</v>
      </c>
      <c r="F179" s="113">
        <f t="shared" si="45"/>
        <v>199992</v>
      </c>
      <c r="G179" s="123" t="s">
        <v>389</v>
      </c>
      <c r="H179" s="862" t="s">
        <v>390</v>
      </c>
      <c r="I179" s="887"/>
    </row>
    <row r="180" spans="1:9" s="110" customFormat="1" ht="30" customHeight="1" x14ac:dyDescent="0.2">
      <c r="A180" s="172"/>
      <c r="B180" s="106" t="s">
        <v>344</v>
      </c>
      <c r="C180" s="1051" t="s">
        <v>98</v>
      </c>
      <c r="D180" s="1052"/>
      <c r="E180" s="1053"/>
      <c r="F180" s="113">
        <f>SUM(F161:F179)</f>
        <v>687046</v>
      </c>
      <c r="G180" s="109" t="s">
        <v>345</v>
      </c>
      <c r="H180" s="869"/>
      <c r="I180" s="890"/>
    </row>
    <row r="181" spans="1:9" s="174" customFormat="1" ht="30" customHeight="1" x14ac:dyDescent="0.2">
      <c r="A181" s="115"/>
      <c r="B181" s="169" t="s">
        <v>375</v>
      </c>
      <c r="C181" s="164"/>
      <c r="D181" s="165"/>
      <c r="E181" s="390"/>
      <c r="F181" s="113">
        <f t="shared" si="40"/>
        <v>0</v>
      </c>
      <c r="G181" s="166" t="s">
        <v>376</v>
      </c>
      <c r="H181" s="862"/>
      <c r="I181" s="892"/>
    </row>
    <row r="182" spans="1:9" s="101" customFormat="1" ht="30" customHeight="1" x14ac:dyDescent="0.2">
      <c r="A182" s="115" t="str">
        <f>H182</f>
        <v>33 14 19</v>
      </c>
      <c r="B182" s="169" t="s">
        <v>377</v>
      </c>
      <c r="C182" s="164"/>
      <c r="D182" s="165"/>
      <c r="E182" s="390"/>
      <c r="F182" s="113">
        <f t="shared" si="40"/>
        <v>0</v>
      </c>
      <c r="G182" s="166" t="s">
        <v>378</v>
      </c>
      <c r="H182" s="870" t="s">
        <v>379</v>
      </c>
      <c r="I182" s="888"/>
    </row>
    <row r="183" spans="1:9" s="101" customFormat="1" ht="30" customHeight="1" x14ac:dyDescent="0.2">
      <c r="A183" s="115">
        <f t="shared" ref="A183:A185" si="46">H183</f>
        <v>0</v>
      </c>
      <c r="B183" s="169" t="s">
        <v>391</v>
      </c>
      <c r="C183" s="164"/>
      <c r="D183" s="165"/>
      <c r="E183" s="390"/>
      <c r="F183" s="113">
        <f t="shared" si="40"/>
        <v>0</v>
      </c>
      <c r="G183" s="166" t="s">
        <v>392</v>
      </c>
      <c r="H183" s="862"/>
      <c r="I183" s="888"/>
    </row>
    <row r="184" spans="1:9" s="101" customFormat="1" ht="30" customHeight="1" x14ac:dyDescent="0.2">
      <c r="A184" s="115" t="str">
        <f t="shared" si="46"/>
        <v>B3.33 14 19.04</v>
      </c>
      <c r="B184" s="176" t="s">
        <v>393</v>
      </c>
      <c r="C184" s="115" t="s">
        <v>298</v>
      </c>
      <c r="D184" s="92">
        <v>2</v>
      </c>
      <c r="E184" s="82">
        <v>6821</v>
      </c>
      <c r="F184" s="113">
        <f>E184*D184</f>
        <v>13642</v>
      </c>
      <c r="G184" s="123" t="s">
        <v>394</v>
      </c>
      <c r="H184" s="862" t="s">
        <v>395</v>
      </c>
      <c r="I184" s="888"/>
    </row>
    <row r="185" spans="1:9" s="101" customFormat="1" ht="30" customHeight="1" x14ac:dyDescent="0.2">
      <c r="A185" s="115" t="str">
        <f t="shared" si="46"/>
        <v>B3.33 14 19.05</v>
      </c>
      <c r="B185" s="176" t="s">
        <v>396</v>
      </c>
      <c r="C185" s="115" t="s">
        <v>298</v>
      </c>
      <c r="D185" s="92">
        <v>1</v>
      </c>
      <c r="E185" s="82">
        <v>9039</v>
      </c>
      <c r="F185" s="113">
        <f>E185*D185</f>
        <v>9039</v>
      </c>
      <c r="G185" s="123" t="s">
        <v>397</v>
      </c>
      <c r="H185" s="862" t="s">
        <v>398</v>
      </c>
      <c r="I185" s="888"/>
    </row>
    <row r="186" spans="1:9" s="101" customFormat="1" ht="30" customHeight="1" x14ac:dyDescent="0.2">
      <c r="A186" s="115">
        <f>H186</f>
        <v>0</v>
      </c>
      <c r="B186" s="169" t="s">
        <v>399</v>
      </c>
      <c r="C186" s="164"/>
      <c r="D186" s="165">
        <v>0</v>
      </c>
      <c r="E186" s="390"/>
      <c r="F186" s="113"/>
      <c r="G186" s="166" t="s">
        <v>400</v>
      </c>
      <c r="H186" s="862"/>
      <c r="I186" s="888"/>
    </row>
    <row r="187" spans="1:9" s="101" customFormat="1" ht="30" customHeight="1" x14ac:dyDescent="0.2">
      <c r="A187" s="115" t="str">
        <f t="shared" ref="A187" si="47">H187</f>
        <v>B3.33 14 19.06</v>
      </c>
      <c r="B187" s="176" t="s">
        <v>401</v>
      </c>
      <c r="C187" s="115" t="s">
        <v>298</v>
      </c>
      <c r="D187" s="92">
        <v>2</v>
      </c>
      <c r="E187" s="82">
        <v>5526</v>
      </c>
      <c r="F187" s="113">
        <f t="shared" ref="F187:F190" si="48">E187*D187</f>
        <v>11052</v>
      </c>
      <c r="G187" s="123" t="s">
        <v>402</v>
      </c>
      <c r="H187" s="862" t="s">
        <v>403</v>
      </c>
      <c r="I187" s="888"/>
    </row>
    <row r="188" spans="1:9" s="101" customFormat="1" ht="30" customHeight="1" x14ac:dyDescent="0.2">
      <c r="A188" s="115" t="str">
        <f>H188</f>
        <v>B3.33 14 19.07</v>
      </c>
      <c r="B188" s="176" t="s">
        <v>404</v>
      </c>
      <c r="C188" s="115" t="s">
        <v>298</v>
      </c>
      <c r="D188" s="92">
        <v>8</v>
      </c>
      <c r="E188" s="82">
        <v>5696</v>
      </c>
      <c r="F188" s="113">
        <f t="shared" si="48"/>
        <v>45568</v>
      </c>
      <c r="G188" s="123" t="s">
        <v>405</v>
      </c>
      <c r="H188" s="862" t="s">
        <v>406</v>
      </c>
      <c r="I188" s="888"/>
    </row>
    <row r="189" spans="1:9" s="101" customFormat="1" ht="30" customHeight="1" x14ac:dyDescent="0.2">
      <c r="A189" s="115" t="str">
        <f t="shared" ref="A189:A190" si="49">H189</f>
        <v>B3.33 14 19.08</v>
      </c>
      <c r="B189" s="176" t="s">
        <v>407</v>
      </c>
      <c r="C189" s="115" t="s">
        <v>298</v>
      </c>
      <c r="D189" s="92">
        <v>4</v>
      </c>
      <c r="E189" s="82">
        <v>5873</v>
      </c>
      <c r="F189" s="113">
        <f t="shared" si="48"/>
        <v>23492</v>
      </c>
      <c r="G189" s="123" t="s">
        <v>408</v>
      </c>
      <c r="H189" s="862" t="s">
        <v>409</v>
      </c>
      <c r="I189" s="888"/>
    </row>
    <row r="190" spans="1:9" s="101" customFormat="1" ht="30" customHeight="1" x14ac:dyDescent="0.2">
      <c r="A190" s="115" t="str">
        <f t="shared" si="49"/>
        <v>B3.33 14 19.09</v>
      </c>
      <c r="B190" s="176" t="s">
        <v>410</v>
      </c>
      <c r="C190" s="115" t="s">
        <v>298</v>
      </c>
      <c r="D190" s="92">
        <v>2</v>
      </c>
      <c r="E190" s="82">
        <v>6055</v>
      </c>
      <c r="F190" s="113">
        <f t="shared" si="48"/>
        <v>12110</v>
      </c>
      <c r="G190" s="123" t="s">
        <v>411</v>
      </c>
      <c r="H190" s="862" t="s">
        <v>412</v>
      </c>
      <c r="I190" s="888"/>
    </row>
    <row r="191" spans="1:9" s="101" customFormat="1" ht="30" customHeight="1" x14ac:dyDescent="0.2">
      <c r="A191" s="115">
        <f>H191</f>
        <v>0</v>
      </c>
      <c r="B191" s="169" t="s">
        <v>413</v>
      </c>
      <c r="C191" s="164"/>
      <c r="D191" s="165">
        <v>0</v>
      </c>
      <c r="E191" s="390"/>
      <c r="F191" s="113"/>
      <c r="G191" s="166" t="s">
        <v>414</v>
      </c>
      <c r="H191" s="862"/>
      <c r="I191" s="888"/>
    </row>
    <row r="192" spans="1:9" s="101" customFormat="1" ht="30" customHeight="1" x14ac:dyDescent="0.2">
      <c r="A192" s="115" t="str">
        <f>H192</f>
        <v>B3.33 14 19.10</v>
      </c>
      <c r="B192" s="176" t="s">
        <v>415</v>
      </c>
      <c r="C192" s="115" t="s">
        <v>298</v>
      </c>
      <c r="D192" s="92">
        <v>1</v>
      </c>
      <c r="E192" s="82">
        <v>6123</v>
      </c>
      <c r="F192" s="113">
        <f t="shared" ref="F192:F194" si="50">E192*D192</f>
        <v>6123</v>
      </c>
      <c r="G192" s="123" t="s">
        <v>416</v>
      </c>
      <c r="H192" s="862" t="s">
        <v>417</v>
      </c>
      <c r="I192" s="888"/>
    </row>
    <row r="193" spans="1:9" s="101" customFormat="1" ht="30" customHeight="1" x14ac:dyDescent="0.2">
      <c r="A193" s="115" t="str">
        <f>H193</f>
        <v>B3.33 14 19.11</v>
      </c>
      <c r="B193" s="176" t="s">
        <v>418</v>
      </c>
      <c r="C193" s="115" t="s">
        <v>298</v>
      </c>
      <c r="D193" s="92">
        <v>7</v>
      </c>
      <c r="E193" s="82">
        <v>6312</v>
      </c>
      <c r="F193" s="113">
        <f t="shared" si="50"/>
        <v>44184</v>
      </c>
      <c r="G193" s="123" t="s">
        <v>419</v>
      </c>
      <c r="H193" s="862" t="s">
        <v>420</v>
      </c>
      <c r="I193" s="888"/>
    </row>
    <row r="194" spans="1:9" s="101" customFormat="1" ht="30" customHeight="1" x14ac:dyDescent="0.2">
      <c r="A194" s="115" t="str">
        <f t="shared" ref="A194" si="51">H194</f>
        <v>B3.33 14 19.12</v>
      </c>
      <c r="B194" s="176" t="s">
        <v>421</v>
      </c>
      <c r="C194" s="115" t="s">
        <v>298</v>
      </c>
      <c r="D194" s="92">
        <v>5</v>
      </c>
      <c r="E194" s="82">
        <v>6507</v>
      </c>
      <c r="F194" s="113">
        <f t="shared" si="50"/>
        <v>32535</v>
      </c>
      <c r="G194" s="123" t="s">
        <v>422</v>
      </c>
      <c r="H194" s="862" t="s">
        <v>423</v>
      </c>
      <c r="I194" s="888"/>
    </row>
    <row r="195" spans="1:9" s="101" customFormat="1" ht="30" customHeight="1" x14ac:dyDescent="0.2">
      <c r="A195" s="115">
        <f>H195</f>
        <v>0</v>
      </c>
      <c r="B195" s="85" t="s">
        <v>424</v>
      </c>
      <c r="C195" s="177"/>
      <c r="D195" s="178">
        <v>0</v>
      </c>
      <c r="E195" s="397"/>
      <c r="F195" s="113"/>
      <c r="G195" s="166" t="s">
        <v>425</v>
      </c>
      <c r="H195" s="862"/>
      <c r="I195" s="888"/>
    </row>
    <row r="196" spans="1:9" s="101" customFormat="1" ht="33.75" customHeight="1" x14ac:dyDescent="0.2">
      <c r="A196" s="115" t="str">
        <f t="shared" ref="A196" si="52">H196</f>
        <v>B3.33 14 19.13</v>
      </c>
      <c r="B196" s="90" t="s">
        <v>426</v>
      </c>
      <c r="C196" s="115" t="s">
        <v>298</v>
      </c>
      <c r="D196" s="92">
        <v>280</v>
      </c>
      <c r="E196" s="82">
        <v>10634</v>
      </c>
      <c r="F196" s="113">
        <f>E196*D196</f>
        <v>2977520</v>
      </c>
      <c r="G196" s="171" t="s">
        <v>427</v>
      </c>
      <c r="H196" s="862" t="s">
        <v>428</v>
      </c>
      <c r="I196" s="888"/>
    </row>
    <row r="197" spans="1:9" s="101" customFormat="1" ht="30" customHeight="1" x14ac:dyDescent="0.2">
      <c r="A197" s="115"/>
      <c r="B197" s="176"/>
      <c r="C197" s="115"/>
      <c r="D197" s="92"/>
      <c r="E197" s="135"/>
      <c r="F197" s="113">
        <f t="shared" si="40"/>
        <v>0</v>
      </c>
      <c r="G197" s="123"/>
      <c r="H197" s="862"/>
      <c r="I197" s="888"/>
    </row>
    <row r="198" spans="1:9" s="101" customFormat="1" ht="30" customHeight="1" x14ac:dyDescent="0.2">
      <c r="A198" s="115"/>
      <c r="B198" s="176"/>
      <c r="C198" s="115"/>
      <c r="D198" s="92"/>
      <c r="E198" s="135"/>
      <c r="F198" s="113">
        <f t="shared" si="40"/>
        <v>0</v>
      </c>
      <c r="G198" s="123"/>
      <c r="H198" s="862"/>
      <c r="I198" s="888"/>
    </row>
    <row r="199" spans="1:9" s="101" customFormat="1" ht="30" customHeight="1" x14ac:dyDescent="0.2">
      <c r="A199" s="115"/>
      <c r="B199" s="176"/>
      <c r="C199" s="115"/>
      <c r="D199" s="92"/>
      <c r="E199" s="135"/>
      <c r="F199" s="113">
        <f t="shared" si="40"/>
        <v>0</v>
      </c>
      <c r="G199" s="123"/>
      <c r="H199" s="862"/>
      <c r="I199" s="888"/>
    </row>
    <row r="200" spans="1:9" s="101" customFormat="1" ht="30" customHeight="1" x14ac:dyDescent="0.2">
      <c r="A200" s="115"/>
      <c r="B200" s="176"/>
      <c r="C200" s="115"/>
      <c r="D200" s="92"/>
      <c r="E200" s="135"/>
      <c r="F200" s="113">
        <f t="shared" si="40"/>
        <v>0</v>
      </c>
      <c r="G200" s="123"/>
      <c r="H200" s="862"/>
      <c r="I200" s="888"/>
    </row>
    <row r="201" spans="1:9" s="174" customFormat="1" ht="33" customHeight="1" x14ac:dyDescent="0.2">
      <c r="A201" s="172"/>
      <c r="B201" s="106" t="s">
        <v>344</v>
      </c>
      <c r="C201" s="1051" t="s">
        <v>98</v>
      </c>
      <c r="D201" s="1052"/>
      <c r="E201" s="1053"/>
      <c r="F201" s="113">
        <f>SUM(F184:F196)</f>
        <v>3175265</v>
      </c>
      <c r="G201" s="109" t="s">
        <v>345</v>
      </c>
      <c r="H201" s="869"/>
      <c r="I201" s="892"/>
    </row>
    <row r="202" spans="1:9" s="174" customFormat="1" ht="30" customHeight="1" x14ac:dyDescent="0.2">
      <c r="A202" s="115">
        <f t="shared" ref="A202:A219" si="53">H202</f>
        <v>0</v>
      </c>
      <c r="B202" s="85" t="s">
        <v>429</v>
      </c>
      <c r="C202" s="177"/>
      <c r="D202" s="178"/>
      <c r="E202" s="397"/>
      <c r="F202" s="113">
        <f t="shared" si="40"/>
        <v>0</v>
      </c>
      <c r="G202" s="166" t="s">
        <v>430</v>
      </c>
      <c r="H202" s="862"/>
      <c r="I202" s="892"/>
    </row>
    <row r="203" spans="1:9" s="101" customFormat="1" ht="30" customHeight="1" x14ac:dyDescent="0.2">
      <c r="A203" s="115" t="str">
        <f t="shared" si="53"/>
        <v>B3.33 14 13</v>
      </c>
      <c r="B203" s="85" t="s">
        <v>431</v>
      </c>
      <c r="C203" s="177"/>
      <c r="D203" s="178"/>
      <c r="E203" s="397"/>
      <c r="F203" s="113">
        <f t="shared" si="40"/>
        <v>0</v>
      </c>
      <c r="G203" s="166" t="s">
        <v>432</v>
      </c>
      <c r="H203" s="862" t="s">
        <v>433</v>
      </c>
      <c r="I203" s="888"/>
    </row>
    <row r="204" spans="1:9" s="101" customFormat="1" ht="30" customHeight="1" x14ac:dyDescent="0.2">
      <c r="A204" s="115" t="str">
        <f t="shared" si="53"/>
        <v>B3.33 14 13.01</v>
      </c>
      <c r="B204" s="1011" t="s">
        <v>434</v>
      </c>
      <c r="C204" s="115" t="s">
        <v>298</v>
      </c>
      <c r="D204" s="92">
        <v>2</v>
      </c>
      <c r="E204" s="82">
        <v>13934</v>
      </c>
      <c r="F204" s="113">
        <f>E204*D204</f>
        <v>27868</v>
      </c>
      <c r="G204" s="171" t="s">
        <v>435</v>
      </c>
      <c r="H204" s="862" t="s">
        <v>318</v>
      </c>
      <c r="I204" s="888"/>
    </row>
    <row r="205" spans="1:9" s="101" customFormat="1" ht="30" customHeight="1" x14ac:dyDescent="0.2">
      <c r="A205" s="115" t="str">
        <f t="shared" si="53"/>
        <v>B3.33 14 13.02</v>
      </c>
      <c r="B205" s="1011" t="s">
        <v>436</v>
      </c>
      <c r="C205" s="115" t="s">
        <v>298</v>
      </c>
      <c r="D205" s="92">
        <v>1</v>
      </c>
      <c r="E205" s="82">
        <v>14644</v>
      </c>
      <c r="F205" s="113">
        <f>E205*D205</f>
        <v>14644</v>
      </c>
      <c r="G205" s="171" t="s">
        <v>437</v>
      </c>
      <c r="H205" s="862" t="s">
        <v>321</v>
      </c>
      <c r="I205" s="888"/>
    </row>
    <row r="206" spans="1:9" s="101" customFormat="1" ht="30" customHeight="1" x14ac:dyDescent="0.2">
      <c r="A206" s="115">
        <f t="shared" si="53"/>
        <v>0</v>
      </c>
      <c r="B206" s="85" t="s">
        <v>438</v>
      </c>
      <c r="C206" s="177"/>
      <c r="D206" s="178">
        <v>0</v>
      </c>
      <c r="E206" s="397"/>
      <c r="F206" s="113"/>
      <c r="G206" s="166" t="s">
        <v>439</v>
      </c>
      <c r="H206" s="862"/>
      <c r="I206" s="888"/>
    </row>
    <row r="207" spans="1:9" s="101" customFormat="1" ht="30" customHeight="1" x14ac:dyDescent="0.2">
      <c r="A207" s="115" t="str">
        <f t="shared" si="53"/>
        <v>B3.33 14 13.03</v>
      </c>
      <c r="B207" s="97" t="s">
        <v>440</v>
      </c>
      <c r="C207" s="115" t="s">
        <v>298</v>
      </c>
      <c r="D207" s="92">
        <f>D187</f>
        <v>2</v>
      </c>
      <c r="E207" s="82">
        <v>20741</v>
      </c>
      <c r="F207" s="113">
        <f t="shared" ref="F207:F210" si="54">E207*D207</f>
        <v>41482</v>
      </c>
      <c r="G207" s="176" t="s">
        <v>441</v>
      </c>
      <c r="H207" s="862" t="s">
        <v>324</v>
      </c>
      <c r="I207" s="888"/>
    </row>
    <row r="208" spans="1:9" s="101" customFormat="1" ht="30" customHeight="1" x14ac:dyDescent="0.2">
      <c r="A208" s="115" t="str">
        <f t="shared" si="53"/>
        <v>B3.33 14 13.04</v>
      </c>
      <c r="B208" s="97" t="s">
        <v>442</v>
      </c>
      <c r="C208" s="115" t="s">
        <v>298</v>
      </c>
      <c r="D208" s="92">
        <f t="shared" ref="D208:D210" si="55">D188</f>
        <v>8</v>
      </c>
      <c r="E208" s="82">
        <v>21805</v>
      </c>
      <c r="F208" s="113">
        <f t="shared" si="54"/>
        <v>174440</v>
      </c>
      <c r="G208" s="176" t="s">
        <v>443</v>
      </c>
      <c r="H208" s="862" t="s">
        <v>327</v>
      </c>
      <c r="I208" s="888"/>
    </row>
    <row r="209" spans="1:9" s="101" customFormat="1" ht="30" customHeight="1" x14ac:dyDescent="0.2">
      <c r="A209" s="115" t="str">
        <f t="shared" si="53"/>
        <v>B3.33 14 13.05</v>
      </c>
      <c r="B209" s="97" t="s">
        <v>444</v>
      </c>
      <c r="C209" s="115" t="s">
        <v>298</v>
      </c>
      <c r="D209" s="92">
        <f t="shared" si="55"/>
        <v>4</v>
      </c>
      <c r="E209" s="82">
        <v>22160</v>
      </c>
      <c r="F209" s="113">
        <f t="shared" si="54"/>
        <v>88640</v>
      </c>
      <c r="G209" s="176" t="s">
        <v>445</v>
      </c>
      <c r="H209" s="862" t="s">
        <v>328</v>
      </c>
      <c r="I209" s="888"/>
    </row>
    <row r="210" spans="1:9" s="101" customFormat="1" ht="30" customHeight="1" x14ac:dyDescent="0.2">
      <c r="A210" s="115" t="str">
        <f t="shared" si="53"/>
        <v>B3.33 14 13.06</v>
      </c>
      <c r="B210" s="97" t="s">
        <v>446</v>
      </c>
      <c r="C210" s="115" t="s">
        <v>298</v>
      </c>
      <c r="D210" s="92">
        <f t="shared" si="55"/>
        <v>2</v>
      </c>
      <c r="E210" s="82">
        <v>22515</v>
      </c>
      <c r="F210" s="113">
        <f t="shared" si="54"/>
        <v>45030</v>
      </c>
      <c r="G210" s="176" t="s">
        <v>447</v>
      </c>
      <c r="H210" s="858" t="s">
        <v>448</v>
      </c>
      <c r="I210" s="888"/>
    </row>
    <row r="211" spans="1:9" s="101" customFormat="1" ht="27" customHeight="1" x14ac:dyDescent="0.2">
      <c r="A211" s="115">
        <f t="shared" si="53"/>
        <v>0</v>
      </c>
      <c r="B211" s="85" t="s">
        <v>449</v>
      </c>
      <c r="C211" s="177"/>
      <c r="D211" s="178">
        <v>0</v>
      </c>
      <c r="E211" s="397"/>
      <c r="F211" s="113"/>
      <c r="G211" s="166" t="s">
        <v>450</v>
      </c>
      <c r="H211" s="858"/>
      <c r="I211" s="888"/>
    </row>
    <row r="212" spans="1:9" s="179" customFormat="1" ht="30" customHeight="1" x14ac:dyDescent="0.2">
      <c r="A212" s="115" t="str">
        <f t="shared" si="53"/>
        <v>B3.33 14 13.07</v>
      </c>
      <c r="B212" s="97" t="s">
        <v>451</v>
      </c>
      <c r="C212" s="115" t="s">
        <v>298</v>
      </c>
      <c r="D212" s="92">
        <f>D192</f>
        <v>1</v>
      </c>
      <c r="E212" s="82">
        <v>16004</v>
      </c>
      <c r="F212" s="113">
        <f t="shared" ref="F212:F214" si="56">E212*D212</f>
        <v>16004</v>
      </c>
      <c r="G212" s="176" t="s">
        <v>452</v>
      </c>
      <c r="H212" s="858" t="s">
        <v>331</v>
      </c>
    </row>
    <row r="213" spans="1:9" s="179" customFormat="1" ht="30" customHeight="1" x14ac:dyDescent="0.2">
      <c r="A213" s="115" t="str">
        <f t="shared" si="53"/>
        <v>B3.33 14 13.08</v>
      </c>
      <c r="B213" s="97" t="s">
        <v>453</v>
      </c>
      <c r="C213" s="115" t="s">
        <v>298</v>
      </c>
      <c r="D213" s="92">
        <f t="shared" ref="D213:D214" si="57">D193</f>
        <v>7</v>
      </c>
      <c r="E213" s="82">
        <v>16714</v>
      </c>
      <c r="F213" s="113">
        <f t="shared" si="56"/>
        <v>116998</v>
      </c>
      <c r="G213" s="176" t="s">
        <v>454</v>
      </c>
      <c r="H213" s="858" t="s">
        <v>332</v>
      </c>
    </row>
    <row r="214" spans="1:9" s="179" customFormat="1" ht="30" customHeight="1" x14ac:dyDescent="0.2">
      <c r="A214" s="115" t="str">
        <f t="shared" si="53"/>
        <v>B3.33 14 13.09</v>
      </c>
      <c r="B214" s="97" t="s">
        <v>455</v>
      </c>
      <c r="C214" s="115" t="s">
        <v>298</v>
      </c>
      <c r="D214" s="92">
        <f t="shared" si="57"/>
        <v>5</v>
      </c>
      <c r="E214" s="82">
        <v>17424</v>
      </c>
      <c r="F214" s="113">
        <f t="shared" si="56"/>
        <v>87120</v>
      </c>
      <c r="G214" s="176" t="s">
        <v>456</v>
      </c>
      <c r="H214" s="858" t="s">
        <v>335</v>
      </c>
    </row>
    <row r="215" spans="1:9" s="125" customFormat="1" ht="30" customHeight="1" x14ac:dyDescent="0.2">
      <c r="A215" s="119" t="str">
        <f t="shared" si="53"/>
        <v>33 71 19</v>
      </c>
      <c r="B215" s="85" t="s">
        <v>457</v>
      </c>
      <c r="C215" s="177"/>
      <c r="D215" s="178">
        <v>0</v>
      </c>
      <c r="E215" s="397"/>
      <c r="F215" s="113"/>
      <c r="G215" s="166" t="s">
        <v>458</v>
      </c>
      <c r="H215" s="861" t="s">
        <v>163</v>
      </c>
    </row>
    <row r="216" spans="1:9" s="145" customFormat="1" ht="27.75" customHeight="1" x14ac:dyDescent="0.2">
      <c r="A216" s="115" t="str">
        <f t="shared" si="53"/>
        <v>B3.33 71 19.01</v>
      </c>
      <c r="B216" s="150" t="s">
        <v>459</v>
      </c>
      <c r="C216" s="84" t="s">
        <v>298</v>
      </c>
      <c r="D216" s="92">
        <v>93</v>
      </c>
      <c r="E216" s="82">
        <v>2794</v>
      </c>
      <c r="F216" s="113">
        <f>E216*D216</f>
        <v>259842</v>
      </c>
      <c r="G216" s="144" t="s">
        <v>460</v>
      </c>
      <c r="H216" s="864" t="s">
        <v>461</v>
      </c>
    </row>
    <row r="217" spans="1:9" s="125" customFormat="1" ht="30" customHeight="1" x14ac:dyDescent="0.2">
      <c r="A217" s="119" t="str">
        <f t="shared" si="53"/>
        <v>33 05 04</v>
      </c>
      <c r="B217" s="85" t="s">
        <v>462</v>
      </c>
      <c r="C217" s="177"/>
      <c r="D217" s="178">
        <v>0</v>
      </c>
      <c r="E217" s="397"/>
      <c r="F217" s="113"/>
      <c r="G217" s="166" t="s">
        <v>463</v>
      </c>
      <c r="H217" s="861" t="s">
        <v>464</v>
      </c>
    </row>
    <row r="218" spans="1:9" s="145" customFormat="1" ht="27.75" customHeight="1" x14ac:dyDescent="0.2">
      <c r="A218" s="115" t="str">
        <f t="shared" si="53"/>
        <v>B3.33 05 04.01</v>
      </c>
      <c r="B218" s="150" t="s">
        <v>465</v>
      </c>
      <c r="C218" s="84" t="s">
        <v>298</v>
      </c>
      <c r="D218" s="92">
        <v>180</v>
      </c>
      <c r="E218" s="82">
        <v>71</v>
      </c>
      <c r="F218" s="113">
        <f t="shared" ref="F218:F219" si="58">E218*D218</f>
        <v>12780</v>
      </c>
      <c r="G218" s="144" t="s">
        <v>466</v>
      </c>
      <c r="H218" s="864" t="s">
        <v>467</v>
      </c>
    </row>
    <row r="219" spans="1:9" s="145" customFormat="1" ht="27.75" customHeight="1" x14ac:dyDescent="0.2">
      <c r="A219" s="115" t="str">
        <f t="shared" si="53"/>
        <v>B3.33 05 04.02</v>
      </c>
      <c r="B219" s="150" t="s">
        <v>468</v>
      </c>
      <c r="C219" s="84" t="s">
        <v>298</v>
      </c>
      <c r="D219" s="92">
        <v>325</v>
      </c>
      <c r="E219" s="82">
        <v>219</v>
      </c>
      <c r="F219" s="113">
        <f t="shared" si="58"/>
        <v>71175</v>
      </c>
      <c r="G219" s="144" t="s">
        <v>469</v>
      </c>
      <c r="H219" s="864" t="s">
        <v>470</v>
      </c>
    </row>
    <row r="220" spans="1:9" s="145" customFormat="1" ht="27.75" customHeight="1" x14ac:dyDescent="0.2">
      <c r="A220" s="115"/>
      <c r="B220" s="150"/>
      <c r="C220" s="84"/>
      <c r="D220" s="92"/>
      <c r="E220" s="364"/>
      <c r="F220" s="113"/>
      <c r="G220" s="144"/>
      <c r="H220" s="864"/>
    </row>
    <row r="221" spans="1:9" s="125" customFormat="1" ht="30" customHeight="1" x14ac:dyDescent="0.2">
      <c r="A221" s="119"/>
      <c r="B221" s="85"/>
      <c r="C221" s="177"/>
      <c r="D221" s="178"/>
      <c r="E221" s="397"/>
      <c r="F221" s="113">
        <f t="shared" si="40"/>
        <v>0</v>
      </c>
      <c r="G221" s="166"/>
      <c r="H221" s="861"/>
    </row>
    <row r="222" spans="1:9" s="145" customFormat="1" ht="27.75" customHeight="1" x14ac:dyDescent="0.2">
      <c r="A222" s="115"/>
      <c r="B222" s="150"/>
      <c r="C222" s="84"/>
      <c r="D222" s="92"/>
      <c r="E222" s="364"/>
      <c r="F222" s="113">
        <f t="shared" si="40"/>
        <v>0</v>
      </c>
      <c r="G222" s="144"/>
      <c r="H222" s="864"/>
    </row>
    <row r="223" spans="1:9" s="174" customFormat="1" ht="30.75" customHeight="1" x14ac:dyDescent="0.2">
      <c r="A223" s="172"/>
      <c r="B223" s="106" t="s">
        <v>344</v>
      </c>
      <c r="C223" s="1051" t="s">
        <v>98</v>
      </c>
      <c r="D223" s="1052"/>
      <c r="E223" s="1053"/>
      <c r="F223" s="113">
        <f>SUM(F204:F219)</f>
        <v>956023</v>
      </c>
      <c r="G223" s="109" t="s">
        <v>345</v>
      </c>
      <c r="H223" s="869"/>
      <c r="I223" s="892"/>
    </row>
    <row r="224" spans="1:9" s="173" customFormat="1" ht="27" customHeight="1" x14ac:dyDescent="0.2">
      <c r="A224" s="1040" t="s">
        <v>471</v>
      </c>
      <c r="B224" s="1041"/>
      <c r="C224" s="180"/>
      <c r="D224" s="181"/>
      <c r="E224" s="836"/>
      <c r="F224" s="836">
        <f t="shared" si="40"/>
        <v>0</v>
      </c>
      <c r="G224" s="182"/>
      <c r="H224" s="182" t="s">
        <v>472</v>
      </c>
    </row>
    <row r="225" spans="1:9" s="186" customFormat="1" ht="30" customHeight="1" x14ac:dyDescent="0.2">
      <c r="A225" s="164">
        <f t="shared" ref="A225" si="59">H225</f>
        <v>0</v>
      </c>
      <c r="B225" s="163" t="s">
        <v>309</v>
      </c>
      <c r="C225" s="183"/>
      <c r="D225" s="184"/>
      <c r="E225" s="418"/>
      <c r="F225" s="113">
        <f t="shared" si="40"/>
        <v>0</v>
      </c>
      <c r="G225" s="166" t="s">
        <v>473</v>
      </c>
      <c r="H225" s="871"/>
    </row>
    <row r="226" spans="1:9" s="173" customFormat="1" ht="28.5" customHeight="1" x14ac:dyDescent="0.2">
      <c r="A226" s="105" t="str">
        <f>H226</f>
        <v>33 31 00</v>
      </c>
      <c r="B226" s="1046" t="s">
        <v>311</v>
      </c>
      <c r="C226" s="1047"/>
      <c r="D226" s="187"/>
      <c r="E226" s="837"/>
      <c r="F226" s="113">
        <f t="shared" si="40"/>
        <v>0</v>
      </c>
      <c r="G226" s="188" t="s">
        <v>474</v>
      </c>
      <c r="H226" s="868" t="s">
        <v>475</v>
      </c>
    </row>
    <row r="227" spans="1:9" s="173" customFormat="1" ht="30" customHeight="1" x14ac:dyDescent="0.2">
      <c r="A227" s="105"/>
      <c r="B227" s="163" t="s">
        <v>314</v>
      </c>
      <c r="C227" s="183"/>
      <c r="D227" s="184"/>
      <c r="E227" s="418"/>
      <c r="F227" s="113">
        <f t="shared" si="40"/>
        <v>0</v>
      </c>
      <c r="G227" s="166" t="s">
        <v>315</v>
      </c>
      <c r="H227" s="868"/>
    </row>
    <row r="228" spans="1:9" s="173" customFormat="1" ht="30" customHeight="1" x14ac:dyDescent="0.2">
      <c r="A228" s="105" t="str">
        <f>H228</f>
        <v>B4.33 31 00.01</v>
      </c>
      <c r="B228" s="170" t="s">
        <v>316</v>
      </c>
      <c r="C228" s="115" t="s">
        <v>52</v>
      </c>
      <c r="D228" s="92">
        <v>17946</v>
      </c>
      <c r="E228" s="82">
        <v>82</v>
      </c>
      <c r="F228" s="113">
        <f>E228*D228</f>
        <v>1471572</v>
      </c>
      <c r="G228" s="171" t="s">
        <v>317</v>
      </c>
      <c r="H228" s="868" t="s">
        <v>476</v>
      </c>
    </row>
    <row r="229" spans="1:9" s="110" customFormat="1" ht="30" customHeight="1" x14ac:dyDescent="0.2">
      <c r="A229" s="105" t="str">
        <f t="shared" ref="A229:A231" si="60">H229</f>
        <v>B4.33 31 00.02</v>
      </c>
      <c r="B229" s="189" t="s">
        <v>319</v>
      </c>
      <c r="C229" s="115" t="s">
        <v>52</v>
      </c>
      <c r="D229" s="92">
        <v>7162</v>
      </c>
      <c r="E229" s="82">
        <v>106</v>
      </c>
      <c r="F229" s="113">
        <f t="shared" ref="F229:F231" si="61">E229*D229</f>
        <v>759172</v>
      </c>
      <c r="G229" s="171" t="s">
        <v>477</v>
      </c>
      <c r="H229" s="868" t="s">
        <v>478</v>
      </c>
      <c r="I229" s="890"/>
    </row>
    <row r="230" spans="1:9" s="142" customFormat="1" ht="30" customHeight="1" x14ac:dyDescent="0.2">
      <c r="A230" s="105" t="str">
        <f t="shared" si="60"/>
        <v>B4.33 31 00.03</v>
      </c>
      <c r="B230" s="170" t="s">
        <v>333</v>
      </c>
      <c r="C230" s="115" t="s">
        <v>52</v>
      </c>
      <c r="D230" s="92">
        <v>1426</v>
      </c>
      <c r="E230" s="82">
        <v>138</v>
      </c>
      <c r="F230" s="113">
        <f t="shared" si="61"/>
        <v>196788</v>
      </c>
      <c r="G230" s="171" t="s">
        <v>334</v>
      </c>
      <c r="H230" s="868" t="s">
        <v>479</v>
      </c>
    </row>
    <row r="231" spans="1:9" s="142" customFormat="1" ht="30" customHeight="1" x14ac:dyDescent="0.2">
      <c r="A231" s="105" t="str">
        <f t="shared" si="60"/>
        <v>B4.33 31 00.04</v>
      </c>
      <c r="B231" s="170" t="s">
        <v>336</v>
      </c>
      <c r="C231" s="115" t="s">
        <v>52</v>
      </c>
      <c r="D231" s="92">
        <v>10</v>
      </c>
      <c r="E231" s="82">
        <v>160</v>
      </c>
      <c r="F231" s="113">
        <f t="shared" si="61"/>
        <v>1600</v>
      </c>
      <c r="G231" s="171" t="s">
        <v>337</v>
      </c>
      <c r="H231" s="868" t="s">
        <v>480</v>
      </c>
    </row>
    <row r="232" spans="1:9" s="173" customFormat="1" ht="30" customHeight="1" x14ac:dyDescent="0.2">
      <c r="A232" s="105"/>
      <c r="B232" s="163" t="s">
        <v>325</v>
      </c>
      <c r="C232" s="183"/>
      <c r="D232" s="184">
        <v>0</v>
      </c>
      <c r="E232" s="418"/>
      <c r="F232" s="113"/>
      <c r="G232" s="166" t="s">
        <v>326</v>
      </c>
      <c r="H232" s="868"/>
    </row>
    <row r="233" spans="1:9" s="173" customFormat="1" ht="30" customHeight="1" x14ac:dyDescent="0.2">
      <c r="A233" s="105" t="str">
        <f>H233</f>
        <v>B4.33 31 00.05</v>
      </c>
      <c r="B233" s="170" t="s">
        <v>316</v>
      </c>
      <c r="C233" s="115" t="s">
        <v>52</v>
      </c>
      <c r="D233" s="92">
        <v>5</v>
      </c>
      <c r="E233" s="82">
        <v>117</v>
      </c>
      <c r="F233" s="113">
        <f t="shared" ref="F233:F236" si="62">E233*D233</f>
        <v>585</v>
      </c>
      <c r="G233" s="171" t="s">
        <v>317</v>
      </c>
      <c r="H233" s="868" t="s">
        <v>481</v>
      </c>
    </row>
    <row r="234" spans="1:9" s="110" customFormat="1" ht="30" customHeight="1" x14ac:dyDescent="0.2">
      <c r="A234" s="115" t="str">
        <f t="shared" ref="A234:A241" si="63">H234</f>
        <v>B4.33 31 00.06</v>
      </c>
      <c r="B234" s="189" t="s">
        <v>482</v>
      </c>
      <c r="C234" s="115" t="s">
        <v>52</v>
      </c>
      <c r="D234" s="92">
        <v>305</v>
      </c>
      <c r="E234" s="82">
        <v>129</v>
      </c>
      <c r="F234" s="113">
        <f t="shared" si="62"/>
        <v>39345</v>
      </c>
      <c r="G234" s="171" t="s">
        <v>483</v>
      </c>
      <c r="H234" s="868" t="s">
        <v>484</v>
      </c>
      <c r="I234" s="890"/>
    </row>
    <row r="235" spans="1:9" s="142" customFormat="1" ht="30" customHeight="1" x14ac:dyDescent="0.2">
      <c r="A235" s="115" t="str">
        <f t="shared" si="63"/>
        <v>B4.33 31 00.07</v>
      </c>
      <c r="B235" s="170" t="s">
        <v>333</v>
      </c>
      <c r="C235" s="115" t="s">
        <v>52</v>
      </c>
      <c r="D235" s="92">
        <v>453</v>
      </c>
      <c r="E235" s="82">
        <v>159</v>
      </c>
      <c r="F235" s="113">
        <f t="shared" si="62"/>
        <v>72027</v>
      </c>
      <c r="G235" s="171" t="s">
        <v>334</v>
      </c>
      <c r="H235" s="868" t="s">
        <v>485</v>
      </c>
    </row>
    <row r="236" spans="1:9" s="142" customFormat="1" ht="30" customHeight="1" x14ac:dyDescent="0.2">
      <c r="A236" s="105" t="str">
        <f t="shared" si="63"/>
        <v>B4.33 31 00.08</v>
      </c>
      <c r="B236" s="170" t="s">
        <v>336</v>
      </c>
      <c r="C236" s="115" t="s">
        <v>52</v>
      </c>
      <c r="D236" s="92">
        <v>10</v>
      </c>
      <c r="E236" s="82">
        <v>175</v>
      </c>
      <c r="F236" s="113">
        <f t="shared" si="62"/>
        <v>1750</v>
      </c>
      <c r="G236" s="171" t="s">
        <v>337</v>
      </c>
      <c r="H236" s="868" t="s">
        <v>486</v>
      </c>
    </row>
    <row r="237" spans="1:9" s="173" customFormat="1" ht="30" customHeight="1" x14ac:dyDescent="0.2">
      <c r="A237" s="105"/>
      <c r="B237" s="163" t="s">
        <v>329</v>
      </c>
      <c r="C237" s="183"/>
      <c r="D237" s="184">
        <v>0</v>
      </c>
      <c r="E237" s="418"/>
      <c r="F237" s="113"/>
      <c r="G237" s="166" t="s">
        <v>330</v>
      </c>
      <c r="H237" s="868"/>
    </row>
    <row r="238" spans="1:9" s="173" customFormat="1" ht="30" customHeight="1" x14ac:dyDescent="0.2">
      <c r="A238" s="105" t="str">
        <f>H238</f>
        <v>B4.33 31 00.09</v>
      </c>
      <c r="B238" s="170" t="s">
        <v>316</v>
      </c>
      <c r="C238" s="115" t="s">
        <v>52</v>
      </c>
      <c r="D238" s="92">
        <v>85</v>
      </c>
      <c r="E238" s="82">
        <v>167</v>
      </c>
      <c r="F238" s="113">
        <f t="shared" ref="F238:F239" si="64">E238*D238</f>
        <v>14195</v>
      </c>
      <c r="G238" s="171" t="s">
        <v>317</v>
      </c>
      <c r="H238" s="868" t="s">
        <v>487</v>
      </c>
    </row>
    <row r="239" spans="1:9" s="110" customFormat="1" ht="30" customHeight="1" x14ac:dyDescent="0.2">
      <c r="A239" s="115" t="str">
        <f t="shared" ref="A239" si="65">H239</f>
        <v>B4.33 31 00.10</v>
      </c>
      <c r="B239" s="170" t="s">
        <v>354</v>
      </c>
      <c r="C239" s="115" t="s">
        <v>52</v>
      </c>
      <c r="D239" s="92">
        <v>10</v>
      </c>
      <c r="E239" s="82">
        <v>179</v>
      </c>
      <c r="F239" s="113">
        <f t="shared" si="64"/>
        <v>1790</v>
      </c>
      <c r="G239" s="171" t="s">
        <v>355</v>
      </c>
      <c r="H239" s="868" t="s">
        <v>488</v>
      </c>
      <c r="I239" s="890"/>
    </row>
    <row r="240" spans="1:9" s="173" customFormat="1" ht="30" customHeight="1" x14ac:dyDescent="0.2">
      <c r="A240" s="105" t="str">
        <f t="shared" si="63"/>
        <v>32 81 11</v>
      </c>
      <c r="B240" s="163" t="s">
        <v>489</v>
      </c>
      <c r="C240" s="183"/>
      <c r="D240" s="184">
        <v>0</v>
      </c>
      <c r="E240" s="418"/>
      <c r="F240" s="113"/>
      <c r="G240" s="166" t="s">
        <v>490</v>
      </c>
      <c r="H240" s="868" t="s">
        <v>491</v>
      </c>
    </row>
    <row r="241" spans="1:9" s="173" customFormat="1" ht="30" customHeight="1" x14ac:dyDescent="0.2">
      <c r="A241" s="105" t="str">
        <f t="shared" si="63"/>
        <v>B4.32 81 11.01</v>
      </c>
      <c r="B241" s="170" t="s">
        <v>329</v>
      </c>
      <c r="C241" s="115" t="s">
        <v>52</v>
      </c>
      <c r="D241" s="92">
        <v>1638</v>
      </c>
      <c r="E241" s="82">
        <v>164</v>
      </c>
      <c r="F241" s="113">
        <f>E241*D241</f>
        <v>268632</v>
      </c>
      <c r="G241" s="171" t="s">
        <v>492</v>
      </c>
      <c r="H241" s="868" t="s">
        <v>493</v>
      </c>
    </row>
    <row r="242" spans="1:9" s="173" customFormat="1" ht="30" customHeight="1" x14ac:dyDescent="0.2">
      <c r="A242" s="105"/>
      <c r="B242" s="170"/>
      <c r="C242" s="115"/>
      <c r="D242" s="92"/>
      <c r="E242" s="835"/>
      <c r="F242" s="113"/>
      <c r="G242" s="171"/>
      <c r="H242" s="868"/>
    </row>
    <row r="243" spans="1:9" s="173" customFormat="1" ht="30" customHeight="1" x14ac:dyDescent="0.2">
      <c r="A243" s="105"/>
      <c r="B243" s="170"/>
      <c r="C243" s="115"/>
      <c r="D243" s="92"/>
      <c r="E243" s="835"/>
      <c r="F243" s="113"/>
      <c r="G243" s="171"/>
      <c r="H243" s="868"/>
    </row>
    <row r="244" spans="1:9" s="110" customFormat="1" ht="26.25" customHeight="1" x14ac:dyDescent="0.2">
      <c r="A244" s="115"/>
      <c r="B244" s="189"/>
      <c r="C244" s="115"/>
      <c r="D244" s="92"/>
      <c r="E244" s="135"/>
      <c r="F244" s="113">
        <f t="shared" ref="F244:F298" si="66">E244+D244</f>
        <v>0</v>
      </c>
      <c r="G244" s="171"/>
      <c r="H244" s="868"/>
      <c r="I244" s="890"/>
    </row>
    <row r="245" spans="1:9" s="173" customFormat="1" ht="30" customHeight="1" x14ac:dyDescent="0.2">
      <c r="A245" s="190"/>
      <c r="B245" s="106" t="s">
        <v>494</v>
      </c>
      <c r="C245" s="1039" t="s">
        <v>98</v>
      </c>
      <c r="D245" s="1042"/>
      <c r="E245" s="1042"/>
      <c r="F245" s="113">
        <f>SUM(F228:F241)</f>
        <v>2827456</v>
      </c>
      <c r="G245" s="109" t="s">
        <v>495</v>
      </c>
      <c r="H245" s="872"/>
    </row>
    <row r="246" spans="1:9" s="173" customFormat="1" ht="27" customHeight="1" x14ac:dyDescent="0.2">
      <c r="A246" s="105">
        <f t="shared" ref="A246:A250" si="67">H246</f>
        <v>0</v>
      </c>
      <c r="B246" s="163" t="s">
        <v>309</v>
      </c>
      <c r="C246" s="183"/>
      <c r="D246" s="184"/>
      <c r="E246" s="418"/>
      <c r="F246" s="113">
        <f t="shared" si="66"/>
        <v>0</v>
      </c>
      <c r="G246" s="166" t="s">
        <v>473</v>
      </c>
      <c r="H246" s="858"/>
    </row>
    <row r="247" spans="1:9" s="110" customFormat="1" ht="23.25" customHeight="1" x14ac:dyDescent="0.2">
      <c r="A247" s="115" t="str">
        <f t="shared" si="67"/>
        <v>B4.33 14 11</v>
      </c>
      <c r="B247" s="163" t="s">
        <v>496</v>
      </c>
      <c r="C247" s="183"/>
      <c r="D247" s="184"/>
      <c r="E247" s="418"/>
      <c r="F247" s="113">
        <f t="shared" si="66"/>
        <v>0</v>
      </c>
      <c r="G247" s="166" t="s">
        <v>358</v>
      </c>
      <c r="H247" s="858" t="s">
        <v>497</v>
      </c>
      <c r="I247" s="890"/>
    </row>
    <row r="248" spans="1:9" s="110" customFormat="1" ht="26.25" customHeight="1" x14ac:dyDescent="0.2">
      <c r="A248" s="115" t="str">
        <f t="shared" si="67"/>
        <v>B4.33 14 11.01</v>
      </c>
      <c r="B248" s="90" t="s">
        <v>498</v>
      </c>
      <c r="C248" s="115" t="s">
        <v>52</v>
      </c>
      <c r="D248" s="92">
        <v>1200</v>
      </c>
      <c r="E248" s="82">
        <v>70</v>
      </c>
      <c r="F248" s="113">
        <f>E248*D248</f>
        <v>84000</v>
      </c>
      <c r="G248" s="171" t="s">
        <v>499</v>
      </c>
      <c r="H248" s="858" t="s">
        <v>500</v>
      </c>
      <c r="I248" s="890"/>
    </row>
    <row r="249" spans="1:9" s="110" customFormat="1" ht="27" customHeight="1" x14ac:dyDescent="0.2">
      <c r="A249" s="115" t="str">
        <f t="shared" si="67"/>
        <v>B4.33 14 11.02</v>
      </c>
      <c r="B249" s="90" t="s">
        <v>501</v>
      </c>
      <c r="C249" s="115" t="s">
        <v>52</v>
      </c>
      <c r="D249" s="92">
        <v>150</v>
      </c>
      <c r="E249" s="82">
        <v>83</v>
      </c>
      <c r="F249" s="113">
        <f t="shared" ref="F249:F250" si="68">E249*D249</f>
        <v>12450</v>
      </c>
      <c r="G249" s="171" t="s">
        <v>502</v>
      </c>
      <c r="H249" s="858" t="s">
        <v>503</v>
      </c>
      <c r="I249" s="890"/>
    </row>
    <row r="250" spans="1:9" s="110" customFormat="1" ht="27" customHeight="1" x14ac:dyDescent="0.2">
      <c r="A250" s="115" t="str">
        <f t="shared" si="67"/>
        <v>B4.33 14 11.03</v>
      </c>
      <c r="B250" s="90" t="s">
        <v>504</v>
      </c>
      <c r="C250" s="115" t="s">
        <v>52</v>
      </c>
      <c r="D250" s="92">
        <v>20</v>
      </c>
      <c r="E250" s="82">
        <v>96</v>
      </c>
      <c r="F250" s="113">
        <f t="shared" si="68"/>
        <v>1920</v>
      </c>
      <c r="G250" s="171" t="s">
        <v>505</v>
      </c>
      <c r="H250" s="858" t="s">
        <v>506</v>
      </c>
      <c r="I250" s="890"/>
    </row>
    <row r="251" spans="1:9" s="101" customFormat="1" ht="25.5" customHeight="1" x14ac:dyDescent="0.2">
      <c r="A251" s="115">
        <f>H251</f>
        <v>0</v>
      </c>
      <c r="B251" s="163" t="s">
        <v>375</v>
      </c>
      <c r="C251" s="183"/>
      <c r="D251" s="184"/>
      <c r="E251" s="418"/>
      <c r="F251" s="113">
        <f t="shared" si="66"/>
        <v>0</v>
      </c>
      <c r="G251" s="166" t="s">
        <v>376</v>
      </c>
      <c r="H251" s="870"/>
      <c r="I251" s="888"/>
    </row>
    <row r="252" spans="1:9" s="101" customFormat="1" ht="21.75" customHeight="1" x14ac:dyDescent="0.2">
      <c r="A252" s="115" t="str">
        <f t="shared" ref="A252" si="69">H252</f>
        <v>33 14 19</v>
      </c>
      <c r="B252" s="163" t="s">
        <v>377</v>
      </c>
      <c r="C252" s="183"/>
      <c r="D252" s="184"/>
      <c r="E252" s="418"/>
      <c r="F252" s="113">
        <f t="shared" si="66"/>
        <v>0</v>
      </c>
      <c r="G252" s="166" t="s">
        <v>378</v>
      </c>
      <c r="H252" s="862" t="s">
        <v>379</v>
      </c>
      <c r="I252" s="888"/>
    </row>
    <row r="253" spans="1:9" s="98" customFormat="1" ht="26.25" customHeight="1" x14ac:dyDescent="0.2">
      <c r="A253" s="115">
        <f>H253</f>
        <v>0</v>
      </c>
      <c r="B253" s="163" t="s">
        <v>380</v>
      </c>
      <c r="C253" s="183"/>
      <c r="D253" s="184"/>
      <c r="E253" s="418"/>
      <c r="F253" s="113">
        <f t="shared" si="66"/>
        <v>0</v>
      </c>
      <c r="G253" s="166" t="s">
        <v>381</v>
      </c>
      <c r="H253" s="862"/>
      <c r="I253" s="887"/>
    </row>
    <row r="254" spans="1:9" s="98" customFormat="1" ht="28.5" customHeight="1" x14ac:dyDescent="0.2">
      <c r="A254" s="115" t="str">
        <f t="shared" ref="A254:A256" si="70">H254</f>
        <v>B4.33 14 19.01</v>
      </c>
      <c r="B254" s="176" t="s">
        <v>507</v>
      </c>
      <c r="C254" s="115" t="s">
        <v>298</v>
      </c>
      <c r="D254" s="92">
        <v>81</v>
      </c>
      <c r="E254" s="82">
        <v>1644</v>
      </c>
      <c r="F254" s="113">
        <f t="shared" ref="F254:F256" si="71">E254*D254</f>
        <v>133164</v>
      </c>
      <c r="G254" s="123" t="s">
        <v>508</v>
      </c>
      <c r="H254" s="862" t="s">
        <v>509</v>
      </c>
      <c r="I254" s="887"/>
    </row>
    <row r="255" spans="1:9" s="98" customFormat="1" ht="28.5" customHeight="1" x14ac:dyDescent="0.2">
      <c r="A255" s="115" t="str">
        <f t="shared" si="70"/>
        <v>B4.33 14 19.02</v>
      </c>
      <c r="B255" s="176" t="s">
        <v>510</v>
      </c>
      <c r="C255" s="115" t="s">
        <v>298</v>
      </c>
      <c r="D255" s="92">
        <v>4</v>
      </c>
      <c r="E255" s="82">
        <v>2817</v>
      </c>
      <c r="F255" s="113">
        <f t="shared" si="71"/>
        <v>11268</v>
      </c>
      <c r="G255" s="123" t="s">
        <v>383</v>
      </c>
      <c r="H255" s="862" t="s">
        <v>511</v>
      </c>
      <c r="I255" s="887"/>
    </row>
    <row r="256" spans="1:9" s="98" customFormat="1" ht="28.5" customHeight="1" x14ac:dyDescent="0.2">
      <c r="A256" s="115" t="str">
        <f t="shared" si="70"/>
        <v>B4.33 14 19.03</v>
      </c>
      <c r="B256" s="176" t="s">
        <v>512</v>
      </c>
      <c r="C256" s="115" t="s">
        <v>298</v>
      </c>
      <c r="D256" s="92">
        <v>1</v>
      </c>
      <c r="E256" s="82">
        <v>3689</v>
      </c>
      <c r="F256" s="113">
        <f t="shared" si="71"/>
        <v>3689</v>
      </c>
      <c r="G256" s="123" t="s">
        <v>386</v>
      </c>
      <c r="H256" s="862" t="s">
        <v>513</v>
      </c>
      <c r="I256" s="887"/>
    </row>
    <row r="257" spans="1:9" s="98" customFormat="1" ht="25.5" customHeight="1" x14ac:dyDescent="0.2">
      <c r="A257" s="115"/>
      <c r="B257" s="163" t="s">
        <v>399</v>
      </c>
      <c r="C257" s="183"/>
      <c r="D257" s="184"/>
      <c r="E257" s="418"/>
      <c r="F257" s="113">
        <f t="shared" si="66"/>
        <v>0</v>
      </c>
      <c r="G257" s="166" t="s">
        <v>400</v>
      </c>
      <c r="H257" s="862"/>
      <c r="I257" s="887"/>
    </row>
    <row r="258" spans="1:9" s="98" customFormat="1" ht="30" customHeight="1" x14ac:dyDescent="0.2">
      <c r="A258" s="115" t="str">
        <f t="shared" ref="A258" si="72">H258</f>
        <v>B4.33 14 19.04</v>
      </c>
      <c r="B258" s="176" t="s">
        <v>514</v>
      </c>
      <c r="C258" s="115" t="s">
        <v>298</v>
      </c>
      <c r="D258" s="92">
        <v>9</v>
      </c>
      <c r="E258" s="82">
        <v>5360</v>
      </c>
      <c r="F258" s="113">
        <f>E258*D258</f>
        <v>48240</v>
      </c>
      <c r="G258" s="123" t="s">
        <v>515</v>
      </c>
      <c r="H258" s="862" t="s">
        <v>516</v>
      </c>
      <c r="I258" s="887"/>
    </row>
    <row r="259" spans="1:9" s="98" customFormat="1" ht="28.5" customHeight="1" x14ac:dyDescent="0.2">
      <c r="A259" s="115"/>
      <c r="B259" s="163" t="s">
        <v>413</v>
      </c>
      <c r="C259" s="183"/>
      <c r="D259" s="184"/>
      <c r="E259" s="418"/>
      <c r="F259" s="113"/>
      <c r="G259" s="166" t="s">
        <v>414</v>
      </c>
      <c r="H259" s="862"/>
      <c r="I259" s="887"/>
    </row>
    <row r="260" spans="1:9" s="98" customFormat="1" ht="30" customHeight="1" x14ac:dyDescent="0.2">
      <c r="A260" s="115" t="str">
        <f t="shared" ref="A260" si="73">H260</f>
        <v>B4.33 14 19.05</v>
      </c>
      <c r="B260" s="176" t="s">
        <v>517</v>
      </c>
      <c r="C260" s="115" t="s">
        <v>298</v>
      </c>
      <c r="D260" s="92">
        <v>9</v>
      </c>
      <c r="E260" s="82">
        <v>5939</v>
      </c>
      <c r="F260" s="113">
        <f>E260*D260</f>
        <v>53451</v>
      </c>
      <c r="G260" s="123" t="s">
        <v>518</v>
      </c>
      <c r="H260" s="862" t="s">
        <v>519</v>
      </c>
      <c r="I260" s="887"/>
    </row>
    <row r="261" spans="1:9" s="98" customFormat="1" ht="23.25" customHeight="1" x14ac:dyDescent="0.2">
      <c r="A261" s="115"/>
      <c r="B261" s="163"/>
      <c r="C261" s="183"/>
      <c r="D261" s="184"/>
      <c r="E261" s="418"/>
      <c r="F261" s="113">
        <f t="shared" si="66"/>
        <v>0</v>
      </c>
      <c r="G261" s="166"/>
      <c r="H261" s="862"/>
      <c r="I261" s="887"/>
    </row>
    <row r="262" spans="1:9" s="98" customFormat="1" ht="23.25" customHeight="1" x14ac:dyDescent="0.2">
      <c r="A262" s="115"/>
      <c r="B262" s="163"/>
      <c r="C262" s="183"/>
      <c r="D262" s="184"/>
      <c r="E262" s="418"/>
      <c r="F262" s="113"/>
      <c r="G262" s="166"/>
      <c r="H262" s="862"/>
      <c r="I262" s="887"/>
    </row>
    <row r="263" spans="1:9" s="98" customFormat="1" ht="23.25" customHeight="1" x14ac:dyDescent="0.2">
      <c r="A263" s="115"/>
      <c r="B263" s="163"/>
      <c r="C263" s="183"/>
      <c r="D263" s="184"/>
      <c r="E263" s="418"/>
      <c r="F263" s="113">
        <f t="shared" si="66"/>
        <v>0</v>
      </c>
      <c r="G263" s="166"/>
      <c r="H263" s="862"/>
      <c r="I263" s="887"/>
    </row>
    <row r="264" spans="1:9" s="98" customFormat="1" ht="23.25" customHeight="1" x14ac:dyDescent="0.2">
      <c r="A264" s="115"/>
      <c r="B264" s="163"/>
      <c r="C264" s="183"/>
      <c r="D264" s="184"/>
      <c r="E264" s="418"/>
      <c r="F264" s="113">
        <f t="shared" si="66"/>
        <v>0</v>
      </c>
      <c r="G264" s="166"/>
      <c r="H264" s="862"/>
      <c r="I264" s="887"/>
    </row>
    <row r="265" spans="1:9" s="98" customFormat="1" ht="23.25" customHeight="1" x14ac:dyDescent="0.2">
      <c r="A265" s="115"/>
      <c r="B265" s="163"/>
      <c r="C265" s="183"/>
      <c r="D265" s="184"/>
      <c r="E265" s="418"/>
      <c r="F265" s="113">
        <f t="shared" si="66"/>
        <v>0</v>
      </c>
      <c r="G265" s="166"/>
      <c r="H265" s="862"/>
      <c r="I265" s="887"/>
    </row>
    <row r="266" spans="1:9" s="98" customFormat="1" ht="23.25" customHeight="1" x14ac:dyDescent="0.2">
      <c r="A266" s="115"/>
      <c r="B266" s="163"/>
      <c r="C266" s="183"/>
      <c r="D266" s="184"/>
      <c r="E266" s="418"/>
      <c r="F266" s="113">
        <f t="shared" si="66"/>
        <v>0</v>
      </c>
      <c r="G266" s="166"/>
      <c r="H266" s="862"/>
      <c r="I266" s="887"/>
    </row>
    <row r="267" spans="1:9" s="98" customFormat="1" ht="26.25" customHeight="1" x14ac:dyDescent="0.2">
      <c r="A267" s="115"/>
      <c r="B267" s="163"/>
      <c r="C267" s="183"/>
      <c r="D267" s="184"/>
      <c r="E267" s="418"/>
      <c r="F267" s="113">
        <f t="shared" si="66"/>
        <v>0</v>
      </c>
      <c r="G267" s="166"/>
      <c r="H267" s="862"/>
      <c r="I267" s="887"/>
    </row>
    <row r="268" spans="1:9" s="98" customFormat="1" ht="26.25" customHeight="1" x14ac:dyDescent="0.2">
      <c r="A268" s="115"/>
      <c r="B268" s="163"/>
      <c r="C268" s="183"/>
      <c r="D268" s="184"/>
      <c r="E268" s="418"/>
      <c r="F268" s="113">
        <f t="shared" si="66"/>
        <v>0</v>
      </c>
      <c r="G268" s="166"/>
      <c r="H268" s="862"/>
      <c r="I268" s="887"/>
    </row>
    <row r="269" spans="1:9" s="98" customFormat="1" ht="24" customHeight="1" x14ac:dyDescent="0.2">
      <c r="A269" s="115"/>
      <c r="B269" s="176"/>
      <c r="C269" s="115"/>
      <c r="D269" s="92"/>
      <c r="E269" s="135"/>
      <c r="F269" s="113">
        <f t="shared" si="66"/>
        <v>0</v>
      </c>
      <c r="G269" s="123"/>
      <c r="H269" s="862"/>
      <c r="I269" s="887"/>
    </row>
    <row r="270" spans="1:9" s="191" customFormat="1" ht="33" customHeight="1" x14ac:dyDescent="0.25">
      <c r="A270" s="190"/>
      <c r="B270" s="106" t="s">
        <v>494</v>
      </c>
      <c r="C270" s="1039" t="s">
        <v>98</v>
      </c>
      <c r="D270" s="1042"/>
      <c r="E270" s="1042"/>
      <c r="F270" s="113">
        <f>SUM(F248:F260)</f>
        <v>348182</v>
      </c>
      <c r="G270" s="109" t="s">
        <v>495</v>
      </c>
      <c r="H270" s="872"/>
    </row>
    <row r="271" spans="1:9" s="191" customFormat="1" ht="27" customHeight="1" x14ac:dyDescent="0.25">
      <c r="A271" s="115" t="str">
        <f t="shared" ref="A271" si="74">H271</f>
        <v>B4.33 14 13</v>
      </c>
      <c r="B271" s="163" t="s">
        <v>429</v>
      </c>
      <c r="C271" s="183"/>
      <c r="D271" s="184"/>
      <c r="E271" s="418"/>
      <c r="F271" s="113">
        <f t="shared" si="66"/>
        <v>0</v>
      </c>
      <c r="G271" s="166" t="s">
        <v>430</v>
      </c>
      <c r="H271" s="862" t="s">
        <v>520</v>
      </c>
    </row>
    <row r="272" spans="1:9" s="191" customFormat="1" ht="26.25" customHeight="1" x14ac:dyDescent="0.25">
      <c r="A272" s="115">
        <f>H272</f>
        <v>0</v>
      </c>
      <c r="B272" s="163" t="s">
        <v>438</v>
      </c>
      <c r="C272" s="183"/>
      <c r="D272" s="184"/>
      <c r="E272" s="418"/>
      <c r="F272" s="113">
        <f t="shared" si="66"/>
        <v>0</v>
      </c>
      <c r="G272" s="166" t="s">
        <v>439</v>
      </c>
      <c r="H272" s="862"/>
    </row>
    <row r="273" spans="1:8" s="191" customFormat="1" ht="26.25" customHeight="1" x14ac:dyDescent="0.25">
      <c r="A273" s="115" t="str">
        <f t="shared" ref="A273:A279" si="75">H273</f>
        <v>B4.33 14 13.01</v>
      </c>
      <c r="B273" s="97" t="s">
        <v>521</v>
      </c>
      <c r="C273" s="115" t="s">
        <v>298</v>
      </c>
      <c r="D273" s="92">
        <f>D258</f>
        <v>9</v>
      </c>
      <c r="E273" s="82">
        <v>21006</v>
      </c>
      <c r="F273" s="113">
        <f>E273*D273</f>
        <v>189054</v>
      </c>
      <c r="G273" s="176" t="s">
        <v>522</v>
      </c>
      <c r="H273" s="862" t="s">
        <v>523</v>
      </c>
    </row>
    <row r="274" spans="1:8" s="191" customFormat="1" ht="26.25" customHeight="1" x14ac:dyDescent="0.25">
      <c r="A274" s="115">
        <f t="shared" si="75"/>
        <v>0</v>
      </c>
      <c r="B274" s="163" t="s">
        <v>449</v>
      </c>
      <c r="C274" s="183"/>
      <c r="D274" s="184">
        <v>0</v>
      </c>
      <c r="E274" s="418"/>
      <c r="F274" s="113"/>
      <c r="G274" s="166" t="s">
        <v>450</v>
      </c>
      <c r="H274" s="858"/>
    </row>
    <row r="275" spans="1:8" s="191" customFormat="1" ht="26.25" customHeight="1" x14ac:dyDescent="0.25">
      <c r="A275" s="115" t="str">
        <f t="shared" si="75"/>
        <v>B4.33 14 13.02</v>
      </c>
      <c r="B275" s="97" t="s">
        <v>524</v>
      </c>
      <c r="C275" s="115" t="s">
        <v>298</v>
      </c>
      <c r="D275" s="92">
        <f>D260</f>
        <v>9</v>
      </c>
      <c r="E275" s="82">
        <v>6212</v>
      </c>
      <c r="F275" s="113">
        <f>E275*D275</f>
        <v>55908</v>
      </c>
      <c r="G275" s="176" t="s">
        <v>525</v>
      </c>
      <c r="H275" s="858" t="s">
        <v>526</v>
      </c>
    </row>
    <row r="276" spans="1:8" s="191" customFormat="1" ht="26.25" customHeight="1" x14ac:dyDescent="0.25">
      <c r="A276" s="115" t="str">
        <f t="shared" si="75"/>
        <v>32 84 00</v>
      </c>
      <c r="B276" s="163" t="s">
        <v>457</v>
      </c>
      <c r="C276" s="183"/>
      <c r="D276" s="184">
        <v>0</v>
      </c>
      <c r="E276" s="418"/>
      <c r="F276" s="113"/>
      <c r="G276" s="166" t="s">
        <v>458</v>
      </c>
      <c r="H276" s="862" t="s">
        <v>527</v>
      </c>
    </row>
    <row r="277" spans="1:8" s="191" customFormat="1" ht="26.25" customHeight="1" x14ac:dyDescent="0.25">
      <c r="A277" s="115" t="str">
        <f t="shared" si="75"/>
        <v>B4.32 84 00.01</v>
      </c>
      <c r="B277" s="150" t="s">
        <v>528</v>
      </c>
      <c r="C277" s="84" t="s">
        <v>298</v>
      </c>
      <c r="D277" s="92">
        <v>81</v>
      </c>
      <c r="E277" s="82">
        <v>2794</v>
      </c>
      <c r="F277" s="113">
        <f>E277*D277</f>
        <v>226314</v>
      </c>
      <c r="G277" s="144" t="s">
        <v>529</v>
      </c>
      <c r="H277" s="862" t="s">
        <v>530</v>
      </c>
    </row>
    <row r="278" spans="1:8" s="191" customFormat="1" ht="26.25" customHeight="1" x14ac:dyDescent="0.25">
      <c r="A278" s="115" t="str">
        <f t="shared" si="75"/>
        <v>32 80 00</v>
      </c>
      <c r="B278" s="163" t="s">
        <v>531</v>
      </c>
      <c r="C278" s="183"/>
      <c r="D278" s="184">
        <v>0</v>
      </c>
      <c r="E278" s="418"/>
      <c r="F278" s="113"/>
      <c r="G278" s="166" t="s">
        <v>532</v>
      </c>
      <c r="H278" s="862" t="s">
        <v>533</v>
      </c>
    </row>
    <row r="279" spans="1:8" s="191" customFormat="1" ht="42" customHeight="1" x14ac:dyDescent="0.25">
      <c r="A279" s="115" t="str">
        <f t="shared" si="75"/>
        <v>B4.32 80 00.01</v>
      </c>
      <c r="B279" s="150" t="s">
        <v>534</v>
      </c>
      <c r="C279" s="84" t="s">
        <v>52</v>
      </c>
      <c r="D279" s="92">
        <v>28200</v>
      </c>
      <c r="E279" s="82">
        <v>18</v>
      </c>
      <c r="F279" s="113">
        <f>E279*D279</f>
        <v>507600</v>
      </c>
      <c r="G279" s="144" t="s">
        <v>535</v>
      </c>
      <c r="H279" s="862" t="s">
        <v>536</v>
      </c>
    </row>
    <row r="280" spans="1:8" s="191" customFormat="1" ht="26.25" customHeight="1" x14ac:dyDescent="0.25">
      <c r="A280" s="115"/>
      <c r="B280" s="150"/>
      <c r="C280" s="84"/>
      <c r="D280" s="92"/>
      <c r="E280" s="364"/>
      <c r="F280" s="113">
        <f t="shared" si="66"/>
        <v>0</v>
      </c>
      <c r="G280" s="144"/>
      <c r="H280" s="862"/>
    </row>
    <row r="281" spans="1:8" s="191" customFormat="1" ht="26.25" customHeight="1" x14ac:dyDescent="0.25">
      <c r="A281" s="115"/>
      <c r="B281" s="150"/>
      <c r="C281" s="84"/>
      <c r="D281" s="92"/>
      <c r="E281" s="364"/>
      <c r="F281" s="113">
        <f t="shared" si="66"/>
        <v>0</v>
      </c>
      <c r="G281" s="144"/>
      <c r="H281" s="862"/>
    </row>
    <row r="282" spans="1:8" s="191" customFormat="1" ht="26.25" customHeight="1" x14ac:dyDescent="0.25">
      <c r="A282" s="115"/>
      <c r="B282" s="150"/>
      <c r="C282" s="84"/>
      <c r="D282" s="92"/>
      <c r="E282" s="364"/>
      <c r="F282" s="113">
        <f t="shared" si="66"/>
        <v>0</v>
      </c>
      <c r="G282" s="144"/>
      <c r="H282" s="862"/>
    </row>
    <row r="283" spans="1:8" s="191" customFormat="1" ht="26.25" customHeight="1" x14ac:dyDescent="0.25">
      <c r="A283" s="115"/>
      <c r="B283" s="150"/>
      <c r="C283" s="84"/>
      <c r="D283" s="92"/>
      <c r="E283" s="364"/>
      <c r="F283" s="113">
        <f t="shared" si="66"/>
        <v>0</v>
      </c>
      <c r="G283" s="144"/>
      <c r="H283" s="862"/>
    </row>
    <row r="284" spans="1:8" s="191" customFormat="1" ht="26.25" customHeight="1" x14ac:dyDescent="0.25">
      <c r="A284" s="115"/>
      <c r="B284" s="150"/>
      <c r="C284" s="84"/>
      <c r="D284" s="92"/>
      <c r="E284" s="364"/>
      <c r="F284" s="113">
        <f t="shared" si="66"/>
        <v>0</v>
      </c>
      <c r="G284" s="144"/>
      <c r="H284" s="862"/>
    </row>
    <row r="285" spans="1:8" s="191" customFormat="1" ht="26.25" customHeight="1" x14ac:dyDescent="0.25">
      <c r="A285" s="115"/>
      <c r="B285" s="150"/>
      <c r="C285" s="84"/>
      <c r="D285" s="92"/>
      <c r="E285" s="364"/>
      <c r="F285" s="113">
        <f t="shared" si="66"/>
        <v>0</v>
      </c>
      <c r="G285" s="144"/>
      <c r="H285" s="862"/>
    </row>
    <row r="286" spans="1:8" s="191" customFormat="1" ht="26.25" customHeight="1" x14ac:dyDescent="0.25">
      <c r="A286" s="115"/>
      <c r="B286" s="150"/>
      <c r="C286" s="84"/>
      <c r="D286" s="92"/>
      <c r="E286" s="364"/>
      <c r="F286" s="113">
        <f t="shared" si="66"/>
        <v>0</v>
      </c>
      <c r="G286" s="144"/>
      <c r="H286" s="862"/>
    </row>
    <row r="287" spans="1:8" s="191" customFormat="1" ht="26.25" customHeight="1" x14ac:dyDescent="0.25">
      <c r="A287" s="115"/>
      <c r="B287" s="150"/>
      <c r="C287" s="84"/>
      <c r="D287" s="92"/>
      <c r="E287" s="364"/>
      <c r="F287" s="113">
        <f t="shared" si="66"/>
        <v>0</v>
      </c>
      <c r="G287" s="144"/>
      <c r="H287" s="862"/>
    </row>
    <row r="288" spans="1:8" s="191" customFormat="1" ht="26.25" customHeight="1" x14ac:dyDescent="0.25">
      <c r="A288" s="115"/>
      <c r="B288" s="150"/>
      <c r="C288" s="84"/>
      <c r="D288" s="92"/>
      <c r="E288" s="364"/>
      <c r="F288" s="113">
        <f t="shared" si="66"/>
        <v>0</v>
      </c>
      <c r="G288" s="144"/>
      <c r="H288" s="862"/>
    </row>
    <row r="289" spans="1:8" s="191" customFormat="1" ht="26.25" customHeight="1" x14ac:dyDescent="0.25">
      <c r="A289" s="115"/>
      <c r="B289" s="150"/>
      <c r="C289" s="84"/>
      <c r="D289" s="92"/>
      <c r="E289" s="364"/>
      <c r="F289" s="113">
        <f t="shared" si="66"/>
        <v>0</v>
      </c>
      <c r="G289" s="144"/>
      <c r="H289" s="862"/>
    </row>
    <row r="290" spans="1:8" s="191" customFormat="1" ht="26.25" customHeight="1" x14ac:dyDescent="0.25">
      <c r="A290" s="115"/>
      <c r="B290" s="150"/>
      <c r="C290" s="84"/>
      <c r="D290" s="92"/>
      <c r="E290" s="364"/>
      <c r="F290" s="113">
        <f t="shared" si="66"/>
        <v>0</v>
      </c>
      <c r="G290" s="144"/>
      <c r="H290" s="862"/>
    </row>
    <row r="291" spans="1:8" s="191" customFormat="1" ht="26.25" customHeight="1" x14ac:dyDescent="0.25">
      <c r="A291" s="115"/>
      <c r="B291" s="150"/>
      <c r="C291" s="84"/>
      <c r="D291" s="92"/>
      <c r="E291" s="364"/>
      <c r="F291" s="113"/>
      <c r="G291" s="144"/>
      <c r="H291" s="862"/>
    </row>
    <row r="292" spans="1:8" s="191" customFormat="1" ht="26.25" customHeight="1" x14ac:dyDescent="0.25">
      <c r="A292" s="115"/>
      <c r="B292" s="150"/>
      <c r="C292" s="84"/>
      <c r="D292" s="92"/>
      <c r="E292" s="364"/>
      <c r="F292" s="113">
        <f t="shared" si="66"/>
        <v>0</v>
      </c>
      <c r="G292" s="144"/>
      <c r="H292" s="862"/>
    </row>
    <row r="293" spans="1:8" s="191" customFormat="1" ht="26.25" customHeight="1" x14ac:dyDescent="0.25">
      <c r="A293" s="115"/>
      <c r="B293" s="150"/>
      <c r="C293" s="84"/>
      <c r="D293" s="92"/>
      <c r="E293" s="364"/>
      <c r="F293" s="113">
        <f t="shared" si="66"/>
        <v>0</v>
      </c>
      <c r="G293" s="144"/>
      <c r="H293" s="862"/>
    </row>
    <row r="294" spans="1:8" s="191" customFormat="1" ht="32.25" customHeight="1" x14ac:dyDescent="0.25">
      <c r="A294" s="190"/>
      <c r="B294" s="106" t="s">
        <v>494</v>
      </c>
      <c r="C294" s="1039" t="s">
        <v>98</v>
      </c>
      <c r="D294" s="1042"/>
      <c r="E294" s="1042"/>
      <c r="F294" s="113">
        <f>SUM(F273:F279)</f>
        <v>978876</v>
      </c>
      <c r="G294" s="109" t="s">
        <v>495</v>
      </c>
      <c r="H294" s="873"/>
    </row>
    <row r="295" spans="1:8" s="173" customFormat="1" ht="27" customHeight="1" x14ac:dyDescent="0.2">
      <c r="A295" s="1040" t="s">
        <v>537</v>
      </c>
      <c r="B295" s="1041"/>
      <c r="C295" s="192"/>
      <c r="D295" s="72"/>
      <c r="E295" s="838"/>
      <c r="F295" s="838">
        <f t="shared" si="66"/>
        <v>0</v>
      </c>
      <c r="G295" s="182"/>
      <c r="H295" s="182" t="s">
        <v>538</v>
      </c>
    </row>
    <row r="296" spans="1:8" s="186" customFormat="1" ht="30.75" customHeight="1" x14ac:dyDescent="0.2">
      <c r="A296" s="116"/>
      <c r="B296" s="85" t="s">
        <v>539</v>
      </c>
      <c r="C296" s="116"/>
      <c r="D296" s="147"/>
      <c r="E296" s="832"/>
      <c r="F296" s="113">
        <f t="shared" si="66"/>
        <v>0</v>
      </c>
      <c r="G296" s="166" t="s">
        <v>310</v>
      </c>
      <c r="H296" s="874"/>
    </row>
    <row r="297" spans="1:8" s="142" customFormat="1" ht="59.25" customHeight="1" x14ac:dyDescent="0.2">
      <c r="A297" s="116" t="s">
        <v>475</v>
      </c>
      <c r="B297" s="193" t="s">
        <v>540</v>
      </c>
      <c r="C297" s="116"/>
      <c r="D297" s="165"/>
      <c r="E297" s="390"/>
      <c r="F297" s="113">
        <f t="shared" si="66"/>
        <v>0</v>
      </c>
      <c r="G297" s="166" t="s">
        <v>541</v>
      </c>
      <c r="H297" s="874" t="s">
        <v>475</v>
      </c>
    </row>
    <row r="298" spans="1:8" s="142" customFormat="1" ht="30" customHeight="1" x14ac:dyDescent="0.2">
      <c r="A298" s="167"/>
      <c r="B298" s="193" t="s">
        <v>542</v>
      </c>
      <c r="C298" s="116"/>
      <c r="D298" s="165"/>
      <c r="E298" s="390"/>
      <c r="F298" s="113">
        <f t="shared" si="66"/>
        <v>0</v>
      </c>
      <c r="G298" s="166" t="s">
        <v>543</v>
      </c>
      <c r="H298" s="867"/>
    </row>
    <row r="299" spans="1:8" s="142" customFormat="1" ht="25.5" customHeight="1" x14ac:dyDescent="0.2">
      <c r="A299" s="115" t="str">
        <f t="shared" ref="A299:A302" si="76">H299</f>
        <v>B5.33 31 00.01</v>
      </c>
      <c r="B299" s="189" t="s">
        <v>544</v>
      </c>
      <c r="C299" s="115" t="s">
        <v>52</v>
      </c>
      <c r="D299" s="92">
        <v>2693</v>
      </c>
      <c r="E299" s="82">
        <v>119</v>
      </c>
      <c r="F299" s="113">
        <f>E299*D299</f>
        <v>320467</v>
      </c>
      <c r="G299" s="171" t="s">
        <v>545</v>
      </c>
      <c r="H299" s="862" t="s">
        <v>546</v>
      </c>
    </row>
    <row r="300" spans="1:8" s="142" customFormat="1" ht="25.5" customHeight="1" x14ac:dyDescent="0.2">
      <c r="A300" s="115" t="str">
        <f t="shared" si="76"/>
        <v>B5.33 31 00.02</v>
      </c>
      <c r="B300" s="189" t="s">
        <v>319</v>
      </c>
      <c r="C300" s="115" t="s">
        <v>52</v>
      </c>
      <c r="D300" s="92">
        <v>1237</v>
      </c>
      <c r="E300" s="82">
        <v>126</v>
      </c>
      <c r="F300" s="113">
        <f t="shared" ref="F300:F302" si="77">E300*D300</f>
        <v>155862</v>
      </c>
      <c r="G300" s="171" t="s">
        <v>547</v>
      </c>
      <c r="H300" s="862" t="s">
        <v>548</v>
      </c>
    </row>
    <row r="301" spans="1:8" s="142" customFormat="1" ht="25.5" customHeight="1" x14ac:dyDescent="0.2">
      <c r="A301" s="115" t="str">
        <f t="shared" si="76"/>
        <v>B5.33 31 00.03</v>
      </c>
      <c r="B301" s="189" t="s">
        <v>333</v>
      </c>
      <c r="C301" s="115" t="s">
        <v>52</v>
      </c>
      <c r="D301" s="92">
        <v>131</v>
      </c>
      <c r="E301" s="82">
        <v>154</v>
      </c>
      <c r="F301" s="113">
        <f t="shared" si="77"/>
        <v>20174</v>
      </c>
      <c r="G301" s="171" t="s">
        <v>549</v>
      </c>
      <c r="H301" s="862" t="s">
        <v>550</v>
      </c>
    </row>
    <row r="302" spans="1:8" s="142" customFormat="1" ht="25.5" customHeight="1" x14ac:dyDescent="0.2">
      <c r="A302" s="105" t="str">
        <f t="shared" si="76"/>
        <v>B4.33 31 00.04</v>
      </c>
      <c r="B302" s="170" t="s">
        <v>336</v>
      </c>
      <c r="C302" s="115" t="s">
        <v>52</v>
      </c>
      <c r="D302" s="92">
        <v>20</v>
      </c>
      <c r="E302" s="82">
        <v>160</v>
      </c>
      <c r="F302" s="113">
        <f t="shared" si="77"/>
        <v>3200</v>
      </c>
      <c r="G302" s="171" t="s">
        <v>337</v>
      </c>
      <c r="H302" s="868" t="s">
        <v>480</v>
      </c>
    </row>
    <row r="303" spans="1:8" s="142" customFormat="1" ht="30" customHeight="1" x14ac:dyDescent="0.2">
      <c r="A303" s="167"/>
      <c r="B303" s="193" t="s">
        <v>329</v>
      </c>
      <c r="C303" s="116"/>
      <c r="D303" s="165">
        <v>0</v>
      </c>
      <c r="E303" s="390"/>
      <c r="F303" s="113"/>
      <c r="G303" s="166" t="s">
        <v>330</v>
      </c>
      <c r="H303" s="867"/>
    </row>
    <row r="304" spans="1:8" s="142" customFormat="1" ht="28.5" customHeight="1" x14ac:dyDescent="0.2">
      <c r="A304" s="115" t="str">
        <f t="shared" ref="A304:A309" si="78">H304</f>
        <v>B5.33 31 00.05</v>
      </c>
      <c r="B304" s="189" t="s">
        <v>544</v>
      </c>
      <c r="C304" s="115" t="s">
        <v>52</v>
      </c>
      <c r="D304" s="92">
        <v>4588</v>
      </c>
      <c r="E304" s="82">
        <v>128</v>
      </c>
      <c r="F304" s="113">
        <f t="shared" ref="F304:F309" si="79">E304*D304</f>
        <v>587264</v>
      </c>
      <c r="G304" s="171" t="s">
        <v>545</v>
      </c>
      <c r="H304" s="862" t="s">
        <v>551</v>
      </c>
    </row>
    <row r="305" spans="1:8" s="142" customFormat="1" ht="28.5" customHeight="1" x14ac:dyDescent="0.2">
      <c r="A305" s="115" t="str">
        <f t="shared" si="78"/>
        <v>B5.33 31 00.06</v>
      </c>
      <c r="B305" s="189" t="s">
        <v>319</v>
      </c>
      <c r="C305" s="115" t="s">
        <v>52</v>
      </c>
      <c r="D305" s="92">
        <v>4052</v>
      </c>
      <c r="E305" s="82">
        <v>140</v>
      </c>
      <c r="F305" s="113">
        <f t="shared" si="79"/>
        <v>567280</v>
      </c>
      <c r="G305" s="171" t="s">
        <v>477</v>
      </c>
      <c r="H305" s="862" t="s">
        <v>552</v>
      </c>
    </row>
    <row r="306" spans="1:8" s="142" customFormat="1" ht="28.5" customHeight="1" x14ac:dyDescent="0.2">
      <c r="A306" s="115" t="str">
        <f t="shared" si="78"/>
        <v>B5.33 31 00.07</v>
      </c>
      <c r="B306" s="189" t="s">
        <v>333</v>
      </c>
      <c r="C306" s="115" t="s">
        <v>52</v>
      </c>
      <c r="D306" s="92">
        <v>1579</v>
      </c>
      <c r="E306" s="82">
        <v>169</v>
      </c>
      <c r="F306" s="113">
        <f t="shared" si="79"/>
        <v>266851</v>
      </c>
      <c r="G306" s="171" t="s">
        <v>553</v>
      </c>
      <c r="H306" s="862" t="s">
        <v>554</v>
      </c>
    </row>
    <row r="307" spans="1:8" s="142" customFormat="1" ht="28.5" customHeight="1" x14ac:dyDescent="0.2">
      <c r="A307" s="115" t="str">
        <f t="shared" si="78"/>
        <v>B5.33 31 00.08</v>
      </c>
      <c r="B307" s="189" t="s">
        <v>555</v>
      </c>
      <c r="C307" s="115" t="s">
        <v>52</v>
      </c>
      <c r="D307" s="92">
        <v>446</v>
      </c>
      <c r="E307" s="82">
        <v>185</v>
      </c>
      <c r="F307" s="113">
        <f t="shared" si="79"/>
        <v>82510</v>
      </c>
      <c r="G307" s="171" t="s">
        <v>556</v>
      </c>
      <c r="H307" s="862" t="s">
        <v>557</v>
      </c>
    </row>
    <row r="308" spans="1:8" s="142" customFormat="1" ht="28.5" customHeight="1" x14ac:dyDescent="0.2">
      <c r="A308" s="115" t="str">
        <f t="shared" si="78"/>
        <v>B5.33 31 00.09</v>
      </c>
      <c r="B308" s="189" t="s">
        <v>558</v>
      </c>
      <c r="C308" s="115" t="s">
        <v>52</v>
      </c>
      <c r="D308" s="92">
        <v>559</v>
      </c>
      <c r="E308" s="82">
        <v>226</v>
      </c>
      <c r="F308" s="113">
        <f t="shared" si="79"/>
        <v>126334</v>
      </c>
      <c r="G308" s="171" t="s">
        <v>559</v>
      </c>
      <c r="H308" s="862" t="s">
        <v>560</v>
      </c>
    </row>
    <row r="309" spans="1:8" s="142" customFormat="1" ht="28.5" customHeight="1" x14ac:dyDescent="0.2">
      <c r="A309" s="105" t="str">
        <f t="shared" si="78"/>
        <v>B5.33 31 00.10</v>
      </c>
      <c r="B309" s="170" t="s">
        <v>561</v>
      </c>
      <c r="C309" s="115" t="s">
        <v>52</v>
      </c>
      <c r="D309" s="92">
        <v>10</v>
      </c>
      <c r="E309" s="82">
        <v>248</v>
      </c>
      <c r="F309" s="113">
        <f t="shared" si="79"/>
        <v>2480</v>
      </c>
      <c r="G309" s="171" t="s">
        <v>562</v>
      </c>
      <c r="H309" s="862" t="s">
        <v>563</v>
      </c>
    </row>
    <row r="310" spans="1:8" s="142" customFormat="1" ht="21.75" customHeight="1" x14ac:dyDescent="0.2">
      <c r="A310" s="167"/>
      <c r="B310" s="193" t="s">
        <v>338</v>
      </c>
      <c r="C310" s="116"/>
      <c r="D310" s="165">
        <v>0</v>
      </c>
      <c r="E310" s="390"/>
      <c r="F310" s="113"/>
      <c r="G310" s="166" t="s">
        <v>339</v>
      </c>
      <c r="H310" s="867"/>
    </row>
    <row r="311" spans="1:8" s="142" customFormat="1" ht="25.5" customHeight="1" x14ac:dyDescent="0.2">
      <c r="A311" s="115" t="str">
        <f t="shared" ref="A311:A316" si="80">H311</f>
        <v>B5.33 31 00.11</v>
      </c>
      <c r="B311" s="189" t="s">
        <v>544</v>
      </c>
      <c r="C311" s="115" t="s">
        <v>52</v>
      </c>
      <c r="D311" s="92">
        <v>20</v>
      </c>
      <c r="E311" s="82">
        <v>144</v>
      </c>
      <c r="F311" s="113">
        <f t="shared" ref="F311:F316" si="81">E311*D311</f>
        <v>2880</v>
      </c>
      <c r="G311" s="171" t="s">
        <v>545</v>
      </c>
      <c r="H311" s="862" t="s">
        <v>564</v>
      </c>
    </row>
    <row r="312" spans="1:8" s="142" customFormat="1" ht="25.5" customHeight="1" x14ac:dyDescent="0.2">
      <c r="A312" s="115" t="str">
        <f t="shared" si="80"/>
        <v>B5.33 31 00.12</v>
      </c>
      <c r="B312" s="189" t="s">
        <v>319</v>
      </c>
      <c r="C312" s="115" t="s">
        <v>52</v>
      </c>
      <c r="D312" s="92">
        <v>317</v>
      </c>
      <c r="E312" s="82">
        <v>156</v>
      </c>
      <c r="F312" s="113">
        <f t="shared" si="81"/>
        <v>49452</v>
      </c>
      <c r="G312" s="171" t="s">
        <v>477</v>
      </c>
      <c r="H312" s="862" t="s">
        <v>565</v>
      </c>
    </row>
    <row r="313" spans="1:8" s="142" customFormat="1" ht="25.5" customHeight="1" x14ac:dyDescent="0.2">
      <c r="A313" s="115" t="str">
        <f t="shared" si="80"/>
        <v>B5.33 31 00.13</v>
      </c>
      <c r="B313" s="189" t="s">
        <v>566</v>
      </c>
      <c r="C313" s="115" t="s">
        <v>52</v>
      </c>
      <c r="D313" s="92">
        <v>10</v>
      </c>
      <c r="E313" s="82">
        <v>184</v>
      </c>
      <c r="F313" s="113">
        <f t="shared" si="81"/>
        <v>1840</v>
      </c>
      <c r="G313" s="171" t="s">
        <v>553</v>
      </c>
      <c r="H313" s="862" t="s">
        <v>567</v>
      </c>
    </row>
    <row r="314" spans="1:8" s="142" customFormat="1" ht="25.5" customHeight="1" x14ac:dyDescent="0.2">
      <c r="A314" s="115" t="str">
        <f t="shared" si="80"/>
        <v>B5.33 31 00.14</v>
      </c>
      <c r="B314" s="189" t="s">
        <v>568</v>
      </c>
      <c r="C314" s="115" t="s">
        <v>52</v>
      </c>
      <c r="D314" s="92">
        <v>606</v>
      </c>
      <c r="E314" s="82">
        <v>220</v>
      </c>
      <c r="F314" s="113">
        <f t="shared" si="81"/>
        <v>133320</v>
      </c>
      <c r="G314" s="171" t="s">
        <v>556</v>
      </c>
      <c r="H314" s="862" t="s">
        <v>569</v>
      </c>
    </row>
    <row r="315" spans="1:8" s="142" customFormat="1" ht="25.5" customHeight="1" x14ac:dyDescent="0.2">
      <c r="A315" s="115" t="str">
        <f t="shared" si="80"/>
        <v>B5.33 31 00.15</v>
      </c>
      <c r="B315" s="189" t="s">
        <v>558</v>
      </c>
      <c r="C315" s="115" t="s">
        <v>52</v>
      </c>
      <c r="D315" s="92">
        <v>528</v>
      </c>
      <c r="E315" s="82">
        <v>257</v>
      </c>
      <c r="F315" s="113">
        <f t="shared" si="81"/>
        <v>135696</v>
      </c>
      <c r="G315" s="171" t="s">
        <v>559</v>
      </c>
      <c r="H315" s="862" t="s">
        <v>570</v>
      </c>
    </row>
    <row r="316" spans="1:8" s="142" customFormat="1" ht="25.5" customHeight="1" x14ac:dyDescent="0.2">
      <c r="A316" s="105" t="str">
        <f t="shared" si="80"/>
        <v>B5.33 31 00.16</v>
      </c>
      <c r="B316" s="170" t="s">
        <v>561</v>
      </c>
      <c r="C316" s="115" t="s">
        <v>52</v>
      </c>
      <c r="D316" s="92">
        <v>10</v>
      </c>
      <c r="E316" s="82">
        <v>291</v>
      </c>
      <c r="F316" s="113">
        <f t="shared" si="81"/>
        <v>2910</v>
      </c>
      <c r="G316" s="171" t="s">
        <v>562</v>
      </c>
      <c r="H316" s="862" t="s">
        <v>571</v>
      </c>
    </row>
    <row r="317" spans="1:8" s="142" customFormat="1" ht="30" customHeight="1" x14ac:dyDescent="0.2">
      <c r="A317" s="86"/>
      <c r="B317" s="106" t="s">
        <v>572</v>
      </c>
      <c r="C317" s="1039" t="s">
        <v>98</v>
      </c>
      <c r="D317" s="1042"/>
      <c r="E317" s="1042"/>
      <c r="F317" s="113">
        <f>SUM(F299:F316)</f>
        <v>2458520</v>
      </c>
      <c r="G317" s="194" t="s">
        <v>573</v>
      </c>
      <c r="H317" s="875"/>
    </row>
    <row r="318" spans="1:8" s="186" customFormat="1" ht="26.25" customHeight="1" x14ac:dyDescent="0.2">
      <c r="A318" s="116"/>
      <c r="B318" s="85" t="s">
        <v>539</v>
      </c>
      <c r="C318" s="116"/>
      <c r="D318" s="147"/>
      <c r="E318" s="832"/>
      <c r="F318" s="113">
        <f t="shared" ref="F318:F352" si="82">E318+D318</f>
        <v>0</v>
      </c>
      <c r="G318" s="166" t="s">
        <v>310</v>
      </c>
      <c r="H318" s="874"/>
    </row>
    <row r="319" spans="1:8" s="142" customFormat="1" ht="54.75" customHeight="1" x14ac:dyDescent="0.2">
      <c r="A319" s="115" t="s">
        <v>475</v>
      </c>
      <c r="B319" s="193" t="s">
        <v>540</v>
      </c>
      <c r="C319" s="116"/>
      <c r="D319" s="165"/>
      <c r="E319" s="390"/>
      <c r="F319" s="113">
        <f t="shared" si="82"/>
        <v>0</v>
      </c>
      <c r="G319" s="166" t="s">
        <v>541</v>
      </c>
      <c r="H319" s="862" t="s">
        <v>475</v>
      </c>
    </row>
    <row r="320" spans="1:8" s="142" customFormat="1" ht="21" customHeight="1" x14ac:dyDescent="0.2">
      <c r="A320" s="167"/>
      <c r="B320" s="193" t="s">
        <v>574</v>
      </c>
      <c r="C320" s="116"/>
      <c r="D320" s="165"/>
      <c r="E320" s="390"/>
      <c r="F320" s="113">
        <f t="shared" si="82"/>
        <v>0</v>
      </c>
      <c r="G320" s="166" t="s">
        <v>575</v>
      </c>
      <c r="H320" s="867"/>
    </row>
    <row r="321" spans="1:8" s="142" customFormat="1" ht="25.5" customHeight="1" x14ac:dyDescent="0.2">
      <c r="A321" s="115" t="str">
        <f t="shared" ref="A321:A326" si="83">H321</f>
        <v>B5.33 31 00.17</v>
      </c>
      <c r="B321" s="189" t="s">
        <v>544</v>
      </c>
      <c r="C321" s="115" t="s">
        <v>52</v>
      </c>
      <c r="D321" s="92">
        <v>70</v>
      </c>
      <c r="E321" s="82">
        <v>161</v>
      </c>
      <c r="F321" s="113">
        <f>E321*D321</f>
        <v>11270</v>
      </c>
      <c r="G321" s="171" t="s">
        <v>576</v>
      </c>
      <c r="H321" s="862" t="s">
        <v>577</v>
      </c>
    </row>
    <row r="322" spans="1:8" s="142" customFormat="1" ht="25.5" customHeight="1" x14ac:dyDescent="0.2">
      <c r="A322" s="115" t="str">
        <f t="shared" si="83"/>
        <v>B5.33 31 00.18</v>
      </c>
      <c r="B322" s="189" t="s">
        <v>482</v>
      </c>
      <c r="C322" s="115" t="s">
        <v>52</v>
      </c>
      <c r="D322" s="92">
        <v>776</v>
      </c>
      <c r="E322" s="82">
        <v>174</v>
      </c>
      <c r="F322" s="113">
        <f t="shared" ref="F322:F326" si="84">E322*D322</f>
        <v>135024</v>
      </c>
      <c r="G322" s="171" t="s">
        <v>483</v>
      </c>
      <c r="H322" s="862" t="s">
        <v>578</v>
      </c>
    </row>
    <row r="323" spans="1:8" s="142" customFormat="1" ht="25.5" customHeight="1" x14ac:dyDescent="0.2">
      <c r="A323" s="115" t="str">
        <f t="shared" si="83"/>
        <v>B5.33 31 00.19</v>
      </c>
      <c r="B323" s="189" t="s">
        <v>579</v>
      </c>
      <c r="C323" s="115" t="s">
        <v>52</v>
      </c>
      <c r="D323" s="92">
        <v>733</v>
      </c>
      <c r="E323" s="82">
        <v>202</v>
      </c>
      <c r="F323" s="113">
        <f t="shared" si="84"/>
        <v>148066</v>
      </c>
      <c r="G323" s="171" t="s">
        <v>553</v>
      </c>
      <c r="H323" s="862" t="s">
        <v>580</v>
      </c>
    </row>
    <row r="324" spans="1:8" s="142" customFormat="1" ht="25.5" customHeight="1" x14ac:dyDescent="0.2">
      <c r="A324" s="115" t="str">
        <f t="shared" si="83"/>
        <v>B5.33 31 00.20</v>
      </c>
      <c r="B324" s="189" t="s">
        <v>555</v>
      </c>
      <c r="C324" s="115" t="s">
        <v>52</v>
      </c>
      <c r="D324" s="92">
        <v>200</v>
      </c>
      <c r="E324" s="82">
        <v>239</v>
      </c>
      <c r="F324" s="113">
        <f t="shared" si="84"/>
        <v>47800</v>
      </c>
      <c r="G324" s="171" t="s">
        <v>556</v>
      </c>
      <c r="H324" s="862" t="s">
        <v>581</v>
      </c>
    </row>
    <row r="325" spans="1:8" s="142" customFormat="1" ht="25.5" customHeight="1" x14ac:dyDescent="0.2">
      <c r="A325" s="115" t="str">
        <f t="shared" si="83"/>
        <v>B5.33 31 00.21</v>
      </c>
      <c r="B325" s="189" t="s">
        <v>558</v>
      </c>
      <c r="C325" s="115" t="s">
        <v>52</v>
      </c>
      <c r="D325" s="92">
        <v>445</v>
      </c>
      <c r="E325" s="82">
        <v>276</v>
      </c>
      <c r="F325" s="113">
        <f t="shared" si="84"/>
        <v>122820</v>
      </c>
      <c r="G325" s="171" t="s">
        <v>559</v>
      </c>
      <c r="H325" s="862" t="s">
        <v>582</v>
      </c>
    </row>
    <row r="326" spans="1:8" s="142" customFormat="1" ht="25.5" customHeight="1" x14ac:dyDescent="0.2">
      <c r="A326" s="105" t="str">
        <f t="shared" si="83"/>
        <v>B5.33 31 00.22</v>
      </c>
      <c r="B326" s="170" t="s">
        <v>561</v>
      </c>
      <c r="C326" s="115" t="s">
        <v>52</v>
      </c>
      <c r="D326" s="92">
        <v>10</v>
      </c>
      <c r="E326" s="82">
        <v>329</v>
      </c>
      <c r="F326" s="113">
        <f t="shared" si="84"/>
        <v>3290</v>
      </c>
      <c r="G326" s="171" t="s">
        <v>562</v>
      </c>
      <c r="H326" s="862" t="s">
        <v>583</v>
      </c>
    </row>
    <row r="327" spans="1:8" s="142" customFormat="1" ht="21.75" customHeight="1" x14ac:dyDescent="0.2">
      <c r="A327" s="167"/>
      <c r="B327" s="193" t="s">
        <v>584</v>
      </c>
      <c r="C327" s="116"/>
      <c r="D327" s="165">
        <v>0</v>
      </c>
      <c r="E327" s="390"/>
      <c r="F327" s="113"/>
      <c r="G327" s="166" t="s">
        <v>585</v>
      </c>
      <c r="H327" s="867"/>
    </row>
    <row r="328" spans="1:8" s="142" customFormat="1" ht="25.5" customHeight="1" x14ac:dyDescent="0.2">
      <c r="A328" s="115" t="str">
        <f t="shared" ref="A328:A333" si="85">H328</f>
        <v>B5.33 31 00.23</v>
      </c>
      <c r="B328" s="189" t="s">
        <v>544</v>
      </c>
      <c r="C328" s="115" t="s">
        <v>52</v>
      </c>
      <c r="D328" s="92">
        <v>10</v>
      </c>
      <c r="E328" s="82">
        <v>187</v>
      </c>
      <c r="F328" s="113">
        <f t="shared" ref="F328:F333" si="86">E328*D328</f>
        <v>1870</v>
      </c>
      <c r="G328" s="171" t="s">
        <v>576</v>
      </c>
      <c r="H328" s="862" t="s">
        <v>586</v>
      </c>
    </row>
    <row r="329" spans="1:8" s="142" customFormat="1" ht="25.5" customHeight="1" x14ac:dyDescent="0.2">
      <c r="A329" s="115" t="str">
        <f t="shared" si="85"/>
        <v>B5.33 31 00.24</v>
      </c>
      <c r="B329" s="189" t="s">
        <v>482</v>
      </c>
      <c r="C329" s="115" t="s">
        <v>52</v>
      </c>
      <c r="D329" s="92">
        <v>10</v>
      </c>
      <c r="E329" s="82">
        <v>199</v>
      </c>
      <c r="F329" s="113">
        <f t="shared" si="86"/>
        <v>1990</v>
      </c>
      <c r="G329" s="171" t="s">
        <v>483</v>
      </c>
      <c r="H329" s="862" t="s">
        <v>587</v>
      </c>
    </row>
    <row r="330" spans="1:8" s="142" customFormat="1" ht="25.5" customHeight="1" x14ac:dyDescent="0.2">
      <c r="A330" s="115" t="str">
        <f t="shared" si="85"/>
        <v>B5.33 31 00.25</v>
      </c>
      <c r="B330" s="189" t="s">
        <v>579</v>
      </c>
      <c r="C330" s="115" t="s">
        <v>52</v>
      </c>
      <c r="D330" s="92">
        <v>10</v>
      </c>
      <c r="E330" s="82">
        <v>228</v>
      </c>
      <c r="F330" s="113">
        <f t="shared" si="86"/>
        <v>2280</v>
      </c>
      <c r="G330" s="171" t="s">
        <v>553</v>
      </c>
      <c r="H330" s="862" t="s">
        <v>588</v>
      </c>
    </row>
    <row r="331" spans="1:8" s="142" customFormat="1" ht="28.5" customHeight="1" x14ac:dyDescent="0.2">
      <c r="A331" s="115" t="str">
        <f t="shared" si="85"/>
        <v>B5.33 31 00.26</v>
      </c>
      <c r="B331" s="189" t="s">
        <v>589</v>
      </c>
      <c r="C331" s="115" t="s">
        <v>52</v>
      </c>
      <c r="D331" s="92">
        <v>425</v>
      </c>
      <c r="E331" s="82">
        <v>268</v>
      </c>
      <c r="F331" s="113">
        <f t="shared" si="86"/>
        <v>113900</v>
      </c>
      <c r="G331" s="171" t="s">
        <v>590</v>
      </c>
      <c r="H331" s="862" t="s">
        <v>591</v>
      </c>
    </row>
    <row r="332" spans="1:8" s="142" customFormat="1" ht="28.5" customHeight="1" x14ac:dyDescent="0.2">
      <c r="A332" s="115" t="str">
        <f t="shared" si="85"/>
        <v>B5.33 31 00.27</v>
      </c>
      <c r="B332" s="189" t="s">
        <v>558</v>
      </c>
      <c r="C332" s="115" t="s">
        <v>52</v>
      </c>
      <c r="D332" s="92">
        <v>612</v>
      </c>
      <c r="E332" s="82">
        <v>306</v>
      </c>
      <c r="F332" s="113">
        <f t="shared" si="86"/>
        <v>187272</v>
      </c>
      <c r="G332" s="171" t="s">
        <v>559</v>
      </c>
      <c r="H332" s="862" t="s">
        <v>592</v>
      </c>
    </row>
    <row r="333" spans="1:8" s="142" customFormat="1" ht="30" customHeight="1" x14ac:dyDescent="0.2">
      <c r="A333" s="105" t="str">
        <f t="shared" si="85"/>
        <v>B5.33 31 00.28</v>
      </c>
      <c r="B333" s="170" t="s">
        <v>561</v>
      </c>
      <c r="C333" s="115" t="s">
        <v>52</v>
      </c>
      <c r="D333" s="92">
        <v>10</v>
      </c>
      <c r="E333" s="82">
        <v>357</v>
      </c>
      <c r="F333" s="113">
        <f t="shared" si="86"/>
        <v>3570</v>
      </c>
      <c r="G333" s="171" t="s">
        <v>562</v>
      </c>
      <c r="H333" s="862" t="s">
        <v>593</v>
      </c>
    </row>
    <row r="334" spans="1:8" s="142" customFormat="1" ht="23.25" customHeight="1" x14ac:dyDescent="0.2">
      <c r="A334" s="167"/>
      <c r="B334" s="193" t="s">
        <v>594</v>
      </c>
      <c r="C334" s="116"/>
      <c r="D334" s="165">
        <v>0</v>
      </c>
      <c r="E334" s="390"/>
      <c r="F334" s="113"/>
      <c r="G334" s="166" t="s">
        <v>595</v>
      </c>
      <c r="H334" s="867"/>
    </row>
    <row r="335" spans="1:8" s="142" customFormat="1" ht="25.5" customHeight="1" x14ac:dyDescent="0.2">
      <c r="A335" s="115" t="str">
        <f t="shared" ref="A335:A339" si="87">H335</f>
        <v>B5.33 31 00.29</v>
      </c>
      <c r="B335" s="189" t="s">
        <v>544</v>
      </c>
      <c r="C335" s="115" t="s">
        <v>52</v>
      </c>
      <c r="D335" s="92">
        <v>10</v>
      </c>
      <c r="E335" s="82">
        <v>215</v>
      </c>
      <c r="F335" s="113">
        <f t="shared" ref="F335:F339" si="88">E335*D335</f>
        <v>2150</v>
      </c>
      <c r="G335" s="171" t="s">
        <v>576</v>
      </c>
      <c r="H335" s="862" t="s">
        <v>596</v>
      </c>
    </row>
    <row r="336" spans="1:8" s="142" customFormat="1" ht="25.5" customHeight="1" x14ac:dyDescent="0.2">
      <c r="A336" s="115" t="str">
        <f t="shared" si="87"/>
        <v>B5.33 31 00.30</v>
      </c>
      <c r="B336" s="189" t="s">
        <v>482</v>
      </c>
      <c r="C336" s="115" t="s">
        <v>52</v>
      </c>
      <c r="D336" s="92">
        <v>10</v>
      </c>
      <c r="E336" s="82">
        <v>229</v>
      </c>
      <c r="F336" s="113">
        <f t="shared" si="88"/>
        <v>2290</v>
      </c>
      <c r="G336" s="171" t="s">
        <v>483</v>
      </c>
      <c r="H336" s="862" t="s">
        <v>597</v>
      </c>
    </row>
    <row r="337" spans="1:8" s="142" customFormat="1" ht="25.5" customHeight="1" x14ac:dyDescent="0.2">
      <c r="A337" s="115" t="str">
        <f t="shared" si="87"/>
        <v>B5.33 31 00.31</v>
      </c>
      <c r="B337" s="189" t="s">
        <v>579</v>
      </c>
      <c r="C337" s="115" t="s">
        <v>52</v>
      </c>
      <c r="D337" s="92">
        <v>10</v>
      </c>
      <c r="E337" s="82">
        <v>259</v>
      </c>
      <c r="F337" s="113">
        <f t="shared" si="88"/>
        <v>2590</v>
      </c>
      <c r="G337" s="171" t="s">
        <v>553</v>
      </c>
      <c r="H337" s="862" t="s">
        <v>598</v>
      </c>
    </row>
    <row r="338" spans="1:8" s="142" customFormat="1" ht="28.5" customHeight="1" x14ac:dyDescent="0.2">
      <c r="A338" s="115" t="str">
        <f t="shared" si="87"/>
        <v>B5.33 31 00.32</v>
      </c>
      <c r="B338" s="189" t="s">
        <v>555</v>
      </c>
      <c r="C338" s="115" t="s">
        <v>52</v>
      </c>
      <c r="D338" s="92">
        <v>924</v>
      </c>
      <c r="E338" s="82">
        <v>293</v>
      </c>
      <c r="F338" s="113">
        <f t="shared" si="88"/>
        <v>270732</v>
      </c>
      <c r="G338" s="171" t="s">
        <v>556</v>
      </c>
      <c r="H338" s="862" t="s">
        <v>599</v>
      </c>
    </row>
    <row r="339" spans="1:8" s="142" customFormat="1" ht="28.5" customHeight="1" x14ac:dyDescent="0.2">
      <c r="A339" s="115" t="str">
        <f t="shared" si="87"/>
        <v>B5.33 31 00.33</v>
      </c>
      <c r="B339" s="170" t="s">
        <v>561</v>
      </c>
      <c r="C339" s="115" t="s">
        <v>52</v>
      </c>
      <c r="D339" s="92">
        <v>10</v>
      </c>
      <c r="E339" s="82">
        <v>354</v>
      </c>
      <c r="F339" s="113">
        <f t="shared" si="88"/>
        <v>3540</v>
      </c>
      <c r="G339" s="171" t="s">
        <v>562</v>
      </c>
      <c r="H339" s="862" t="s">
        <v>600</v>
      </c>
    </row>
    <row r="340" spans="1:8" s="142" customFormat="1" ht="28.5" customHeight="1" x14ac:dyDescent="0.2">
      <c r="A340" s="115"/>
      <c r="B340" s="170"/>
      <c r="C340" s="115"/>
      <c r="D340" s="92"/>
      <c r="E340" s="835"/>
      <c r="F340" s="113"/>
      <c r="G340" s="171"/>
      <c r="H340" s="862"/>
    </row>
    <row r="341" spans="1:8" s="142" customFormat="1" ht="30" customHeight="1" x14ac:dyDescent="0.2">
      <c r="A341" s="86"/>
      <c r="B341" s="106" t="s">
        <v>572</v>
      </c>
      <c r="C341" s="1039" t="s">
        <v>98</v>
      </c>
      <c r="D341" s="1042"/>
      <c r="E341" s="1042"/>
      <c r="F341" s="113">
        <f>SUM(F321:F339)</f>
        <v>1060454</v>
      </c>
      <c r="G341" s="194" t="s">
        <v>573</v>
      </c>
      <c r="H341" s="875"/>
    </row>
    <row r="342" spans="1:8" s="186" customFormat="1" ht="24" customHeight="1" x14ac:dyDescent="0.2">
      <c r="A342" s="116"/>
      <c r="B342" s="85" t="s">
        <v>539</v>
      </c>
      <c r="C342" s="116"/>
      <c r="D342" s="147"/>
      <c r="E342" s="832"/>
      <c r="F342" s="113">
        <f t="shared" ref="F342:F343" si="89">E342+D342</f>
        <v>0</v>
      </c>
      <c r="G342" s="166" t="s">
        <v>310</v>
      </c>
      <c r="H342" s="874"/>
    </row>
    <row r="343" spans="1:8" s="142" customFormat="1" ht="54.75" customHeight="1" x14ac:dyDescent="0.2">
      <c r="A343" s="115" t="s">
        <v>475</v>
      </c>
      <c r="B343" s="193" t="s">
        <v>540</v>
      </c>
      <c r="C343" s="116"/>
      <c r="D343" s="165"/>
      <c r="E343" s="390"/>
      <c r="F343" s="113">
        <f t="shared" si="89"/>
        <v>0</v>
      </c>
      <c r="G343" s="166" t="s">
        <v>541</v>
      </c>
      <c r="H343" s="862" t="s">
        <v>475</v>
      </c>
    </row>
    <row r="344" spans="1:8" s="142" customFormat="1" ht="22.5" customHeight="1" x14ac:dyDescent="0.2">
      <c r="A344" s="167"/>
      <c r="B344" s="193" t="s">
        <v>601</v>
      </c>
      <c r="C344" s="116"/>
      <c r="D344" s="165">
        <v>0</v>
      </c>
      <c r="E344" s="390"/>
      <c r="F344" s="113"/>
      <c r="G344" s="166" t="s">
        <v>602</v>
      </c>
      <c r="H344" s="867"/>
    </row>
    <row r="345" spans="1:8" s="142" customFormat="1" ht="21.75" customHeight="1" x14ac:dyDescent="0.2">
      <c r="A345" s="115" t="str">
        <f t="shared" ref="A345:A349" si="90">H345</f>
        <v>B5.33 31 00.34</v>
      </c>
      <c r="B345" s="189" t="s">
        <v>333</v>
      </c>
      <c r="C345" s="115" t="s">
        <v>52</v>
      </c>
      <c r="D345" s="92">
        <v>98</v>
      </c>
      <c r="E345" s="82">
        <v>307</v>
      </c>
      <c r="F345" s="113">
        <f t="shared" ref="F345:F349" si="91">E345*D345</f>
        <v>30086</v>
      </c>
      <c r="G345" s="171" t="s">
        <v>553</v>
      </c>
      <c r="H345" s="862" t="s">
        <v>603</v>
      </c>
    </row>
    <row r="346" spans="1:8" s="142" customFormat="1" ht="21.75" customHeight="1" x14ac:dyDescent="0.2">
      <c r="A346" s="115" t="str">
        <f t="shared" si="90"/>
        <v>B5.33 31 00.35</v>
      </c>
      <c r="B346" s="189" t="s">
        <v>555</v>
      </c>
      <c r="C346" s="115" t="s">
        <v>52</v>
      </c>
      <c r="D346" s="92">
        <v>392</v>
      </c>
      <c r="E346" s="82">
        <v>332</v>
      </c>
      <c r="F346" s="113">
        <f t="shared" si="91"/>
        <v>130144</v>
      </c>
      <c r="G346" s="171" t="s">
        <v>556</v>
      </c>
      <c r="H346" s="862" t="s">
        <v>604</v>
      </c>
    </row>
    <row r="347" spans="1:8" s="142" customFormat="1" ht="21.75" customHeight="1" x14ac:dyDescent="0.2">
      <c r="A347" s="115" t="str">
        <f t="shared" si="90"/>
        <v>B5.33 31 00.36</v>
      </c>
      <c r="B347" s="189" t="s">
        <v>558</v>
      </c>
      <c r="C347" s="115" t="s">
        <v>52</v>
      </c>
      <c r="D347" s="92">
        <v>372</v>
      </c>
      <c r="E347" s="82">
        <v>354</v>
      </c>
      <c r="F347" s="113">
        <f t="shared" si="91"/>
        <v>131688</v>
      </c>
      <c r="G347" s="171" t="s">
        <v>559</v>
      </c>
      <c r="H347" s="862" t="s">
        <v>605</v>
      </c>
    </row>
    <row r="348" spans="1:8" s="142" customFormat="1" ht="21.75" customHeight="1" x14ac:dyDescent="0.2">
      <c r="A348" s="115" t="str">
        <f t="shared" si="90"/>
        <v>B5.33 31 00.37</v>
      </c>
      <c r="B348" s="189" t="s">
        <v>606</v>
      </c>
      <c r="C348" s="115" t="s">
        <v>52</v>
      </c>
      <c r="D348" s="92">
        <v>373</v>
      </c>
      <c r="E348" s="82">
        <v>422</v>
      </c>
      <c r="F348" s="113">
        <f t="shared" si="91"/>
        <v>157406</v>
      </c>
      <c r="G348" s="171" t="s">
        <v>607</v>
      </c>
      <c r="H348" s="862" t="s">
        <v>608</v>
      </c>
    </row>
    <row r="349" spans="1:8" s="142" customFormat="1" ht="21.75" customHeight="1" x14ac:dyDescent="0.2">
      <c r="A349" s="115" t="str">
        <f t="shared" si="90"/>
        <v>B5.33 31 00.38</v>
      </c>
      <c r="B349" s="170" t="s">
        <v>609</v>
      </c>
      <c r="C349" s="115" t="s">
        <v>52</v>
      </c>
      <c r="D349" s="92">
        <v>10</v>
      </c>
      <c r="E349" s="82">
        <v>450</v>
      </c>
      <c r="F349" s="113">
        <f t="shared" si="91"/>
        <v>4500</v>
      </c>
      <c r="G349" s="171" t="s">
        <v>610</v>
      </c>
      <c r="H349" s="862" t="s">
        <v>611</v>
      </c>
    </row>
    <row r="350" spans="1:8" s="122" customFormat="1" ht="15.75" x14ac:dyDescent="0.2">
      <c r="A350" s="115"/>
      <c r="B350" s="193" t="s">
        <v>612</v>
      </c>
      <c r="C350" s="116"/>
      <c r="D350" s="165"/>
      <c r="E350" s="390"/>
      <c r="F350" s="113">
        <f t="shared" si="82"/>
        <v>0</v>
      </c>
      <c r="G350" s="166" t="s">
        <v>613</v>
      </c>
      <c r="H350" s="862"/>
    </row>
    <row r="351" spans="1:8" s="179" customFormat="1" ht="15.75" x14ac:dyDescent="0.2">
      <c r="A351" s="175" t="str">
        <f>H351</f>
        <v>33 05 13</v>
      </c>
      <c r="B351" s="193" t="s">
        <v>614</v>
      </c>
      <c r="C351" s="116"/>
      <c r="D351" s="165"/>
      <c r="E351" s="390"/>
      <c r="F351" s="113">
        <f t="shared" si="82"/>
        <v>0</v>
      </c>
      <c r="G351" s="166" t="s">
        <v>615</v>
      </c>
      <c r="H351" s="870" t="s">
        <v>616</v>
      </c>
    </row>
    <row r="352" spans="1:8" s="122" customFormat="1" ht="15.75" x14ac:dyDescent="0.2">
      <c r="A352" s="115"/>
      <c r="B352" s="193" t="s">
        <v>617</v>
      </c>
      <c r="C352" s="116"/>
      <c r="D352" s="165"/>
      <c r="E352" s="390"/>
      <c r="F352" s="113">
        <f t="shared" si="82"/>
        <v>0</v>
      </c>
      <c r="G352" s="166" t="s">
        <v>618</v>
      </c>
      <c r="H352" s="862"/>
    </row>
    <row r="353" spans="1:8" s="122" customFormat="1" ht="23.25" customHeight="1" x14ac:dyDescent="0.2">
      <c r="A353" s="115" t="str">
        <f>H353</f>
        <v>B5.33 05 13.01</v>
      </c>
      <c r="B353" s="195" t="s">
        <v>619</v>
      </c>
      <c r="C353" s="115" t="s">
        <v>298</v>
      </c>
      <c r="D353" s="92">
        <v>87</v>
      </c>
      <c r="E353" s="82">
        <v>7630</v>
      </c>
      <c r="F353" s="113">
        <f t="shared" ref="F353:F364" si="92">E353*D353</f>
        <v>663810</v>
      </c>
      <c r="G353" s="171" t="s">
        <v>620</v>
      </c>
      <c r="H353" s="862" t="s">
        <v>621</v>
      </c>
    </row>
    <row r="354" spans="1:8" s="122" customFormat="1" ht="23.25" customHeight="1" x14ac:dyDescent="0.2">
      <c r="A354" s="115" t="str">
        <f t="shared" ref="A354:A364" si="93">H354</f>
        <v>B5.33 05 13.02</v>
      </c>
      <c r="B354" s="195" t="s">
        <v>622</v>
      </c>
      <c r="C354" s="115" t="s">
        <v>298</v>
      </c>
      <c r="D354" s="92">
        <v>113</v>
      </c>
      <c r="E354" s="82">
        <v>10029</v>
      </c>
      <c r="F354" s="113">
        <f t="shared" si="92"/>
        <v>1133277</v>
      </c>
      <c r="G354" s="171" t="s">
        <v>623</v>
      </c>
      <c r="H354" s="862" t="s">
        <v>624</v>
      </c>
    </row>
    <row r="355" spans="1:8" s="122" customFormat="1" ht="23.25" customHeight="1" x14ac:dyDescent="0.2">
      <c r="A355" s="115" t="str">
        <f t="shared" si="93"/>
        <v>B5.33 05 13.03</v>
      </c>
      <c r="B355" s="195" t="s">
        <v>625</v>
      </c>
      <c r="C355" s="115" t="s">
        <v>298</v>
      </c>
      <c r="D355" s="196">
        <v>2</v>
      </c>
      <c r="E355" s="82">
        <v>11222</v>
      </c>
      <c r="F355" s="113">
        <f t="shared" si="92"/>
        <v>22444</v>
      </c>
      <c r="G355" s="171" t="s">
        <v>626</v>
      </c>
      <c r="H355" s="862" t="s">
        <v>627</v>
      </c>
    </row>
    <row r="356" spans="1:8" s="122" customFormat="1" ht="23.25" customHeight="1" x14ac:dyDescent="0.2">
      <c r="A356" s="115" t="str">
        <f t="shared" si="93"/>
        <v>B5.33 05 13.04</v>
      </c>
      <c r="B356" s="195" t="s">
        <v>628</v>
      </c>
      <c r="C356" s="115" t="s">
        <v>298</v>
      </c>
      <c r="D356" s="92">
        <v>45</v>
      </c>
      <c r="E356" s="82">
        <v>12383</v>
      </c>
      <c r="F356" s="113">
        <f t="shared" si="92"/>
        <v>557235</v>
      </c>
      <c r="G356" s="171" t="s">
        <v>629</v>
      </c>
      <c r="H356" s="862" t="s">
        <v>630</v>
      </c>
    </row>
    <row r="357" spans="1:8" s="122" customFormat="1" ht="23.25" customHeight="1" x14ac:dyDescent="0.2">
      <c r="A357" s="115" t="str">
        <f t="shared" si="93"/>
        <v>B5.33 05 13.05</v>
      </c>
      <c r="B357" s="195" t="s">
        <v>631</v>
      </c>
      <c r="C357" s="115" t="s">
        <v>298</v>
      </c>
      <c r="D357" s="92">
        <v>21</v>
      </c>
      <c r="E357" s="82">
        <v>13575</v>
      </c>
      <c r="F357" s="113">
        <f t="shared" si="92"/>
        <v>285075</v>
      </c>
      <c r="G357" s="171" t="s">
        <v>632</v>
      </c>
      <c r="H357" s="862" t="s">
        <v>633</v>
      </c>
    </row>
    <row r="358" spans="1:8" s="122" customFormat="1" ht="23.25" customHeight="1" x14ac:dyDescent="0.2">
      <c r="A358" s="115" t="str">
        <f t="shared" si="93"/>
        <v>B5.33 05 13.06</v>
      </c>
      <c r="B358" s="195" t="s">
        <v>634</v>
      </c>
      <c r="C358" s="115" t="s">
        <v>298</v>
      </c>
      <c r="D358" s="92">
        <v>11</v>
      </c>
      <c r="E358" s="82">
        <v>15270</v>
      </c>
      <c r="F358" s="113">
        <f t="shared" si="92"/>
        <v>167970</v>
      </c>
      <c r="G358" s="171" t="s">
        <v>635</v>
      </c>
      <c r="H358" s="862" t="s">
        <v>636</v>
      </c>
    </row>
    <row r="359" spans="1:8" s="122" customFormat="1" ht="23.25" customHeight="1" x14ac:dyDescent="0.2">
      <c r="A359" s="115" t="str">
        <f t="shared" si="93"/>
        <v>B5.33 05 13.07</v>
      </c>
      <c r="B359" s="195" t="s">
        <v>637</v>
      </c>
      <c r="C359" s="115" t="s">
        <v>298</v>
      </c>
      <c r="D359" s="92">
        <v>14</v>
      </c>
      <c r="E359" s="82">
        <v>16594</v>
      </c>
      <c r="F359" s="113">
        <f t="shared" si="92"/>
        <v>232316</v>
      </c>
      <c r="G359" s="171" t="s">
        <v>638</v>
      </c>
      <c r="H359" s="862" t="s">
        <v>639</v>
      </c>
    </row>
    <row r="360" spans="1:8" s="122" customFormat="1" ht="23.25" customHeight="1" x14ac:dyDescent="0.2">
      <c r="A360" s="115" t="str">
        <f t="shared" si="93"/>
        <v>B5.33 05 13.08</v>
      </c>
      <c r="B360" s="195" t="s">
        <v>640</v>
      </c>
      <c r="C360" s="115" t="s">
        <v>298</v>
      </c>
      <c r="D360" s="92">
        <v>25</v>
      </c>
      <c r="E360" s="82">
        <v>17650</v>
      </c>
      <c r="F360" s="113">
        <f t="shared" si="92"/>
        <v>441250</v>
      </c>
      <c r="G360" s="171" t="s">
        <v>641</v>
      </c>
      <c r="H360" s="862" t="s">
        <v>642</v>
      </c>
    </row>
    <row r="361" spans="1:8" s="122" customFormat="1" ht="23.25" customHeight="1" x14ac:dyDescent="0.2">
      <c r="A361" s="115" t="str">
        <f t="shared" si="93"/>
        <v>B5.33 05 13.09</v>
      </c>
      <c r="B361" s="195" t="s">
        <v>643</v>
      </c>
      <c r="C361" s="115" t="s">
        <v>298</v>
      </c>
      <c r="D361" s="92">
        <v>18</v>
      </c>
      <c r="E361" s="82">
        <v>18973</v>
      </c>
      <c r="F361" s="113">
        <f t="shared" si="92"/>
        <v>341514</v>
      </c>
      <c r="G361" s="171" t="s">
        <v>644</v>
      </c>
      <c r="H361" s="862" t="s">
        <v>645</v>
      </c>
    </row>
    <row r="362" spans="1:8" s="122" customFormat="1" ht="23.25" customHeight="1" x14ac:dyDescent="0.2">
      <c r="A362" s="115" t="str">
        <f t="shared" si="93"/>
        <v>B5.33 05 13.10</v>
      </c>
      <c r="B362" s="195" t="s">
        <v>646</v>
      </c>
      <c r="C362" s="115" t="s">
        <v>298</v>
      </c>
      <c r="D362" s="196">
        <v>2</v>
      </c>
      <c r="E362" s="82">
        <v>20325</v>
      </c>
      <c r="F362" s="113">
        <f t="shared" si="92"/>
        <v>40650</v>
      </c>
      <c r="G362" s="171" t="s">
        <v>647</v>
      </c>
      <c r="H362" s="862" t="s">
        <v>648</v>
      </c>
    </row>
    <row r="363" spans="1:8" s="122" customFormat="1" ht="23.25" customHeight="1" x14ac:dyDescent="0.2">
      <c r="A363" s="115" t="str">
        <f t="shared" si="93"/>
        <v>B5.33 05 13.11</v>
      </c>
      <c r="B363" s="195" t="s">
        <v>649</v>
      </c>
      <c r="C363" s="115" t="s">
        <v>298</v>
      </c>
      <c r="D363" s="92">
        <v>3</v>
      </c>
      <c r="E363" s="82">
        <v>21649</v>
      </c>
      <c r="F363" s="113">
        <f t="shared" si="92"/>
        <v>64947</v>
      </c>
      <c r="G363" s="171" t="s">
        <v>650</v>
      </c>
      <c r="H363" s="862" t="s">
        <v>651</v>
      </c>
    </row>
    <row r="364" spans="1:8" s="122" customFormat="1" ht="21.75" customHeight="1" x14ac:dyDescent="0.2">
      <c r="A364" s="115" t="str">
        <f t="shared" si="93"/>
        <v>B5.33 05 13.12</v>
      </c>
      <c r="B364" s="195" t="s">
        <v>652</v>
      </c>
      <c r="C364" s="115" t="s">
        <v>298</v>
      </c>
      <c r="D364" s="92">
        <v>1</v>
      </c>
      <c r="E364" s="82">
        <v>20565</v>
      </c>
      <c r="F364" s="113">
        <f t="shared" si="92"/>
        <v>20565</v>
      </c>
      <c r="G364" s="171" t="s">
        <v>653</v>
      </c>
      <c r="H364" s="862" t="s">
        <v>654</v>
      </c>
    </row>
    <row r="365" spans="1:8" s="122" customFormat="1" ht="18.75" customHeight="1" x14ac:dyDescent="0.2">
      <c r="A365" s="115"/>
      <c r="B365" s="193" t="s">
        <v>655</v>
      </c>
      <c r="C365" s="116"/>
      <c r="D365" s="165">
        <v>0</v>
      </c>
      <c r="E365" s="390"/>
      <c r="F365" s="113"/>
      <c r="G365" s="166" t="s">
        <v>656</v>
      </c>
      <c r="H365" s="862"/>
    </row>
    <row r="366" spans="1:8" s="122" customFormat="1" ht="21.75" customHeight="1" x14ac:dyDescent="0.2">
      <c r="A366" s="115" t="str">
        <f>H366</f>
        <v>B5.33 05 13.13</v>
      </c>
      <c r="B366" s="195" t="s">
        <v>646</v>
      </c>
      <c r="C366" s="115" t="s">
        <v>298</v>
      </c>
      <c r="D366" s="196">
        <v>1</v>
      </c>
      <c r="E366" s="82">
        <v>23029</v>
      </c>
      <c r="F366" s="113">
        <f t="shared" ref="F366:F367" si="94">E366*D366</f>
        <v>23029</v>
      </c>
      <c r="G366" s="171" t="s">
        <v>647</v>
      </c>
      <c r="H366" s="862" t="s">
        <v>657</v>
      </c>
    </row>
    <row r="367" spans="1:8" s="122" customFormat="1" ht="21.75" customHeight="1" x14ac:dyDescent="0.2">
      <c r="A367" s="115" t="str">
        <f t="shared" ref="A367" si="95">H367</f>
        <v>B5.33 05 13.14</v>
      </c>
      <c r="B367" s="195" t="s">
        <v>652</v>
      </c>
      <c r="C367" s="115" t="s">
        <v>298</v>
      </c>
      <c r="D367" s="92">
        <v>1</v>
      </c>
      <c r="E367" s="82">
        <v>25634</v>
      </c>
      <c r="F367" s="113">
        <f t="shared" si="94"/>
        <v>25634</v>
      </c>
      <c r="G367" s="171" t="s">
        <v>653</v>
      </c>
      <c r="H367" s="862" t="s">
        <v>658</v>
      </c>
    </row>
    <row r="368" spans="1:8" s="142" customFormat="1" ht="30" customHeight="1" x14ac:dyDescent="0.2">
      <c r="A368" s="86"/>
      <c r="B368" s="106" t="s">
        <v>572</v>
      </c>
      <c r="C368" s="1039" t="s">
        <v>98</v>
      </c>
      <c r="D368" s="1042"/>
      <c r="E368" s="1042"/>
      <c r="F368" s="113">
        <f>SUM(F345:F367)</f>
        <v>4473540</v>
      </c>
      <c r="G368" s="194" t="s">
        <v>573</v>
      </c>
      <c r="H368" s="875"/>
    </row>
    <row r="369" spans="1:9" s="173" customFormat="1" ht="27" customHeight="1" x14ac:dyDescent="0.2">
      <c r="A369" s="1040" t="s">
        <v>659</v>
      </c>
      <c r="B369" s="1041"/>
      <c r="C369" s="180"/>
      <c r="D369" s="181"/>
      <c r="E369" s="836"/>
      <c r="F369" s="836">
        <f t="shared" ref="F369:F431" si="96">E369+D369</f>
        <v>0</v>
      </c>
      <c r="G369" s="182"/>
      <c r="H369" s="182" t="s">
        <v>660</v>
      </c>
    </row>
    <row r="370" spans="1:9" s="110" customFormat="1" ht="24.95" customHeight="1" x14ac:dyDescent="0.2">
      <c r="A370" s="84">
        <f>H370</f>
        <v>0</v>
      </c>
      <c r="B370" s="85" t="s">
        <v>661</v>
      </c>
      <c r="C370" s="197"/>
      <c r="D370" s="198"/>
      <c r="E370" s="839"/>
      <c r="F370" s="113">
        <f t="shared" si="96"/>
        <v>0</v>
      </c>
      <c r="G370" s="88" t="s">
        <v>662</v>
      </c>
      <c r="H370" s="857"/>
      <c r="I370" s="890"/>
    </row>
    <row r="371" spans="1:9" s="110" customFormat="1" ht="24.95" customHeight="1" x14ac:dyDescent="0.2">
      <c r="A371" s="89" t="str">
        <f>H371</f>
        <v>33 42 11</v>
      </c>
      <c r="B371" s="85" t="s">
        <v>663</v>
      </c>
      <c r="C371" s="199"/>
      <c r="D371" s="200"/>
      <c r="E371" s="840"/>
      <c r="F371" s="113">
        <f t="shared" si="96"/>
        <v>0</v>
      </c>
      <c r="G371" s="100" t="s">
        <v>664</v>
      </c>
      <c r="H371" s="857" t="s">
        <v>665</v>
      </c>
      <c r="I371" s="890"/>
    </row>
    <row r="372" spans="1:9" s="110" customFormat="1" ht="53.25" customHeight="1" x14ac:dyDescent="0.2">
      <c r="A372" s="89">
        <f t="shared" ref="A372:A459" si="97">H372</f>
        <v>0</v>
      </c>
      <c r="B372" s="193" t="s">
        <v>540</v>
      </c>
      <c r="C372" s="116"/>
      <c r="D372" s="165"/>
      <c r="E372" s="390"/>
      <c r="F372" s="113">
        <f t="shared" si="96"/>
        <v>0</v>
      </c>
      <c r="G372" s="166" t="s">
        <v>541</v>
      </c>
      <c r="H372" s="857"/>
      <c r="I372" s="890"/>
    </row>
    <row r="373" spans="1:9" s="110" customFormat="1" ht="30" customHeight="1" x14ac:dyDescent="0.2">
      <c r="A373" s="116">
        <f t="shared" si="97"/>
        <v>0</v>
      </c>
      <c r="B373" s="85" t="s">
        <v>584</v>
      </c>
      <c r="C373" s="197"/>
      <c r="D373" s="198"/>
      <c r="E373" s="839"/>
      <c r="F373" s="113">
        <f t="shared" si="96"/>
        <v>0</v>
      </c>
      <c r="G373" s="88" t="s">
        <v>585</v>
      </c>
      <c r="H373" s="874"/>
      <c r="I373" s="890"/>
    </row>
    <row r="374" spans="1:9" s="110" customFormat="1" ht="30" customHeight="1" x14ac:dyDescent="0.2">
      <c r="A374" s="115" t="str">
        <f t="shared" si="97"/>
        <v>B6.33 42 11.01</v>
      </c>
      <c r="B374" s="189" t="s">
        <v>316</v>
      </c>
      <c r="C374" s="115" t="s">
        <v>52</v>
      </c>
      <c r="D374" s="92">
        <v>10430</v>
      </c>
      <c r="E374" s="82">
        <v>187</v>
      </c>
      <c r="F374" s="113">
        <f>E374*D374</f>
        <v>1950410</v>
      </c>
      <c r="G374" s="171" t="s">
        <v>576</v>
      </c>
      <c r="H374" s="862" t="s">
        <v>666</v>
      </c>
      <c r="I374" s="890"/>
    </row>
    <row r="375" spans="1:9" s="142" customFormat="1" ht="30" customHeight="1" x14ac:dyDescent="0.2">
      <c r="A375" s="115" t="str">
        <f t="shared" si="97"/>
        <v>B6.33 42 11.02</v>
      </c>
      <c r="B375" s="189" t="s">
        <v>319</v>
      </c>
      <c r="C375" s="115" t="s">
        <v>52</v>
      </c>
      <c r="D375" s="92">
        <v>1715</v>
      </c>
      <c r="E375" s="82">
        <v>199</v>
      </c>
      <c r="F375" s="113">
        <f t="shared" ref="F375:F378" si="98">E375*D375</f>
        <v>341285</v>
      </c>
      <c r="G375" s="171" t="s">
        <v>547</v>
      </c>
      <c r="H375" s="862" t="s">
        <v>667</v>
      </c>
    </row>
    <row r="376" spans="1:9" s="142" customFormat="1" ht="30" customHeight="1" x14ac:dyDescent="0.2">
      <c r="A376" s="115" t="str">
        <f t="shared" si="97"/>
        <v>B6.33 42 11.03</v>
      </c>
      <c r="B376" s="189" t="s">
        <v>333</v>
      </c>
      <c r="C376" s="115" t="s">
        <v>52</v>
      </c>
      <c r="D376" s="92">
        <v>180</v>
      </c>
      <c r="E376" s="82">
        <v>228</v>
      </c>
      <c r="F376" s="113">
        <f t="shared" si="98"/>
        <v>41040</v>
      </c>
      <c r="G376" s="171" t="s">
        <v>549</v>
      </c>
      <c r="H376" s="862" t="s">
        <v>668</v>
      </c>
    </row>
    <row r="377" spans="1:9" s="142" customFormat="1" ht="30" customHeight="1" x14ac:dyDescent="0.2">
      <c r="A377" s="115" t="str">
        <f t="shared" si="97"/>
        <v>B6.33 42 11.04</v>
      </c>
      <c r="B377" s="189" t="s">
        <v>555</v>
      </c>
      <c r="C377" s="115" t="s">
        <v>52</v>
      </c>
      <c r="D377" s="92">
        <v>275</v>
      </c>
      <c r="E377" s="82">
        <v>268</v>
      </c>
      <c r="F377" s="113">
        <f t="shared" si="98"/>
        <v>73700</v>
      </c>
      <c r="G377" s="171" t="s">
        <v>556</v>
      </c>
      <c r="H377" s="862" t="s">
        <v>669</v>
      </c>
    </row>
    <row r="378" spans="1:9" s="142" customFormat="1" ht="28.5" customHeight="1" x14ac:dyDescent="0.2">
      <c r="A378" s="115" t="str">
        <f t="shared" si="97"/>
        <v>B5.33 31 00.05</v>
      </c>
      <c r="B378" s="170" t="s">
        <v>670</v>
      </c>
      <c r="C378" s="115" t="s">
        <v>52</v>
      </c>
      <c r="D378" s="92">
        <v>15</v>
      </c>
      <c r="E378" s="82">
        <v>128</v>
      </c>
      <c r="F378" s="113">
        <f t="shared" si="98"/>
        <v>1920</v>
      </c>
      <c r="G378" s="171" t="s">
        <v>671</v>
      </c>
      <c r="H378" s="862" t="s">
        <v>551</v>
      </c>
    </row>
    <row r="379" spans="1:9" s="110" customFormat="1" ht="25.5" customHeight="1" x14ac:dyDescent="0.2">
      <c r="A379" s="116">
        <f t="shared" si="97"/>
        <v>0</v>
      </c>
      <c r="B379" s="85" t="s">
        <v>594</v>
      </c>
      <c r="C379" s="197"/>
      <c r="D379" s="198">
        <v>0</v>
      </c>
      <c r="E379" s="839"/>
      <c r="F379" s="113"/>
      <c r="G379" s="88" t="s">
        <v>595</v>
      </c>
      <c r="H379" s="874"/>
      <c r="I379" s="890"/>
    </row>
    <row r="380" spans="1:9" s="110" customFormat="1" ht="30" customHeight="1" x14ac:dyDescent="0.2">
      <c r="A380" s="115" t="str">
        <f t="shared" si="97"/>
        <v>B6.33 42 11.06</v>
      </c>
      <c r="B380" s="189" t="s">
        <v>316</v>
      </c>
      <c r="C380" s="115" t="s">
        <v>52</v>
      </c>
      <c r="D380" s="92">
        <v>750</v>
      </c>
      <c r="E380" s="82">
        <v>215</v>
      </c>
      <c r="F380" s="113">
        <f t="shared" ref="F380:F384" si="99">E380*D380</f>
        <v>161250</v>
      </c>
      <c r="G380" s="171" t="s">
        <v>576</v>
      </c>
      <c r="H380" s="862" t="s">
        <v>672</v>
      </c>
      <c r="I380" s="890"/>
    </row>
    <row r="381" spans="1:9" s="142" customFormat="1" ht="30" customHeight="1" x14ac:dyDescent="0.2">
      <c r="A381" s="115" t="str">
        <f t="shared" si="97"/>
        <v>B6.33 42 11.07</v>
      </c>
      <c r="B381" s="189" t="s">
        <v>319</v>
      </c>
      <c r="C381" s="115" t="s">
        <v>52</v>
      </c>
      <c r="D381" s="92">
        <v>165</v>
      </c>
      <c r="E381" s="82">
        <v>229</v>
      </c>
      <c r="F381" s="113">
        <f t="shared" si="99"/>
        <v>37785</v>
      </c>
      <c r="G381" s="171" t="s">
        <v>547</v>
      </c>
      <c r="H381" s="862" t="s">
        <v>673</v>
      </c>
    </row>
    <row r="382" spans="1:9" s="142" customFormat="1" ht="30" customHeight="1" x14ac:dyDescent="0.2">
      <c r="A382" s="115" t="str">
        <f t="shared" si="97"/>
        <v>B6.33 42 11.08</v>
      </c>
      <c r="B382" s="189" t="s">
        <v>333</v>
      </c>
      <c r="C382" s="115" t="s">
        <v>52</v>
      </c>
      <c r="D382" s="92">
        <v>55</v>
      </c>
      <c r="E382" s="82">
        <v>259</v>
      </c>
      <c r="F382" s="113">
        <f t="shared" si="99"/>
        <v>14245</v>
      </c>
      <c r="G382" s="171" t="s">
        <v>549</v>
      </c>
      <c r="H382" s="862" t="s">
        <v>674</v>
      </c>
    </row>
    <row r="383" spans="1:9" s="142" customFormat="1" ht="30" customHeight="1" x14ac:dyDescent="0.2">
      <c r="A383" s="115" t="str">
        <f t="shared" si="97"/>
        <v>B6.33 42 11.09</v>
      </c>
      <c r="B383" s="189" t="s">
        <v>555</v>
      </c>
      <c r="C383" s="115" t="s">
        <v>52</v>
      </c>
      <c r="D383" s="92">
        <v>190</v>
      </c>
      <c r="E383" s="82">
        <v>293</v>
      </c>
      <c r="F383" s="113">
        <f t="shared" si="99"/>
        <v>55670</v>
      </c>
      <c r="G383" s="171" t="s">
        <v>556</v>
      </c>
      <c r="H383" s="862" t="s">
        <v>675</v>
      </c>
    </row>
    <row r="384" spans="1:9" s="142" customFormat="1" ht="28.5" customHeight="1" x14ac:dyDescent="0.2">
      <c r="A384" s="115" t="str">
        <f t="shared" si="97"/>
        <v>B6.33 42 11.10</v>
      </c>
      <c r="B384" s="170" t="s">
        <v>670</v>
      </c>
      <c r="C384" s="115" t="s">
        <v>52</v>
      </c>
      <c r="D384" s="92">
        <v>15</v>
      </c>
      <c r="E384" s="82">
        <v>354</v>
      </c>
      <c r="F384" s="113">
        <f t="shared" si="99"/>
        <v>5310</v>
      </c>
      <c r="G384" s="171" t="s">
        <v>671</v>
      </c>
      <c r="H384" s="862" t="s">
        <v>676</v>
      </c>
    </row>
    <row r="385" spans="1:9" s="110" customFormat="1" ht="26.25" customHeight="1" x14ac:dyDescent="0.2">
      <c r="A385" s="116">
        <f t="shared" si="97"/>
        <v>0</v>
      </c>
      <c r="B385" s="85" t="s">
        <v>601</v>
      </c>
      <c r="C385" s="197"/>
      <c r="D385" s="198">
        <v>0</v>
      </c>
      <c r="E385" s="839"/>
      <c r="F385" s="113"/>
      <c r="G385" s="88" t="s">
        <v>602</v>
      </c>
      <c r="H385" s="874"/>
      <c r="I385" s="890"/>
    </row>
    <row r="386" spans="1:9" s="110" customFormat="1" ht="27" customHeight="1" x14ac:dyDescent="0.2">
      <c r="A386" s="115" t="str">
        <f t="shared" si="97"/>
        <v>B6.33 42 11.11</v>
      </c>
      <c r="B386" s="189" t="s">
        <v>316</v>
      </c>
      <c r="C386" s="115" t="s">
        <v>52</v>
      </c>
      <c r="D386" s="92">
        <v>590</v>
      </c>
      <c r="E386" s="82">
        <v>257</v>
      </c>
      <c r="F386" s="113">
        <f t="shared" ref="F386:F389" si="100">E386*D386</f>
        <v>151630</v>
      </c>
      <c r="G386" s="171" t="s">
        <v>576</v>
      </c>
      <c r="H386" s="862" t="s">
        <v>677</v>
      </c>
      <c r="I386" s="890"/>
    </row>
    <row r="387" spans="1:9" s="142" customFormat="1" ht="24.75" customHeight="1" x14ac:dyDescent="0.2">
      <c r="A387" s="115" t="str">
        <f t="shared" si="97"/>
        <v>B6.33 42 11.12</v>
      </c>
      <c r="B387" s="189" t="s">
        <v>319</v>
      </c>
      <c r="C387" s="115" t="s">
        <v>52</v>
      </c>
      <c r="D387" s="92">
        <v>1710</v>
      </c>
      <c r="E387" s="82">
        <v>275</v>
      </c>
      <c r="F387" s="113">
        <f t="shared" si="100"/>
        <v>470250</v>
      </c>
      <c r="G387" s="171" t="s">
        <v>547</v>
      </c>
      <c r="H387" s="862" t="s">
        <v>678</v>
      </c>
    </row>
    <row r="388" spans="1:9" s="142" customFormat="1" ht="25.5" customHeight="1" x14ac:dyDescent="0.2">
      <c r="A388" s="115" t="str">
        <f t="shared" si="97"/>
        <v>B6.33 42 11.13</v>
      </c>
      <c r="B388" s="189" t="s">
        <v>333</v>
      </c>
      <c r="C388" s="115" t="s">
        <v>52</v>
      </c>
      <c r="D388" s="92">
        <v>360</v>
      </c>
      <c r="E388" s="82">
        <v>307</v>
      </c>
      <c r="F388" s="113">
        <f t="shared" si="100"/>
        <v>110520</v>
      </c>
      <c r="G388" s="171" t="s">
        <v>549</v>
      </c>
      <c r="H388" s="862" t="s">
        <v>679</v>
      </c>
    </row>
    <row r="389" spans="1:9" s="142" customFormat="1" ht="25.5" customHeight="1" x14ac:dyDescent="0.2">
      <c r="A389" s="115" t="str">
        <f t="shared" si="97"/>
        <v>B6.33 42 11.14</v>
      </c>
      <c r="B389" s="170" t="s">
        <v>336</v>
      </c>
      <c r="C389" s="115" t="s">
        <v>52</v>
      </c>
      <c r="D389" s="92">
        <v>15</v>
      </c>
      <c r="E389" s="82">
        <v>332</v>
      </c>
      <c r="F389" s="113">
        <f t="shared" si="100"/>
        <v>4980</v>
      </c>
      <c r="G389" s="171" t="s">
        <v>337</v>
      </c>
      <c r="H389" s="862" t="s">
        <v>680</v>
      </c>
    </row>
    <row r="390" spans="1:9" s="110" customFormat="1" ht="30" customHeight="1" x14ac:dyDescent="0.2">
      <c r="A390" s="164">
        <f t="shared" si="97"/>
        <v>0</v>
      </c>
      <c r="B390" s="106" t="s">
        <v>681</v>
      </c>
      <c r="C390" s="1039" t="s">
        <v>98</v>
      </c>
      <c r="D390" s="1039"/>
      <c r="E390" s="1039"/>
      <c r="F390" s="113">
        <f>SUM(F374:F389)</f>
        <v>3419995</v>
      </c>
      <c r="G390" s="109" t="s">
        <v>682</v>
      </c>
      <c r="H390" s="751"/>
      <c r="I390" s="890"/>
    </row>
    <row r="391" spans="1:9" s="110" customFormat="1" ht="29.25" customHeight="1" x14ac:dyDescent="0.2">
      <c r="A391" s="89" t="str">
        <f t="shared" si="97"/>
        <v>33 42 11</v>
      </c>
      <c r="B391" s="85" t="s">
        <v>663</v>
      </c>
      <c r="C391" s="199"/>
      <c r="D391" s="200"/>
      <c r="E391" s="840"/>
      <c r="F391" s="113">
        <f t="shared" si="96"/>
        <v>0</v>
      </c>
      <c r="G391" s="100" t="s">
        <v>664</v>
      </c>
      <c r="H391" s="857" t="s">
        <v>665</v>
      </c>
      <c r="I391" s="890"/>
    </row>
    <row r="392" spans="1:9" s="110" customFormat="1" ht="51" customHeight="1" x14ac:dyDescent="0.2">
      <c r="A392" s="89">
        <f t="shared" si="97"/>
        <v>0</v>
      </c>
      <c r="B392" s="193" t="s">
        <v>540</v>
      </c>
      <c r="C392" s="116"/>
      <c r="D392" s="165"/>
      <c r="E392" s="390"/>
      <c r="F392" s="113">
        <f t="shared" si="96"/>
        <v>0</v>
      </c>
      <c r="G392" s="166" t="s">
        <v>541</v>
      </c>
      <c r="H392" s="857"/>
      <c r="I392" s="890"/>
    </row>
    <row r="393" spans="1:9" s="110" customFormat="1" ht="30" customHeight="1" x14ac:dyDescent="0.2">
      <c r="A393" s="116">
        <f>H393</f>
        <v>0</v>
      </c>
      <c r="B393" s="85" t="s">
        <v>683</v>
      </c>
      <c r="C393" s="197"/>
      <c r="D393" s="198">
        <v>0</v>
      </c>
      <c r="E393" s="839"/>
      <c r="F393" s="113"/>
      <c r="G393" s="88" t="s">
        <v>684</v>
      </c>
      <c r="H393" s="874"/>
      <c r="I393" s="890"/>
    </row>
    <row r="394" spans="1:9" s="110" customFormat="1" ht="30" customHeight="1" x14ac:dyDescent="0.2">
      <c r="A394" s="115" t="str">
        <f t="shared" ref="A394" si="101">H394</f>
        <v>B6.33 42 11.15</v>
      </c>
      <c r="B394" s="189" t="s">
        <v>316</v>
      </c>
      <c r="C394" s="115" t="s">
        <v>52</v>
      </c>
      <c r="D394" s="92">
        <v>10</v>
      </c>
      <c r="E394" s="82">
        <v>322</v>
      </c>
      <c r="F394" s="113">
        <f>E394*D394</f>
        <v>3220</v>
      </c>
      <c r="G394" s="171" t="s">
        <v>576</v>
      </c>
      <c r="H394" s="862" t="s">
        <v>685</v>
      </c>
      <c r="I394" s="890"/>
    </row>
    <row r="395" spans="1:9" s="110" customFormat="1" ht="30" customHeight="1" x14ac:dyDescent="0.2">
      <c r="A395" s="115" t="str">
        <f>H395</f>
        <v>B6.33 42 11.16</v>
      </c>
      <c r="B395" s="189" t="s">
        <v>686</v>
      </c>
      <c r="C395" s="115" t="s">
        <v>52</v>
      </c>
      <c r="D395" s="92">
        <v>460</v>
      </c>
      <c r="E395" s="82">
        <v>346</v>
      </c>
      <c r="F395" s="113">
        <f t="shared" ref="F395:F397" si="102">E395*D395</f>
        <v>159160</v>
      </c>
      <c r="G395" s="171" t="s">
        <v>483</v>
      </c>
      <c r="H395" s="862" t="s">
        <v>687</v>
      </c>
      <c r="I395" s="890"/>
    </row>
    <row r="396" spans="1:9" s="110" customFormat="1" ht="30" customHeight="1" x14ac:dyDescent="0.2">
      <c r="A396" s="115" t="str">
        <f>H396</f>
        <v>B6.33 42 11.17</v>
      </c>
      <c r="B396" s="189" t="s">
        <v>333</v>
      </c>
      <c r="C396" s="115" t="s">
        <v>52</v>
      </c>
      <c r="D396" s="92">
        <v>190</v>
      </c>
      <c r="E396" s="82">
        <v>371</v>
      </c>
      <c r="F396" s="113">
        <f t="shared" si="102"/>
        <v>70490</v>
      </c>
      <c r="G396" s="171" t="s">
        <v>549</v>
      </c>
      <c r="H396" s="862" t="s">
        <v>688</v>
      </c>
      <c r="I396" s="890"/>
    </row>
    <row r="397" spans="1:9" s="142" customFormat="1" ht="30" customHeight="1" x14ac:dyDescent="0.2">
      <c r="A397" s="115" t="str">
        <f>H397</f>
        <v>B6.33 42 11.18</v>
      </c>
      <c r="B397" s="170" t="s">
        <v>336</v>
      </c>
      <c r="C397" s="115" t="s">
        <v>52</v>
      </c>
      <c r="D397" s="92">
        <v>15</v>
      </c>
      <c r="E397" s="82">
        <v>427</v>
      </c>
      <c r="F397" s="113">
        <f t="shared" si="102"/>
        <v>6405</v>
      </c>
      <c r="G397" s="171" t="s">
        <v>337</v>
      </c>
      <c r="H397" s="862" t="s">
        <v>689</v>
      </c>
    </row>
    <row r="398" spans="1:9" s="110" customFormat="1" ht="30" customHeight="1" x14ac:dyDescent="0.2">
      <c r="A398" s="116">
        <f t="shared" si="97"/>
        <v>0</v>
      </c>
      <c r="B398" s="85" t="s">
        <v>690</v>
      </c>
      <c r="C398" s="197"/>
      <c r="D398" s="198"/>
      <c r="E398" s="839"/>
      <c r="F398" s="113">
        <f t="shared" si="96"/>
        <v>0</v>
      </c>
      <c r="G398" s="88" t="s">
        <v>691</v>
      </c>
      <c r="H398" s="874"/>
      <c r="I398" s="890"/>
    </row>
    <row r="399" spans="1:9" s="110" customFormat="1" ht="30" customHeight="1" x14ac:dyDescent="0.2">
      <c r="A399" s="115" t="str">
        <f t="shared" si="97"/>
        <v>B6.33 42 11.19</v>
      </c>
      <c r="B399" s="189" t="s">
        <v>316</v>
      </c>
      <c r="C399" s="115" t="s">
        <v>52</v>
      </c>
      <c r="D399" s="92">
        <v>10</v>
      </c>
      <c r="E399" s="82">
        <v>381</v>
      </c>
      <c r="F399" s="113">
        <f t="shared" ref="F399:F402" si="103">E399*D399</f>
        <v>3810</v>
      </c>
      <c r="G399" s="171" t="s">
        <v>576</v>
      </c>
      <c r="H399" s="862" t="s">
        <v>692</v>
      </c>
      <c r="I399" s="890"/>
    </row>
    <row r="400" spans="1:9" s="142" customFormat="1" ht="30" customHeight="1" x14ac:dyDescent="0.2">
      <c r="A400" s="115" t="str">
        <f t="shared" si="97"/>
        <v>B6.33 42 11.20</v>
      </c>
      <c r="B400" s="189" t="s">
        <v>482</v>
      </c>
      <c r="C400" s="115" t="s">
        <v>52</v>
      </c>
      <c r="D400" s="92">
        <v>1405</v>
      </c>
      <c r="E400" s="82">
        <v>406</v>
      </c>
      <c r="F400" s="113">
        <f t="shared" si="103"/>
        <v>570430</v>
      </c>
      <c r="G400" s="171" t="s">
        <v>693</v>
      </c>
      <c r="H400" s="862" t="s">
        <v>694</v>
      </c>
    </row>
    <row r="401" spans="1:9" s="142" customFormat="1" ht="30" customHeight="1" x14ac:dyDescent="0.2">
      <c r="A401" s="115" t="str">
        <f t="shared" si="97"/>
        <v>B6.33 42 11.21</v>
      </c>
      <c r="B401" s="189" t="s">
        <v>333</v>
      </c>
      <c r="C401" s="115" t="s">
        <v>52</v>
      </c>
      <c r="D401" s="92">
        <v>400</v>
      </c>
      <c r="E401" s="82">
        <v>432</v>
      </c>
      <c r="F401" s="113">
        <f t="shared" si="103"/>
        <v>172800</v>
      </c>
      <c r="G401" s="171" t="s">
        <v>549</v>
      </c>
      <c r="H401" s="862" t="s">
        <v>695</v>
      </c>
    </row>
    <row r="402" spans="1:9" s="142" customFormat="1" ht="30" customHeight="1" x14ac:dyDescent="0.2">
      <c r="A402" s="115" t="str">
        <f t="shared" si="97"/>
        <v>B6.33 42 11.22</v>
      </c>
      <c r="B402" s="170" t="s">
        <v>336</v>
      </c>
      <c r="C402" s="115" t="s">
        <v>52</v>
      </c>
      <c r="D402" s="92">
        <v>15</v>
      </c>
      <c r="E402" s="82">
        <v>500</v>
      </c>
      <c r="F402" s="113">
        <f t="shared" si="103"/>
        <v>7500</v>
      </c>
      <c r="G402" s="171" t="s">
        <v>337</v>
      </c>
      <c r="H402" s="862" t="s">
        <v>696</v>
      </c>
    </row>
    <row r="403" spans="1:9" s="110" customFormat="1" ht="30" customHeight="1" x14ac:dyDescent="0.2">
      <c r="A403" s="116">
        <f t="shared" si="97"/>
        <v>0</v>
      </c>
      <c r="B403" s="85" t="s">
        <v>697</v>
      </c>
      <c r="C403" s="197"/>
      <c r="D403" s="198">
        <v>0</v>
      </c>
      <c r="E403" s="839"/>
      <c r="F403" s="113"/>
      <c r="G403" s="88" t="s">
        <v>698</v>
      </c>
      <c r="H403" s="874"/>
      <c r="I403" s="890"/>
    </row>
    <row r="404" spans="1:9" s="110" customFormat="1" ht="30" customHeight="1" x14ac:dyDescent="0.2">
      <c r="A404" s="115" t="str">
        <f t="shared" si="97"/>
        <v>B6.33 42 11.23</v>
      </c>
      <c r="B404" s="189" t="s">
        <v>316</v>
      </c>
      <c r="C404" s="115" t="s">
        <v>52</v>
      </c>
      <c r="D404" s="92">
        <v>10</v>
      </c>
      <c r="E404" s="82">
        <v>458</v>
      </c>
      <c r="F404" s="113">
        <f t="shared" ref="F404:F407" si="104">E404*D404</f>
        <v>4580</v>
      </c>
      <c r="G404" s="171" t="s">
        <v>576</v>
      </c>
      <c r="H404" s="862" t="s">
        <v>699</v>
      </c>
      <c r="I404" s="890"/>
    </row>
    <row r="405" spans="1:9" s="142" customFormat="1" ht="30" customHeight="1" x14ac:dyDescent="0.2">
      <c r="A405" s="115" t="str">
        <f t="shared" si="97"/>
        <v>B6.33 42 11.24</v>
      </c>
      <c r="B405" s="189" t="s">
        <v>482</v>
      </c>
      <c r="C405" s="115" t="s">
        <v>52</v>
      </c>
      <c r="D405" s="92">
        <v>625</v>
      </c>
      <c r="E405" s="82">
        <v>484</v>
      </c>
      <c r="F405" s="113">
        <f t="shared" si="104"/>
        <v>302500</v>
      </c>
      <c r="G405" s="171" t="s">
        <v>693</v>
      </c>
      <c r="H405" s="862" t="s">
        <v>700</v>
      </c>
    </row>
    <row r="406" spans="1:9" s="142" customFormat="1" ht="30" customHeight="1" x14ac:dyDescent="0.2">
      <c r="A406" s="115" t="str">
        <f t="shared" si="97"/>
        <v>B6.33 42 11.25</v>
      </c>
      <c r="B406" s="189" t="s">
        <v>701</v>
      </c>
      <c r="C406" s="115" t="s">
        <v>52</v>
      </c>
      <c r="D406" s="92">
        <v>180</v>
      </c>
      <c r="E406" s="82">
        <v>513</v>
      </c>
      <c r="F406" s="113">
        <f t="shared" si="104"/>
        <v>92340</v>
      </c>
      <c r="G406" s="171" t="s">
        <v>702</v>
      </c>
      <c r="H406" s="862" t="s">
        <v>703</v>
      </c>
    </row>
    <row r="407" spans="1:9" s="142" customFormat="1" ht="30" customHeight="1" x14ac:dyDescent="0.2">
      <c r="A407" s="115" t="str">
        <f t="shared" si="97"/>
        <v>B6.33 42 11.26</v>
      </c>
      <c r="B407" s="170" t="s">
        <v>336</v>
      </c>
      <c r="C407" s="115" t="s">
        <v>52</v>
      </c>
      <c r="D407" s="92">
        <v>15</v>
      </c>
      <c r="E407" s="82">
        <v>593</v>
      </c>
      <c r="F407" s="113">
        <f t="shared" si="104"/>
        <v>8895</v>
      </c>
      <c r="G407" s="171" t="s">
        <v>337</v>
      </c>
      <c r="H407" s="862" t="s">
        <v>704</v>
      </c>
    </row>
    <row r="408" spans="1:9" s="142" customFormat="1" ht="30" customHeight="1" x14ac:dyDescent="0.2">
      <c r="A408" s="115"/>
      <c r="B408" s="170"/>
      <c r="C408" s="115"/>
      <c r="D408" s="92"/>
      <c r="E408" s="835"/>
      <c r="F408" s="113"/>
      <c r="G408" s="171"/>
      <c r="H408" s="862"/>
    </row>
    <row r="409" spans="1:9" s="142" customFormat="1" ht="30" customHeight="1" x14ac:dyDescent="0.2">
      <c r="A409" s="115"/>
      <c r="B409" s="189"/>
      <c r="C409" s="115"/>
      <c r="D409" s="92"/>
      <c r="E409" s="135"/>
      <c r="F409" s="113"/>
      <c r="G409" s="171"/>
      <c r="H409" s="862"/>
    </row>
    <row r="410" spans="1:9" s="142" customFormat="1" ht="30" customHeight="1" x14ac:dyDescent="0.2">
      <c r="A410" s="115"/>
      <c r="B410" s="189"/>
      <c r="C410" s="115"/>
      <c r="D410" s="92"/>
      <c r="E410" s="135"/>
      <c r="F410" s="113"/>
      <c r="G410" s="171"/>
      <c r="H410" s="862"/>
    </row>
    <row r="411" spans="1:9" s="110" customFormat="1" ht="30" customHeight="1" x14ac:dyDescent="0.2">
      <c r="A411" s="164">
        <f t="shared" ref="A411:A413" si="105">H411</f>
        <v>0</v>
      </c>
      <c r="B411" s="106" t="s">
        <v>681</v>
      </c>
      <c r="C411" s="1039" t="s">
        <v>98</v>
      </c>
      <c r="D411" s="1039"/>
      <c r="E411" s="1039"/>
      <c r="F411" s="113">
        <f>SUM(F394:F407)</f>
        <v>1402130</v>
      </c>
      <c r="G411" s="109" t="s">
        <v>682</v>
      </c>
      <c r="H411" s="751"/>
      <c r="I411" s="890"/>
    </row>
    <row r="412" spans="1:9" s="110" customFormat="1" ht="29.25" customHeight="1" x14ac:dyDescent="0.2">
      <c r="A412" s="89" t="str">
        <f t="shared" si="105"/>
        <v>33 42 11</v>
      </c>
      <c r="B412" s="85" t="s">
        <v>663</v>
      </c>
      <c r="C412" s="199"/>
      <c r="D412" s="200"/>
      <c r="E412" s="840"/>
      <c r="F412" s="113">
        <f t="shared" ref="F412:F413" si="106">E412+D412</f>
        <v>0</v>
      </c>
      <c r="G412" s="100" t="s">
        <v>664</v>
      </c>
      <c r="H412" s="857" t="s">
        <v>665</v>
      </c>
      <c r="I412" s="890"/>
    </row>
    <row r="413" spans="1:9" s="110" customFormat="1" ht="51" customHeight="1" x14ac:dyDescent="0.2">
      <c r="A413" s="89">
        <f t="shared" si="105"/>
        <v>0</v>
      </c>
      <c r="B413" s="193" t="s">
        <v>540</v>
      </c>
      <c r="C413" s="116"/>
      <c r="D413" s="165"/>
      <c r="E413" s="390"/>
      <c r="F413" s="113">
        <f t="shared" si="106"/>
        <v>0</v>
      </c>
      <c r="G413" s="166" t="s">
        <v>541</v>
      </c>
      <c r="H413" s="857"/>
      <c r="I413" s="890"/>
    </row>
    <row r="414" spans="1:9" s="110" customFormat="1" ht="28.5" customHeight="1" x14ac:dyDescent="0.2">
      <c r="A414" s="116">
        <f t="shared" si="97"/>
        <v>0</v>
      </c>
      <c r="B414" s="85" t="s">
        <v>705</v>
      </c>
      <c r="C414" s="197"/>
      <c r="D414" s="198">
        <v>0</v>
      </c>
      <c r="E414" s="839"/>
      <c r="F414" s="113"/>
      <c r="G414" s="88" t="s">
        <v>706</v>
      </c>
      <c r="H414" s="874"/>
      <c r="I414" s="890"/>
    </row>
    <row r="415" spans="1:9" s="110" customFormat="1" ht="30" customHeight="1" x14ac:dyDescent="0.2">
      <c r="A415" s="115" t="str">
        <f t="shared" si="97"/>
        <v>B6.33 42 11.27</v>
      </c>
      <c r="B415" s="189" t="s">
        <v>316</v>
      </c>
      <c r="C415" s="115" t="s">
        <v>52</v>
      </c>
      <c r="D415" s="92">
        <v>10</v>
      </c>
      <c r="E415" s="82">
        <v>528</v>
      </c>
      <c r="F415" s="113">
        <f>E415*D415</f>
        <v>5280</v>
      </c>
      <c r="G415" s="171" t="s">
        <v>576</v>
      </c>
      <c r="H415" s="862" t="s">
        <v>707</v>
      </c>
      <c r="I415" s="890"/>
    </row>
    <row r="416" spans="1:9" s="110" customFormat="1" ht="30" customHeight="1" x14ac:dyDescent="0.2">
      <c r="A416" s="115" t="str">
        <f t="shared" si="97"/>
        <v>B6.33 42 11.28</v>
      </c>
      <c r="B416" s="189" t="s">
        <v>482</v>
      </c>
      <c r="C416" s="115" t="s">
        <v>52</v>
      </c>
      <c r="D416" s="92">
        <v>10</v>
      </c>
      <c r="E416" s="82">
        <v>557</v>
      </c>
      <c r="F416" s="113">
        <f t="shared" ref="F416:F419" si="107">E416*D416</f>
        <v>5570</v>
      </c>
      <c r="G416" s="171" t="s">
        <v>693</v>
      </c>
      <c r="H416" s="862" t="s">
        <v>708</v>
      </c>
      <c r="I416" s="890"/>
    </row>
    <row r="417" spans="1:9" s="142" customFormat="1" ht="30" customHeight="1" x14ac:dyDescent="0.2">
      <c r="A417" s="115" t="str">
        <f t="shared" si="97"/>
        <v>B6.33 42 11.29</v>
      </c>
      <c r="B417" s="189" t="s">
        <v>333</v>
      </c>
      <c r="C417" s="115" t="s">
        <v>52</v>
      </c>
      <c r="D417" s="92">
        <v>620</v>
      </c>
      <c r="E417" s="82">
        <v>585</v>
      </c>
      <c r="F417" s="113">
        <f t="shared" si="107"/>
        <v>362700</v>
      </c>
      <c r="G417" s="171" t="s">
        <v>549</v>
      </c>
      <c r="H417" s="862" t="s">
        <v>709</v>
      </c>
    </row>
    <row r="418" spans="1:9" s="142" customFormat="1" ht="30" customHeight="1" x14ac:dyDescent="0.2">
      <c r="A418" s="115" t="str">
        <f t="shared" si="97"/>
        <v>B6.33 42 11.30</v>
      </c>
      <c r="B418" s="189" t="s">
        <v>555</v>
      </c>
      <c r="C418" s="115" t="s">
        <v>52</v>
      </c>
      <c r="D418" s="92">
        <v>65</v>
      </c>
      <c r="E418" s="82">
        <v>680</v>
      </c>
      <c r="F418" s="113">
        <f t="shared" si="107"/>
        <v>44200</v>
      </c>
      <c r="G418" s="171" t="s">
        <v>556</v>
      </c>
      <c r="H418" s="862" t="s">
        <v>710</v>
      </c>
    </row>
    <row r="419" spans="1:9" s="142" customFormat="1" ht="28.5" customHeight="1" x14ac:dyDescent="0.2">
      <c r="A419" s="115" t="str">
        <f t="shared" si="97"/>
        <v>B6.33 42 11.31</v>
      </c>
      <c r="B419" s="170" t="s">
        <v>670</v>
      </c>
      <c r="C419" s="115" t="s">
        <v>52</v>
      </c>
      <c r="D419" s="92">
        <v>15</v>
      </c>
      <c r="E419" s="82">
        <v>709</v>
      </c>
      <c r="F419" s="113">
        <f t="shared" si="107"/>
        <v>10635</v>
      </c>
      <c r="G419" s="171" t="s">
        <v>671</v>
      </c>
      <c r="H419" s="862" t="s">
        <v>711</v>
      </c>
    </row>
    <row r="420" spans="1:9" s="110" customFormat="1" ht="30" customHeight="1" x14ac:dyDescent="0.2">
      <c r="A420" s="116">
        <f t="shared" si="97"/>
        <v>0</v>
      </c>
      <c r="B420" s="85" t="s">
        <v>712</v>
      </c>
      <c r="C420" s="197"/>
      <c r="D420" s="198">
        <v>0</v>
      </c>
      <c r="E420" s="839"/>
      <c r="F420" s="113"/>
      <c r="G420" s="88" t="s">
        <v>713</v>
      </c>
      <c r="H420" s="874"/>
      <c r="I420" s="890"/>
    </row>
    <row r="421" spans="1:9" s="110" customFormat="1" ht="30" customHeight="1" x14ac:dyDescent="0.2">
      <c r="A421" s="115" t="str">
        <f t="shared" si="97"/>
        <v>B6.33 42 11.32</v>
      </c>
      <c r="B421" s="189" t="s">
        <v>316</v>
      </c>
      <c r="C421" s="115" t="s">
        <v>52</v>
      </c>
      <c r="D421" s="92">
        <v>10</v>
      </c>
      <c r="E421" s="82">
        <v>691</v>
      </c>
      <c r="F421" s="113">
        <f t="shared" ref="F421:F426" si="108">E421*D421</f>
        <v>6910</v>
      </c>
      <c r="G421" s="171" t="s">
        <v>576</v>
      </c>
      <c r="H421" s="862" t="s">
        <v>714</v>
      </c>
      <c r="I421" s="890"/>
    </row>
    <row r="422" spans="1:9" s="142" customFormat="1" ht="30" customHeight="1" x14ac:dyDescent="0.2">
      <c r="A422" s="115" t="str">
        <f t="shared" si="97"/>
        <v>B6.33 42 11.33</v>
      </c>
      <c r="B422" s="189" t="s">
        <v>482</v>
      </c>
      <c r="C422" s="115" t="s">
        <v>52</v>
      </c>
      <c r="D422" s="92">
        <v>100</v>
      </c>
      <c r="E422" s="82">
        <v>725</v>
      </c>
      <c r="F422" s="113">
        <f t="shared" si="108"/>
        <v>72500</v>
      </c>
      <c r="G422" s="171" t="s">
        <v>693</v>
      </c>
      <c r="H422" s="862" t="s">
        <v>715</v>
      </c>
    </row>
    <row r="423" spans="1:9" s="110" customFormat="1" ht="30" customHeight="1" x14ac:dyDescent="0.2">
      <c r="A423" s="115" t="str">
        <f t="shared" si="97"/>
        <v>B6.33 42 11.34</v>
      </c>
      <c r="B423" s="189" t="s">
        <v>333</v>
      </c>
      <c r="C423" s="115" t="s">
        <v>52</v>
      </c>
      <c r="D423" s="92">
        <v>1000</v>
      </c>
      <c r="E423" s="82">
        <v>760</v>
      </c>
      <c r="F423" s="113">
        <f t="shared" si="108"/>
        <v>760000</v>
      </c>
      <c r="G423" s="171" t="s">
        <v>553</v>
      </c>
      <c r="H423" s="862" t="s">
        <v>716</v>
      </c>
      <c r="I423" s="890"/>
    </row>
    <row r="424" spans="1:9" s="110" customFormat="1" ht="30" customHeight="1" x14ac:dyDescent="0.2">
      <c r="A424" s="115" t="str">
        <f t="shared" si="97"/>
        <v>B6.33 42 11.35</v>
      </c>
      <c r="B424" s="189" t="s">
        <v>568</v>
      </c>
      <c r="C424" s="115" t="s">
        <v>52</v>
      </c>
      <c r="D424" s="92">
        <v>250</v>
      </c>
      <c r="E424" s="82">
        <v>890</v>
      </c>
      <c r="F424" s="113">
        <f t="shared" si="108"/>
        <v>222500</v>
      </c>
      <c r="G424" s="171" t="s">
        <v>556</v>
      </c>
      <c r="H424" s="862" t="s">
        <v>717</v>
      </c>
      <c r="I424" s="890"/>
    </row>
    <row r="425" spans="1:9" s="110" customFormat="1" ht="30" customHeight="1" x14ac:dyDescent="0.2">
      <c r="A425" s="115" t="str">
        <f t="shared" si="97"/>
        <v>B6.33 42 11.36</v>
      </c>
      <c r="B425" s="189" t="s">
        <v>558</v>
      </c>
      <c r="C425" s="115" t="s">
        <v>52</v>
      </c>
      <c r="D425" s="92">
        <v>315</v>
      </c>
      <c r="E425" s="82">
        <v>925</v>
      </c>
      <c r="F425" s="113">
        <f t="shared" si="108"/>
        <v>291375</v>
      </c>
      <c r="G425" s="171" t="s">
        <v>559</v>
      </c>
      <c r="H425" s="862" t="s">
        <v>718</v>
      </c>
      <c r="I425" s="890"/>
    </row>
    <row r="426" spans="1:9" s="142" customFormat="1" ht="27.75" customHeight="1" x14ac:dyDescent="0.2">
      <c r="A426" s="115" t="str">
        <f t="shared" si="97"/>
        <v>B6.33 42 11.37</v>
      </c>
      <c r="B426" s="170" t="s">
        <v>561</v>
      </c>
      <c r="C426" s="115" t="s">
        <v>52</v>
      </c>
      <c r="D426" s="92">
        <v>15</v>
      </c>
      <c r="E426" s="82">
        <v>953</v>
      </c>
      <c r="F426" s="113">
        <f t="shared" si="108"/>
        <v>14295</v>
      </c>
      <c r="G426" s="171" t="s">
        <v>562</v>
      </c>
      <c r="H426" s="862" t="s">
        <v>719</v>
      </c>
    </row>
    <row r="427" spans="1:9" s="110" customFormat="1" ht="30" customHeight="1" x14ac:dyDescent="0.2">
      <c r="A427" s="115"/>
      <c r="B427" s="189"/>
      <c r="C427" s="115"/>
      <c r="D427" s="92"/>
      <c r="E427" s="135"/>
      <c r="F427" s="113">
        <f t="shared" si="96"/>
        <v>0</v>
      </c>
      <c r="G427" s="171"/>
      <c r="H427" s="862"/>
      <c r="I427" s="890"/>
    </row>
    <row r="428" spans="1:9" s="110" customFormat="1" ht="30" customHeight="1" x14ac:dyDescent="0.2">
      <c r="A428" s="164">
        <f t="shared" ref="A428" si="109">H428</f>
        <v>0</v>
      </c>
      <c r="B428" s="106" t="s">
        <v>681</v>
      </c>
      <c r="C428" s="1039" t="s">
        <v>98</v>
      </c>
      <c r="D428" s="1039"/>
      <c r="E428" s="1039"/>
      <c r="F428" s="113">
        <f>SUM(F415:F426)</f>
        <v>1795965</v>
      </c>
      <c r="G428" s="109" t="s">
        <v>682</v>
      </c>
      <c r="H428" s="751"/>
      <c r="I428" s="890"/>
    </row>
    <row r="429" spans="1:9" s="110" customFormat="1" ht="24.95" customHeight="1" x14ac:dyDescent="0.2">
      <c r="A429" s="89" t="str">
        <f t="shared" si="97"/>
        <v>33 42 11</v>
      </c>
      <c r="B429" s="85" t="s">
        <v>720</v>
      </c>
      <c r="C429" s="197"/>
      <c r="D429" s="198"/>
      <c r="E429" s="839"/>
      <c r="F429" s="113">
        <f t="shared" si="96"/>
        <v>0</v>
      </c>
      <c r="G429" s="88" t="s">
        <v>721</v>
      </c>
      <c r="H429" s="857" t="s">
        <v>665</v>
      </c>
      <c r="I429" s="890"/>
    </row>
    <row r="430" spans="1:9" s="110" customFormat="1" ht="30" customHeight="1" x14ac:dyDescent="0.2">
      <c r="A430" s="89">
        <f t="shared" si="97"/>
        <v>0</v>
      </c>
      <c r="B430" s="85" t="s">
        <v>722</v>
      </c>
      <c r="C430" s="197"/>
      <c r="D430" s="198"/>
      <c r="E430" s="839"/>
      <c r="F430" s="113">
        <f t="shared" si="96"/>
        <v>0</v>
      </c>
      <c r="G430" s="88" t="s">
        <v>723</v>
      </c>
      <c r="H430" s="857"/>
      <c r="I430" s="890"/>
    </row>
    <row r="431" spans="1:9" s="110" customFormat="1" ht="30" customHeight="1" x14ac:dyDescent="0.2">
      <c r="A431" s="116">
        <f t="shared" si="97"/>
        <v>0</v>
      </c>
      <c r="B431" s="85" t="s">
        <v>574</v>
      </c>
      <c r="C431" s="197"/>
      <c r="D431" s="198"/>
      <c r="E431" s="839"/>
      <c r="F431" s="113">
        <f t="shared" si="96"/>
        <v>0</v>
      </c>
      <c r="G431" s="88" t="s">
        <v>575</v>
      </c>
      <c r="H431" s="874"/>
      <c r="I431" s="890"/>
    </row>
    <row r="432" spans="1:9" s="110" customFormat="1" ht="30" customHeight="1" x14ac:dyDescent="0.2">
      <c r="A432" s="115" t="str">
        <f t="shared" si="97"/>
        <v>B6.33 42 11.38</v>
      </c>
      <c r="B432" s="189" t="s">
        <v>316</v>
      </c>
      <c r="C432" s="115" t="s">
        <v>52</v>
      </c>
      <c r="D432" s="92">
        <v>12550</v>
      </c>
      <c r="E432" s="82">
        <v>198</v>
      </c>
      <c r="F432" s="113">
        <f>E432*D432</f>
        <v>2484900</v>
      </c>
      <c r="G432" s="171" t="s">
        <v>576</v>
      </c>
      <c r="H432" s="862" t="s">
        <v>724</v>
      </c>
      <c r="I432" s="890"/>
    </row>
    <row r="433" spans="1:9" s="110" customFormat="1" ht="30" customHeight="1" x14ac:dyDescent="0.2">
      <c r="A433" s="116">
        <f t="shared" si="97"/>
        <v>0</v>
      </c>
      <c r="B433" s="85" t="s">
        <v>584</v>
      </c>
      <c r="C433" s="197"/>
      <c r="D433" s="198">
        <v>0</v>
      </c>
      <c r="E433" s="839"/>
      <c r="F433" s="113"/>
      <c r="G433" s="88" t="s">
        <v>585</v>
      </c>
      <c r="H433" s="874"/>
      <c r="I433" s="890"/>
    </row>
    <row r="434" spans="1:9" s="110" customFormat="1" ht="30" customHeight="1" x14ac:dyDescent="0.2">
      <c r="A434" s="115" t="str">
        <f t="shared" si="97"/>
        <v>B6.33 42 11.39</v>
      </c>
      <c r="B434" s="189" t="s">
        <v>316</v>
      </c>
      <c r="C434" s="115" t="s">
        <v>52</v>
      </c>
      <c r="D434" s="92">
        <v>840</v>
      </c>
      <c r="E434" s="82">
        <v>251</v>
      </c>
      <c r="F434" s="113">
        <f>E434*D434</f>
        <v>210840</v>
      </c>
      <c r="G434" s="171" t="s">
        <v>576</v>
      </c>
      <c r="H434" s="862" t="s">
        <v>725</v>
      </c>
      <c r="I434" s="890"/>
    </row>
    <row r="435" spans="1:9" s="104" customFormat="1" ht="33.75" customHeight="1" x14ac:dyDescent="0.2">
      <c r="A435" s="84">
        <f t="shared" si="97"/>
        <v>0</v>
      </c>
      <c r="B435" s="85" t="s">
        <v>726</v>
      </c>
      <c r="C435" s="197"/>
      <c r="D435" s="198"/>
      <c r="E435" s="839"/>
      <c r="F435" s="113">
        <f t="shared" ref="F435:F437" si="110">E435+D435</f>
        <v>0</v>
      </c>
      <c r="G435" s="88" t="s">
        <v>727</v>
      </c>
      <c r="H435" s="859"/>
      <c r="I435" s="889"/>
    </row>
    <row r="436" spans="1:9" s="104" customFormat="1" ht="30" customHeight="1" x14ac:dyDescent="0.2">
      <c r="A436" s="89" t="str">
        <f t="shared" si="97"/>
        <v>33 05 39</v>
      </c>
      <c r="B436" s="85" t="s">
        <v>728</v>
      </c>
      <c r="C436" s="197"/>
      <c r="D436" s="198"/>
      <c r="E436" s="839"/>
      <c r="F436" s="113">
        <f t="shared" si="110"/>
        <v>0</v>
      </c>
      <c r="G436" s="88" t="s">
        <v>729</v>
      </c>
      <c r="H436" s="857" t="s">
        <v>730</v>
      </c>
      <c r="I436" s="889"/>
    </row>
    <row r="437" spans="1:9" s="104" customFormat="1" ht="30" customHeight="1" x14ac:dyDescent="0.2">
      <c r="A437" s="89">
        <f t="shared" si="97"/>
        <v>0</v>
      </c>
      <c r="B437" s="85" t="s">
        <v>731</v>
      </c>
      <c r="C437" s="197"/>
      <c r="D437" s="198"/>
      <c r="E437" s="839"/>
      <c r="F437" s="113">
        <f t="shared" si="110"/>
        <v>0</v>
      </c>
      <c r="G437" s="88" t="s">
        <v>618</v>
      </c>
      <c r="H437" s="857"/>
      <c r="I437" s="889"/>
    </row>
    <row r="438" spans="1:9" s="104" customFormat="1" ht="30" customHeight="1" x14ac:dyDescent="0.2">
      <c r="A438" s="89" t="str">
        <f t="shared" si="97"/>
        <v>B6.33 05 39.01</v>
      </c>
      <c r="B438" s="90" t="s">
        <v>732</v>
      </c>
      <c r="C438" s="115" t="s">
        <v>298</v>
      </c>
      <c r="D438" s="91">
        <v>117</v>
      </c>
      <c r="E438" s="82">
        <v>10029</v>
      </c>
      <c r="F438" s="113">
        <f t="shared" ref="F438:F446" si="111">E438*D438</f>
        <v>1173393</v>
      </c>
      <c r="G438" s="171" t="s">
        <v>733</v>
      </c>
      <c r="H438" s="857" t="s">
        <v>734</v>
      </c>
      <c r="I438" s="889"/>
    </row>
    <row r="439" spans="1:9" s="104" customFormat="1" ht="30" customHeight="1" x14ac:dyDescent="0.2">
      <c r="A439" s="89" t="str">
        <f t="shared" si="97"/>
        <v>B6.33 05 39.02</v>
      </c>
      <c r="B439" s="90" t="s">
        <v>735</v>
      </c>
      <c r="C439" s="115" t="s">
        <v>298</v>
      </c>
      <c r="D439" s="91">
        <v>25</v>
      </c>
      <c r="E439" s="82">
        <v>12197</v>
      </c>
      <c r="F439" s="113">
        <f t="shared" si="111"/>
        <v>304925</v>
      </c>
      <c r="G439" s="171" t="s">
        <v>736</v>
      </c>
      <c r="H439" s="857" t="s">
        <v>737</v>
      </c>
      <c r="I439" s="889"/>
    </row>
    <row r="440" spans="1:9" s="104" customFormat="1" ht="30" customHeight="1" x14ac:dyDescent="0.2">
      <c r="A440" s="89" t="str">
        <f t="shared" si="97"/>
        <v>B6.33 05 39.03</v>
      </c>
      <c r="B440" s="90" t="s">
        <v>738</v>
      </c>
      <c r="C440" s="115" t="s">
        <v>298</v>
      </c>
      <c r="D440" s="91">
        <v>16</v>
      </c>
      <c r="E440" s="82">
        <v>12383</v>
      </c>
      <c r="F440" s="113">
        <f t="shared" si="111"/>
        <v>198128</v>
      </c>
      <c r="G440" s="171" t="s">
        <v>629</v>
      </c>
      <c r="H440" s="857" t="s">
        <v>739</v>
      </c>
      <c r="I440" s="889"/>
    </row>
    <row r="441" spans="1:9" s="104" customFormat="1" ht="30" customHeight="1" x14ac:dyDescent="0.2">
      <c r="A441" s="89" t="str">
        <f t="shared" si="97"/>
        <v>B6.33 05 39.04</v>
      </c>
      <c r="B441" s="90" t="s">
        <v>740</v>
      </c>
      <c r="C441" s="115" t="s">
        <v>298</v>
      </c>
      <c r="D441" s="91">
        <v>10</v>
      </c>
      <c r="E441" s="82">
        <v>14208</v>
      </c>
      <c r="F441" s="113">
        <f t="shared" si="111"/>
        <v>142080</v>
      </c>
      <c r="G441" s="171" t="s">
        <v>741</v>
      </c>
      <c r="H441" s="857" t="s">
        <v>742</v>
      </c>
      <c r="I441" s="889"/>
    </row>
    <row r="442" spans="1:9" s="104" customFormat="1" ht="25.5" customHeight="1" x14ac:dyDescent="0.2">
      <c r="A442" s="89" t="str">
        <f t="shared" si="97"/>
        <v>B6.33 05 39.05</v>
      </c>
      <c r="B442" s="138" t="s">
        <v>634</v>
      </c>
      <c r="C442" s="115" t="s">
        <v>298</v>
      </c>
      <c r="D442" s="91">
        <v>1</v>
      </c>
      <c r="E442" s="82">
        <v>15270</v>
      </c>
      <c r="F442" s="113">
        <f t="shared" si="111"/>
        <v>15270</v>
      </c>
      <c r="G442" s="201" t="s">
        <v>743</v>
      </c>
      <c r="H442" s="857" t="s">
        <v>744</v>
      </c>
      <c r="I442" s="889"/>
    </row>
    <row r="443" spans="1:9" s="104" customFormat="1" ht="27" customHeight="1" x14ac:dyDescent="0.2">
      <c r="A443" s="89" t="str">
        <f t="shared" si="97"/>
        <v>B6.33 05 39.06</v>
      </c>
      <c r="B443" s="138" t="s">
        <v>745</v>
      </c>
      <c r="C443" s="115" t="s">
        <v>298</v>
      </c>
      <c r="D443" s="91">
        <v>1</v>
      </c>
      <c r="E443" s="82">
        <v>16388</v>
      </c>
      <c r="F443" s="113">
        <f t="shared" si="111"/>
        <v>16388</v>
      </c>
      <c r="G443" s="201" t="s">
        <v>746</v>
      </c>
      <c r="H443" s="857" t="s">
        <v>747</v>
      </c>
      <c r="I443" s="889"/>
    </row>
    <row r="444" spans="1:9" s="104" customFormat="1" ht="30" customHeight="1" x14ac:dyDescent="0.2">
      <c r="A444" s="89" t="str">
        <f t="shared" si="97"/>
        <v>B6.33 05 39.07</v>
      </c>
      <c r="B444" s="138" t="s">
        <v>640</v>
      </c>
      <c r="C444" s="115" t="s">
        <v>298</v>
      </c>
      <c r="D444" s="91">
        <v>2</v>
      </c>
      <c r="E444" s="82">
        <v>17650</v>
      </c>
      <c r="F444" s="113">
        <f t="shared" si="111"/>
        <v>35300</v>
      </c>
      <c r="G444" s="201" t="s">
        <v>748</v>
      </c>
      <c r="H444" s="857" t="s">
        <v>749</v>
      </c>
      <c r="I444" s="889"/>
    </row>
    <row r="445" spans="1:9" s="104" customFormat="1" ht="30" customHeight="1" x14ac:dyDescent="0.2">
      <c r="A445" s="89" t="str">
        <f t="shared" si="97"/>
        <v>B6.33 05 39.08</v>
      </c>
      <c r="B445" s="138" t="s">
        <v>750</v>
      </c>
      <c r="C445" s="115" t="s">
        <v>298</v>
      </c>
      <c r="D445" s="91">
        <v>1</v>
      </c>
      <c r="E445" s="82">
        <v>18386</v>
      </c>
      <c r="F445" s="113">
        <f t="shared" si="111"/>
        <v>18386</v>
      </c>
      <c r="G445" s="201" t="s">
        <v>751</v>
      </c>
      <c r="H445" s="857" t="s">
        <v>752</v>
      </c>
      <c r="I445" s="889"/>
    </row>
    <row r="446" spans="1:9" s="110" customFormat="1" ht="30" customHeight="1" x14ac:dyDescent="0.2">
      <c r="A446" s="89" t="str">
        <f t="shared" si="97"/>
        <v>B6.33 05 39.09</v>
      </c>
      <c r="B446" s="138" t="s">
        <v>753</v>
      </c>
      <c r="C446" s="115" t="s">
        <v>298</v>
      </c>
      <c r="D446" s="91">
        <v>1</v>
      </c>
      <c r="E446" s="82">
        <v>19386</v>
      </c>
      <c r="F446" s="113">
        <f t="shared" si="111"/>
        <v>19386</v>
      </c>
      <c r="G446" s="201" t="s">
        <v>754</v>
      </c>
      <c r="H446" s="857" t="s">
        <v>755</v>
      </c>
      <c r="I446" s="890"/>
    </row>
    <row r="447" spans="1:9" s="110" customFormat="1" ht="30" customHeight="1" x14ac:dyDescent="0.2">
      <c r="A447" s="89"/>
      <c r="B447" s="138"/>
      <c r="C447" s="115"/>
      <c r="D447" s="91"/>
      <c r="E447" s="113"/>
      <c r="F447" s="113"/>
      <c r="G447" s="201"/>
      <c r="H447" s="857"/>
      <c r="I447" s="890"/>
    </row>
    <row r="448" spans="1:9" s="110" customFormat="1" ht="30" customHeight="1" x14ac:dyDescent="0.2">
      <c r="A448" s="89"/>
      <c r="B448" s="138"/>
      <c r="C448" s="115"/>
      <c r="D448" s="91"/>
      <c r="E448" s="113"/>
      <c r="F448" s="113"/>
      <c r="G448" s="201"/>
      <c r="H448" s="857"/>
      <c r="I448" s="890"/>
    </row>
    <row r="449" spans="1:9" s="110" customFormat="1" ht="30" customHeight="1" x14ac:dyDescent="0.2">
      <c r="A449" s="115"/>
      <c r="B449" s="189"/>
      <c r="C449" s="115"/>
      <c r="D449" s="92"/>
      <c r="E449" s="135"/>
      <c r="F449" s="113">
        <f t="shared" ref="F449:F473" si="112">E449+D449</f>
        <v>0</v>
      </c>
      <c r="G449" s="171"/>
      <c r="H449" s="862"/>
      <c r="I449" s="890"/>
    </row>
    <row r="450" spans="1:9" s="110" customFormat="1" ht="30" customHeight="1" x14ac:dyDescent="0.2">
      <c r="A450" s="164">
        <f t="shared" si="97"/>
        <v>0</v>
      </c>
      <c r="B450" s="106" t="s">
        <v>681</v>
      </c>
      <c r="C450" s="1039" t="s">
        <v>98</v>
      </c>
      <c r="D450" s="1039"/>
      <c r="E450" s="1039"/>
      <c r="F450" s="113">
        <f>SUM(F432:F446)</f>
        <v>4618996</v>
      </c>
      <c r="G450" s="109" t="s">
        <v>682</v>
      </c>
      <c r="H450" s="751"/>
      <c r="I450" s="890"/>
    </row>
    <row r="451" spans="1:9" s="104" customFormat="1" ht="33.75" customHeight="1" x14ac:dyDescent="0.2">
      <c r="A451" s="84">
        <f t="shared" si="97"/>
        <v>0</v>
      </c>
      <c r="B451" s="85" t="s">
        <v>726</v>
      </c>
      <c r="C451" s="197"/>
      <c r="D451" s="198"/>
      <c r="E451" s="839"/>
      <c r="F451" s="113">
        <f t="shared" si="112"/>
        <v>0</v>
      </c>
      <c r="G451" s="88" t="s">
        <v>727</v>
      </c>
      <c r="H451" s="859"/>
      <c r="I451" s="889"/>
    </row>
    <row r="452" spans="1:9" s="104" customFormat="1" ht="30" customHeight="1" x14ac:dyDescent="0.2">
      <c r="A452" s="89" t="str">
        <f t="shared" si="97"/>
        <v>33 05 39</v>
      </c>
      <c r="B452" s="85" t="s">
        <v>728</v>
      </c>
      <c r="C452" s="197"/>
      <c r="D452" s="198"/>
      <c r="E452" s="839"/>
      <c r="F452" s="113">
        <f t="shared" si="112"/>
        <v>0</v>
      </c>
      <c r="G452" s="88" t="s">
        <v>729</v>
      </c>
      <c r="H452" s="857" t="s">
        <v>730</v>
      </c>
      <c r="I452" s="889"/>
    </row>
    <row r="453" spans="1:9" s="104" customFormat="1" ht="30" customHeight="1" x14ac:dyDescent="0.2">
      <c r="A453" s="89">
        <f t="shared" si="97"/>
        <v>0</v>
      </c>
      <c r="B453" s="85" t="s">
        <v>756</v>
      </c>
      <c r="C453" s="197"/>
      <c r="D453" s="198">
        <v>0</v>
      </c>
      <c r="E453" s="839"/>
      <c r="F453" s="113"/>
      <c r="G453" s="88" t="s">
        <v>757</v>
      </c>
      <c r="H453" s="857"/>
      <c r="I453" s="889"/>
    </row>
    <row r="454" spans="1:9" s="104" customFormat="1" ht="30" customHeight="1" x14ac:dyDescent="0.2">
      <c r="A454" s="89" t="str">
        <f t="shared" si="97"/>
        <v>B6.33 05 39.10</v>
      </c>
      <c r="B454" s="90" t="s">
        <v>732</v>
      </c>
      <c r="C454" s="115" t="s">
        <v>298</v>
      </c>
      <c r="D454" s="91">
        <v>18</v>
      </c>
      <c r="E454" s="82">
        <v>10029</v>
      </c>
      <c r="F454" s="113">
        <f>E454*D454</f>
        <v>180522</v>
      </c>
      <c r="G454" s="171" t="s">
        <v>733</v>
      </c>
      <c r="H454" s="857" t="s">
        <v>758</v>
      </c>
      <c r="I454" s="889"/>
    </row>
    <row r="455" spans="1:9" s="104" customFormat="1" ht="30" customHeight="1" x14ac:dyDescent="0.2">
      <c r="A455" s="89" t="str">
        <f t="shared" si="97"/>
        <v>B6.33 05 39.11</v>
      </c>
      <c r="B455" s="90" t="s">
        <v>759</v>
      </c>
      <c r="C455" s="115" t="s">
        <v>298</v>
      </c>
      <c r="D455" s="91">
        <v>1</v>
      </c>
      <c r="E455" s="82">
        <v>15270</v>
      </c>
      <c r="F455" s="113">
        <f>E455*D455</f>
        <v>15270</v>
      </c>
      <c r="G455" s="171" t="s">
        <v>760</v>
      </c>
      <c r="H455" s="857" t="s">
        <v>761</v>
      </c>
      <c r="I455" s="889"/>
    </row>
    <row r="456" spans="1:9" s="104" customFormat="1" ht="30" customHeight="1" x14ac:dyDescent="0.2">
      <c r="A456" s="89">
        <f t="shared" si="97"/>
        <v>0</v>
      </c>
      <c r="B456" s="85" t="s">
        <v>762</v>
      </c>
      <c r="C456" s="197"/>
      <c r="D456" s="198">
        <v>0</v>
      </c>
      <c r="E456" s="839"/>
      <c r="F456" s="113"/>
      <c r="G456" s="88" t="s">
        <v>763</v>
      </c>
      <c r="H456" s="857"/>
      <c r="I456" s="889"/>
    </row>
    <row r="457" spans="1:9" s="104" customFormat="1" ht="30" customHeight="1" x14ac:dyDescent="0.2">
      <c r="A457" s="89" t="str">
        <f t="shared" si="97"/>
        <v>B6.33 05 39.12</v>
      </c>
      <c r="B457" s="90" t="s">
        <v>764</v>
      </c>
      <c r="C457" s="115" t="s">
        <v>298</v>
      </c>
      <c r="D457" s="91">
        <v>5</v>
      </c>
      <c r="E457" s="82">
        <v>12149</v>
      </c>
      <c r="F457" s="113">
        <f t="shared" ref="F457:F470" si="113">E457*D457</f>
        <v>60745</v>
      </c>
      <c r="G457" s="171" t="s">
        <v>765</v>
      </c>
      <c r="H457" s="857" t="s">
        <v>766</v>
      </c>
      <c r="I457" s="889"/>
    </row>
    <row r="458" spans="1:9" s="104" customFormat="1" ht="30" customHeight="1" x14ac:dyDescent="0.2">
      <c r="A458" s="89" t="str">
        <f t="shared" si="97"/>
        <v>B6.33 05 39.13</v>
      </c>
      <c r="B458" s="90" t="s">
        <v>738</v>
      </c>
      <c r="C458" s="115" t="s">
        <v>298</v>
      </c>
      <c r="D458" s="91">
        <v>16</v>
      </c>
      <c r="E458" s="82">
        <v>15276</v>
      </c>
      <c r="F458" s="113">
        <f t="shared" si="113"/>
        <v>244416</v>
      </c>
      <c r="G458" s="171" t="s">
        <v>629</v>
      </c>
      <c r="H458" s="857" t="s">
        <v>767</v>
      </c>
      <c r="I458" s="889"/>
    </row>
    <row r="459" spans="1:9" s="104" customFormat="1" ht="30" customHeight="1" x14ac:dyDescent="0.2">
      <c r="A459" s="89" t="str">
        <f t="shared" si="97"/>
        <v>B6.33 05 39.14</v>
      </c>
      <c r="B459" s="90" t="s">
        <v>768</v>
      </c>
      <c r="C459" s="115" t="s">
        <v>298</v>
      </c>
      <c r="D459" s="91">
        <v>12</v>
      </c>
      <c r="E459" s="82">
        <v>16599</v>
      </c>
      <c r="F459" s="113">
        <f t="shared" si="113"/>
        <v>199188</v>
      </c>
      <c r="G459" s="171" t="s">
        <v>741</v>
      </c>
      <c r="H459" s="857" t="s">
        <v>769</v>
      </c>
      <c r="I459" s="889"/>
    </row>
    <row r="460" spans="1:9" s="104" customFormat="1" ht="26.25" customHeight="1" x14ac:dyDescent="0.2">
      <c r="A460" s="89" t="str">
        <f t="shared" ref="A460:A497" si="114">H460</f>
        <v>B6.33 05 39.15</v>
      </c>
      <c r="B460" s="90" t="s">
        <v>634</v>
      </c>
      <c r="C460" s="115" t="s">
        <v>298</v>
      </c>
      <c r="D460" s="91">
        <v>1</v>
      </c>
      <c r="E460" s="82">
        <v>18534</v>
      </c>
      <c r="F460" s="113">
        <f t="shared" si="113"/>
        <v>18534</v>
      </c>
      <c r="G460" s="171" t="s">
        <v>743</v>
      </c>
      <c r="H460" s="857" t="s">
        <v>770</v>
      </c>
      <c r="I460" s="889"/>
    </row>
    <row r="461" spans="1:9" s="104" customFormat="1" ht="30" customHeight="1" x14ac:dyDescent="0.2">
      <c r="A461" s="89" t="str">
        <f t="shared" si="114"/>
        <v>B6.33 05 39.16</v>
      </c>
      <c r="B461" s="90" t="s">
        <v>745</v>
      </c>
      <c r="C461" s="115" t="s">
        <v>298</v>
      </c>
      <c r="D461" s="91">
        <v>2</v>
      </c>
      <c r="E461" s="82">
        <v>19857</v>
      </c>
      <c r="F461" s="113">
        <f t="shared" si="113"/>
        <v>39714</v>
      </c>
      <c r="G461" s="171" t="s">
        <v>746</v>
      </c>
      <c r="H461" s="857" t="s">
        <v>771</v>
      </c>
      <c r="I461" s="889"/>
    </row>
    <row r="462" spans="1:9" s="104" customFormat="1" ht="21.75" customHeight="1" x14ac:dyDescent="0.2">
      <c r="A462" s="89">
        <f t="shared" si="114"/>
        <v>0</v>
      </c>
      <c r="B462" s="85" t="s">
        <v>772</v>
      </c>
      <c r="C462" s="197"/>
      <c r="D462" s="198">
        <v>0</v>
      </c>
      <c r="E462" s="839"/>
      <c r="F462" s="113">
        <f t="shared" si="113"/>
        <v>0</v>
      </c>
      <c r="G462" s="88" t="s">
        <v>773</v>
      </c>
      <c r="H462" s="857"/>
      <c r="I462" s="889"/>
    </row>
    <row r="463" spans="1:9" s="104" customFormat="1" ht="26.25" customHeight="1" x14ac:dyDescent="0.2">
      <c r="A463" s="89" t="str">
        <f t="shared" si="114"/>
        <v>B6.33 05 39.17</v>
      </c>
      <c r="B463" s="90" t="s">
        <v>774</v>
      </c>
      <c r="C463" s="115" t="s">
        <v>298</v>
      </c>
      <c r="D463" s="91">
        <v>5</v>
      </c>
      <c r="E463" s="82">
        <v>26270</v>
      </c>
      <c r="F463" s="113">
        <f t="shared" si="113"/>
        <v>131350</v>
      </c>
      <c r="G463" s="171" t="s">
        <v>629</v>
      </c>
      <c r="H463" s="857" t="s">
        <v>775</v>
      </c>
      <c r="I463" s="889"/>
    </row>
    <row r="464" spans="1:9" s="104" customFormat="1" ht="26.25" customHeight="1" x14ac:dyDescent="0.2">
      <c r="A464" s="89" t="str">
        <f t="shared" si="114"/>
        <v>B6.33 05 39.18</v>
      </c>
      <c r="B464" s="90" t="s">
        <v>740</v>
      </c>
      <c r="C464" s="115" t="s">
        <v>298</v>
      </c>
      <c r="D464" s="91">
        <v>1</v>
      </c>
      <c r="E464" s="82">
        <v>27593</v>
      </c>
      <c r="F464" s="113">
        <f t="shared" si="113"/>
        <v>27593</v>
      </c>
      <c r="G464" s="171" t="s">
        <v>776</v>
      </c>
      <c r="H464" s="857" t="s">
        <v>777</v>
      </c>
      <c r="I464" s="889"/>
    </row>
    <row r="465" spans="1:9" s="104" customFormat="1" ht="26.25" customHeight="1" x14ac:dyDescent="0.2">
      <c r="A465" s="89" t="str">
        <f t="shared" si="114"/>
        <v>B6.33 05 39.19</v>
      </c>
      <c r="B465" s="138" t="s">
        <v>634</v>
      </c>
      <c r="C465" s="115" t="s">
        <v>298</v>
      </c>
      <c r="D465" s="91">
        <v>5</v>
      </c>
      <c r="E465" s="82">
        <v>27303</v>
      </c>
      <c r="F465" s="113">
        <f t="shared" si="113"/>
        <v>136515</v>
      </c>
      <c r="G465" s="201" t="s">
        <v>743</v>
      </c>
      <c r="H465" s="857" t="s">
        <v>778</v>
      </c>
      <c r="I465" s="889"/>
    </row>
    <row r="466" spans="1:9" s="104" customFormat="1" ht="26.25" customHeight="1" x14ac:dyDescent="0.2">
      <c r="A466" s="89" t="str">
        <f t="shared" si="114"/>
        <v>B6.33 05 39.20</v>
      </c>
      <c r="B466" s="138" t="s">
        <v>745</v>
      </c>
      <c r="C466" s="115" t="s">
        <v>298</v>
      </c>
      <c r="D466" s="91">
        <v>11</v>
      </c>
      <c r="E466" s="82">
        <v>28627</v>
      </c>
      <c r="F466" s="113">
        <f t="shared" si="113"/>
        <v>314897</v>
      </c>
      <c r="G466" s="201" t="s">
        <v>746</v>
      </c>
      <c r="H466" s="857" t="s">
        <v>779</v>
      </c>
      <c r="I466" s="889"/>
    </row>
    <row r="467" spans="1:9" s="104" customFormat="1" ht="26.25" customHeight="1" x14ac:dyDescent="0.2">
      <c r="A467" s="89" t="str">
        <f t="shared" si="114"/>
        <v>B6.33 05 39.22</v>
      </c>
      <c r="B467" s="138" t="s">
        <v>640</v>
      </c>
      <c r="C467" s="115" t="s">
        <v>298</v>
      </c>
      <c r="D467" s="91">
        <v>1</v>
      </c>
      <c r="E467" s="82">
        <v>35274</v>
      </c>
      <c r="F467" s="113">
        <f t="shared" si="113"/>
        <v>35274</v>
      </c>
      <c r="G467" s="201" t="s">
        <v>748</v>
      </c>
      <c r="H467" s="857" t="s">
        <v>780</v>
      </c>
      <c r="I467" s="889"/>
    </row>
    <row r="468" spans="1:9" s="104" customFormat="1" ht="26.25" customHeight="1" x14ac:dyDescent="0.2">
      <c r="A468" s="89" t="str">
        <f t="shared" si="114"/>
        <v>B6.33 05 39.23</v>
      </c>
      <c r="B468" s="138" t="s">
        <v>781</v>
      </c>
      <c r="C468" s="115" t="s">
        <v>298</v>
      </c>
      <c r="D468" s="91">
        <v>2</v>
      </c>
      <c r="E468" s="82">
        <v>36597</v>
      </c>
      <c r="F468" s="113">
        <f t="shared" si="113"/>
        <v>73194</v>
      </c>
      <c r="G468" s="201" t="s">
        <v>782</v>
      </c>
      <c r="H468" s="857" t="s">
        <v>783</v>
      </c>
      <c r="I468" s="889"/>
    </row>
    <row r="469" spans="1:9" s="104" customFormat="1" ht="26.25" customHeight="1" x14ac:dyDescent="0.2">
      <c r="A469" s="89" t="str">
        <f t="shared" si="114"/>
        <v>B6.33 05 39.24</v>
      </c>
      <c r="B469" s="138" t="s">
        <v>646</v>
      </c>
      <c r="C469" s="115" t="s">
        <v>298</v>
      </c>
      <c r="D469" s="91">
        <v>2</v>
      </c>
      <c r="E469" s="82">
        <v>39696</v>
      </c>
      <c r="F469" s="113">
        <f t="shared" si="113"/>
        <v>79392</v>
      </c>
      <c r="G469" s="201" t="s">
        <v>784</v>
      </c>
      <c r="H469" s="857" t="s">
        <v>785</v>
      </c>
      <c r="I469" s="889"/>
    </row>
    <row r="470" spans="1:9" s="104" customFormat="1" ht="26.25" customHeight="1" x14ac:dyDescent="0.2">
      <c r="A470" s="89" t="str">
        <f t="shared" si="114"/>
        <v>B6.33 05 39.25</v>
      </c>
      <c r="B470" s="138" t="s">
        <v>786</v>
      </c>
      <c r="C470" s="115" t="s">
        <v>298</v>
      </c>
      <c r="D470" s="91">
        <v>2</v>
      </c>
      <c r="E470" s="82">
        <v>41020</v>
      </c>
      <c r="F470" s="113">
        <f t="shared" si="113"/>
        <v>82040</v>
      </c>
      <c r="G470" s="201" t="s">
        <v>787</v>
      </c>
      <c r="H470" s="857" t="s">
        <v>788</v>
      </c>
      <c r="I470" s="889"/>
    </row>
    <row r="471" spans="1:9" s="168" customFormat="1" ht="30.75" customHeight="1" x14ac:dyDescent="0.2">
      <c r="A471" s="164">
        <f t="shared" si="114"/>
        <v>0</v>
      </c>
      <c r="B471" s="106" t="s">
        <v>681</v>
      </c>
      <c r="C471" s="1039" t="s">
        <v>98</v>
      </c>
      <c r="D471" s="1039"/>
      <c r="E471" s="1039"/>
      <c r="F471" s="113">
        <f>SUM(F454:F470)</f>
        <v>1638644</v>
      </c>
      <c r="G471" s="109" t="s">
        <v>682</v>
      </c>
      <c r="H471" s="751"/>
      <c r="I471" s="891"/>
    </row>
    <row r="472" spans="1:9" s="104" customFormat="1" ht="33" customHeight="1" x14ac:dyDescent="0.2">
      <c r="A472" s="84">
        <f t="shared" si="114"/>
        <v>0</v>
      </c>
      <c r="B472" s="85" t="s">
        <v>726</v>
      </c>
      <c r="C472" s="197"/>
      <c r="D472" s="198"/>
      <c r="E472" s="839"/>
      <c r="F472" s="113">
        <f t="shared" si="112"/>
        <v>0</v>
      </c>
      <c r="G472" s="88" t="s">
        <v>727</v>
      </c>
      <c r="H472" s="859"/>
      <c r="I472" s="889"/>
    </row>
    <row r="473" spans="1:9" s="104" customFormat="1" ht="26.25" customHeight="1" x14ac:dyDescent="0.2">
      <c r="A473" s="89">
        <f t="shared" si="114"/>
        <v>0</v>
      </c>
      <c r="B473" s="85" t="s">
        <v>789</v>
      </c>
      <c r="C473" s="197"/>
      <c r="D473" s="198"/>
      <c r="E473" s="839"/>
      <c r="F473" s="113">
        <f t="shared" si="112"/>
        <v>0</v>
      </c>
      <c r="G473" s="88" t="s">
        <v>790</v>
      </c>
      <c r="H473" s="857"/>
      <c r="I473" s="889"/>
    </row>
    <row r="474" spans="1:9" s="104" customFormat="1" ht="24.75" customHeight="1" x14ac:dyDescent="0.2">
      <c r="A474" s="89" t="str">
        <f t="shared" si="114"/>
        <v>B6.33 05 39.27</v>
      </c>
      <c r="B474" s="138" t="s">
        <v>791</v>
      </c>
      <c r="C474" s="115" t="s">
        <v>298</v>
      </c>
      <c r="D474" s="91">
        <v>31</v>
      </c>
      <c r="E474" s="82">
        <v>7518</v>
      </c>
      <c r="F474" s="113">
        <f>E474*D474</f>
        <v>233058</v>
      </c>
      <c r="G474" s="201" t="s">
        <v>792</v>
      </c>
      <c r="H474" s="857" t="s">
        <v>793</v>
      </c>
      <c r="I474" s="889"/>
    </row>
    <row r="475" spans="1:9" s="104" customFormat="1" ht="26.25" customHeight="1" x14ac:dyDescent="0.2">
      <c r="A475" s="89">
        <f t="shared" si="114"/>
        <v>0</v>
      </c>
      <c r="B475" s="85" t="s">
        <v>794</v>
      </c>
      <c r="C475" s="197"/>
      <c r="D475" s="198"/>
      <c r="E475" s="839"/>
      <c r="F475" s="113"/>
      <c r="G475" s="88" t="s">
        <v>795</v>
      </c>
      <c r="H475" s="857"/>
      <c r="I475" s="889"/>
    </row>
    <row r="476" spans="1:9" s="104" customFormat="1" ht="24.75" customHeight="1" x14ac:dyDescent="0.2">
      <c r="A476" s="89" t="str">
        <f t="shared" si="114"/>
        <v>B6.33 05 39.28</v>
      </c>
      <c r="B476" s="138" t="s">
        <v>796</v>
      </c>
      <c r="C476" s="115" t="s">
        <v>298</v>
      </c>
      <c r="D476" s="91">
        <v>2</v>
      </c>
      <c r="E476" s="82">
        <v>37407</v>
      </c>
      <c r="F476" s="113">
        <f>E476*D476</f>
        <v>74814</v>
      </c>
      <c r="G476" s="201" t="s">
        <v>797</v>
      </c>
      <c r="H476" s="857" t="s">
        <v>798</v>
      </c>
      <c r="I476" s="889"/>
    </row>
    <row r="477" spans="1:9" s="104" customFormat="1" ht="24.75" customHeight="1" x14ac:dyDescent="0.2">
      <c r="A477" s="89">
        <f t="shared" si="114"/>
        <v>0</v>
      </c>
      <c r="B477" s="85" t="s">
        <v>799</v>
      </c>
      <c r="C477" s="197"/>
      <c r="D477" s="198"/>
      <c r="E477" s="839"/>
      <c r="F477" s="113"/>
      <c r="G477" s="88" t="s">
        <v>800</v>
      </c>
      <c r="H477" s="857"/>
      <c r="I477" s="889"/>
    </row>
    <row r="478" spans="1:9" s="104" customFormat="1" ht="25.5" customHeight="1" x14ac:dyDescent="0.2">
      <c r="A478" s="89" t="str">
        <f t="shared" si="114"/>
        <v>B6.33 05 39.29</v>
      </c>
      <c r="B478" s="90" t="s">
        <v>801</v>
      </c>
      <c r="C478" s="115" t="s">
        <v>298</v>
      </c>
      <c r="D478" s="91">
        <v>521</v>
      </c>
      <c r="E478" s="82">
        <v>5738</v>
      </c>
      <c r="F478" s="113">
        <f t="shared" ref="F478:F479" si="115">E478*D478</f>
        <v>2989498</v>
      </c>
      <c r="G478" s="171" t="s">
        <v>802</v>
      </c>
      <c r="H478" s="857" t="s">
        <v>803</v>
      </c>
      <c r="I478" s="889"/>
    </row>
    <row r="479" spans="1:9" s="104" customFormat="1" ht="23.25" customHeight="1" x14ac:dyDescent="0.2">
      <c r="A479" s="89" t="str">
        <f t="shared" si="114"/>
        <v>B6.33 05 39.30</v>
      </c>
      <c r="B479" s="90" t="s">
        <v>804</v>
      </c>
      <c r="C479" s="115" t="s">
        <v>298</v>
      </c>
      <c r="D479" s="91">
        <v>97</v>
      </c>
      <c r="E479" s="82">
        <v>11600</v>
      </c>
      <c r="F479" s="113">
        <f t="shared" si="115"/>
        <v>1125200</v>
      </c>
      <c r="G479" s="171" t="s">
        <v>805</v>
      </c>
      <c r="H479" s="857" t="s">
        <v>806</v>
      </c>
      <c r="I479" s="889"/>
    </row>
    <row r="480" spans="1:9" s="110" customFormat="1" ht="30" customHeight="1" x14ac:dyDescent="0.2">
      <c r="A480" s="84" t="str">
        <f t="shared" si="114"/>
        <v>33 42 16</v>
      </c>
      <c r="B480" s="85" t="s">
        <v>807</v>
      </c>
      <c r="C480" s="197"/>
      <c r="D480" s="198"/>
      <c r="E480" s="839"/>
      <c r="F480" s="113"/>
      <c r="G480" s="88" t="s">
        <v>808</v>
      </c>
      <c r="H480" s="859" t="s">
        <v>809</v>
      </c>
      <c r="I480" s="890"/>
    </row>
    <row r="481" spans="1:9" s="110" customFormat="1" ht="30" customHeight="1" x14ac:dyDescent="0.2">
      <c r="A481" s="84" t="str">
        <f>H481</f>
        <v>B6.03 30 00.01</v>
      </c>
      <c r="B481" s="189" t="s">
        <v>810</v>
      </c>
      <c r="C481" s="115" t="s">
        <v>59</v>
      </c>
      <c r="D481" s="92">
        <v>1020</v>
      </c>
      <c r="E481" s="82">
        <v>577</v>
      </c>
      <c r="F481" s="113">
        <f t="shared" ref="F481:F483" si="116">E481*D481</f>
        <v>588540</v>
      </c>
      <c r="G481" s="171" t="s">
        <v>811</v>
      </c>
      <c r="H481" s="862" t="s">
        <v>812</v>
      </c>
      <c r="I481" s="890"/>
    </row>
    <row r="482" spans="1:9" s="110" customFormat="1" ht="30" customHeight="1" x14ac:dyDescent="0.2">
      <c r="A482" s="84" t="str">
        <f t="shared" si="114"/>
        <v>B6.03 30 00.02</v>
      </c>
      <c r="B482" s="189" t="s">
        <v>813</v>
      </c>
      <c r="C482" s="115" t="s">
        <v>59</v>
      </c>
      <c r="D482" s="92">
        <v>10225</v>
      </c>
      <c r="E482" s="82">
        <v>893</v>
      </c>
      <c r="F482" s="113">
        <f t="shared" si="116"/>
        <v>9130925</v>
      </c>
      <c r="G482" s="171" t="s">
        <v>814</v>
      </c>
      <c r="H482" s="862" t="s">
        <v>815</v>
      </c>
      <c r="I482" s="890"/>
    </row>
    <row r="483" spans="1:9" s="110" customFormat="1" ht="30" customHeight="1" x14ac:dyDescent="0.2">
      <c r="A483" s="84" t="str">
        <f t="shared" si="114"/>
        <v>B6.03 30 00.03</v>
      </c>
      <c r="B483" s="189" t="s">
        <v>816</v>
      </c>
      <c r="C483" s="115" t="s">
        <v>817</v>
      </c>
      <c r="D483" s="92">
        <v>1015</v>
      </c>
      <c r="E483" s="82">
        <v>3549</v>
      </c>
      <c r="F483" s="113">
        <f t="shared" si="116"/>
        <v>3602235</v>
      </c>
      <c r="G483" s="171" t="s">
        <v>818</v>
      </c>
      <c r="H483" s="862" t="s">
        <v>819</v>
      </c>
      <c r="I483" s="890"/>
    </row>
    <row r="484" spans="1:9" s="104" customFormat="1" ht="25.5" customHeight="1" x14ac:dyDescent="0.2">
      <c r="A484" s="89">
        <f t="shared" si="114"/>
        <v>0</v>
      </c>
      <c r="B484" s="85" t="s">
        <v>820</v>
      </c>
      <c r="C484" s="197"/>
      <c r="D484" s="198"/>
      <c r="E484" s="839"/>
      <c r="F484" s="113"/>
      <c r="G484" s="88" t="s">
        <v>821</v>
      </c>
      <c r="H484" s="857"/>
      <c r="I484" s="889"/>
    </row>
    <row r="485" spans="1:9" s="104" customFormat="1" ht="24" customHeight="1" x14ac:dyDescent="0.2">
      <c r="A485" s="89" t="str">
        <f t="shared" si="114"/>
        <v>B6.33 05 39.30</v>
      </c>
      <c r="B485" s="90" t="s">
        <v>822</v>
      </c>
      <c r="C485" s="115" t="s">
        <v>298</v>
      </c>
      <c r="D485" s="91">
        <v>1</v>
      </c>
      <c r="E485" s="82">
        <v>11600</v>
      </c>
      <c r="F485" s="113">
        <f>E485*D485</f>
        <v>11600</v>
      </c>
      <c r="G485" s="171" t="s">
        <v>823</v>
      </c>
      <c r="H485" s="857" t="s">
        <v>806</v>
      </c>
      <c r="I485" s="889"/>
    </row>
    <row r="486" spans="1:9" s="104" customFormat="1" ht="25.5" customHeight="1" x14ac:dyDescent="0.2">
      <c r="A486" s="89">
        <f t="shared" si="114"/>
        <v>0</v>
      </c>
      <c r="B486" s="85" t="s">
        <v>824</v>
      </c>
      <c r="C486" s="197"/>
      <c r="D486" s="198"/>
      <c r="E486" s="839"/>
      <c r="F486" s="113"/>
      <c r="G486" s="88" t="s">
        <v>825</v>
      </c>
      <c r="H486" s="857"/>
      <c r="I486" s="889"/>
    </row>
    <row r="487" spans="1:9" s="104" customFormat="1" ht="24" customHeight="1" x14ac:dyDescent="0.2">
      <c r="A487" s="89" t="str">
        <f t="shared" si="114"/>
        <v>B6.33 05 39.31</v>
      </c>
      <c r="B487" s="90" t="s">
        <v>826</v>
      </c>
      <c r="C487" s="115" t="s">
        <v>298</v>
      </c>
      <c r="D487" s="91">
        <v>1</v>
      </c>
      <c r="E487" s="82">
        <v>25599</v>
      </c>
      <c r="F487" s="113">
        <f>E487*D487</f>
        <v>25599</v>
      </c>
      <c r="G487" s="171" t="s">
        <v>827</v>
      </c>
      <c r="H487" s="857" t="s">
        <v>828</v>
      </c>
      <c r="I487" s="889"/>
    </row>
    <row r="488" spans="1:9" s="110" customFormat="1" ht="30" customHeight="1" x14ac:dyDescent="0.2">
      <c r="A488" s="84" t="str">
        <f t="shared" si="114"/>
        <v>B6.31 22 00</v>
      </c>
      <c r="B488" s="85" t="s">
        <v>829</v>
      </c>
      <c r="C488" s="197"/>
      <c r="D488" s="198"/>
      <c r="E488" s="839"/>
      <c r="F488" s="113"/>
      <c r="G488" s="88" t="s">
        <v>830</v>
      </c>
      <c r="H488" s="859" t="s">
        <v>831</v>
      </c>
      <c r="I488" s="890"/>
    </row>
    <row r="489" spans="1:9" s="110" customFormat="1" ht="30" customHeight="1" x14ac:dyDescent="0.2">
      <c r="A489" s="84" t="str">
        <f t="shared" si="114"/>
        <v>B6.31 22 00.01</v>
      </c>
      <c r="B489" s="126" t="s">
        <v>832</v>
      </c>
      <c r="C489" s="115" t="s">
        <v>140</v>
      </c>
      <c r="D489" s="113">
        <v>1200</v>
      </c>
      <c r="E489" s="82">
        <v>35</v>
      </c>
      <c r="F489" s="113">
        <f t="shared" ref="F489:F490" si="117">E489*D489</f>
        <v>42000</v>
      </c>
      <c r="G489" s="126" t="s">
        <v>833</v>
      </c>
      <c r="H489" s="857" t="s">
        <v>834</v>
      </c>
      <c r="I489" s="890"/>
    </row>
    <row r="490" spans="1:9" s="162" customFormat="1" ht="30" customHeight="1" x14ac:dyDescent="0.2">
      <c r="A490" s="84" t="str">
        <f t="shared" si="114"/>
        <v>B6.31 22 00.02</v>
      </c>
      <c r="B490" s="126" t="s">
        <v>835</v>
      </c>
      <c r="C490" s="115" t="s">
        <v>107</v>
      </c>
      <c r="D490" s="203">
        <v>880</v>
      </c>
      <c r="E490" s="82">
        <v>114</v>
      </c>
      <c r="F490" s="113">
        <f t="shared" si="117"/>
        <v>100320</v>
      </c>
      <c r="G490" s="126" t="s">
        <v>836</v>
      </c>
      <c r="H490" s="857" t="s">
        <v>837</v>
      </c>
    </row>
    <row r="491" spans="1:9" s="110" customFormat="1" ht="26.25" customHeight="1" x14ac:dyDescent="0.2">
      <c r="A491" s="84">
        <f t="shared" si="114"/>
        <v>0</v>
      </c>
      <c r="B491" s="126"/>
      <c r="C491" s="115"/>
      <c r="D491" s="113"/>
      <c r="E491" s="113"/>
      <c r="F491" s="113">
        <f t="shared" ref="F491:F540" si="118">E491+D491</f>
        <v>0</v>
      </c>
      <c r="G491" s="126"/>
      <c r="H491" s="857"/>
      <c r="I491" s="890"/>
    </row>
    <row r="492" spans="1:9" s="168" customFormat="1" ht="30.75" customHeight="1" x14ac:dyDescent="0.2">
      <c r="A492" s="164">
        <f t="shared" si="114"/>
        <v>0</v>
      </c>
      <c r="B492" s="106" t="s">
        <v>681</v>
      </c>
      <c r="C492" s="1039" t="s">
        <v>98</v>
      </c>
      <c r="D492" s="1039"/>
      <c r="E492" s="1039"/>
      <c r="F492" s="113">
        <f>SUM(F474:F490)</f>
        <v>17923789</v>
      </c>
      <c r="G492" s="109" t="s">
        <v>682</v>
      </c>
      <c r="H492" s="751"/>
      <c r="I492" s="891"/>
    </row>
    <row r="493" spans="1:9" s="110" customFormat="1" ht="30" customHeight="1" x14ac:dyDescent="0.2">
      <c r="A493" s="84" t="str">
        <f t="shared" si="114"/>
        <v>B6.31 22 00</v>
      </c>
      <c r="B493" s="85" t="s">
        <v>838</v>
      </c>
      <c r="C493" s="197"/>
      <c r="D493" s="198"/>
      <c r="E493" s="839"/>
      <c r="F493" s="113">
        <f t="shared" si="118"/>
        <v>0</v>
      </c>
      <c r="G493" s="88" t="s">
        <v>839</v>
      </c>
      <c r="H493" s="859" t="s">
        <v>831</v>
      </c>
      <c r="I493" s="890"/>
    </row>
    <row r="494" spans="1:9" s="110" customFormat="1" ht="30" customHeight="1" x14ac:dyDescent="0.2">
      <c r="A494" s="84" t="str">
        <f t="shared" si="114"/>
        <v>B6.31 22 00.01</v>
      </c>
      <c r="B494" s="126" t="s">
        <v>840</v>
      </c>
      <c r="C494" s="115" t="s">
        <v>107</v>
      </c>
      <c r="D494" s="113">
        <v>800</v>
      </c>
      <c r="E494" s="82">
        <v>35</v>
      </c>
      <c r="F494" s="113">
        <f>E494*D494</f>
        <v>28000</v>
      </c>
      <c r="G494" s="126" t="s">
        <v>841</v>
      </c>
      <c r="H494" s="857" t="s">
        <v>834</v>
      </c>
      <c r="I494" s="890"/>
    </row>
    <row r="495" spans="1:9" s="110" customFormat="1" ht="30" customHeight="1" x14ac:dyDescent="0.2">
      <c r="A495" s="84" t="str">
        <f t="shared" si="114"/>
        <v>B6.31 22 00.02</v>
      </c>
      <c r="B495" s="126" t="s">
        <v>842</v>
      </c>
      <c r="C495" s="115" t="s">
        <v>140</v>
      </c>
      <c r="D495" s="113">
        <v>2130</v>
      </c>
      <c r="E495" s="82">
        <v>114</v>
      </c>
      <c r="F495" s="113">
        <f t="shared" ref="F495:F497" si="119">E495*D495</f>
        <v>242820</v>
      </c>
      <c r="G495" s="126" t="s">
        <v>843</v>
      </c>
      <c r="H495" s="857" t="s">
        <v>837</v>
      </c>
      <c r="I495" s="890"/>
    </row>
    <row r="496" spans="1:9" s="110" customFormat="1" ht="30" customHeight="1" x14ac:dyDescent="0.2">
      <c r="A496" s="84" t="str">
        <f t="shared" si="114"/>
        <v>B6.31 22 00.03</v>
      </c>
      <c r="B496" s="126" t="s">
        <v>844</v>
      </c>
      <c r="C496" s="115" t="s">
        <v>140</v>
      </c>
      <c r="D496" s="113">
        <v>16515</v>
      </c>
      <c r="E496" s="82">
        <v>24</v>
      </c>
      <c r="F496" s="113">
        <f t="shared" si="119"/>
        <v>396360</v>
      </c>
      <c r="G496" s="126" t="s">
        <v>845</v>
      </c>
      <c r="H496" s="857" t="s">
        <v>846</v>
      </c>
      <c r="I496" s="890"/>
    </row>
    <row r="497" spans="1:9" s="162" customFormat="1" ht="30" customHeight="1" x14ac:dyDescent="0.2">
      <c r="A497" s="84" t="str">
        <f t="shared" si="114"/>
        <v>B6.31 22 00.04</v>
      </c>
      <c r="B497" s="126" t="s">
        <v>847</v>
      </c>
      <c r="C497" s="115" t="s">
        <v>107</v>
      </c>
      <c r="D497" s="203">
        <v>25700</v>
      </c>
      <c r="E497" s="82">
        <v>142</v>
      </c>
      <c r="F497" s="113">
        <f t="shared" si="119"/>
        <v>3649400</v>
      </c>
      <c r="G497" s="126" t="s">
        <v>836</v>
      </c>
      <c r="H497" s="857" t="s">
        <v>848</v>
      </c>
    </row>
    <row r="498" spans="1:9" s="110" customFormat="1" ht="30" customHeight="1" x14ac:dyDescent="0.2">
      <c r="A498" s="84"/>
      <c r="B498" s="85"/>
      <c r="C498" s="197"/>
      <c r="D498" s="198"/>
      <c r="E498" s="839"/>
      <c r="F498" s="113">
        <f t="shared" si="118"/>
        <v>0</v>
      </c>
      <c r="G498" s="88"/>
      <c r="H498" s="859"/>
      <c r="I498" s="890"/>
    </row>
    <row r="499" spans="1:9" s="110" customFormat="1" ht="30" customHeight="1" x14ac:dyDescent="0.2">
      <c r="A499" s="84"/>
      <c r="B499" s="126"/>
      <c r="C499" s="115"/>
      <c r="D499" s="113"/>
      <c r="E499" s="113"/>
      <c r="F499" s="113">
        <f t="shared" si="118"/>
        <v>0</v>
      </c>
      <c r="G499" s="126"/>
      <c r="H499" s="857"/>
      <c r="I499" s="890"/>
    </row>
    <row r="500" spans="1:9" s="162" customFormat="1" ht="30" customHeight="1" x14ac:dyDescent="0.2">
      <c r="A500" s="84"/>
      <c r="B500" s="126"/>
      <c r="C500" s="115"/>
      <c r="D500" s="203"/>
      <c r="E500" s="113"/>
      <c r="F500" s="113">
        <f t="shared" si="118"/>
        <v>0</v>
      </c>
      <c r="G500" s="126"/>
      <c r="H500" s="857"/>
    </row>
    <row r="501" spans="1:9" s="162" customFormat="1" ht="30" customHeight="1" x14ac:dyDescent="0.2">
      <c r="A501" s="84"/>
      <c r="B501" s="126"/>
      <c r="C501" s="115"/>
      <c r="D501" s="203"/>
      <c r="E501" s="113"/>
      <c r="F501" s="113">
        <f t="shared" si="118"/>
        <v>0</v>
      </c>
      <c r="G501" s="126"/>
      <c r="H501" s="857"/>
    </row>
    <row r="502" spans="1:9" s="162" customFormat="1" ht="30" customHeight="1" x14ac:dyDescent="0.2">
      <c r="A502" s="84"/>
      <c r="B502" s="204"/>
      <c r="C502" s="115"/>
      <c r="D502" s="203"/>
      <c r="E502" s="205"/>
      <c r="F502" s="113">
        <f t="shared" si="118"/>
        <v>0</v>
      </c>
      <c r="G502" s="204"/>
      <c r="H502" s="857"/>
    </row>
    <row r="503" spans="1:9" s="162" customFormat="1" ht="30" customHeight="1" x14ac:dyDescent="0.2">
      <c r="A503" s="84"/>
      <c r="B503" s="126"/>
      <c r="C503" s="115"/>
      <c r="D503" s="203"/>
      <c r="E503" s="113"/>
      <c r="F503" s="113">
        <f t="shared" si="118"/>
        <v>0</v>
      </c>
      <c r="G503" s="126"/>
      <c r="H503" s="859"/>
    </row>
    <row r="504" spans="1:9" s="162" customFormat="1" ht="30" customHeight="1" x14ac:dyDescent="0.2">
      <c r="A504" s="84"/>
      <c r="B504" s="126"/>
      <c r="C504" s="115"/>
      <c r="D504" s="203"/>
      <c r="E504" s="113"/>
      <c r="F504" s="113">
        <f t="shared" si="118"/>
        <v>0</v>
      </c>
      <c r="G504" s="126"/>
      <c r="H504" s="859"/>
    </row>
    <row r="505" spans="1:9" s="162" customFormat="1" ht="30" customHeight="1" x14ac:dyDescent="0.2">
      <c r="A505" s="84"/>
      <c r="B505" s="126"/>
      <c r="C505" s="115"/>
      <c r="D505" s="203"/>
      <c r="E505" s="113"/>
      <c r="F505" s="113">
        <f t="shared" si="118"/>
        <v>0</v>
      </c>
      <c r="G505" s="126"/>
      <c r="H505" s="859"/>
    </row>
    <row r="506" spans="1:9" s="162" customFormat="1" ht="30" customHeight="1" x14ac:dyDescent="0.2">
      <c r="A506" s="84"/>
      <c r="B506" s="126"/>
      <c r="C506" s="115"/>
      <c r="D506" s="203"/>
      <c r="E506" s="113"/>
      <c r="F506" s="113">
        <f t="shared" si="118"/>
        <v>0</v>
      </c>
      <c r="G506" s="126"/>
      <c r="H506" s="859"/>
    </row>
    <row r="507" spans="1:9" s="162" customFormat="1" ht="30" customHeight="1" x14ac:dyDescent="0.2">
      <c r="A507" s="84"/>
      <c r="B507" s="126"/>
      <c r="C507" s="115"/>
      <c r="D507" s="203"/>
      <c r="E507" s="113"/>
      <c r="F507" s="113">
        <f t="shared" si="118"/>
        <v>0</v>
      </c>
      <c r="G507" s="126"/>
      <c r="H507" s="859"/>
    </row>
    <row r="508" spans="1:9" s="162" customFormat="1" ht="30" customHeight="1" x14ac:dyDescent="0.2">
      <c r="A508" s="84"/>
      <c r="B508" s="126"/>
      <c r="C508" s="115"/>
      <c r="D508" s="203"/>
      <c r="E508" s="113"/>
      <c r="F508" s="113">
        <f t="shared" si="118"/>
        <v>0</v>
      </c>
      <c r="G508" s="126"/>
      <c r="H508" s="859"/>
    </row>
    <row r="509" spans="1:9" s="162" customFormat="1" ht="30" customHeight="1" x14ac:dyDescent="0.2">
      <c r="A509" s="84"/>
      <c r="B509" s="126"/>
      <c r="C509" s="115"/>
      <c r="D509" s="203"/>
      <c r="E509" s="113"/>
      <c r="F509" s="113"/>
      <c r="G509" s="126"/>
      <c r="H509" s="859"/>
    </row>
    <row r="510" spans="1:9" s="162" customFormat="1" ht="30" customHeight="1" x14ac:dyDescent="0.2">
      <c r="A510" s="84"/>
      <c r="B510" s="126"/>
      <c r="C510" s="115"/>
      <c r="D510" s="203"/>
      <c r="E510" s="113"/>
      <c r="F510" s="113">
        <f t="shared" si="118"/>
        <v>0</v>
      </c>
      <c r="G510" s="126"/>
      <c r="H510" s="859"/>
    </row>
    <row r="511" spans="1:9" s="162" customFormat="1" ht="30" customHeight="1" x14ac:dyDescent="0.2">
      <c r="A511" s="84"/>
      <c r="B511" s="126"/>
      <c r="C511" s="115"/>
      <c r="D511" s="203"/>
      <c r="E511" s="113"/>
      <c r="F511" s="113">
        <f t="shared" si="118"/>
        <v>0</v>
      </c>
      <c r="G511" s="126"/>
      <c r="H511" s="859"/>
    </row>
    <row r="512" spans="1:9" s="162" customFormat="1" ht="30" customHeight="1" x14ac:dyDescent="0.2">
      <c r="A512" s="84"/>
      <c r="B512" s="126"/>
      <c r="C512" s="115"/>
      <c r="D512" s="203"/>
      <c r="E512" s="113"/>
      <c r="F512" s="113">
        <f t="shared" si="118"/>
        <v>0</v>
      </c>
      <c r="G512" s="126"/>
      <c r="H512" s="859"/>
    </row>
    <row r="513" spans="1:9" s="110" customFormat="1" ht="28.5" customHeight="1" x14ac:dyDescent="0.2">
      <c r="A513" s="84"/>
      <c r="B513" s="126"/>
      <c r="C513" s="115"/>
      <c r="D513" s="91"/>
      <c r="E513" s="113"/>
      <c r="F513" s="113">
        <f t="shared" si="118"/>
        <v>0</v>
      </c>
      <c r="G513" s="126"/>
      <c r="H513" s="857"/>
      <c r="I513" s="890"/>
    </row>
    <row r="514" spans="1:9" s="168" customFormat="1" ht="32.25" customHeight="1" x14ac:dyDescent="0.2">
      <c r="A514" s="164"/>
      <c r="B514" s="106" t="s">
        <v>681</v>
      </c>
      <c r="C514" s="1039" t="s">
        <v>98</v>
      </c>
      <c r="D514" s="1039"/>
      <c r="E514" s="1039"/>
      <c r="F514" s="113">
        <f>SUM(F494:F497)</f>
        <v>4316580</v>
      </c>
      <c r="G514" s="109" t="s">
        <v>682</v>
      </c>
      <c r="H514" s="751"/>
      <c r="I514" s="891"/>
    </row>
    <row r="515" spans="1:9" s="173" customFormat="1" ht="27" customHeight="1" x14ac:dyDescent="0.2">
      <c r="A515" s="1040" t="s">
        <v>849</v>
      </c>
      <c r="B515" s="1041"/>
      <c r="C515" s="180"/>
      <c r="D515" s="181"/>
      <c r="E515" s="836"/>
      <c r="F515" s="836">
        <f t="shared" si="118"/>
        <v>0</v>
      </c>
      <c r="G515" s="182"/>
      <c r="H515" s="182" t="s">
        <v>850</v>
      </c>
    </row>
    <row r="516" spans="1:9" s="213" customFormat="1" ht="24.95" customHeight="1" x14ac:dyDescent="0.2">
      <c r="A516" s="158"/>
      <c r="B516" s="206" t="s">
        <v>851</v>
      </c>
      <c r="C516" s="207"/>
      <c r="D516" s="208"/>
      <c r="E516" s="209"/>
      <c r="F516" s="113">
        <f t="shared" si="118"/>
        <v>0</v>
      </c>
      <c r="G516" s="210" t="s">
        <v>852</v>
      </c>
      <c r="H516" s="876"/>
      <c r="I516" s="212"/>
    </row>
    <row r="517" spans="1:9" s="213" customFormat="1" ht="24.95" customHeight="1" x14ac:dyDescent="0.2">
      <c r="A517" s="214"/>
      <c r="B517" s="215" t="s">
        <v>853</v>
      </c>
      <c r="C517" s="216"/>
      <c r="D517" s="216"/>
      <c r="E517" s="217"/>
      <c r="F517" s="113">
        <f t="shared" si="118"/>
        <v>0</v>
      </c>
      <c r="G517" s="218" t="s">
        <v>854</v>
      </c>
      <c r="H517" s="877"/>
      <c r="I517" s="212"/>
    </row>
    <row r="518" spans="1:9" s="213" customFormat="1" ht="24.95" customHeight="1" x14ac:dyDescent="0.2">
      <c r="A518" s="214"/>
      <c r="B518" s="220" t="s">
        <v>855</v>
      </c>
      <c r="C518" s="221"/>
      <c r="D518" s="221"/>
      <c r="E518" s="222"/>
      <c r="F518" s="113">
        <f t="shared" si="118"/>
        <v>0</v>
      </c>
      <c r="G518" s="223" t="s">
        <v>856</v>
      </c>
      <c r="H518" s="878"/>
      <c r="I518" s="212"/>
    </row>
    <row r="519" spans="1:9" s="213" customFormat="1" ht="24.95" customHeight="1" x14ac:dyDescent="0.2">
      <c r="A519" s="219" t="s">
        <v>857</v>
      </c>
      <c r="B519" s="215" t="s">
        <v>858</v>
      </c>
      <c r="C519" s="224"/>
      <c r="D519" s="225"/>
      <c r="E519" s="209"/>
      <c r="F519" s="113">
        <f t="shared" si="118"/>
        <v>0</v>
      </c>
      <c r="G519" s="218" t="s">
        <v>859</v>
      </c>
      <c r="H519" s="877" t="s">
        <v>857</v>
      </c>
      <c r="I519" s="212"/>
    </row>
    <row r="520" spans="1:9" s="213" customFormat="1" ht="24.95" customHeight="1" x14ac:dyDescent="0.2">
      <c r="A520" s="158" t="str">
        <f t="shared" ref="A520:A523" si="120">H520</f>
        <v>B7.32 92 00.01</v>
      </c>
      <c r="B520" s="127" t="s">
        <v>860</v>
      </c>
      <c r="C520" s="221" t="s">
        <v>861</v>
      </c>
      <c r="D520" s="226">
        <v>8414</v>
      </c>
      <c r="E520" s="82">
        <v>41</v>
      </c>
      <c r="F520" s="113">
        <f>E520*D520</f>
        <v>344974</v>
      </c>
      <c r="G520" s="114" t="s">
        <v>862</v>
      </c>
      <c r="H520" s="878" t="s">
        <v>863</v>
      </c>
      <c r="I520" s="212"/>
    </row>
    <row r="521" spans="1:9" s="213" customFormat="1" ht="24.95" customHeight="1" x14ac:dyDescent="0.2">
      <c r="A521" s="158" t="str">
        <f t="shared" si="120"/>
        <v>B7.32 92 00.02</v>
      </c>
      <c r="B521" s="127" t="s">
        <v>864</v>
      </c>
      <c r="C521" s="221" t="s">
        <v>861</v>
      </c>
      <c r="D521" s="226">
        <v>6841</v>
      </c>
      <c r="E521" s="82">
        <v>24</v>
      </c>
      <c r="F521" s="113">
        <f t="shared" ref="F521:F523" si="121">E521*D521</f>
        <v>164184</v>
      </c>
      <c r="G521" s="114" t="s">
        <v>865</v>
      </c>
      <c r="H521" s="878" t="s">
        <v>866</v>
      </c>
      <c r="I521" s="212"/>
    </row>
    <row r="522" spans="1:9" s="213" customFormat="1" ht="24.95" customHeight="1" x14ac:dyDescent="0.2">
      <c r="A522" s="158" t="str">
        <f t="shared" si="120"/>
        <v>B7.32 92 00.03</v>
      </c>
      <c r="B522" s="127" t="s">
        <v>867</v>
      </c>
      <c r="C522" s="221" t="s">
        <v>861</v>
      </c>
      <c r="D522" s="226">
        <v>8414</v>
      </c>
      <c r="E522" s="82">
        <v>71</v>
      </c>
      <c r="F522" s="113">
        <f t="shared" si="121"/>
        <v>597394</v>
      </c>
      <c r="G522" s="114" t="s">
        <v>868</v>
      </c>
      <c r="H522" s="878" t="s">
        <v>869</v>
      </c>
      <c r="I522" s="212"/>
    </row>
    <row r="523" spans="1:9" s="213" customFormat="1" ht="24.95" customHeight="1" x14ac:dyDescent="0.2">
      <c r="A523" s="158" t="str">
        <f t="shared" si="120"/>
        <v>B7.32 92 00.04</v>
      </c>
      <c r="B523" s="127" t="s">
        <v>870</v>
      </c>
      <c r="C523" s="221" t="s">
        <v>861</v>
      </c>
      <c r="D523" s="226">
        <v>6887</v>
      </c>
      <c r="E523" s="82">
        <v>53</v>
      </c>
      <c r="F523" s="113">
        <f t="shared" si="121"/>
        <v>365011</v>
      </c>
      <c r="G523" s="114" t="s">
        <v>871</v>
      </c>
      <c r="H523" s="878" t="s">
        <v>872</v>
      </c>
      <c r="I523" s="212"/>
    </row>
    <row r="524" spans="1:9" s="213" customFormat="1" ht="24.95" customHeight="1" x14ac:dyDescent="0.2">
      <c r="A524" s="219" t="s">
        <v>873</v>
      </c>
      <c r="B524" s="215" t="s">
        <v>874</v>
      </c>
      <c r="C524" s="224"/>
      <c r="D524" s="225">
        <v>0</v>
      </c>
      <c r="E524" s="227"/>
      <c r="F524" s="113"/>
      <c r="G524" s="218" t="s">
        <v>875</v>
      </c>
      <c r="H524" s="877" t="s">
        <v>873</v>
      </c>
      <c r="I524" s="212"/>
    </row>
    <row r="525" spans="1:9" s="213" customFormat="1" ht="24.95" customHeight="1" x14ac:dyDescent="0.2">
      <c r="A525" s="158" t="str">
        <f t="shared" ref="A525:A530" si="122">H525</f>
        <v>B7.32 93 00.01</v>
      </c>
      <c r="B525" s="228" t="s">
        <v>876</v>
      </c>
      <c r="C525" s="221" t="s">
        <v>298</v>
      </c>
      <c r="D525" s="226">
        <v>252</v>
      </c>
      <c r="E525" s="82">
        <v>946</v>
      </c>
      <c r="F525" s="113">
        <f t="shared" ref="F525:F530" si="123">E525*D525</f>
        <v>238392</v>
      </c>
      <c r="G525" s="114" t="s">
        <v>877</v>
      </c>
      <c r="H525" s="878" t="s">
        <v>878</v>
      </c>
      <c r="I525" s="212"/>
    </row>
    <row r="526" spans="1:9" s="213" customFormat="1" ht="24.95" customHeight="1" x14ac:dyDescent="0.2">
      <c r="A526" s="158" t="str">
        <f t="shared" si="122"/>
        <v>B7.32 93 00.02</v>
      </c>
      <c r="B526" s="228" t="s">
        <v>879</v>
      </c>
      <c r="C526" s="221" t="s">
        <v>298</v>
      </c>
      <c r="D526" s="226">
        <v>150</v>
      </c>
      <c r="E526" s="82">
        <v>769</v>
      </c>
      <c r="F526" s="113">
        <f t="shared" si="123"/>
        <v>115350</v>
      </c>
      <c r="G526" s="114" t="s">
        <v>880</v>
      </c>
      <c r="H526" s="878" t="s">
        <v>881</v>
      </c>
      <c r="I526" s="212"/>
    </row>
    <row r="527" spans="1:9" s="213" customFormat="1" ht="24.95" customHeight="1" x14ac:dyDescent="0.2">
      <c r="A527" s="158" t="str">
        <f>H527</f>
        <v>B7.32 93 00.03</v>
      </c>
      <c r="B527" s="228" t="s">
        <v>882</v>
      </c>
      <c r="C527" s="221" t="s">
        <v>298</v>
      </c>
      <c r="D527" s="226">
        <v>157</v>
      </c>
      <c r="E527" s="82">
        <v>828</v>
      </c>
      <c r="F527" s="113">
        <f t="shared" si="123"/>
        <v>129996</v>
      </c>
      <c r="G527" s="114" t="s">
        <v>883</v>
      </c>
      <c r="H527" s="878" t="s">
        <v>884</v>
      </c>
      <c r="I527" s="212"/>
    </row>
    <row r="528" spans="1:9" s="213" customFormat="1" ht="24.95" customHeight="1" x14ac:dyDescent="0.2">
      <c r="A528" s="158" t="str">
        <f>H528</f>
        <v>B7.32 93 00.04</v>
      </c>
      <c r="B528" s="228" t="s">
        <v>885</v>
      </c>
      <c r="C528" s="221" t="s">
        <v>298</v>
      </c>
      <c r="D528" s="226">
        <v>156</v>
      </c>
      <c r="E528" s="82">
        <v>1005</v>
      </c>
      <c r="F528" s="113">
        <f t="shared" si="123"/>
        <v>156780</v>
      </c>
      <c r="G528" s="114" t="s">
        <v>886</v>
      </c>
      <c r="H528" s="878" t="s">
        <v>887</v>
      </c>
      <c r="I528" s="212"/>
    </row>
    <row r="529" spans="1:9" s="213" customFormat="1" ht="24.95" customHeight="1" x14ac:dyDescent="0.2">
      <c r="A529" s="158" t="str">
        <f t="shared" si="122"/>
        <v>B7.32 93 00.05</v>
      </c>
      <c r="B529" s="228" t="s">
        <v>888</v>
      </c>
      <c r="C529" s="221" t="s">
        <v>298</v>
      </c>
      <c r="D529" s="226">
        <v>598</v>
      </c>
      <c r="E529" s="82">
        <v>769</v>
      </c>
      <c r="F529" s="113">
        <f t="shared" si="123"/>
        <v>459862</v>
      </c>
      <c r="G529" s="114" t="s">
        <v>889</v>
      </c>
      <c r="H529" s="878" t="s">
        <v>890</v>
      </c>
      <c r="I529" s="212"/>
    </row>
    <row r="530" spans="1:9" s="213" customFormat="1" ht="24.95" customHeight="1" x14ac:dyDescent="0.2">
      <c r="A530" s="158" t="str">
        <f t="shared" si="122"/>
        <v>B7.32 93 00.06</v>
      </c>
      <c r="B530" s="228" t="s">
        <v>891</v>
      </c>
      <c r="C530" s="221" t="s">
        <v>298</v>
      </c>
      <c r="D530" s="226">
        <v>260</v>
      </c>
      <c r="E530" s="82">
        <v>769</v>
      </c>
      <c r="F530" s="113">
        <f t="shared" si="123"/>
        <v>199940</v>
      </c>
      <c r="G530" s="114" t="s">
        <v>892</v>
      </c>
      <c r="H530" s="878" t="s">
        <v>893</v>
      </c>
      <c r="I530" s="212"/>
    </row>
    <row r="531" spans="1:9" s="213" customFormat="1" ht="24.95" customHeight="1" x14ac:dyDescent="0.2">
      <c r="A531" s="158"/>
      <c r="B531" s="229"/>
      <c r="C531" s="221"/>
      <c r="D531" s="226"/>
      <c r="E531" s="113"/>
      <c r="F531" s="113">
        <f t="shared" si="118"/>
        <v>0</v>
      </c>
      <c r="G531" s="114"/>
      <c r="H531" s="878"/>
      <c r="I531" s="212"/>
    </row>
    <row r="532" spans="1:9" s="213" customFormat="1" ht="24.95" customHeight="1" x14ac:dyDescent="0.2">
      <c r="A532" s="158"/>
      <c r="B532" s="229"/>
      <c r="C532" s="221"/>
      <c r="D532" s="226"/>
      <c r="E532" s="113"/>
      <c r="F532" s="113">
        <f t="shared" si="118"/>
        <v>0</v>
      </c>
      <c r="G532" s="114"/>
      <c r="H532" s="878"/>
      <c r="I532" s="212"/>
    </row>
    <row r="533" spans="1:9" s="213" customFormat="1" ht="24.95" customHeight="1" x14ac:dyDescent="0.2">
      <c r="A533" s="158"/>
      <c r="B533" s="229"/>
      <c r="C533" s="221"/>
      <c r="D533" s="226"/>
      <c r="E533" s="113"/>
      <c r="F533" s="113">
        <f t="shared" si="118"/>
        <v>0</v>
      </c>
      <c r="G533" s="114"/>
      <c r="H533" s="878"/>
      <c r="I533" s="212"/>
    </row>
    <row r="534" spans="1:9" s="213" customFormat="1" ht="24.95" customHeight="1" x14ac:dyDescent="0.2">
      <c r="A534" s="158"/>
      <c r="B534" s="229"/>
      <c r="C534" s="221"/>
      <c r="D534" s="226"/>
      <c r="E534" s="113"/>
      <c r="F534" s="113">
        <f t="shared" si="118"/>
        <v>0</v>
      </c>
      <c r="G534" s="114"/>
      <c r="H534" s="878"/>
      <c r="I534" s="212"/>
    </row>
    <row r="535" spans="1:9" s="213" customFormat="1" ht="24.95" customHeight="1" x14ac:dyDescent="0.2">
      <c r="A535" s="158"/>
      <c r="B535" s="229"/>
      <c r="C535" s="221"/>
      <c r="D535" s="226"/>
      <c r="E535" s="113"/>
      <c r="F535" s="113">
        <f t="shared" si="118"/>
        <v>0</v>
      </c>
      <c r="G535" s="114"/>
      <c r="H535" s="878"/>
      <c r="I535" s="212"/>
    </row>
    <row r="536" spans="1:9" s="213" customFormat="1" ht="24.95" customHeight="1" x14ac:dyDescent="0.2">
      <c r="A536" s="158"/>
      <c r="B536" s="229"/>
      <c r="C536" s="221"/>
      <c r="D536" s="226"/>
      <c r="E536" s="113"/>
      <c r="F536" s="113"/>
      <c r="G536" s="114"/>
      <c r="H536" s="878"/>
      <c r="I536" s="212"/>
    </row>
    <row r="537" spans="1:9" s="213" customFormat="1" ht="24.95" customHeight="1" x14ac:dyDescent="0.2">
      <c r="A537" s="158"/>
      <c r="B537" s="229"/>
      <c r="C537" s="221"/>
      <c r="D537" s="226"/>
      <c r="E537" s="113"/>
      <c r="F537" s="113">
        <f t="shared" si="118"/>
        <v>0</v>
      </c>
      <c r="G537" s="114"/>
      <c r="H537" s="878"/>
      <c r="I537" s="212"/>
    </row>
    <row r="538" spans="1:9" s="213" customFormat="1" ht="24.95" customHeight="1" x14ac:dyDescent="0.2">
      <c r="A538" s="158"/>
      <c r="B538" s="229"/>
      <c r="C538" s="221"/>
      <c r="D538" s="226"/>
      <c r="E538" s="113"/>
      <c r="F538" s="113">
        <f t="shared" si="118"/>
        <v>0</v>
      </c>
      <c r="G538" s="114"/>
      <c r="H538" s="878"/>
      <c r="I538" s="212"/>
    </row>
    <row r="539" spans="1:9" s="213" customFormat="1" ht="36" customHeight="1" x14ac:dyDescent="0.2">
      <c r="A539" s="230"/>
      <c r="B539" s="231" t="s">
        <v>894</v>
      </c>
      <c r="C539" s="1043" t="s">
        <v>98</v>
      </c>
      <c r="D539" s="1044"/>
      <c r="E539" s="1045"/>
      <c r="F539" s="113">
        <f>SUM(F520:F530)</f>
        <v>2771883</v>
      </c>
      <c r="G539" s="232" t="s">
        <v>895</v>
      </c>
      <c r="H539" s="879"/>
      <c r="I539" s="212"/>
    </row>
    <row r="540" spans="1:9" s="213" customFormat="1" ht="33" customHeight="1" x14ac:dyDescent="0.2">
      <c r="A540" s="219" t="s">
        <v>896</v>
      </c>
      <c r="B540" s="233" t="s">
        <v>897</v>
      </c>
      <c r="C540" s="224"/>
      <c r="D540" s="225"/>
      <c r="E540" s="227"/>
      <c r="F540" s="113">
        <f t="shared" si="118"/>
        <v>0</v>
      </c>
      <c r="G540" s="218" t="s">
        <v>898</v>
      </c>
      <c r="H540" s="877" t="s">
        <v>896</v>
      </c>
      <c r="I540" s="212"/>
    </row>
    <row r="541" spans="1:9" s="213" customFormat="1" ht="34.5" customHeight="1" x14ac:dyDescent="0.2">
      <c r="A541" s="158" t="str">
        <f t="shared" ref="A541:A546" si="124">H541</f>
        <v>B7.32 93 34.01</v>
      </c>
      <c r="B541" s="234" t="s">
        <v>899</v>
      </c>
      <c r="C541" s="221" t="s">
        <v>861</v>
      </c>
      <c r="D541" s="226">
        <v>102460</v>
      </c>
      <c r="E541" s="82">
        <v>75</v>
      </c>
      <c r="F541" s="113">
        <f>E541*D541</f>
        <v>7684500</v>
      </c>
      <c r="G541" s="114" t="s">
        <v>900</v>
      </c>
      <c r="H541" s="878" t="s">
        <v>901</v>
      </c>
      <c r="I541" s="212"/>
    </row>
    <row r="542" spans="1:9" s="213" customFormat="1" ht="34.5" customHeight="1" x14ac:dyDescent="0.2">
      <c r="A542" s="158" t="str">
        <f t="shared" si="124"/>
        <v>B7.32 93 34.02</v>
      </c>
      <c r="B542" s="234" t="s">
        <v>902</v>
      </c>
      <c r="C542" s="221" t="s">
        <v>861</v>
      </c>
      <c r="D542" s="226">
        <v>9120</v>
      </c>
      <c r="E542" s="82">
        <v>80</v>
      </c>
      <c r="F542" s="113">
        <f t="shared" ref="F542:F546" si="125">E542*D542</f>
        <v>729600</v>
      </c>
      <c r="G542" s="114" t="s">
        <v>903</v>
      </c>
      <c r="H542" s="878" t="s">
        <v>904</v>
      </c>
      <c r="I542" s="212"/>
    </row>
    <row r="543" spans="1:9" s="213" customFormat="1" ht="34.5" customHeight="1" x14ac:dyDescent="0.2">
      <c r="A543" s="158" t="str">
        <f t="shared" si="124"/>
        <v>B7.32 93 34.03</v>
      </c>
      <c r="B543" s="234" t="s">
        <v>905</v>
      </c>
      <c r="C543" s="221" t="s">
        <v>861</v>
      </c>
      <c r="D543" s="226">
        <v>7150</v>
      </c>
      <c r="E543" s="82">
        <v>80</v>
      </c>
      <c r="F543" s="113">
        <f t="shared" si="125"/>
        <v>572000</v>
      </c>
      <c r="G543" s="114" t="s">
        <v>906</v>
      </c>
      <c r="H543" s="878" t="s">
        <v>907</v>
      </c>
      <c r="I543" s="212"/>
    </row>
    <row r="544" spans="1:9" s="213" customFormat="1" ht="34.5" customHeight="1" x14ac:dyDescent="0.2">
      <c r="A544" s="158" t="str">
        <f t="shared" si="124"/>
        <v>B7.32 93 34.04</v>
      </c>
      <c r="B544" s="234" t="s">
        <v>908</v>
      </c>
      <c r="C544" s="221" t="s">
        <v>861</v>
      </c>
      <c r="D544" s="226">
        <v>5878</v>
      </c>
      <c r="E544" s="82">
        <v>80</v>
      </c>
      <c r="F544" s="113">
        <f t="shared" si="125"/>
        <v>470240</v>
      </c>
      <c r="G544" s="114" t="s">
        <v>909</v>
      </c>
      <c r="H544" s="878" t="s">
        <v>910</v>
      </c>
      <c r="I544" s="212"/>
    </row>
    <row r="545" spans="1:9" s="213" customFormat="1" ht="34.5" customHeight="1" x14ac:dyDescent="0.2">
      <c r="A545" s="158" t="str">
        <f t="shared" si="124"/>
        <v>B7.32 93 34.05</v>
      </c>
      <c r="B545" s="234" t="s">
        <v>911</v>
      </c>
      <c r="C545" s="221" t="s">
        <v>861</v>
      </c>
      <c r="D545" s="226">
        <v>13879</v>
      </c>
      <c r="E545" s="82">
        <v>18</v>
      </c>
      <c r="F545" s="113">
        <f t="shared" si="125"/>
        <v>249822</v>
      </c>
      <c r="G545" s="114" t="s">
        <v>912</v>
      </c>
      <c r="H545" s="878" t="s">
        <v>913</v>
      </c>
      <c r="I545" s="212"/>
    </row>
    <row r="546" spans="1:9" s="213" customFormat="1" ht="50.45" customHeight="1" x14ac:dyDescent="0.2">
      <c r="A546" s="158" t="str">
        <f t="shared" si="124"/>
        <v>B7.32 93 34.06</v>
      </c>
      <c r="B546" s="234" t="s">
        <v>914</v>
      </c>
      <c r="C546" s="221" t="s">
        <v>52</v>
      </c>
      <c r="D546" s="226">
        <v>91270</v>
      </c>
      <c r="E546" s="82">
        <v>63</v>
      </c>
      <c r="F546" s="113">
        <f t="shared" si="125"/>
        <v>5750010</v>
      </c>
      <c r="G546" s="114" t="s">
        <v>915</v>
      </c>
      <c r="H546" s="878" t="s">
        <v>916</v>
      </c>
      <c r="I546" s="212"/>
    </row>
    <row r="547" spans="1:9" s="213" customFormat="1" ht="34.5" customHeight="1" x14ac:dyDescent="0.2">
      <c r="A547" s="158"/>
      <c r="B547" s="206" t="s">
        <v>917</v>
      </c>
      <c r="C547" s="235"/>
      <c r="D547" s="236">
        <v>0</v>
      </c>
      <c r="E547" s="237"/>
      <c r="F547" s="113"/>
      <c r="G547" s="210" t="s">
        <v>918</v>
      </c>
      <c r="H547" s="878"/>
      <c r="I547" s="212"/>
    </row>
    <row r="548" spans="1:9" s="213" customFormat="1" ht="24.95" customHeight="1" x14ac:dyDescent="0.2">
      <c r="A548" s="238" t="s">
        <v>359</v>
      </c>
      <c r="B548" s="239" t="s">
        <v>919</v>
      </c>
      <c r="C548" s="240"/>
      <c r="D548" s="240">
        <v>0</v>
      </c>
      <c r="E548" s="241"/>
      <c r="F548" s="113"/>
      <c r="G548" s="218" t="s">
        <v>920</v>
      </c>
      <c r="H548" s="877" t="s">
        <v>359</v>
      </c>
      <c r="I548" s="212"/>
    </row>
    <row r="549" spans="1:9" s="213" customFormat="1" ht="24.95" customHeight="1" x14ac:dyDescent="0.2">
      <c r="A549" s="158" t="str">
        <f t="shared" ref="A549:A553" si="126">H549</f>
        <v>B7.33.14.11.01</v>
      </c>
      <c r="B549" s="242" t="s">
        <v>921</v>
      </c>
      <c r="C549" s="221" t="s">
        <v>52</v>
      </c>
      <c r="D549" s="226">
        <v>6</v>
      </c>
      <c r="E549" s="82">
        <v>62</v>
      </c>
      <c r="F549" s="113">
        <f t="shared" ref="F549:F553" si="127">E549*D549</f>
        <v>372</v>
      </c>
      <c r="G549" s="114" t="s">
        <v>922</v>
      </c>
      <c r="H549" s="878" t="s">
        <v>923</v>
      </c>
      <c r="I549" s="212"/>
    </row>
    <row r="550" spans="1:9" s="213" customFormat="1" ht="24.95" customHeight="1" x14ac:dyDescent="0.2">
      <c r="A550" s="158" t="str">
        <f t="shared" si="126"/>
        <v>B7.33.14.11.02</v>
      </c>
      <c r="B550" s="242" t="s">
        <v>924</v>
      </c>
      <c r="C550" s="221" t="s">
        <v>52</v>
      </c>
      <c r="D550" s="226">
        <v>187</v>
      </c>
      <c r="E550" s="82">
        <v>58</v>
      </c>
      <c r="F550" s="113">
        <f t="shared" si="127"/>
        <v>10846</v>
      </c>
      <c r="G550" s="114" t="s">
        <v>925</v>
      </c>
      <c r="H550" s="878" t="s">
        <v>926</v>
      </c>
      <c r="I550" s="212"/>
    </row>
    <row r="551" spans="1:9" s="213" customFormat="1" ht="24.95" customHeight="1" x14ac:dyDescent="0.2">
      <c r="A551" s="158" t="str">
        <f t="shared" si="126"/>
        <v>B7.33.14.11.03</v>
      </c>
      <c r="B551" s="242" t="s">
        <v>927</v>
      </c>
      <c r="C551" s="221" t="s">
        <v>52</v>
      </c>
      <c r="D551" s="226">
        <v>1074</v>
      </c>
      <c r="E551" s="82">
        <v>54</v>
      </c>
      <c r="F551" s="113">
        <f t="shared" si="127"/>
        <v>57996</v>
      </c>
      <c r="G551" s="114" t="s">
        <v>928</v>
      </c>
      <c r="H551" s="878" t="s">
        <v>929</v>
      </c>
      <c r="I551" s="212"/>
    </row>
    <row r="552" spans="1:9" s="213" customFormat="1" ht="24.95" customHeight="1" x14ac:dyDescent="0.2">
      <c r="A552" s="158" t="str">
        <f t="shared" si="126"/>
        <v>B7.33.14.11.04</v>
      </c>
      <c r="B552" s="242" t="s">
        <v>930</v>
      </c>
      <c r="C552" s="221" t="s">
        <v>52</v>
      </c>
      <c r="D552" s="226">
        <v>10129</v>
      </c>
      <c r="E552" s="82">
        <v>49</v>
      </c>
      <c r="F552" s="113">
        <f t="shared" si="127"/>
        <v>496321</v>
      </c>
      <c r="G552" s="114" t="s">
        <v>931</v>
      </c>
      <c r="H552" s="878" t="s">
        <v>932</v>
      </c>
      <c r="I552" s="212"/>
    </row>
    <row r="553" spans="1:9" s="213" customFormat="1" ht="24.95" customHeight="1" x14ac:dyDescent="0.2">
      <c r="A553" s="158" t="str">
        <f t="shared" si="126"/>
        <v>B7.33.14.11.05</v>
      </c>
      <c r="B553" s="242" t="s">
        <v>933</v>
      </c>
      <c r="C553" s="221" t="s">
        <v>52</v>
      </c>
      <c r="D553" s="226">
        <v>35599</v>
      </c>
      <c r="E553" s="82">
        <v>44</v>
      </c>
      <c r="F553" s="113">
        <f t="shared" si="127"/>
        <v>1566356</v>
      </c>
      <c r="G553" s="114" t="s">
        <v>934</v>
      </c>
      <c r="H553" s="878" t="s">
        <v>935</v>
      </c>
      <c r="I553" s="212"/>
    </row>
    <row r="554" spans="1:9" s="213" customFormat="1" ht="24.95" customHeight="1" x14ac:dyDescent="0.2">
      <c r="A554" s="158"/>
      <c r="B554" s="243"/>
      <c r="C554" s="224"/>
      <c r="D554" s="225"/>
      <c r="E554" s="227"/>
      <c r="F554" s="113">
        <f t="shared" ref="F554:F559" si="128">E554+D554</f>
        <v>0</v>
      </c>
      <c r="G554" s="244"/>
      <c r="H554" s="878"/>
      <c r="I554" s="212"/>
    </row>
    <row r="555" spans="1:9" s="213" customFormat="1" ht="24.95" customHeight="1" x14ac:dyDescent="0.2">
      <c r="A555" s="158"/>
      <c r="B555" s="243"/>
      <c r="C555" s="224"/>
      <c r="D555" s="225"/>
      <c r="E555" s="227"/>
      <c r="F555" s="113">
        <f t="shared" si="128"/>
        <v>0</v>
      </c>
      <c r="G555" s="244"/>
      <c r="H555" s="878"/>
      <c r="I555" s="212"/>
    </row>
    <row r="556" spans="1:9" s="213" customFormat="1" ht="30.75" customHeight="1" x14ac:dyDescent="0.2">
      <c r="A556" s="158"/>
      <c r="B556" s="242"/>
      <c r="C556" s="221"/>
      <c r="D556" s="226"/>
      <c r="E556" s="113"/>
      <c r="F556" s="113">
        <f t="shared" si="128"/>
        <v>0</v>
      </c>
      <c r="G556" s="114"/>
      <c r="H556" s="878"/>
      <c r="I556" s="212"/>
    </row>
    <row r="557" spans="1:9" s="213" customFormat="1" ht="32.25" customHeight="1" x14ac:dyDescent="0.2">
      <c r="A557" s="158"/>
      <c r="B557" s="242"/>
      <c r="C557" s="221"/>
      <c r="D557" s="226"/>
      <c r="E557" s="113"/>
      <c r="F557" s="113">
        <f t="shared" si="128"/>
        <v>0</v>
      </c>
      <c r="G557" s="114"/>
      <c r="H557" s="878"/>
      <c r="I557" s="212"/>
    </row>
    <row r="558" spans="1:9" s="213" customFormat="1" ht="36" customHeight="1" x14ac:dyDescent="0.2">
      <c r="A558" s="245"/>
      <c r="B558" s="231" t="s">
        <v>894</v>
      </c>
      <c r="C558" s="1043" t="s">
        <v>98</v>
      </c>
      <c r="D558" s="1044"/>
      <c r="E558" s="1045"/>
      <c r="F558" s="113">
        <f>SUM(F541:F553)</f>
        <v>17588063</v>
      </c>
      <c r="G558" s="232" t="s">
        <v>895</v>
      </c>
      <c r="H558" s="879"/>
      <c r="I558" s="212"/>
    </row>
    <row r="559" spans="1:9" s="249" customFormat="1" ht="78.75" outlineLevel="1" x14ac:dyDescent="0.2">
      <c r="A559" s="246" t="str">
        <f>H559</f>
        <v>33 14 19</v>
      </c>
      <c r="B559" s="247" t="s">
        <v>936</v>
      </c>
      <c r="C559" s="240"/>
      <c r="D559" s="240"/>
      <c r="E559" s="248"/>
      <c r="F559" s="113">
        <f t="shared" si="128"/>
        <v>0</v>
      </c>
      <c r="G559" s="218" t="s">
        <v>937</v>
      </c>
      <c r="H559" s="877" t="s">
        <v>379</v>
      </c>
      <c r="I559" s="893"/>
    </row>
    <row r="560" spans="1:9" s="249" customFormat="1" ht="59.25" customHeight="1" outlineLevel="1" x14ac:dyDescent="0.2">
      <c r="A560" s="158" t="str">
        <f>H560</f>
        <v>B7.33.14.19.01</v>
      </c>
      <c r="B560" s="129" t="s">
        <v>938</v>
      </c>
      <c r="C560" s="221" t="s">
        <v>298</v>
      </c>
      <c r="D560" s="226">
        <v>5</v>
      </c>
      <c r="E560" s="82">
        <v>1041</v>
      </c>
      <c r="F560" s="113">
        <f>E560*D560</f>
        <v>5205</v>
      </c>
      <c r="G560" s="114" t="s">
        <v>939</v>
      </c>
      <c r="H560" s="878" t="s">
        <v>940</v>
      </c>
      <c r="I560" s="893"/>
    </row>
    <row r="561" spans="1:9" s="250" customFormat="1" ht="58.5" customHeight="1" x14ac:dyDescent="0.2">
      <c r="A561" s="158" t="str">
        <f t="shared" ref="A561:A572" si="129">H561</f>
        <v>B7.33.14.19.02</v>
      </c>
      <c r="B561" s="129" t="s">
        <v>941</v>
      </c>
      <c r="C561" s="221" t="s">
        <v>298</v>
      </c>
      <c r="D561" s="226">
        <v>59</v>
      </c>
      <c r="E561" s="82">
        <v>1378</v>
      </c>
      <c r="F561" s="113">
        <f t="shared" ref="F561:F568" si="130">E561*D561</f>
        <v>81302</v>
      </c>
      <c r="G561" s="114" t="s">
        <v>942</v>
      </c>
      <c r="H561" s="878" t="s">
        <v>943</v>
      </c>
      <c r="I561" s="894"/>
    </row>
    <row r="562" spans="1:9" s="213" customFormat="1" ht="58.5" customHeight="1" x14ac:dyDescent="0.2">
      <c r="A562" s="158" t="str">
        <f t="shared" si="129"/>
        <v>B7.33.14.19.03</v>
      </c>
      <c r="B562" s="129" t="s">
        <v>944</v>
      </c>
      <c r="C562" s="221" t="s">
        <v>298</v>
      </c>
      <c r="D562" s="226">
        <v>14</v>
      </c>
      <c r="E562" s="82">
        <v>1839</v>
      </c>
      <c r="F562" s="113">
        <f t="shared" si="130"/>
        <v>25746</v>
      </c>
      <c r="G562" s="114" t="s">
        <v>945</v>
      </c>
      <c r="H562" s="878" t="s">
        <v>946</v>
      </c>
      <c r="I562" s="212"/>
    </row>
    <row r="563" spans="1:9" s="213" customFormat="1" ht="26.25" customHeight="1" x14ac:dyDescent="0.2">
      <c r="A563" s="158" t="str">
        <f t="shared" si="129"/>
        <v>B7.33.14.19.04</v>
      </c>
      <c r="B563" s="242" t="s">
        <v>947</v>
      </c>
      <c r="C563" s="221" t="s">
        <v>298</v>
      </c>
      <c r="D563" s="226">
        <v>63</v>
      </c>
      <c r="E563" s="82">
        <v>1644</v>
      </c>
      <c r="F563" s="113">
        <f t="shared" si="130"/>
        <v>103572</v>
      </c>
      <c r="G563" s="114" t="s">
        <v>948</v>
      </c>
      <c r="H563" s="878" t="s">
        <v>949</v>
      </c>
      <c r="I563" s="212"/>
    </row>
    <row r="564" spans="1:9" s="213" customFormat="1" ht="44.25" customHeight="1" x14ac:dyDescent="0.2">
      <c r="A564" s="158" t="str">
        <f>H564</f>
        <v>B7.32.80.00.01</v>
      </c>
      <c r="B564" s="251" t="s">
        <v>950</v>
      </c>
      <c r="C564" s="252" t="s">
        <v>52</v>
      </c>
      <c r="D564" s="253">
        <v>2000</v>
      </c>
      <c r="E564" s="82">
        <v>16</v>
      </c>
      <c r="F564" s="113">
        <f t="shared" si="130"/>
        <v>32000</v>
      </c>
      <c r="G564" s="254" t="s">
        <v>951</v>
      </c>
      <c r="H564" s="880" t="s">
        <v>952</v>
      </c>
      <c r="I564" s="212"/>
    </row>
    <row r="565" spans="1:9" s="213" customFormat="1" ht="51.6" customHeight="1" x14ac:dyDescent="0.2">
      <c r="A565" s="158" t="str">
        <f t="shared" ref="A565:A568" si="131">H565</f>
        <v>B7.32.80.00.02</v>
      </c>
      <c r="B565" s="251" t="s">
        <v>953</v>
      </c>
      <c r="C565" s="252" t="s">
        <v>298</v>
      </c>
      <c r="D565" s="253">
        <v>6316</v>
      </c>
      <c r="E565" s="82">
        <v>57</v>
      </c>
      <c r="F565" s="113">
        <f t="shared" si="130"/>
        <v>360012</v>
      </c>
      <c r="G565" s="254" t="s">
        <v>954</v>
      </c>
      <c r="H565" s="880" t="s">
        <v>955</v>
      </c>
      <c r="I565" s="212"/>
    </row>
    <row r="566" spans="1:9" s="213" customFormat="1" ht="73.900000000000006" customHeight="1" x14ac:dyDescent="0.2">
      <c r="A566" s="158" t="str">
        <f t="shared" si="131"/>
        <v>B7.32.80.00.03</v>
      </c>
      <c r="B566" s="251" t="s">
        <v>956</v>
      </c>
      <c r="C566" s="252" t="s">
        <v>52</v>
      </c>
      <c r="D566" s="253">
        <v>87562</v>
      </c>
      <c r="E566" s="82">
        <v>16</v>
      </c>
      <c r="F566" s="113">
        <f t="shared" si="130"/>
        <v>1400992</v>
      </c>
      <c r="G566" s="254" t="s">
        <v>957</v>
      </c>
      <c r="H566" s="880" t="s">
        <v>958</v>
      </c>
      <c r="I566" s="212"/>
    </row>
    <row r="567" spans="1:9" s="259" customFormat="1" ht="44.25" customHeight="1" outlineLevel="1" x14ac:dyDescent="0.2">
      <c r="A567" s="158" t="str">
        <f t="shared" si="131"/>
        <v>B7.32.80.00.04</v>
      </c>
      <c r="B567" s="255" t="s">
        <v>959</v>
      </c>
      <c r="C567" s="256" t="s">
        <v>298</v>
      </c>
      <c r="D567" s="257">
        <v>2</v>
      </c>
      <c r="E567" s="82">
        <v>38349</v>
      </c>
      <c r="F567" s="113">
        <f t="shared" si="130"/>
        <v>76698</v>
      </c>
      <c r="G567" s="258" t="s">
        <v>960</v>
      </c>
      <c r="H567" s="880" t="s">
        <v>961</v>
      </c>
      <c r="I567" s="895"/>
    </row>
    <row r="568" spans="1:9" s="259" customFormat="1" ht="45" customHeight="1" outlineLevel="1" x14ac:dyDescent="0.2">
      <c r="A568" s="158" t="str">
        <f t="shared" si="131"/>
        <v>B7.32.80.00.05</v>
      </c>
      <c r="B568" s="255" t="s">
        <v>962</v>
      </c>
      <c r="C568" s="256" t="s">
        <v>298</v>
      </c>
      <c r="D568" s="257">
        <v>78</v>
      </c>
      <c r="E568" s="82">
        <v>986</v>
      </c>
      <c r="F568" s="113">
        <f t="shared" si="130"/>
        <v>76908</v>
      </c>
      <c r="G568" s="258" t="s">
        <v>963</v>
      </c>
      <c r="H568" s="880" t="s">
        <v>964</v>
      </c>
      <c r="I568" s="895"/>
    </row>
    <row r="569" spans="1:9" s="259" customFormat="1" ht="29.25" customHeight="1" outlineLevel="1" x14ac:dyDescent="0.2">
      <c r="A569" s="158"/>
      <c r="B569" s="255"/>
      <c r="C569" s="256"/>
      <c r="D569" s="257"/>
      <c r="E569" s="260"/>
      <c r="F569" s="226"/>
      <c r="G569" s="258"/>
      <c r="H569" s="880"/>
      <c r="I569" s="895"/>
    </row>
    <row r="570" spans="1:9" s="259" customFormat="1" ht="29.25" customHeight="1" outlineLevel="1" x14ac:dyDescent="0.2">
      <c r="A570" s="158"/>
      <c r="B570" s="255"/>
      <c r="C570" s="256"/>
      <c r="D570" s="257"/>
      <c r="E570" s="260"/>
      <c r="F570" s="226"/>
      <c r="G570" s="258"/>
      <c r="H570" s="880"/>
      <c r="I570" s="895"/>
    </row>
    <row r="571" spans="1:9" s="259" customFormat="1" ht="29.25" customHeight="1" outlineLevel="1" x14ac:dyDescent="0.2">
      <c r="A571" s="158"/>
      <c r="B571" s="255"/>
      <c r="C571" s="256"/>
      <c r="D571" s="257"/>
      <c r="E571" s="260"/>
      <c r="F571" s="226"/>
      <c r="G571" s="258"/>
      <c r="H571" s="880"/>
      <c r="I571" s="895"/>
    </row>
    <row r="572" spans="1:9" s="264" customFormat="1" ht="35.1" customHeight="1" x14ac:dyDescent="0.2">
      <c r="A572" s="261">
        <f t="shared" si="129"/>
        <v>0</v>
      </c>
      <c r="B572" s="231" t="s">
        <v>894</v>
      </c>
      <c r="C572" s="1036" t="s">
        <v>98</v>
      </c>
      <c r="D572" s="1037"/>
      <c r="E572" s="1038"/>
      <c r="F572" s="262">
        <f>SUM(F560:F568)</f>
        <v>2162435</v>
      </c>
      <c r="G572" s="232" t="s">
        <v>895</v>
      </c>
      <c r="H572" s="881"/>
    </row>
    <row r="573" spans="1:9" ht="24.95" customHeight="1" x14ac:dyDescent="0.2">
      <c r="A573" s="265"/>
      <c r="B573" s="163" t="s">
        <v>965</v>
      </c>
      <c r="C573" s="266"/>
      <c r="D573" s="267"/>
      <c r="E573" s="841"/>
      <c r="F573" s="842"/>
      <c r="G573" s="268" t="s">
        <v>966</v>
      </c>
      <c r="H573" s="882"/>
      <c r="I573" s="885"/>
    </row>
    <row r="574" spans="1:9" ht="12" customHeight="1" x14ac:dyDescent="0.2">
      <c r="A574" s="265"/>
      <c r="B574" s="164"/>
      <c r="C574" s="266"/>
      <c r="D574" s="165"/>
      <c r="E574" s="411"/>
      <c r="F574" s="842"/>
      <c r="G574" s="185"/>
      <c r="H574" s="867"/>
      <c r="I574" s="885"/>
    </row>
    <row r="575" spans="1:9" s="110" customFormat="1" ht="21.75" customHeight="1" x14ac:dyDescent="0.2">
      <c r="A575" s="175"/>
      <c r="B575" s="269" t="s">
        <v>967</v>
      </c>
      <c r="C575" s="266"/>
      <c r="D575" s="165"/>
      <c r="E575" s="411"/>
      <c r="F575" s="843">
        <f>F32</f>
        <v>114778993</v>
      </c>
      <c r="G575" s="190" t="s">
        <v>968</v>
      </c>
      <c r="H575" s="883"/>
      <c r="I575" s="890"/>
    </row>
    <row r="576" spans="1:9" s="110" customFormat="1" ht="21.75" customHeight="1" x14ac:dyDescent="0.2">
      <c r="A576" s="175"/>
      <c r="B576" s="269" t="s">
        <v>969</v>
      </c>
      <c r="C576" s="266"/>
      <c r="D576" s="165"/>
      <c r="E576" s="411"/>
      <c r="F576" s="843">
        <f>F53</f>
        <v>2376375</v>
      </c>
      <c r="G576" s="190" t="s">
        <v>970</v>
      </c>
      <c r="H576" s="883"/>
      <c r="I576" s="890"/>
    </row>
    <row r="577" spans="1:9" s="110" customFormat="1" ht="21.75" customHeight="1" x14ac:dyDescent="0.2">
      <c r="A577" s="175"/>
      <c r="B577" s="269" t="s">
        <v>971</v>
      </c>
      <c r="C577" s="266"/>
      <c r="D577" s="165"/>
      <c r="E577" s="411"/>
      <c r="F577" s="843">
        <f>F74</f>
        <v>13653092</v>
      </c>
      <c r="G577" s="190" t="s">
        <v>972</v>
      </c>
      <c r="H577" s="883"/>
      <c r="I577" s="890"/>
    </row>
    <row r="578" spans="1:9" s="110" customFormat="1" ht="21.75" customHeight="1" x14ac:dyDescent="0.2">
      <c r="A578" s="175"/>
      <c r="B578" s="269" t="s">
        <v>973</v>
      </c>
      <c r="C578" s="266"/>
      <c r="D578" s="165"/>
      <c r="E578" s="411"/>
      <c r="F578" s="843">
        <f>F93</f>
        <v>4811594</v>
      </c>
      <c r="G578" s="190" t="s">
        <v>974</v>
      </c>
      <c r="H578" s="883"/>
      <c r="I578" s="890"/>
    </row>
    <row r="579" spans="1:9" s="110" customFormat="1" ht="21.75" customHeight="1" x14ac:dyDescent="0.2">
      <c r="A579" s="175"/>
      <c r="B579" s="269" t="s">
        <v>975</v>
      </c>
      <c r="C579" s="266"/>
      <c r="D579" s="165"/>
      <c r="E579" s="411"/>
      <c r="F579" s="843">
        <f>F113</f>
        <v>6426428</v>
      </c>
      <c r="G579" s="190" t="s">
        <v>976</v>
      </c>
      <c r="H579" s="883"/>
      <c r="I579" s="890"/>
    </row>
    <row r="580" spans="1:9" s="110" customFormat="1" ht="21.75" customHeight="1" x14ac:dyDescent="0.2">
      <c r="A580" s="175"/>
      <c r="B580" s="269" t="s">
        <v>977</v>
      </c>
      <c r="C580" s="266"/>
      <c r="D580" s="165"/>
      <c r="E580" s="411"/>
      <c r="F580" s="843">
        <f>F134</f>
        <v>5727544</v>
      </c>
      <c r="G580" s="190" t="s">
        <v>978</v>
      </c>
      <c r="H580" s="883"/>
      <c r="I580" s="890"/>
    </row>
    <row r="581" spans="1:9" s="110" customFormat="1" ht="21.75" customHeight="1" x14ac:dyDescent="0.2">
      <c r="A581" s="175"/>
      <c r="B581" s="269" t="s">
        <v>979</v>
      </c>
      <c r="C581" s="266"/>
      <c r="D581" s="165"/>
      <c r="E581" s="411"/>
      <c r="F581" s="843">
        <f>F158</f>
        <v>4149815</v>
      </c>
      <c r="G581" s="190" t="s">
        <v>980</v>
      </c>
      <c r="H581" s="883"/>
      <c r="I581" s="890"/>
    </row>
    <row r="582" spans="1:9" s="110" customFormat="1" ht="21.75" customHeight="1" x14ac:dyDescent="0.2">
      <c r="A582" s="175"/>
      <c r="B582" s="269" t="s">
        <v>981</v>
      </c>
      <c r="C582" s="266"/>
      <c r="D582" s="165"/>
      <c r="E582" s="411"/>
      <c r="F582" s="843">
        <f>F180</f>
        <v>687046</v>
      </c>
      <c r="G582" s="190" t="s">
        <v>982</v>
      </c>
      <c r="H582" s="883"/>
      <c r="I582" s="890"/>
    </row>
    <row r="583" spans="1:9" s="110" customFormat="1" ht="21.75" customHeight="1" x14ac:dyDescent="0.2">
      <c r="A583" s="175"/>
      <c r="B583" s="269" t="s">
        <v>983</v>
      </c>
      <c r="C583" s="266"/>
      <c r="D583" s="165"/>
      <c r="E583" s="411"/>
      <c r="F583" s="843">
        <f>F201</f>
        <v>3175265</v>
      </c>
      <c r="G583" s="190" t="s">
        <v>984</v>
      </c>
      <c r="H583" s="883"/>
      <c r="I583" s="890"/>
    </row>
    <row r="584" spans="1:9" s="110" customFormat="1" ht="21.75" customHeight="1" x14ac:dyDescent="0.2">
      <c r="A584" s="175"/>
      <c r="B584" s="269" t="s">
        <v>985</v>
      </c>
      <c r="C584" s="266"/>
      <c r="D584" s="165"/>
      <c r="E584" s="411"/>
      <c r="F584" s="843">
        <f>F223</f>
        <v>956023</v>
      </c>
      <c r="G584" s="190" t="s">
        <v>986</v>
      </c>
      <c r="H584" s="883"/>
      <c r="I584" s="890"/>
    </row>
    <row r="585" spans="1:9" s="110" customFormat="1" ht="21.75" customHeight="1" x14ac:dyDescent="0.2">
      <c r="A585" s="175"/>
      <c r="B585" s="269" t="s">
        <v>987</v>
      </c>
      <c r="C585" s="266"/>
      <c r="D585" s="165"/>
      <c r="E585" s="411"/>
      <c r="F585" s="843">
        <f>F245</f>
        <v>2827456</v>
      </c>
      <c r="G585" s="190" t="s">
        <v>988</v>
      </c>
      <c r="H585" s="883"/>
      <c r="I585" s="890"/>
    </row>
    <row r="586" spans="1:9" s="110" customFormat="1" ht="21.75" customHeight="1" x14ac:dyDescent="0.2">
      <c r="A586" s="175"/>
      <c r="B586" s="269" t="s">
        <v>989</v>
      </c>
      <c r="C586" s="266"/>
      <c r="D586" s="165"/>
      <c r="E586" s="411"/>
      <c r="F586" s="843">
        <f>F270</f>
        <v>348182</v>
      </c>
      <c r="G586" s="190" t="s">
        <v>990</v>
      </c>
      <c r="H586" s="883"/>
      <c r="I586" s="890"/>
    </row>
    <row r="587" spans="1:9" s="110" customFormat="1" ht="21.75" customHeight="1" x14ac:dyDescent="0.2">
      <c r="A587" s="175"/>
      <c r="B587" s="269" t="s">
        <v>991</v>
      </c>
      <c r="C587" s="266"/>
      <c r="D587" s="165"/>
      <c r="E587" s="411"/>
      <c r="F587" s="843">
        <f>F294</f>
        <v>978876</v>
      </c>
      <c r="G587" s="190" t="s">
        <v>992</v>
      </c>
      <c r="H587" s="883"/>
      <c r="I587" s="890"/>
    </row>
    <row r="588" spans="1:9" s="110" customFormat="1" ht="21.75" customHeight="1" x14ac:dyDescent="0.2">
      <c r="A588" s="175"/>
      <c r="B588" s="269" t="s">
        <v>993</v>
      </c>
      <c r="C588" s="266"/>
      <c r="D588" s="165"/>
      <c r="E588" s="411"/>
      <c r="F588" s="843">
        <f>F317</f>
        <v>2458520</v>
      </c>
      <c r="G588" s="190" t="s">
        <v>994</v>
      </c>
      <c r="H588" s="883"/>
      <c r="I588" s="890"/>
    </row>
    <row r="589" spans="1:9" s="110" customFormat="1" ht="21.75" customHeight="1" x14ac:dyDescent="0.2">
      <c r="A589" s="175"/>
      <c r="B589" s="269" t="s">
        <v>995</v>
      </c>
      <c r="C589" s="266"/>
      <c r="D589" s="165"/>
      <c r="E589" s="411"/>
      <c r="F589" s="843">
        <f>F341</f>
        <v>1060454</v>
      </c>
      <c r="G589" s="190" t="s">
        <v>996</v>
      </c>
      <c r="H589" s="883"/>
      <c r="I589" s="890"/>
    </row>
    <row r="590" spans="1:9" s="110" customFormat="1" ht="21.75" customHeight="1" x14ac:dyDescent="0.2">
      <c r="A590" s="175"/>
      <c r="B590" s="269" t="s">
        <v>997</v>
      </c>
      <c r="C590" s="266"/>
      <c r="D590" s="165"/>
      <c r="E590" s="411"/>
      <c r="F590" s="843">
        <f>F368</f>
        <v>4473540</v>
      </c>
      <c r="G590" s="190" t="s">
        <v>998</v>
      </c>
      <c r="H590" s="883"/>
      <c r="I590" s="890"/>
    </row>
    <row r="591" spans="1:9" s="110" customFormat="1" ht="21.75" customHeight="1" x14ac:dyDescent="0.2">
      <c r="A591" s="175"/>
      <c r="B591" s="269" t="s">
        <v>999</v>
      </c>
      <c r="C591" s="266"/>
      <c r="D591" s="165"/>
      <c r="E591" s="411"/>
      <c r="F591" s="843">
        <f>F390</f>
        <v>3419995</v>
      </c>
      <c r="G591" s="190" t="s">
        <v>1000</v>
      </c>
      <c r="H591" s="883"/>
      <c r="I591" s="890"/>
    </row>
    <row r="592" spans="1:9" s="110" customFormat="1" ht="21.75" customHeight="1" x14ac:dyDescent="0.2">
      <c r="A592" s="175"/>
      <c r="B592" s="269" t="s">
        <v>1001</v>
      </c>
      <c r="C592" s="266"/>
      <c r="D592" s="165"/>
      <c r="E592" s="411"/>
      <c r="F592" s="843">
        <f>F411</f>
        <v>1402130</v>
      </c>
      <c r="G592" s="190" t="s">
        <v>1002</v>
      </c>
      <c r="H592" s="883"/>
      <c r="I592" s="890"/>
    </row>
    <row r="593" spans="1:9" s="110" customFormat="1" ht="21.75" customHeight="1" x14ac:dyDescent="0.2">
      <c r="A593" s="175"/>
      <c r="B593" s="269" t="s">
        <v>1003</v>
      </c>
      <c r="C593" s="266"/>
      <c r="D593" s="165"/>
      <c r="E593" s="411"/>
      <c r="F593" s="843">
        <f>F428</f>
        <v>1795965</v>
      </c>
      <c r="G593" s="190" t="s">
        <v>1004</v>
      </c>
      <c r="H593" s="883"/>
      <c r="I593" s="890"/>
    </row>
    <row r="594" spans="1:9" s="110" customFormat="1" ht="21.75" customHeight="1" x14ac:dyDescent="0.2">
      <c r="A594" s="175"/>
      <c r="B594" s="269" t="s">
        <v>1005</v>
      </c>
      <c r="C594" s="266"/>
      <c r="D594" s="165"/>
      <c r="E594" s="411"/>
      <c r="F594" s="843">
        <f>F450</f>
        <v>4618996</v>
      </c>
      <c r="G594" s="190" t="s">
        <v>1006</v>
      </c>
      <c r="H594" s="883"/>
      <c r="I594" s="890"/>
    </row>
    <row r="595" spans="1:9" s="110" customFormat="1" ht="21.75" customHeight="1" x14ac:dyDescent="0.2">
      <c r="A595" s="175"/>
      <c r="B595" s="269" t="s">
        <v>1007</v>
      </c>
      <c r="C595" s="266"/>
      <c r="D595" s="165"/>
      <c r="E595" s="411"/>
      <c r="F595" s="843">
        <f>F471</f>
        <v>1638644</v>
      </c>
      <c r="G595" s="190" t="s">
        <v>1008</v>
      </c>
      <c r="H595" s="883"/>
      <c r="I595" s="890"/>
    </row>
    <row r="596" spans="1:9" s="110" customFormat="1" ht="21.75" customHeight="1" x14ac:dyDescent="0.2">
      <c r="A596" s="175"/>
      <c r="B596" s="269" t="s">
        <v>1009</v>
      </c>
      <c r="C596" s="266"/>
      <c r="D596" s="165"/>
      <c r="E596" s="411"/>
      <c r="F596" s="843">
        <f>F492</f>
        <v>17923789</v>
      </c>
      <c r="G596" s="190" t="s">
        <v>1010</v>
      </c>
      <c r="H596" s="883"/>
      <c r="I596" s="890"/>
    </row>
    <row r="597" spans="1:9" s="110" customFormat="1" ht="21.75" customHeight="1" x14ac:dyDescent="0.2">
      <c r="A597" s="175"/>
      <c r="B597" s="269" t="s">
        <v>1011</v>
      </c>
      <c r="C597" s="266"/>
      <c r="D597" s="165"/>
      <c r="E597" s="411"/>
      <c r="F597" s="843">
        <f>F514</f>
        <v>4316580</v>
      </c>
      <c r="G597" s="190" t="s">
        <v>1012</v>
      </c>
      <c r="H597" s="883"/>
      <c r="I597" s="890"/>
    </row>
    <row r="598" spans="1:9" s="110" customFormat="1" ht="21.75" customHeight="1" x14ac:dyDescent="0.2">
      <c r="A598" s="175"/>
      <c r="B598" s="269" t="s">
        <v>1013</v>
      </c>
      <c r="C598" s="266"/>
      <c r="D598" s="165"/>
      <c r="E598" s="411"/>
      <c r="F598" s="843">
        <f>F539</f>
        <v>2771883</v>
      </c>
      <c r="G598" s="190" t="s">
        <v>1014</v>
      </c>
      <c r="H598" s="883"/>
      <c r="I598" s="890"/>
    </row>
    <row r="599" spans="1:9" s="110" customFormat="1" ht="21.75" customHeight="1" x14ac:dyDescent="0.2">
      <c r="A599" s="175"/>
      <c r="B599" s="269" t="s">
        <v>1015</v>
      </c>
      <c r="C599" s="266"/>
      <c r="D599" s="165"/>
      <c r="E599" s="411"/>
      <c r="F599" s="843">
        <f>F558</f>
        <v>17588063</v>
      </c>
      <c r="G599" s="190" t="s">
        <v>1016</v>
      </c>
      <c r="H599" s="883"/>
      <c r="I599" s="890"/>
    </row>
    <row r="600" spans="1:9" s="110" customFormat="1" ht="21.75" customHeight="1" x14ac:dyDescent="0.2">
      <c r="A600" s="175"/>
      <c r="B600" s="269" t="s">
        <v>1017</v>
      </c>
      <c r="C600" s="266"/>
      <c r="D600" s="165"/>
      <c r="E600" s="411"/>
      <c r="F600" s="843">
        <f>F572</f>
        <v>2162435</v>
      </c>
      <c r="G600" s="190" t="s">
        <v>1018</v>
      </c>
      <c r="H600" s="883"/>
      <c r="I600" s="890"/>
    </row>
    <row r="601" spans="1:9" ht="30" customHeight="1" x14ac:dyDescent="0.2">
      <c r="A601" s="265"/>
      <c r="B601" s="106" t="s">
        <v>1019</v>
      </c>
      <c r="C601" s="1039" t="s">
        <v>98</v>
      </c>
      <c r="D601" s="1039"/>
      <c r="E601" s="1039"/>
      <c r="F601" s="829">
        <f>SUM(F575:F600)</f>
        <v>226527683</v>
      </c>
      <c r="G601" s="109" t="s">
        <v>1020</v>
      </c>
      <c r="H601" s="884"/>
      <c r="I601" s="885"/>
    </row>
    <row r="602" spans="1:9" x14ac:dyDescent="0.2">
      <c r="A602" s="270"/>
      <c r="B602" s="271"/>
      <c r="C602" s="272"/>
      <c r="D602" s="273"/>
      <c r="E602" s="844"/>
      <c r="F602" s="845"/>
      <c r="G602" s="274"/>
      <c r="H602" s="272"/>
    </row>
    <row r="603" spans="1:9" x14ac:dyDescent="0.2">
      <c r="E603" s="846" t="s">
        <v>1021</v>
      </c>
      <c r="F603" s="847"/>
      <c r="H603" s="276"/>
    </row>
    <row r="604" spans="1:9" x14ac:dyDescent="0.2">
      <c r="E604" s="846" t="s">
        <v>1022</v>
      </c>
      <c r="F604" s="847">
        <f>SUMPRODUCT($D:$D,E:E)</f>
        <v>226527683</v>
      </c>
      <c r="H604" s="276"/>
    </row>
    <row r="605" spans="1:9" x14ac:dyDescent="0.2">
      <c r="E605" s="846" t="s">
        <v>1023</v>
      </c>
      <c r="F605" s="847" t="e">
        <f>SUMIF(#REF!,"sum",F:F)</f>
        <v>#REF!</v>
      </c>
      <c r="H605" s="276"/>
    </row>
    <row r="606" spans="1:9" x14ac:dyDescent="0.2">
      <c r="E606" s="846"/>
      <c r="F606" s="847"/>
      <c r="H606" s="276"/>
    </row>
    <row r="607" spans="1:9" x14ac:dyDescent="0.2">
      <c r="E607" s="846" t="s">
        <v>1024</v>
      </c>
      <c r="F607" s="847" t="e">
        <f>SUM(F603:F606)</f>
        <v>#REF!</v>
      </c>
      <c r="H607" s="276"/>
    </row>
    <row r="608" spans="1:9" x14ac:dyDescent="0.2">
      <c r="E608" s="846" t="s">
        <v>1025</v>
      </c>
      <c r="F608" s="847" t="e">
        <f>(F607-F601)+10</f>
        <v>#REF!</v>
      </c>
      <c r="H608" s="276"/>
    </row>
    <row r="609" spans="8:8" x14ac:dyDescent="0.2">
      <c r="H609" s="276"/>
    </row>
    <row r="610" spans="8:8" x14ac:dyDescent="0.2">
      <c r="H610" s="276"/>
    </row>
    <row r="611" spans="8:8" x14ac:dyDescent="0.2">
      <c r="H611" s="276"/>
    </row>
    <row r="612" spans="8:8" x14ac:dyDescent="0.2">
      <c r="H612" s="276"/>
    </row>
    <row r="613" spans="8:8" x14ac:dyDescent="0.2">
      <c r="H613" s="276"/>
    </row>
    <row r="614" spans="8:8" x14ac:dyDescent="0.2">
      <c r="H614" s="276"/>
    </row>
    <row r="615" spans="8:8" x14ac:dyDescent="0.2">
      <c r="H615" s="276"/>
    </row>
    <row r="616" spans="8:8" x14ac:dyDescent="0.2">
      <c r="H616" s="276"/>
    </row>
    <row r="617" spans="8:8" x14ac:dyDescent="0.2">
      <c r="H617" s="276"/>
    </row>
    <row r="618" spans="8:8" x14ac:dyDescent="0.2">
      <c r="H618" s="276"/>
    </row>
    <row r="619" spans="8:8" x14ac:dyDescent="0.2">
      <c r="H619" s="276"/>
    </row>
    <row r="620" spans="8:8" x14ac:dyDescent="0.2">
      <c r="H620" s="276"/>
    </row>
    <row r="621" spans="8:8" x14ac:dyDescent="0.2">
      <c r="H621" s="276"/>
    </row>
    <row r="622" spans="8:8" x14ac:dyDescent="0.2">
      <c r="H622" s="276"/>
    </row>
    <row r="623" spans="8:8" x14ac:dyDescent="0.2">
      <c r="H623" s="276"/>
    </row>
    <row r="624" spans="8:8" x14ac:dyDescent="0.2">
      <c r="H624" s="276"/>
    </row>
    <row r="625" spans="1:8" x14ac:dyDescent="0.2">
      <c r="H625" s="276"/>
    </row>
    <row r="626" spans="1:8" x14ac:dyDescent="0.2">
      <c r="H626" s="276"/>
    </row>
    <row r="627" spans="1:8" x14ac:dyDescent="0.2">
      <c r="H627" s="276"/>
    </row>
    <row r="628" spans="1:8" x14ac:dyDescent="0.2">
      <c r="H628" s="276"/>
    </row>
    <row r="629" spans="1:8" x14ac:dyDescent="0.2">
      <c r="H629" s="276"/>
    </row>
    <row r="630" spans="1:8" x14ac:dyDescent="0.2">
      <c r="H630" s="276"/>
    </row>
    <row r="631" spans="1:8" x14ac:dyDescent="0.2">
      <c r="H631" s="276"/>
    </row>
    <row r="632" spans="1:8" x14ac:dyDescent="0.2">
      <c r="A632" s="64"/>
      <c r="B632" s="110"/>
      <c r="C632" s="64"/>
      <c r="D632" s="202"/>
      <c r="E632" s="850"/>
      <c r="H632" s="276"/>
    </row>
    <row r="633" spans="1:8" x14ac:dyDescent="0.2">
      <c r="H633" s="276"/>
    </row>
    <row r="634" spans="1:8" x14ac:dyDescent="0.2">
      <c r="H634" s="276"/>
    </row>
    <row r="635" spans="1:8" x14ac:dyDescent="0.2">
      <c r="A635" s="64"/>
      <c r="B635" s="278"/>
      <c r="C635" s="279"/>
      <c r="D635" s="280"/>
      <c r="E635" s="851"/>
      <c r="H635" s="276"/>
    </row>
    <row r="636" spans="1:8" x14ac:dyDescent="0.2">
      <c r="A636" s="64"/>
      <c r="B636" s="278"/>
      <c r="C636" s="279"/>
      <c r="D636" s="280"/>
      <c r="E636" s="851"/>
      <c r="H636" s="276"/>
    </row>
    <row r="637" spans="1:8" x14ac:dyDescent="0.2">
      <c r="A637" s="64"/>
      <c r="B637" s="278"/>
      <c r="C637" s="279"/>
      <c r="D637" s="280"/>
      <c r="E637" s="851"/>
      <c r="H637" s="276"/>
    </row>
    <row r="638" spans="1:8" x14ac:dyDescent="0.2">
      <c r="A638" s="64"/>
      <c r="B638" s="278"/>
      <c r="C638" s="279"/>
      <c r="D638" s="280"/>
      <c r="E638" s="851"/>
      <c r="H638" s="276"/>
    </row>
    <row r="639" spans="1:8" x14ac:dyDescent="0.2">
      <c r="A639" s="64"/>
      <c r="B639" s="278"/>
      <c r="C639" s="279"/>
      <c r="D639" s="280"/>
      <c r="E639" s="851"/>
      <c r="H639" s="276"/>
    </row>
    <row r="640" spans="1:8" x14ac:dyDescent="0.2">
      <c r="A640" s="64"/>
      <c r="B640" s="278"/>
      <c r="C640" s="279"/>
      <c r="D640" s="280"/>
      <c r="E640" s="851"/>
      <c r="H640" s="276"/>
    </row>
    <row r="641" spans="1:8" x14ac:dyDescent="0.2">
      <c r="A641" s="64"/>
      <c r="B641" s="278"/>
      <c r="C641" s="279"/>
      <c r="D641" s="280"/>
      <c r="E641" s="851"/>
      <c r="H641" s="276"/>
    </row>
    <row r="642" spans="1:8" x14ac:dyDescent="0.2">
      <c r="A642" s="64"/>
      <c r="B642" s="278"/>
      <c r="C642" s="279"/>
      <c r="D642" s="280"/>
      <c r="E642" s="851"/>
      <c r="H642" s="276"/>
    </row>
    <row r="643" spans="1:8" x14ac:dyDescent="0.2">
      <c r="A643" s="64"/>
      <c r="B643" s="278"/>
      <c r="C643" s="279"/>
      <c r="D643" s="280"/>
      <c r="E643" s="851"/>
      <c r="H643" s="276"/>
    </row>
    <row r="644" spans="1:8" x14ac:dyDescent="0.2">
      <c r="A644" s="64"/>
      <c r="B644" s="278"/>
      <c r="C644" s="279"/>
      <c r="D644" s="280"/>
      <c r="E644" s="851"/>
      <c r="H644" s="276"/>
    </row>
    <row r="645" spans="1:8" x14ac:dyDescent="0.2">
      <c r="A645" s="64"/>
      <c r="B645" s="278"/>
      <c r="C645" s="279"/>
      <c r="D645" s="280"/>
      <c r="E645" s="851"/>
      <c r="H645" s="276"/>
    </row>
    <row r="646" spans="1:8" x14ac:dyDescent="0.2">
      <c r="A646" s="64"/>
      <c r="B646" s="278"/>
      <c r="C646" s="279"/>
      <c r="D646" s="280"/>
      <c r="E646" s="851"/>
      <c r="H646" s="276"/>
    </row>
    <row r="647" spans="1:8" x14ac:dyDescent="0.2">
      <c r="A647" s="64"/>
      <c r="B647" s="278"/>
      <c r="C647" s="279"/>
      <c r="D647" s="280"/>
      <c r="E647" s="851"/>
      <c r="H647" s="276"/>
    </row>
    <row r="648" spans="1:8" x14ac:dyDescent="0.2">
      <c r="A648" s="64"/>
      <c r="B648" s="278"/>
      <c r="C648" s="279"/>
      <c r="D648" s="280"/>
      <c r="E648" s="851"/>
      <c r="H648" s="276"/>
    </row>
    <row r="649" spans="1:8" x14ac:dyDescent="0.2">
      <c r="A649" s="64"/>
      <c r="B649" s="278"/>
      <c r="C649" s="279"/>
      <c r="D649" s="280"/>
      <c r="E649" s="851"/>
      <c r="H649" s="276"/>
    </row>
    <row r="650" spans="1:8" x14ac:dyDescent="0.2">
      <c r="A650" s="64"/>
      <c r="B650" s="278"/>
      <c r="C650" s="279"/>
      <c r="D650" s="280"/>
      <c r="E650" s="851"/>
    </row>
    <row r="651" spans="1:8" x14ac:dyDescent="0.2">
      <c r="A651" s="64"/>
      <c r="B651" s="278"/>
      <c r="C651" s="279"/>
      <c r="D651" s="280"/>
      <c r="E651" s="851"/>
    </row>
    <row r="652" spans="1:8" x14ac:dyDescent="0.2">
      <c r="A652" s="64"/>
      <c r="B652" s="278"/>
      <c r="C652" s="279"/>
      <c r="D652" s="280"/>
      <c r="E652" s="851"/>
    </row>
    <row r="653" spans="1:8" s="277" customFormat="1" x14ac:dyDescent="0.2">
      <c r="A653" s="64"/>
      <c r="B653" s="278"/>
      <c r="C653" s="279"/>
      <c r="D653" s="280"/>
      <c r="E653" s="851"/>
      <c r="F653" s="849"/>
      <c r="G653" s="64"/>
      <c r="H653" s="64"/>
    </row>
    <row r="654" spans="1:8" s="277" customFormat="1" x14ac:dyDescent="0.2">
      <c r="A654" s="64"/>
      <c r="B654" s="278"/>
      <c r="C654" s="279"/>
      <c r="D654" s="280"/>
      <c r="E654" s="851"/>
      <c r="F654" s="849"/>
      <c r="G654" s="64"/>
      <c r="H654" s="64"/>
    </row>
    <row r="655" spans="1:8" s="277" customFormat="1" x14ac:dyDescent="0.2">
      <c r="A655" s="64"/>
      <c r="B655" s="278"/>
      <c r="C655" s="279"/>
      <c r="D655" s="280"/>
      <c r="E655" s="851"/>
      <c r="F655" s="849"/>
      <c r="G655" s="64"/>
      <c r="H655" s="64"/>
    </row>
    <row r="656" spans="1:8" s="277" customFormat="1" x14ac:dyDescent="0.2">
      <c r="A656" s="64"/>
      <c r="B656" s="278"/>
      <c r="C656" s="279"/>
      <c r="D656" s="280"/>
      <c r="E656" s="851"/>
      <c r="F656" s="849"/>
      <c r="G656" s="64"/>
      <c r="H656" s="64"/>
    </row>
    <row r="657" spans="1:8" s="277" customFormat="1" x14ac:dyDescent="0.2">
      <c r="A657" s="64"/>
      <c r="B657" s="278"/>
      <c r="C657" s="279"/>
      <c r="D657" s="280"/>
      <c r="E657" s="851"/>
      <c r="F657" s="849"/>
      <c r="G657" s="64"/>
      <c r="H657" s="64"/>
    </row>
    <row r="658" spans="1:8" s="277" customFormat="1" x14ac:dyDescent="0.2">
      <c r="A658" s="64"/>
      <c r="B658" s="278"/>
      <c r="C658" s="279"/>
      <c r="D658" s="280"/>
      <c r="E658" s="851"/>
      <c r="F658" s="849"/>
      <c r="G658" s="64"/>
      <c r="H658" s="64"/>
    </row>
    <row r="659" spans="1:8" s="277" customFormat="1" x14ac:dyDescent="0.2">
      <c r="A659" s="64"/>
      <c r="B659" s="96"/>
      <c r="C659" s="279"/>
      <c r="D659" s="95"/>
      <c r="E659" s="848"/>
      <c r="F659" s="849"/>
      <c r="G659" s="64"/>
      <c r="H659" s="64"/>
    </row>
    <row r="660" spans="1:8" s="277" customFormat="1" x14ac:dyDescent="0.2">
      <c r="A660" s="64"/>
      <c r="B660" s="64"/>
      <c r="C660" s="279"/>
      <c r="D660" s="94"/>
      <c r="E660" s="852"/>
      <c r="F660" s="849"/>
      <c r="G660" s="64"/>
      <c r="H660" s="64"/>
    </row>
    <row r="661" spans="1:8" s="277" customFormat="1" x14ac:dyDescent="0.2">
      <c r="A661" s="64"/>
      <c r="B661" s="64"/>
      <c r="C661" s="279"/>
      <c r="D661" s="94"/>
      <c r="E661" s="852"/>
      <c r="F661" s="849"/>
      <c r="G661" s="64"/>
      <c r="H661" s="64"/>
    </row>
    <row r="662" spans="1:8" s="277" customFormat="1" x14ac:dyDescent="0.2">
      <c r="A662" s="64"/>
      <c r="B662" s="64"/>
      <c r="C662" s="279"/>
      <c r="D662" s="94"/>
      <c r="E662" s="852"/>
      <c r="F662" s="849"/>
      <c r="G662" s="64"/>
      <c r="H662" s="64"/>
    </row>
  </sheetData>
  <autoFilter ref="D1:E662" xr:uid="{29D58483-10FF-44BF-B070-0284232E10B0}">
    <filterColumn colId="0" showButton="0"/>
  </autoFilter>
  <mergeCells count="45">
    <mergeCell ref="H4:H5"/>
    <mergeCell ref="A1:B1"/>
    <mergeCell ref="C1:F3"/>
    <mergeCell ref="A4:A5"/>
    <mergeCell ref="B4:B5"/>
    <mergeCell ref="G4:G5"/>
    <mergeCell ref="G135:H135"/>
    <mergeCell ref="A6:B6"/>
    <mergeCell ref="C6:F6"/>
    <mergeCell ref="G6:H6"/>
    <mergeCell ref="C32:E32"/>
    <mergeCell ref="C53:E53"/>
    <mergeCell ref="A54:B54"/>
    <mergeCell ref="G54:H54"/>
    <mergeCell ref="C270:E270"/>
    <mergeCell ref="C294:E294"/>
    <mergeCell ref="A224:B224"/>
    <mergeCell ref="B226:C226"/>
    <mergeCell ref="C74:E74"/>
    <mergeCell ref="C93:E93"/>
    <mergeCell ref="C113:E113"/>
    <mergeCell ref="C134:E134"/>
    <mergeCell ref="A135:B135"/>
    <mergeCell ref="C158:E158"/>
    <mergeCell ref="C180:E180"/>
    <mergeCell ref="C201:E201"/>
    <mergeCell ref="C223:E223"/>
    <mergeCell ref="C245:E245"/>
    <mergeCell ref="A295:B295"/>
    <mergeCell ref="C317:E317"/>
    <mergeCell ref="A515:B515"/>
    <mergeCell ref="C539:E539"/>
    <mergeCell ref="C558:E558"/>
    <mergeCell ref="C368:E368"/>
    <mergeCell ref="A369:B369"/>
    <mergeCell ref="C390:E390"/>
    <mergeCell ref="C411:E411"/>
    <mergeCell ref="C428:E428"/>
    <mergeCell ref="C450:E450"/>
    <mergeCell ref="C341:E341"/>
    <mergeCell ref="C572:E572"/>
    <mergeCell ref="C601:E601"/>
    <mergeCell ref="C471:E471"/>
    <mergeCell ref="C492:E492"/>
    <mergeCell ref="C514:E514"/>
  </mergeCells>
  <dataValidations disablePrompts="1" count="1">
    <dataValidation type="list" allowBlank="1" showInputMessage="1" showErrorMessage="1" sqref="J70:J72" xr:uid="{B4253ACF-7217-40A0-ACD6-E6169E309B04}">
      <formula1>$I$2:$J$2</formula1>
    </dataValidation>
  </dataValidations>
  <printOptions horizontalCentered="1"/>
  <pageMargins left="0.47244094488188998" right="0.59055118110236204" top="0.43307086614173201" bottom="0.39370078740157499" header="0.27559055118110198" footer="0.196850393700787"/>
  <pageSetup paperSize="9" scale="64" firstPageNumber="10" fitToHeight="0" orientation="landscape" r:id="rId1"/>
  <headerFooter scaleWithDoc="0" alignWithMargins="0"/>
  <rowBreaks count="26" manualBreakCount="26">
    <brk id="32" max="7" man="1"/>
    <brk id="53" max="7" man="1"/>
    <brk id="74" max="7" man="1"/>
    <brk id="93" max="7" man="1"/>
    <brk id="113" max="7" man="1"/>
    <brk id="134" max="7" man="1"/>
    <brk id="158" max="7" man="1"/>
    <brk id="180" max="7" man="1"/>
    <brk id="201" max="7" man="1"/>
    <brk id="223" max="7" man="1"/>
    <brk id="245" max="7" man="1"/>
    <brk id="270" max="7" man="1"/>
    <brk id="294" max="7" man="1"/>
    <brk id="317" max="7" man="1"/>
    <brk id="341" max="7" man="1"/>
    <brk id="368" max="7" man="1"/>
    <brk id="390" max="7" man="1"/>
    <brk id="411" max="7" man="1"/>
    <brk id="428" max="7" man="1"/>
    <brk id="450" max="7" man="1"/>
    <brk id="471" max="7" man="1"/>
    <brk id="492" max="7" man="1"/>
    <brk id="514" max="7" man="1"/>
    <brk id="539" max="7" man="1"/>
    <brk id="558" max="7" man="1"/>
    <brk id="572" max="7" man="1"/>
  </rowBreaks>
  <ignoredErrors>
    <ignoredError sqref="F98"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EA02-D540-4520-8B89-51909F8E74DF}">
  <sheetPr>
    <tabColor rgb="FFFFC000"/>
    <pageSetUpPr fitToPage="1"/>
  </sheetPr>
  <dimension ref="B1:R43"/>
  <sheetViews>
    <sheetView showGridLines="0" view="pageBreakPreview" zoomScale="70" zoomScaleNormal="100" zoomScaleSheetLayoutView="70" workbookViewId="0">
      <selection activeCell="B12" sqref="B12:I12"/>
    </sheetView>
  </sheetViews>
  <sheetFormatPr defaultColWidth="10.7109375" defaultRowHeight="12.75" x14ac:dyDescent="0.2"/>
  <cols>
    <col min="1" max="1" width="10.7109375" style="642"/>
    <col min="2" max="3" width="10.7109375" style="641"/>
    <col min="4" max="7" width="10.7109375" style="642"/>
    <col min="8" max="8" width="10.7109375" style="643"/>
    <col min="9" max="9" width="9.5703125" style="644" customWidth="1"/>
    <col min="10" max="16" width="10.7109375" style="642"/>
    <col min="17" max="17" width="12" style="642" customWidth="1"/>
    <col min="18" max="16384" width="10.7109375" style="642"/>
  </cols>
  <sheetData>
    <row r="1" spans="2:18" x14ac:dyDescent="0.2">
      <c r="J1" s="641"/>
      <c r="K1" s="641"/>
      <c r="P1" s="643"/>
      <c r="Q1" s="644"/>
      <c r="R1" s="644"/>
    </row>
    <row r="2" spans="2:18" x14ac:dyDescent="0.2">
      <c r="B2" s="1032"/>
      <c r="C2" s="1032"/>
      <c r="D2" s="1032"/>
      <c r="E2" s="1032"/>
      <c r="F2" s="1032"/>
      <c r="G2" s="1032"/>
      <c r="H2" s="1032"/>
      <c r="I2" s="1032"/>
      <c r="J2" s="1032"/>
      <c r="K2" s="1032"/>
      <c r="L2" s="1032"/>
      <c r="M2" s="1032"/>
      <c r="N2" s="1032"/>
      <c r="O2" s="1032"/>
      <c r="P2" s="1032"/>
      <c r="Q2" s="1032"/>
      <c r="R2" s="1032"/>
    </row>
    <row r="3" spans="2:18" ht="15.75" x14ac:dyDescent="0.2">
      <c r="B3" s="645"/>
      <c r="C3" s="645"/>
      <c r="D3" s="645"/>
      <c r="E3" s="645"/>
      <c r="F3" s="645"/>
      <c r="G3" s="645"/>
      <c r="H3" s="645"/>
      <c r="I3" s="645"/>
      <c r="J3" s="646"/>
      <c r="N3" s="646"/>
      <c r="O3" s="646"/>
      <c r="P3" s="645"/>
      <c r="Q3" s="645"/>
      <c r="R3" s="645"/>
    </row>
    <row r="4" spans="2:18" ht="28.5" customHeight="1" x14ac:dyDescent="0.3">
      <c r="B4" s="1033" t="s">
        <v>2493</v>
      </c>
      <c r="C4" s="1033"/>
      <c r="D4" s="1033"/>
      <c r="E4" s="1033"/>
      <c r="F4" s="1033"/>
      <c r="G4" s="1033"/>
      <c r="H4" s="1033"/>
      <c r="I4" s="1033"/>
      <c r="J4" s="1029" t="s">
        <v>2494</v>
      </c>
      <c r="K4" s="1029"/>
      <c r="L4" s="1029"/>
      <c r="M4" s="1029"/>
      <c r="N4" s="1029"/>
      <c r="O4" s="1029"/>
      <c r="P4" s="1029"/>
      <c r="Q4" s="1029"/>
    </row>
    <row r="5" spans="2:18" s="649" customFormat="1" ht="51" customHeight="1" x14ac:dyDescent="0.2">
      <c r="B5" s="1034" t="s">
        <v>2495</v>
      </c>
      <c r="C5" s="1034"/>
      <c r="D5" s="1034"/>
      <c r="E5" s="1034"/>
      <c r="F5" s="1034"/>
      <c r="G5" s="1034"/>
      <c r="H5" s="1034"/>
      <c r="I5" s="1034"/>
      <c r="J5" s="1034" t="s">
        <v>2496</v>
      </c>
      <c r="K5" s="1034"/>
      <c r="L5" s="1034"/>
      <c r="M5" s="1034"/>
      <c r="N5" s="1034"/>
      <c r="O5" s="1034"/>
      <c r="P5" s="1034"/>
      <c r="Q5" s="1034"/>
      <c r="R5" s="648"/>
    </row>
    <row r="6" spans="2:18" ht="18" x14ac:dyDescent="0.2">
      <c r="B6" s="650"/>
      <c r="C6" s="650"/>
      <c r="D6" s="650"/>
      <c r="E6" s="650"/>
      <c r="F6" s="650"/>
      <c r="G6" s="650"/>
      <c r="H6" s="650"/>
      <c r="I6" s="650"/>
      <c r="J6" s="650"/>
      <c r="K6" s="650"/>
      <c r="L6" s="650"/>
      <c r="M6" s="650"/>
      <c r="N6" s="650"/>
      <c r="O6" s="650"/>
      <c r="P6" s="650"/>
      <c r="Q6" s="650"/>
      <c r="R6" s="651"/>
    </row>
    <row r="7" spans="2:18" ht="18" x14ac:dyDescent="0.2">
      <c r="B7" s="650"/>
      <c r="C7" s="650"/>
      <c r="D7" s="650"/>
      <c r="E7" s="650"/>
      <c r="F7" s="650"/>
      <c r="G7" s="650"/>
      <c r="H7" s="650"/>
      <c r="I7" s="650"/>
      <c r="J7" s="650"/>
      <c r="K7" s="650"/>
      <c r="L7" s="650"/>
      <c r="M7" s="650"/>
      <c r="N7" s="650"/>
      <c r="O7" s="650"/>
      <c r="P7" s="650"/>
      <c r="Q7" s="650"/>
      <c r="R7" s="651"/>
    </row>
    <row r="8" spans="2:18" ht="18" x14ac:dyDescent="0.2">
      <c r="B8" s="650"/>
      <c r="C8" s="650"/>
      <c r="D8" s="650"/>
      <c r="E8" s="650"/>
      <c r="F8" s="650"/>
      <c r="G8" s="650"/>
      <c r="H8" s="650"/>
      <c r="I8" s="650"/>
      <c r="J8" s="650"/>
      <c r="K8" s="650"/>
      <c r="L8" s="650"/>
      <c r="M8" s="650"/>
      <c r="N8" s="650"/>
      <c r="O8" s="650"/>
      <c r="P8" s="650"/>
      <c r="Q8" s="650"/>
      <c r="R8" s="651"/>
    </row>
    <row r="9" spans="2:18" ht="18" x14ac:dyDescent="0.2">
      <c r="B9" s="650"/>
      <c r="C9" s="650"/>
      <c r="D9" s="650"/>
      <c r="E9" s="650"/>
      <c r="F9" s="650"/>
      <c r="G9" s="650"/>
      <c r="H9" s="650"/>
      <c r="I9" s="650"/>
      <c r="J9" s="650"/>
      <c r="K9" s="650"/>
      <c r="L9" s="650"/>
      <c r="M9" s="650"/>
      <c r="N9" s="650"/>
      <c r="O9" s="650"/>
      <c r="P9" s="650"/>
      <c r="Q9" s="650"/>
      <c r="R9" s="651"/>
    </row>
    <row r="10" spans="2:18" ht="20.25" x14ac:dyDescent="0.2">
      <c r="B10" s="1033"/>
      <c r="C10" s="1033"/>
      <c r="D10" s="1033"/>
      <c r="E10" s="1033"/>
      <c r="F10" s="1033"/>
      <c r="G10" s="1033"/>
      <c r="H10" s="1033"/>
      <c r="I10" s="1033"/>
      <c r="J10" s="650"/>
      <c r="K10" s="650"/>
      <c r="L10" s="650"/>
      <c r="M10" s="650"/>
      <c r="N10" s="650"/>
      <c r="O10" s="650"/>
      <c r="P10" s="650"/>
      <c r="Q10" s="650"/>
      <c r="R10" s="651"/>
    </row>
    <row r="11" spans="2:18" ht="28.5" customHeight="1" x14ac:dyDescent="0.2">
      <c r="B11" s="650"/>
      <c r="C11" s="650"/>
      <c r="D11" s="650"/>
      <c r="E11" s="650"/>
      <c r="F11" s="650"/>
      <c r="G11" s="650"/>
      <c r="H11" s="650"/>
      <c r="I11" s="650"/>
      <c r="J11" s="650"/>
      <c r="K11" s="650"/>
      <c r="L11" s="650"/>
      <c r="M11" s="650"/>
      <c r="N11" s="650"/>
      <c r="O11" s="650"/>
      <c r="P11" s="650"/>
      <c r="Q11" s="650"/>
      <c r="R11" s="651"/>
    </row>
    <row r="12" spans="2:18" ht="20.100000000000001" customHeight="1" x14ac:dyDescent="0.3">
      <c r="B12" s="1035" t="str">
        <f>'General Summary '!D3</f>
        <v>اسم المشروع: تطوير شبكات البنية التحتية في المدينة الصناعية بالخرج</v>
      </c>
      <c r="C12" s="1029"/>
      <c r="D12" s="1029"/>
      <c r="E12" s="1029"/>
      <c r="F12" s="1029"/>
      <c r="G12" s="1029"/>
      <c r="H12" s="1029"/>
      <c r="I12" s="1029"/>
      <c r="J12" s="1029" t="str">
        <f>'General Summary '!C3</f>
        <v>Development of Infrastructure in Kharj Industrial City</v>
      </c>
      <c r="K12" s="1029"/>
      <c r="L12" s="1029"/>
      <c r="M12" s="1029"/>
      <c r="N12" s="1029"/>
      <c r="O12" s="1029"/>
      <c r="P12" s="1029"/>
      <c r="Q12" s="1029"/>
      <c r="R12" s="652"/>
    </row>
    <row r="13" spans="2:18" ht="15.75" customHeight="1" x14ac:dyDescent="0.25">
      <c r="B13" s="1029" t="s">
        <v>2711</v>
      </c>
      <c r="C13" s="1029"/>
      <c r="D13" s="1029"/>
      <c r="E13" s="1029"/>
      <c r="F13" s="1029"/>
      <c r="G13" s="1029"/>
      <c r="H13" s="1029"/>
      <c r="I13" s="1029"/>
      <c r="J13" s="1031" t="s">
        <v>2712</v>
      </c>
      <c r="K13" s="1031"/>
      <c r="L13" s="1031"/>
      <c r="M13" s="1031"/>
      <c r="N13" s="1031"/>
      <c r="O13" s="1031"/>
      <c r="P13" s="1031"/>
      <c r="Q13" s="1031"/>
      <c r="R13" s="654"/>
    </row>
    <row r="14" spans="2:18" ht="23.25" customHeight="1" x14ac:dyDescent="0.25">
      <c r="B14" s="1029"/>
      <c r="C14" s="1029"/>
      <c r="D14" s="1029"/>
      <c r="E14" s="1029"/>
      <c r="F14" s="1029"/>
      <c r="G14" s="1029"/>
      <c r="H14" s="1029"/>
      <c r="I14" s="1029"/>
      <c r="J14" s="1031"/>
      <c r="K14" s="1031"/>
      <c r="L14" s="1031"/>
      <c r="M14" s="1031"/>
      <c r="N14" s="1031"/>
      <c r="O14" s="1031"/>
      <c r="P14" s="1031"/>
      <c r="Q14" s="1031"/>
      <c r="R14" s="654"/>
    </row>
    <row r="15" spans="2:18" ht="15.75" customHeight="1" x14ac:dyDescent="0.3">
      <c r="B15" s="1029"/>
      <c r="C15" s="1029"/>
      <c r="D15" s="1029"/>
      <c r="E15" s="1029"/>
      <c r="F15" s="1029"/>
      <c r="G15" s="1029"/>
      <c r="H15" s="1029"/>
      <c r="I15" s="1029"/>
      <c r="J15" s="647"/>
      <c r="K15" s="647"/>
      <c r="L15" s="647"/>
      <c r="M15" s="647"/>
      <c r="N15" s="647"/>
      <c r="O15" s="647"/>
      <c r="P15" s="647"/>
      <c r="Q15" s="647"/>
      <c r="R15" s="654"/>
    </row>
    <row r="16" spans="2:18" ht="25.5" customHeight="1" x14ac:dyDescent="0.3">
      <c r="B16" s="647"/>
      <c r="C16" s="647"/>
      <c r="D16" s="647"/>
      <c r="E16" s="647"/>
      <c r="F16" s="647"/>
      <c r="G16" s="647"/>
      <c r="H16" s="647"/>
      <c r="I16" s="647"/>
      <c r="J16" s="647"/>
      <c r="K16" s="647"/>
      <c r="L16" s="647"/>
      <c r="M16" s="647"/>
      <c r="N16" s="647"/>
      <c r="O16" s="647"/>
      <c r="P16" s="647"/>
      <c r="Q16" s="647"/>
      <c r="R16" s="654"/>
    </row>
    <row r="17" spans="2:18" ht="33" customHeight="1" x14ac:dyDescent="0.3">
      <c r="B17" s="1029" t="s">
        <v>2497</v>
      </c>
      <c r="C17" s="1029"/>
      <c r="D17" s="1029"/>
      <c r="E17" s="1029"/>
      <c r="F17" s="1029"/>
      <c r="G17" s="1029"/>
      <c r="H17" s="1029"/>
      <c r="I17" s="1029"/>
      <c r="J17" s="1029" t="s">
        <v>2498</v>
      </c>
      <c r="K17" s="1029"/>
      <c r="L17" s="1029"/>
      <c r="M17" s="1029"/>
      <c r="N17" s="1029"/>
      <c r="O17" s="1029"/>
      <c r="P17" s="1029"/>
      <c r="Q17" s="1029"/>
      <c r="R17" s="655"/>
    </row>
    <row r="18" spans="2:18" ht="15.75" customHeight="1" x14ac:dyDescent="0.3">
      <c r="B18" s="1029"/>
      <c r="C18" s="1029"/>
      <c r="D18" s="1029"/>
      <c r="E18" s="1029"/>
      <c r="F18" s="1029"/>
      <c r="G18" s="1029"/>
      <c r="H18" s="1029"/>
      <c r="I18" s="1029"/>
      <c r="J18" s="1029"/>
      <c r="K18" s="1029"/>
      <c r="L18" s="1029"/>
      <c r="M18" s="1029"/>
      <c r="N18" s="1029"/>
      <c r="O18" s="1029"/>
      <c r="P18" s="1029"/>
      <c r="Q18" s="1029"/>
      <c r="R18" s="655"/>
    </row>
    <row r="19" spans="2:18" ht="18" x14ac:dyDescent="0.25">
      <c r="B19" s="656"/>
      <c r="C19" s="656"/>
      <c r="D19" s="656"/>
      <c r="E19" s="656"/>
      <c r="F19" s="656"/>
      <c r="G19" s="656"/>
      <c r="H19" s="656"/>
      <c r="I19" s="656"/>
      <c r="J19" s="656"/>
      <c r="K19" s="656"/>
      <c r="L19" s="656"/>
      <c r="M19" s="656"/>
      <c r="N19" s="656"/>
      <c r="O19" s="656"/>
      <c r="P19" s="656"/>
      <c r="Q19" s="656"/>
      <c r="R19" s="655"/>
    </row>
    <row r="20" spans="2:18" ht="18" x14ac:dyDescent="0.25">
      <c r="B20" s="656"/>
      <c r="C20" s="656"/>
      <c r="D20" s="656"/>
      <c r="E20" s="656"/>
      <c r="F20" s="656"/>
      <c r="G20" s="656"/>
      <c r="H20" s="656"/>
      <c r="I20" s="656"/>
      <c r="J20" s="656"/>
      <c r="K20" s="656"/>
      <c r="L20" s="656"/>
      <c r="M20" s="656"/>
      <c r="N20" s="656"/>
      <c r="O20" s="656"/>
      <c r="P20" s="656"/>
      <c r="Q20" s="656"/>
      <c r="R20" s="655"/>
    </row>
    <row r="21" spans="2:18" ht="20.25" x14ac:dyDescent="0.3">
      <c r="B21" s="1031" t="s">
        <v>26</v>
      </c>
      <c r="C21" s="1031"/>
      <c r="D21" s="1031"/>
      <c r="E21" s="1031"/>
      <c r="F21" s="1031"/>
      <c r="G21" s="1031"/>
      <c r="H21" s="1031"/>
      <c r="I21" s="1031"/>
      <c r="J21" s="1031" t="s">
        <v>2499</v>
      </c>
      <c r="K21" s="1031"/>
      <c r="L21" s="1031"/>
      <c r="M21" s="1031"/>
      <c r="N21" s="1031"/>
      <c r="O21" s="1031"/>
      <c r="P21" s="1031"/>
      <c r="Q21" s="1031"/>
      <c r="R21" s="657"/>
    </row>
    <row r="22" spans="2:18" ht="12.75" customHeight="1" x14ac:dyDescent="0.25">
      <c r="B22" s="658"/>
      <c r="C22" s="658"/>
      <c r="D22" s="658"/>
      <c r="E22" s="658"/>
      <c r="F22" s="658"/>
      <c r="G22" s="658"/>
      <c r="H22" s="658"/>
      <c r="I22" s="658"/>
      <c r="J22" s="658"/>
      <c r="K22" s="658"/>
      <c r="L22" s="658"/>
      <c r="M22" s="658"/>
      <c r="N22" s="658"/>
      <c r="O22" s="658"/>
      <c r="P22" s="658"/>
      <c r="Q22" s="658"/>
      <c r="R22" s="657"/>
    </row>
    <row r="23" spans="2:18" ht="12.75" customHeight="1" x14ac:dyDescent="0.25">
      <c r="B23" s="658"/>
      <c r="C23" s="658"/>
      <c r="D23" s="658"/>
      <c r="E23" s="658"/>
      <c r="F23" s="658"/>
      <c r="G23" s="658"/>
      <c r="H23" s="658"/>
      <c r="I23" s="658"/>
      <c r="J23" s="658"/>
      <c r="K23" s="658"/>
      <c r="L23" s="658"/>
      <c r="M23" s="658"/>
      <c r="N23" s="658"/>
      <c r="O23" s="658"/>
      <c r="P23" s="658"/>
      <c r="Q23" s="658"/>
      <c r="R23" s="657"/>
    </row>
    <row r="24" spans="2:18" ht="12.75" customHeight="1" x14ac:dyDescent="0.25">
      <c r="B24" s="658"/>
      <c r="C24" s="658"/>
      <c r="D24" s="658"/>
      <c r="E24" s="658"/>
      <c r="F24" s="658"/>
      <c r="G24" s="658"/>
      <c r="H24" s="658"/>
      <c r="I24" s="658"/>
      <c r="J24" s="658"/>
      <c r="K24" s="658"/>
      <c r="L24" s="658"/>
      <c r="M24" s="658"/>
      <c r="N24" s="658"/>
      <c r="O24" s="658"/>
      <c r="P24" s="658"/>
      <c r="Q24" s="658"/>
      <c r="R24" s="657"/>
    </row>
    <row r="25" spans="2:18" ht="20.25" x14ac:dyDescent="0.3">
      <c r="B25" s="653"/>
      <c r="C25" s="653"/>
      <c r="D25" s="653"/>
      <c r="E25" s="653"/>
      <c r="F25" s="653"/>
      <c r="G25" s="653"/>
      <c r="H25" s="653"/>
      <c r="I25" s="653"/>
      <c r="J25" s="653"/>
      <c r="K25" s="653"/>
      <c r="L25" s="653"/>
      <c r="M25" s="653"/>
      <c r="N25" s="653"/>
      <c r="O25" s="653"/>
      <c r="P25" s="653"/>
      <c r="Q25" s="653"/>
      <c r="R25" s="657"/>
    </row>
    <row r="26" spans="2:18" ht="20.25" x14ac:dyDescent="0.3">
      <c r="B26" s="1029" t="s">
        <v>2795</v>
      </c>
      <c r="C26" s="1029"/>
      <c r="D26" s="1029"/>
      <c r="E26" s="1029"/>
      <c r="F26" s="1029"/>
      <c r="G26" s="1029"/>
      <c r="H26" s="1029"/>
      <c r="I26" s="1029"/>
      <c r="J26" s="1030">
        <v>45972</v>
      </c>
      <c r="K26" s="1031"/>
      <c r="L26" s="1031"/>
      <c r="M26" s="1031"/>
      <c r="N26" s="1031"/>
      <c r="O26" s="1031"/>
      <c r="P26" s="1031"/>
      <c r="Q26" s="1031"/>
      <c r="R26" s="657"/>
    </row>
    <row r="27" spans="2:18" ht="12.75" customHeight="1" x14ac:dyDescent="0.25">
      <c r="B27" s="658"/>
      <c r="C27" s="658"/>
      <c r="D27" s="658"/>
      <c r="E27" s="658"/>
      <c r="F27" s="658"/>
      <c r="G27" s="658"/>
      <c r="H27" s="658"/>
      <c r="I27" s="658"/>
      <c r="J27" s="658"/>
      <c r="K27" s="658"/>
      <c r="L27" s="658"/>
      <c r="M27" s="658"/>
      <c r="N27" s="658"/>
      <c r="O27" s="658"/>
      <c r="P27" s="658"/>
      <c r="Q27" s="658"/>
      <c r="R27" s="657"/>
    </row>
    <row r="28" spans="2:18" ht="18" x14ac:dyDescent="0.25">
      <c r="B28" s="658"/>
      <c r="C28" s="658"/>
      <c r="D28" s="658"/>
      <c r="E28" s="658"/>
      <c r="F28" s="658"/>
      <c r="G28" s="658"/>
      <c r="H28" s="658"/>
      <c r="I28" s="658"/>
      <c r="J28" s="658"/>
      <c r="K28" s="658"/>
      <c r="L28" s="658"/>
      <c r="M28" s="658"/>
      <c r="N28" s="658"/>
      <c r="O28" s="658"/>
      <c r="P28" s="658"/>
      <c r="Q28" s="658"/>
      <c r="R28" s="657"/>
    </row>
    <row r="29" spans="2:18" ht="12.75" customHeight="1" x14ac:dyDescent="0.25">
      <c r="B29" s="658"/>
      <c r="C29" s="658"/>
      <c r="D29" s="658"/>
      <c r="E29" s="658"/>
      <c r="F29" s="658"/>
      <c r="G29" s="658"/>
      <c r="H29" s="658"/>
      <c r="I29" s="658"/>
      <c r="J29" s="658"/>
      <c r="K29" s="658"/>
      <c r="L29" s="658"/>
      <c r="M29" s="658"/>
      <c r="N29" s="658"/>
      <c r="O29" s="658"/>
      <c r="P29" s="658"/>
      <c r="Q29" s="658"/>
      <c r="R29" s="657"/>
    </row>
    <row r="30" spans="2:18" ht="18" x14ac:dyDescent="0.25">
      <c r="B30" s="658"/>
      <c r="C30" s="658"/>
      <c r="D30" s="658"/>
      <c r="E30" s="658"/>
      <c r="F30" s="658"/>
      <c r="G30" s="658"/>
      <c r="H30" s="658"/>
      <c r="I30" s="658"/>
      <c r="J30" s="658"/>
      <c r="K30" s="658"/>
      <c r="L30" s="658"/>
      <c r="M30" s="658"/>
      <c r="N30" s="658"/>
      <c r="O30" s="658"/>
      <c r="P30" s="658"/>
      <c r="Q30" s="658"/>
      <c r="R30" s="657"/>
    </row>
    <row r="31" spans="2:18" ht="12.75" customHeight="1" x14ac:dyDescent="0.2">
      <c r="J31" s="641"/>
      <c r="K31" s="641"/>
      <c r="P31" s="643"/>
      <c r="Q31" s="644"/>
      <c r="R31" s="644"/>
    </row>
    <row r="32" spans="2:18" x14ac:dyDescent="0.2">
      <c r="J32" s="641"/>
      <c r="K32" s="641"/>
      <c r="P32" s="643"/>
      <c r="Q32" s="644"/>
      <c r="R32" s="644"/>
    </row>
    <row r="33" spans="10:18" ht="12.75" customHeight="1" x14ac:dyDescent="0.2">
      <c r="J33" s="641"/>
      <c r="K33" s="641"/>
      <c r="P33" s="643"/>
      <c r="Q33" s="644"/>
      <c r="R33" s="644"/>
    </row>
    <row r="34" spans="10:18" x14ac:dyDescent="0.2">
      <c r="J34" s="641"/>
      <c r="K34" s="641"/>
      <c r="P34" s="643"/>
      <c r="Q34" s="644"/>
      <c r="R34" s="644"/>
    </row>
    <row r="35" spans="10:18" ht="12.75" customHeight="1" x14ac:dyDescent="0.2">
      <c r="J35" s="641"/>
      <c r="K35" s="641"/>
      <c r="P35" s="643"/>
      <c r="Q35" s="644"/>
      <c r="R35" s="644"/>
    </row>
    <row r="36" spans="10:18" ht="12.75" customHeight="1" x14ac:dyDescent="0.2">
      <c r="J36" s="641"/>
      <c r="K36" s="641"/>
      <c r="P36" s="643"/>
      <c r="Q36" s="644"/>
      <c r="R36" s="644"/>
    </row>
    <row r="37" spans="10:18" ht="12.75" customHeight="1" x14ac:dyDescent="0.2"/>
    <row r="39" spans="10:18" ht="12.75" customHeight="1" x14ac:dyDescent="0.2"/>
    <row r="41" spans="10:18" ht="12.75" customHeight="1" x14ac:dyDescent="0.2"/>
    <row r="42" spans="10:18" x14ac:dyDescent="0.2">
      <c r="R42" s="659"/>
    </row>
    <row r="43" spans="10:18" ht="12.75" customHeight="1" x14ac:dyDescent="0.2"/>
  </sheetData>
  <mergeCells count="20">
    <mergeCell ref="B15:I15"/>
    <mergeCell ref="B2:I2"/>
    <mergeCell ref="J2:R2"/>
    <mergeCell ref="B4:I4"/>
    <mergeCell ref="J4:Q4"/>
    <mergeCell ref="B5:I5"/>
    <mergeCell ref="J5:Q5"/>
    <mergeCell ref="B10:I10"/>
    <mergeCell ref="B12:I12"/>
    <mergeCell ref="J12:Q12"/>
    <mergeCell ref="B13:I14"/>
    <mergeCell ref="J13:Q14"/>
    <mergeCell ref="B26:I26"/>
    <mergeCell ref="J26:Q26"/>
    <mergeCell ref="B17:I17"/>
    <mergeCell ref="J17:Q17"/>
    <mergeCell ref="B18:I18"/>
    <mergeCell ref="J18:Q18"/>
    <mergeCell ref="B21:I21"/>
    <mergeCell ref="J21:Q21"/>
  </mergeCells>
  <printOptions horizontalCentered="1"/>
  <pageMargins left="0.47244094488188998" right="0.57999999999999996" top="0.42" bottom="0.39370078740157499" header="0.27559055118110198" footer="0.196850393700787"/>
  <pageSetup scale="67" firstPageNumber="37"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0539-E51B-4419-8740-A963FF26C0AA}">
  <sheetPr>
    <tabColor rgb="FFFFC000"/>
    <pageSetUpPr fitToPage="1"/>
  </sheetPr>
  <dimension ref="A1:E95"/>
  <sheetViews>
    <sheetView view="pageBreakPreview" zoomScale="85" zoomScaleNormal="100" zoomScaleSheetLayoutView="85" workbookViewId="0">
      <pane ySplit="5" topLeftCell="A6" activePane="bottomLeft" state="frozen"/>
      <selection activeCell="G298" sqref="G298"/>
      <selection pane="bottomLeft" activeCell="D1" sqref="D1"/>
    </sheetView>
  </sheetViews>
  <sheetFormatPr defaultColWidth="9.140625" defaultRowHeight="12.75" x14ac:dyDescent="0.2"/>
  <cols>
    <col min="1" max="1" width="28.28515625" style="713" customWidth="1"/>
    <col min="2" max="2" width="82.28515625" style="714" customWidth="1"/>
    <col min="3" max="3" width="109.7109375" style="683" customWidth="1"/>
    <col min="4" max="4" width="42" style="715" customWidth="1"/>
    <col min="5" max="16384" width="9.140625" style="683"/>
  </cols>
  <sheetData>
    <row r="1" spans="1:5" s="664" customFormat="1" ht="54" x14ac:dyDescent="0.25">
      <c r="A1" s="660" t="s">
        <v>2791</v>
      </c>
      <c r="B1" s="661"/>
      <c r="C1" s="662"/>
      <c r="D1" s="752" t="str">
        <f>Cover2!J12</f>
        <v>Development of Infrastructure in Kharj Industrial City</v>
      </c>
      <c r="E1" s="663"/>
    </row>
    <row r="2" spans="1:5" s="664" customFormat="1" ht="18" x14ac:dyDescent="0.25">
      <c r="A2" s="665" t="s">
        <v>26</v>
      </c>
      <c r="B2" s="666"/>
      <c r="C2" s="666"/>
      <c r="D2" s="667" t="s">
        <v>27</v>
      </c>
      <c r="E2" s="663"/>
    </row>
    <row r="3" spans="1:5" s="670" customFormat="1" ht="18" x14ac:dyDescent="0.25">
      <c r="A3" s="668"/>
      <c r="B3" s="666"/>
      <c r="C3" s="666"/>
      <c r="D3" s="667"/>
      <c r="E3" s="669"/>
    </row>
    <row r="4" spans="1:5" s="670" customFormat="1" ht="18" x14ac:dyDescent="0.25">
      <c r="A4" s="668"/>
      <c r="B4" s="666"/>
      <c r="C4" s="666"/>
      <c r="D4" s="667"/>
      <c r="E4" s="669"/>
    </row>
    <row r="5" spans="1:5" s="670" customFormat="1" ht="18.75" thickBot="1" x14ac:dyDescent="0.3">
      <c r="A5" s="668"/>
      <c r="B5" s="666" t="s">
        <v>2500</v>
      </c>
      <c r="C5" s="671" t="s">
        <v>2501</v>
      </c>
      <c r="D5" s="667"/>
      <c r="E5" s="669"/>
    </row>
    <row r="6" spans="1:5" s="677" customFormat="1" ht="36" customHeight="1" x14ac:dyDescent="0.2">
      <c r="A6" s="672"/>
      <c r="B6" s="673" t="s">
        <v>2502</v>
      </c>
      <c r="C6" s="674" t="s">
        <v>2503</v>
      </c>
      <c r="D6" s="675"/>
      <c r="E6" s="676"/>
    </row>
    <row r="7" spans="1:5" ht="77.25" customHeight="1" x14ac:dyDescent="0.2">
      <c r="A7" s="678">
        <v>1.1000000000000001</v>
      </c>
      <c r="B7" s="679" t="s">
        <v>2504</v>
      </c>
      <c r="C7" s="680" t="s">
        <v>2505</v>
      </c>
      <c r="D7" s="681">
        <v>1.1000000000000001</v>
      </c>
      <c r="E7" s="682"/>
    </row>
    <row r="8" spans="1:5" ht="141.75" customHeight="1" x14ac:dyDescent="0.2">
      <c r="A8" s="678">
        <v>1.2</v>
      </c>
      <c r="B8" s="679" t="s">
        <v>2506</v>
      </c>
      <c r="C8" s="680" t="s">
        <v>2507</v>
      </c>
      <c r="D8" s="681">
        <v>1.2</v>
      </c>
      <c r="E8" s="682"/>
    </row>
    <row r="9" spans="1:5" ht="50.25" customHeight="1" x14ac:dyDescent="0.2">
      <c r="A9" s="678">
        <v>1.3</v>
      </c>
      <c r="B9" s="679" t="s">
        <v>2508</v>
      </c>
      <c r="C9" s="680" t="s">
        <v>2509</v>
      </c>
      <c r="D9" s="681">
        <v>1.3</v>
      </c>
      <c r="E9" s="682"/>
    </row>
    <row r="10" spans="1:5" ht="110.25" customHeight="1" x14ac:dyDescent="0.2">
      <c r="A10" s="678">
        <v>1.4</v>
      </c>
      <c r="B10" s="679" t="s">
        <v>2510</v>
      </c>
      <c r="C10" s="685" t="s">
        <v>2511</v>
      </c>
      <c r="D10" s="681">
        <v>1.4</v>
      </c>
      <c r="E10" s="682"/>
    </row>
    <row r="11" spans="1:5" ht="38.25" customHeight="1" x14ac:dyDescent="0.2">
      <c r="A11" s="678">
        <v>1.5</v>
      </c>
      <c r="B11" s="679" t="s">
        <v>2512</v>
      </c>
      <c r="C11" s="680" t="s">
        <v>2513</v>
      </c>
      <c r="D11" s="681">
        <v>1.5</v>
      </c>
      <c r="E11" s="682"/>
    </row>
    <row r="12" spans="1:5" ht="51.75" customHeight="1" x14ac:dyDescent="0.2">
      <c r="A12" s="678">
        <v>1.6</v>
      </c>
      <c r="B12" s="679" t="s">
        <v>2514</v>
      </c>
      <c r="C12" s="680" t="s">
        <v>2515</v>
      </c>
      <c r="D12" s="681">
        <v>1.6</v>
      </c>
      <c r="E12" s="682"/>
    </row>
    <row r="13" spans="1:5" ht="36.75" customHeight="1" x14ac:dyDescent="0.2">
      <c r="A13" s="678">
        <v>1.7</v>
      </c>
      <c r="B13" s="679" t="s">
        <v>2516</v>
      </c>
      <c r="C13" s="680" t="s">
        <v>2517</v>
      </c>
      <c r="D13" s="681">
        <v>1.7</v>
      </c>
      <c r="E13" s="682"/>
    </row>
    <row r="14" spans="1:5" ht="33.75" customHeight="1" x14ac:dyDescent="0.2">
      <c r="A14" s="678">
        <v>1.8</v>
      </c>
      <c r="B14" s="679" t="s">
        <v>2518</v>
      </c>
      <c r="C14" s="680" t="s">
        <v>2519</v>
      </c>
      <c r="D14" s="681">
        <v>1.8</v>
      </c>
      <c r="E14" s="682"/>
    </row>
    <row r="15" spans="1:5" ht="26.25" customHeight="1" x14ac:dyDescent="0.2">
      <c r="A15" s="678" t="s">
        <v>2520</v>
      </c>
      <c r="B15" s="679" t="s">
        <v>2521</v>
      </c>
      <c r="C15" s="680" t="s">
        <v>2522</v>
      </c>
      <c r="D15" s="681" t="s">
        <v>2520</v>
      </c>
      <c r="E15" s="682"/>
    </row>
    <row r="16" spans="1:5" ht="94.5" customHeight="1" x14ac:dyDescent="0.2">
      <c r="A16" s="678" t="s">
        <v>2523</v>
      </c>
      <c r="B16" s="679" t="s">
        <v>2524</v>
      </c>
      <c r="C16" s="680" t="s">
        <v>2525</v>
      </c>
      <c r="D16" s="681" t="s">
        <v>2523</v>
      </c>
      <c r="E16" s="682"/>
    </row>
    <row r="17" spans="1:5" ht="33" customHeight="1" x14ac:dyDescent="0.2">
      <c r="A17" s="678" t="s">
        <v>2526</v>
      </c>
      <c r="B17" s="679" t="s">
        <v>2527</v>
      </c>
      <c r="C17" s="680" t="s">
        <v>2528</v>
      </c>
      <c r="D17" s="681" t="s">
        <v>2526</v>
      </c>
      <c r="E17" s="682"/>
    </row>
    <row r="18" spans="1:5" ht="30" customHeight="1" x14ac:dyDescent="0.2">
      <c r="A18" s="686"/>
      <c r="B18" s="687" t="s">
        <v>2529</v>
      </c>
      <c r="C18" s="687" t="s">
        <v>2530</v>
      </c>
      <c r="D18" s="688"/>
      <c r="E18" s="682"/>
    </row>
    <row r="19" spans="1:5" ht="60" customHeight="1" x14ac:dyDescent="0.2">
      <c r="A19" s="678">
        <v>2.1</v>
      </c>
      <c r="B19" s="679" t="s">
        <v>2531</v>
      </c>
      <c r="C19" s="685" t="s">
        <v>2532</v>
      </c>
      <c r="D19" s="681">
        <v>2.1</v>
      </c>
      <c r="E19" s="682"/>
    </row>
    <row r="20" spans="1:5" ht="43.5" customHeight="1" x14ac:dyDescent="0.2">
      <c r="A20" s="678">
        <v>2.2000000000000002</v>
      </c>
      <c r="B20" s="679" t="s">
        <v>2533</v>
      </c>
      <c r="C20" s="685" t="s">
        <v>2534</v>
      </c>
      <c r="D20" s="681">
        <v>2.2000000000000002</v>
      </c>
      <c r="E20" s="682"/>
    </row>
    <row r="21" spans="1:5" ht="36.75" customHeight="1" x14ac:dyDescent="0.2">
      <c r="A21" s="678">
        <v>2.2999999999999998</v>
      </c>
      <c r="B21" s="679" t="s">
        <v>2535</v>
      </c>
      <c r="C21" s="685" t="s">
        <v>2536</v>
      </c>
      <c r="D21" s="681">
        <v>2.2999999999999998</v>
      </c>
      <c r="E21" s="682"/>
    </row>
    <row r="22" spans="1:5" ht="45" customHeight="1" x14ac:dyDescent="0.2">
      <c r="A22" s="678">
        <v>2.4</v>
      </c>
      <c r="B22" s="679" t="s">
        <v>2537</v>
      </c>
      <c r="C22" s="685" t="s">
        <v>2538</v>
      </c>
      <c r="D22" s="681">
        <v>2.4</v>
      </c>
      <c r="E22" s="682"/>
    </row>
    <row r="23" spans="1:5" ht="50.25" customHeight="1" x14ac:dyDescent="0.2">
      <c r="A23" s="678">
        <v>2.5</v>
      </c>
      <c r="B23" s="679" t="s">
        <v>2539</v>
      </c>
      <c r="C23" s="689" t="s">
        <v>2540</v>
      </c>
      <c r="D23" s="681">
        <v>2.5</v>
      </c>
      <c r="E23" s="682"/>
    </row>
    <row r="24" spans="1:5" ht="63" customHeight="1" x14ac:dyDescent="0.2">
      <c r="A24" s="678">
        <v>2.6</v>
      </c>
      <c r="B24" s="679" t="s">
        <v>2541</v>
      </c>
      <c r="C24" s="685" t="s">
        <v>2542</v>
      </c>
      <c r="D24" s="681">
        <v>2.6</v>
      </c>
      <c r="E24" s="682"/>
    </row>
    <row r="25" spans="1:5" ht="42" customHeight="1" x14ac:dyDescent="0.2">
      <c r="A25" s="678">
        <v>2.7</v>
      </c>
      <c r="B25" s="679" t="s">
        <v>2543</v>
      </c>
      <c r="C25" s="685" t="s">
        <v>2544</v>
      </c>
      <c r="D25" s="681">
        <v>2.7</v>
      </c>
      <c r="E25" s="682"/>
    </row>
    <row r="26" spans="1:5" ht="56.25" customHeight="1" x14ac:dyDescent="0.2">
      <c r="A26" s="678">
        <v>2.8</v>
      </c>
      <c r="B26" s="679" t="s">
        <v>2545</v>
      </c>
      <c r="C26" s="685" t="s">
        <v>2546</v>
      </c>
      <c r="D26" s="681">
        <v>2.8</v>
      </c>
      <c r="E26" s="682"/>
    </row>
    <row r="27" spans="1:5" ht="81" customHeight="1" x14ac:dyDescent="0.2">
      <c r="A27" s="678">
        <v>2.9</v>
      </c>
      <c r="B27" s="679" t="s">
        <v>2547</v>
      </c>
      <c r="C27" s="685" t="s">
        <v>2548</v>
      </c>
      <c r="D27" s="681">
        <v>2.9</v>
      </c>
      <c r="E27" s="682"/>
    </row>
    <row r="28" spans="1:5" ht="46.5" customHeight="1" x14ac:dyDescent="0.2">
      <c r="A28" s="678" t="s">
        <v>2549</v>
      </c>
      <c r="B28" s="679" t="s">
        <v>2550</v>
      </c>
      <c r="C28" s="685" t="s">
        <v>2551</v>
      </c>
      <c r="D28" s="681" t="s">
        <v>2549</v>
      </c>
      <c r="E28" s="682"/>
    </row>
    <row r="29" spans="1:5" ht="60" customHeight="1" x14ac:dyDescent="0.2">
      <c r="A29" s="678">
        <v>2.11</v>
      </c>
      <c r="B29" s="679" t="s">
        <v>2552</v>
      </c>
      <c r="C29" s="685" t="s">
        <v>2553</v>
      </c>
      <c r="D29" s="681">
        <v>2.11</v>
      </c>
      <c r="E29" s="682"/>
    </row>
    <row r="30" spans="1:5" ht="33.75" customHeight="1" x14ac:dyDescent="0.2">
      <c r="A30" s="678" t="s">
        <v>2554</v>
      </c>
      <c r="B30" s="679" t="s">
        <v>2555</v>
      </c>
      <c r="C30" s="685" t="s">
        <v>2556</v>
      </c>
      <c r="D30" s="681" t="s">
        <v>2554</v>
      </c>
      <c r="E30" s="682"/>
    </row>
    <row r="31" spans="1:5" ht="36" customHeight="1" x14ac:dyDescent="0.2">
      <c r="A31" s="686"/>
      <c r="B31" s="687" t="s">
        <v>2557</v>
      </c>
      <c r="C31" s="687" t="s">
        <v>2558</v>
      </c>
      <c r="D31" s="688"/>
      <c r="E31" s="682"/>
    </row>
    <row r="32" spans="1:5" s="677" customFormat="1" ht="27.75" customHeight="1" x14ac:dyDescent="0.2">
      <c r="A32" s="690" t="s">
        <v>2559</v>
      </c>
      <c r="B32" s="691" t="s">
        <v>2560</v>
      </c>
      <c r="C32" s="692" t="s">
        <v>2561</v>
      </c>
      <c r="D32" s="693" t="s">
        <v>2559</v>
      </c>
      <c r="E32" s="676"/>
    </row>
    <row r="33" spans="1:5" ht="218.25" customHeight="1" x14ac:dyDescent="0.2">
      <c r="A33" s="694"/>
      <c r="B33" s="695" t="s">
        <v>2562</v>
      </c>
      <c r="C33" s="696" t="s">
        <v>2563</v>
      </c>
      <c r="D33" s="697"/>
      <c r="E33" s="682"/>
    </row>
    <row r="34" spans="1:5" s="677" customFormat="1" ht="36.75" customHeight="1" x14ac:dyDescent="0.2">
      <c r="A34" s="690" t="s">
        <v>2564</v>
      </c>
      <c r="B34" s="691" t="s">
        <v>2565</v>
      </c>
      <c r="C34" s="692" t="s">
        <v>2566</v>
      </c>
      <c r="D34" s="693" t="s">
        <v>2564</v>
      </c>
      <c r="E34" s="676"/>
    </row>
    <row r="35" spans="1:5" ht="225" x14ac:dyDescent="0.2">
      <c r="A35" s="694"/>
      <c r="B35" s="695" t="s">
        <v>2567</v>
      </c>
      <c r="C35" s="685" t="s">
        <v>2568</v>
      </c>
      <c r="D35" s="681"/>
      <c r="E35" s="682"/>
    </row>
    <row r="36" spans="1:5" s="677" customFormat="1" ht="24" customHeight="1" x14ac:dyDescent="0.2">
      <c r="A36" s="690" t="s">
        <v>2569</v>
      </c>
      <c r="B36" s="691" t="s">
        <v>2570</v>
      </c>
      <c r="C36" s="692" t="s">
        <v>2571</v>
      </c>
      <c r="D36" s="693" t="s">
        <v>2569</v>
      </c>
      <c r="E36" s="676"/>
    </row>
    <row r="37" spans="1:5" ht="135" x14ac:dyDescent="0.2">
      <c r="A37" s="694"/>
      <c r="B37" s="695" t="s">
        <v>2572</v>
      </c>
      <c r="C37" s="680" t="s">
        <v>2573</v>
      </c>
      <c r="D37" s="697"/>
      <c r="E37" s="682"/>
    </row>
    <row r="38" spans="1:5" s="677" customFormat="1" ht="34.5" customHeight="1" x14ac:dyDescent="0.2">
      <c r="A38" s="690" t="s">
        <v>2574</v>
      </c>
      <c r="B38" s="691" t="s">
        <v>2575</v>
      </c>
      <c r="C38" s="692" t="s">
        <v>1904</v>
      </c>
      <c r="D38" s="693" t="s">
        <v>2574</v>
      </c>
      <c r="E38" s="676"/>
    </row>
    <row r="39" spans="1:5" ht="135" x14ac:dyDescent="0.2">
      <c r="A39" s="694"/>
      <c r="B39" s="695" t="s">
        <v>2576</v>
      </c>
      <c r="C39" s="685" t="s">
        <v>2577</v>
      </c>
      <c r="D39" s="697"/>
      <c r="E39" s="682"/>
    </row>
    <row r="40" spans="1:5" ht="41.25" customHeight="1" x14ac:dyDescent="0.2">
      <c r="A40" s="678" t="s">
        <v>2578</v>
      </c>
      <c r="B40" s="679" t="s">
        <v>2579</v>
      </c>
      <c r="C40" s="698" t="s">
        <v>2580</v>
      </c>
      <c r="D40" s="681" t="s">
        <v>2578</v>
      </c>
      <c r="E40" s="682"/>
    </row>
    <row r="41" spans="1:5" ht="39.75" customHeight="1" x14ac:dyDescent="0.2">
      <c r="A41" s="678" t="s">
        <v>2581</v>
      </c>
      <c r="B41" s="695" t="s">
        <v>2582</v>
      </c>
      <c r="C41" s="699" t="s">
        <v>2583</v>
      </c>
      <c r="D41" s="681" t="s">
        <v>2581</v>
      </c>
      <c r="E41" s="682"/>
    </row>
    <row r="42" spans="1:5" ht="44.25" customHeight="1" x14ac:dyDescent="0.2">
      <c r="A42" s="678" t="s">
        <v>2584</v>
      </c>
      <c r="B42" s="679" t="s">
        <v>2585</v>
      </c>
      <c r="C42" s="680" t="s">
        <v>2586</v>
      </c>
      <c r="D42" s="681" t="s">
        <v>2584</v>
      </c>
      <c r="E42" s="682"/>
    </row>
    <row r="43" spans="1:5" ht="44.25" customHeight="1" x14ac:dyDescent="0.2">
      <c r="A43" s="678" t="s">
        <v>2587</v>
      </c>
      <c r="B43" s="679" t="s">
        <v>2585</v>
      </c>
      <c r="C43" s="680" t="s">
        <v>2586</v>
      </c>
      <c r="D43" s="681" t="s">
        <v>2587</v>
      </c>
      <c r="E43" s="682"/>
    </row>
    <row r="44" spans="1:5" ht="32.25" customHeight="1" x14ac:dyDescent="0.2">
      <c r="A44" s="678"/>
      <c r="B44" s="687" t="s">
        <v>2588</v>
      </c>
      <c r="C44" s="687" t="s">
        <v>2589</v>
      </c>
      <c r="D44" s="681"/>
      <c r="E44" s="682"/>
    </row>
    <row r="45" spans="1:5" ht="42" customHeight="1" x14ac:dyDescent="0.2">
      <c r="A45" s="678" t="s">
        <v>2590</v>
      </c>
      <c r="B45" s="679" t="s">
        <v>2591</v>
      </c>
      <c r="C45" s="680" t="s">
        <v>2592</v>
      </c>
      <c r="D45" s="681" t="s">
        <v>2590</v>
      </c>
      <c r="E45" s="682"/>
    </row>
    <row r="46" spans="1:5" s="701" customFormat="1" ht="28.5" customHeight="1" x14ac:dyDescent="0.2">
      <c r="A46" s="678"/>
      <c r="B46" s="687" t="s">
        <v>134</v>
      </c>
      <c r="C46" s="700" t="s">
        <v>135</v>
      </c>
      <c r="D46" s="681"/>
    </row>
    <row r="47" spans="1:5" s="702" customFormat="1" ht="34.5" customHeight="1" x14ac:dyDescent="0.2">
      <c r="A47" s="690"/>
      <c r="B47" s="429" t="s">
        <v>2593</v>
      </c>
      <c r="C47" s="429" t="s">
        <v>2594</v>
      </c>
      <c r="D47" s="693"/>
    </row>
    <row r="48" spans="1:5" s="702" customFormat="1" ht="15" hidden="1" customHeight="1" x14ac:dyDescent="0.2">
      <c r="A48" s="678" t="s">
        <v>2595</v>
      </c>
      <c r="B48" s="679" t="s">
        <v>2596</v>
      </c>
      <c r="C48" s="680" t="s">
        <v>2597</v>
      </c>
      <c r="D48" s="681" t="s">
        <v>2595</v>
      </c>
    </row>
    <row r="49" spans="1:5" s="702" customFormat="1" ht="64.5" customHeight="1" x14ac:dyDescent="0.2">
      <c r="A49" s="678" t="s">
        <v>2595</v>
      </c>
      <c r="B49" s="679" t="s">
        <v>2596</v>
      </c>
      <c r="C49" s="685" t="s">
        <v>2597</v>
      </c>
      <c r="D49" s="681" t="s">
        <v>2595</v>
      </c>
    </row>
    <row r="50" spans="1:5" s="702" customFormat="1" ht="51" customHeight="1" x14ac:dyDescent="0.2">
      <c r="A50" s="678" t="s">
        <v>2598</v>
      </c>
      <c r="B50" s="679" t="s">
        <v>2599</v>
      </c>
      <c r="C50" s="685" t="s">
        <v>2600</v>
      </c>
      <c r="D50" s="681" t="s">
        <v>2598</v>
      </c>
    </row>
    <row r="51" spans="1:5" s="702" customFormat="1" ht="45.75" x14ac:dyDescent="0.2">
      <c r="A51" s="678" t="s">
        <v>2601</v>
      </c>
      <c r="B51" s="679" t="s">
        <v>2602</v>
      </c>
      <c r="C51" s="680" t="s">
        <v>2603</v>
      </c>
      <c r="D51" s="681" t="s">
        <v>2601</v>
      </c>
    </row>
    <row r="52" spans="1:5" s="702" customFormat="1" ht="45.75" x14ac:dyDescent="0.2">
      <c r="A52" s="678" t="s">
        <v>2604</v>
      </c>
      <c r="B52" s="679" t="s">
        <v>2605</v>
      </c>
      <c r="C52" s="680" t="s">
        <v>2606</v>
      </c>
      <c r="D52" s="681" t="s">
        <v>2604</v>
      </c>
    </row>
    <row r="53" spans="1:5" ht="45.75" x14ac:dyDescent="0.2">
      <c r="A53" s="678" t="s">
        <v>2607</v>
      </c>
      <c r="B53" s="679" t="s">
        <v>2608</v>
      </c>
      <c r="C53" s="680" t="s">
        <v>2609</v>
      </c>
      <c r="D53" s="681" t="s">
        <v>2607</v>
      </c>
      <c r="E53" s="682"/>
    </row>
    <row r="54" spans="1:5" s="677" customFormat="1" ht="51.75" customHeight="1" x14ac:dyDescent="0.2">
      <c r="A54" s="678" t="s">
        <v>2610</v>
      </c>
      <c r="B54" s="679" t="s">
        <v>2611</v>
      </c>
      <c r="C54" s="680" t="s">
        <v>2612</v>
      </c>
      <c r="D54" s="681" t="s">
        <v>2610</v>
      </c>
      <c r="E54" s="676"/>
    </row>
    <row r="55" spans="1:5" ht="57.75" customHeight="1" x14ac:dyDescent="0.2">
      <c r="A55" s="678" t="s">
        <v>2613</v>
      </c>
      <c r="B55" s="679" t="s">
        <v>2614</v>
      </c>
      <c r="C55" s="680" t="s">
        <v>2615</v>
      </c>
      <c r="D55" s="681" t="s">
        <v>2613</v>
      </c>
      <c r="E55" s="682"/>
    </row>
    <row r="56" spans="1:5" ht="60.75" x14ac:dyDescent="0.2">
      <c r="A56" s="678" t="s">
        <v>2616</v>
      </c>
      <c r="B56" s="679" t="s">
        <v>2617</v>
      </c>
      <c r="C56" s="680" t="s">
        <v>2618</v>
      </c>
      <c r="D56" s="681" t="s">
        <v>2616</v>
      </c>
      <c r="E56" s="682"/>
    </row>
    <row r="57" spans="1:5" ht="98.25" customHeight="1" x14ac:dyDescent="0.2">
      <c r="A57" s="678" t="s">
        <v>2619</v>
      </c>
      <c r="B57" s="679" t="s">
        <v>2620</v>
      </c>
      <c r="C57" s="680" t="s">
        <v>2621</v>
      </c>
      <c r="D57" s="681" t="s">
        <v>2619</v>
      </c>
      <c r="E57" s="682"/>
    </row>
    <row r="58" spans="1:5" ht="51" customHeight="1" x14ac:dyDescent="0.2">
      <c r="A58" s="678" t="s">
        <v>2622</v>
      </c>
      <c r="B58" s="679" t="s">
        <v>2623</v>
      </c>
      <c r="C58" s="680" t="s">
        <v>2624</v>
      </c>
      <c r="D58" s="681" t="s">
        <v>2622</v>
      </c>
      <c r="E58" s="682"/>
    </row>
    <row r="59" spans="1:5" ht="57" customHeight="1" x14ac:dyDescent="0.2">
      <c r="A59" s="678" t="s">
        <v>2625</v>
      </c>
      <c r="B59" s="679" t="s">
        <v>2626</v>
      </c>
      <c r="C59" s="680" t="s">
        <v>2627</v>
      </c>
      <c r="D59" s="681" t="s">
        <v>2625</v>
      </c>
      <c r="E59" s="682"/>
    </row>
    <row r="60" spans="1:5" ht="52.5" customHeight="1" x14ac:dyDescent="0.2">
      <c r="A60" s="678" t="s">
        <v>2628</v>
      </c>
      <c r="B60" s="679" t="s">
        <v>2629</v>
      </c>
      <c r="C60" s="680" t="s">
        <v>2630</v>
      </c>
      <c r="D60" s="681" t="s">
        <v>2628</v>
      </c>
      <c r="E60" s="682"/>
    </row>
    <row r="61" spans="1:5" ht="60.75" customHeight="1" x14ac:dyDescent="0.2">
      <c r="A61" s="678" t="s">
        <v>2631</v>
      </c>
      <c r="B61" s="679" t="s">
        <v>2632</v>
      </c>
      <c r="C61" s="680" t="s">
        <v>2633</v>
      </c>
      <c r="D61" s="681" t="s">
        <v>2631</v>
      </c>
      <c r="E61" s="682"/>
    </row>
    <row r="62" spans="1:5" ht="51" customHeight="1" x14ac:dyDescent="0.2">
      <c r="A62" s="678" t="s">
        <v>2634</v>
      </c>
      <c r="B62" s="679" t="s">
        <v>2635</v>
      </c>
      <c r="C62" s="680" t="s">
        <v>2636</v>
      </c>
      <c r="D62" s="681" t="s">
        <v>2634</v>
      </c>
      <c r="E62" s="682"/>
    </row>
    <row r="63" spans="1:5" ht="35.25" customHeight="1" x14ac:dyDescent="0.2">
      <c r="A63" s="678" t="s">
        <v>2637</v>
      </c>
      <c r="B63" s="679" t="s">
        <v>2638</v>
      </c>
      <c r="C63" s="680" t="s">
        <v>2639</v>
      </c>
      <c r="D63" s="681" t="s">
        <v>2637</v>
      </c>
      <c r="E63" s="682"/>
    </row>
    <row r="64" spans="1:5" ht="27.75" customHeight="1" x14ac:dyDescent="0.2">
      <c r="A64" s="690"/>
      <c r="B64" s="687" t="s">
        <v>279</v>
      </c>
      <c r="C64" s="700" t="s">
        <v>2640</v>
      </c>
      <c r="D64" s="693"/>
      <c r="E64" s="682"/>
    </row>
    <row r="65" spans="1:5" s="677" customFormat="1" ht="25.5" customHeight="1" x14ac:dyDescent="0.2">
      <c r="A65" s="690"/>
      <c r="B65" s="301" t="s">
        <v>289</v>
      </c>
      <c r="C65" s="379" t="s">
        <v>2641</v>
      </c>
      <c r="D65" s="693"/>
      <c r="E65" s="676"/>
    </row>
    <row r="66" spans="1:5" ht="51.75" customHeight="1" x14ac:dyDescent="0.2">
      <c r="A66" s="678" t="s">
        <v>2642</v>
      </c>
      <c r="B66" s="679" t="s">
        <v>2643</v>
      </c>
      <c r="C66" s="680" t="s">
        <v>2644</v>
      </c>
      <c r="D66" s="681" t="s">
        <v>2642</v>
      </c>
      <c r="E66" s="682"/>
    </row>
    <row r="67" spans="1:5" s="677" customFormat="1" ht="32.25" customHeight="1" x14ac:dyDescent="0.2">
      <c r="A67" s="690"/>
      <c r="B67" s="301" t="s">
        <v>2645</v>
      </c>
      <c r="C67" s="703" t="s">
        <v>458</v>
      </c>
      <c r="D67" s="693"/>
      <c r="E67" s="676"/>
    </row>
    <row r="68" spans="1:5" ht="45" x14ac:dyDescent="0.2">
      <c r="A68" s="678" t="s">
        <v>2646</v>
      </c>
      <c r="B68" s="679" t="s">
        <v>2647</v>
      </c>
      <c r="C68" s="680" t="s">
        <v>2648</v>
      </c>
      <c r="D68" s="681" t="s">
        <v>2646</v>
      </c>
      <c r="E68" s="682"/>
    </row>
    <row r="69" spans="1:5" s="701" customFormat="1" ht="25.5" customHeight="1" x14ac:dyDescent="0.2">
      <c r="A69" s="678"/>
      <c r="B69" s="687" t="s">
        <v>2649</v>
      </c>
      <c r="C69" s="700" t="s">
        <v>2650</v>
      </c>
      <c r="D69" s="681"/>
    </row>
    <row r="70" spans="1:5" ht="81.75" customHeight="1" x14ac:dyDescent="0.2">
      <c r="A70" s="678" t="s">
        <v>2651</v>
      </c>
      <c r="B70" s="679" t="s">
        <v>2652</v>
      </c>
      <c r="C70" s="680" t="s">
        <v>2653</v>
      </c>
      <c r="D70" s="681" t="s">
        <v>2651</v>
      </c>
      <c r="E70" s="682"/>
    </row>
    <row r="71" spans="1:5" ht="78.75" customHeight="1" x14ac:dyDescent="0.2">
      <c r="A71" s="678" t="s">
        <v>2654</v>
      </c>
      <c r="B71" s="679" t="s">
        <v>2655</v>
      </c>
      <c r="C71" s="680" t="s">
        <v>2656</v>
      </c>
      <c r="D71" s="681" t="s">
        <v>2654</v>
      </c>
      <c r="E71" s="682"/>
    </row>
    <row r="72" spans="1:5" ht="123.75" customHeight="1" x14ac:dyDescent="0.2">
      <c r="A72" s="678" t="s">
        <v>2657</v>
      </c>
      <c r="B72" s="679" t="s">
        <v>2658</v>
      </c>
      <c r="C72" s="680" t="s">
        <v>2659</v>
      </c>
      <c r="D72" s="681" t="s">
        <v>2657</v>
      </c>
      <c r="E72" s="682"/>
    </row>
    <row r="73" spans="1:5" ht="49.5" customHeight="1" x14ac:dyDescent="0.2">
      <c r="A73" s="678" t="s">
        <v>2660</v>
      </c>
      <c r="B73" s="679" t="s">
        <v>2508</v>
      </c>
      <c r="C73" s="680" t="s">
        <v>2509</v>
      </c>
      <c r="D73" s="681" t="s">
        <v>2660</v>
      </c>
      <c r="E73" s="682"/>
    </row>
    <row r="74" spans="1:5" ht="100.5" customHeight="1" x14ac:dyDescent="0.2">
      <c r="A74" s="678" t="s">
        <v>2661</v>
      </c>
      <c r="B74" s="679" t="s">
        <v>2662</v>
      </c>
      <c r="C74" s="680" t="s">
        <v>2663</v>
      </c>
      <c r="D74" s="681" t="s">
        <v>2661</v>
      </c>
      <c r="E74" s="682"/>
    </row>
    <row r="75" spans="1:5" ht="35.25" customHeight="1" x14ac:dyDescent="0.2">
      <c r="A75" s="678" t="s">
        <v>2664</v>
      </c>
      <c r="B75" s="679" t="s">
        <v>2665</v>
      </c>
      <c r="C75" s="680" t="s">
        <v>2513</v>
      </c>
      <c r="D75" s="681" t="s">
        <v>2664</v>
      </c>
      <c r="E75" s="682"/>
    </row>
    <row r="76" spans="1:5" ht="55.5" customHeight="1" x14ac:dyDescent="0.2">
      <c r="A76" s="678" t="s">
        <v>2666</v>
      </c>
      <c r="B76" s="679" t="s">
        <v>2514</v>
      </c>
      <c r="C76" s="680" t="s">
        <v>2515</v>
      </c>
      <c r="D76" s="681" t="s">
        <v>2666</v>
      </c>
      <c r="E76" s="682"/>
    </row>
    <row r="77" spans="1:5" ht="35.25" customHeight="1" x14ac:dyDescent="0.2">
      <c r="A77" s="678" t="s">
        <v>2667</v>
      </c>
      <c r="B77" s="679" t="s">
        <v>2516</v>
      </c>
      <c r="C77" s="680" t="s">
        <v>2517</v>
      </c>
      <c r="D77" s="681" t="s">
        <v>2667</v>
      </c>
      <c r="E77" s="682"/>
    </row>
    <row r="78" spans="1:5" ht="35.25" customHeight="1" x14ac:dyDescent="0.2">
      <c r="A78" s="678" t="s">
        <v>2668</v>
      </c>
      <c r="B78" s="684" t="s">
        <v>2518</v>
      </c>
      <c r="C78" s="680" t="s">
        <v>2519</v>
      </c>
      <c r="D78" s="681" t="s">
        <v>2668</v>
      </c>
      <c r="E78" s="682"/>
    </row>
    <row r="79" spans="1:5" s="677" customFormat="1" ht="30.75" customHeight="1" x14ac:dyDescent="0.2">
      <c r="A79" s="690" t="s">
        <v>2669</v>
      </c>
      <c r="B79" s="684" t="s">
        <v>2521</v>
      </c>
      <c r="C79" s="704" t="s">
        <v>2522</v>
      </c>
      <c r="D79" s="693" t="s">
        <v>2669</v>
      </c>
      <c r="E79" s="676"/>
    </row>
    <row r="80" spans="1:5" ht="95.25" customHeight="1" x14ac:dyDescent="0.2">
      <c r="A80" s="678" t="s">
        <v>2670</v>
      </c>
      <c r="B80" s="679" t="s">
        <v>2524</v>
      </c>
      <c r="C80" s="680" t="s">
        <v>2525</v>
      </c>
      <c r="D80" s="681" t="s">
        <v>2670</v>
      </c>
      <c r="E80" s="682"/>
    </row>
    <row r="81" spans="1:5" ht="39.75" customHeight="1" x14ac:dyDescent="0.2">
      <c r="A81" s="678" t="s">
        <v>2671</v>
      </c>
      <c r="B81" s="679" t="s">
        <v>2527</v>
      </c>
      <c r="C81" s="680" t="s">
        <v>2672</v>
      </c>
      <c r="D81" s="681" t="s">
        <v>2671</v>
      </c>
      <c r="E81" s="682"/>
    </row>
    <row r="82" spans="1:5" ht="39.75" customHeight="1" x14ac:dyDescent="0.2">
      <c r="A82" s="678" t="s">
        <v>2673</v>
      </c>
      <c r="B82" s="679" t="s">
        <v>2674</v>
      </c>
      <c r="C82" s="680" t="s">
        <v>2675</v>
      </c>
      <c r="D82" s="681" t="s">
        <v>2673</v>
      </c>
      <c r="E82" s="682"/>
    </row>
    <row r="83" spans="1:5" s="701" customFormat="1" ht="40.5" customHeight="1" x14ac:dyDescent="0.2">
      <c r="A83" s="678"/>
      <c r="B83" s="687" t="s">
        <v>2676</v>
      </c>
      <c r="C83" s="700" t="s">
        <v>2677</v>
      </c>
      <c r="D83" s="681"/>
    </row>
    <row r="84" spans="1:5" ht="78" customHeight="1" x14ac:dyDescent="0.2">
      <c r="A84" s="678" t="s">
        <v>2678</v>
      </c>
      <c r="B84" s="679" t="s">
        <v>2679</v>
      </c>
      <c r="C84" s="680" t="s">
        <v>2680</v>
      </c>
      <c r="D84" s="681" t="s">
        <v>2678</v>
      </c>
      <c r="E84" s="682"/>
    </row>
    <row r="85" spans="1:5" ht="51" customHeight="1" x14ac:dyDescent="0.2">
      <c r="A85" s="678" t="s">
        <v>2681</v>
      </c>
      <c r="B85" s="679" t="s">
        <v>2682</v>
      </c>
      <c r="C85" s="680" t="s">
        <v>2683</v>
      </c>
      <c r="D85" s="681" t="s">
        <v>2681</v>
      </c>
      <c r="E85" s="682"/>
    </row>
    <row r="86" spans="1:5" ht="35.25" customHeight="1" x14ac:dyDescent="0.2">
      <c r="A86" s="678" t="s">
        <v>2684</v>
      </c>
      <c r="B86" s="679" t="s">
        <v>2685</v>
      </c>
      <c r="C86" s="680" t="s">
        <v>2686</v>
      </c>
      <c r="D86" s="681" t="s">
        <v>2684</v>
      </c>
      <c r="E86" s="682"/>
    </row>
    <row r="87" spans="1:5" ht="80.25" customHeight="1" x14ac:dyDescent="0.2">
      <c r="A87" s="678" t="s">
        <v>2687</v>
      </c>
      <c r="B87" s="679" t="s">
        <v>2688</v>
      </c>
      <c r="C87" s="680" t="s">
        <v>2689</v>
      </c>
      <c r="D87" s="681" t="s">
        <v>2687</v>
      </c>
      <c r="E87" s="682"/>
    </row>
    <row r="88" spans="1:5" ht="48" customHeight="1" x14ac:dyDescent="0.2">
      <c r="A88" s="678" t="s">
        <v>2690</v>
      </c>
      <c r="B88" s="679" t="s">
        <v>2691</v>
      </c>
      <c r="C88" s="680" t="s">
        <v>2692</v>
      </c>
      <c r="D88" s="681" t="s">
        <v>2690</v>
      </c>
      <c r="E88" s="682"/>
    </row>
    <row r="89" spans="1:5" ht="33.75" customHeight="1" x14ac:dyDescent="0.2">
      <c r="A89" s="678" t="s">
        <v>2693</v>
      </c>
      <c r="B89" s="679" t="s">
        <v>2694</v>
      </c>
      <c r="C89" s="680" t="s">
        <v>2695</v>
      </c>
      <c r="D89" s="681" t="s">
        <v>2693</v>
      </c>
      <c r="E89" s="682"/>
    </row>
    <row r="90" spans="1:5" ht="34.5" customHeight="1" x14ac:dyDescent="0.2">
      <c r="A90" s="678" t="s">
        <v>2696</v>
      </c>
      <c r="B90" s="679" t="s">
        <v>2697</v>
      </c>
      <c r="C90" s="680" t="s">
        <v>2698</v>
      </c>
      <c r="D90" s="681" t="s">
        <v>2696</v>
      </c>
      <c r="E90" s="682"/>
    </row>
    <row r="91" spans="1:5" ht="61.5" customHeight="1" x14ac:dyDescent="0.2">
      <c r="A91" s="678" t="s">
        <v>2699</v>
      </c>
      <c r="B91" s="679" t="s">
        <v>2700</v>
      </c>
      <c r="C91" s="680" t="s">
        <v>2701</v>
      </c>
      <c r="D91" s="681" t="s">
        <v>2699</v>
      </c>
      <c r="E91" s="682"/>
    </row>
    <row r="92" spans="1:5" ht="54.75" customHeight="1" x14ac:dyDescent="0.2">
      <c r="A92" s="678" t="s">
        <v>2702</v>
      </c>
      <c r="B92" s="679" t="s">
        <v>2703</v>
      </c>
      <c r="C92" s="680" t="s">
        <v>2704</v>
      </c>
      <c r="D92" s="681" t="s">
        <v>2702</v>
      </c>
      <c r="E92" s="682"/>
    </row>
    <row r="93" spans="1:5" ht="48" customHeight="1" x14ac:dyDescent="0.2">
      <c r="A93" s="678" t="s">
        <v>2705</v>
      </c>
      <c r="B93" s="679" t="s">
        <v>2706</v>
      </c>
      <c r="C93" s="680" t="s">
        <v>2707</v>
      </c>
      <c r="D93" s="681" t="s">
        <v>2705</v>
      </c>
      <c r="E93" s="682"/>
    </row>
    <row r="94" spans="1:5" ht="57" customHeight="1" thickBot="1" x14ac:dyDescent="0.25">
      <c r="A94" s="705" t="s">
        <v>2708</v>
      </c>
      <c r="B94" s="706" t="s">
        <v>2709</v>
      </c>
      <c r="C94" s="707" t="s">
        <v>2710</v>
      </c>
      <c r="D94" s="708" t="s">
        <v>2708</v>
      </c>
      <c r="E94" s="682"/>
    </row>
    <row r="95" spans="1:5" x14ac:dyDescent="0.2">
      <c r="A95" s="709"/>
      <c r="B95" s="710"/>
      <c r="C95" s="711"/>
      <c r="D95" s="712"/>
    </row>
  </sheetData>
  <printOptions horizontalCentered="1"/>
  <pageMargins left="0.47244094488188998" right="0.57999999999999996" top="0.42" bottom="0.39370078740157499" header="0.27559055118110198" footer="0.196850393700787"/>
  <pageSetup scale="49" firstPageNumber="38" fitToHeight="0" orientation="landscape" r:id="rId1"/>
  <headerFooter alignWithMargins="0"/>
  <rowBreaks count="5" manualBreakCount="5">
    <brk id="17" max="3" man="1"/>
    <brk id="30" max="3" man="1"/>
    <brk id="43" max="3" man="1"/>
    <brk id="63" max="3" man="1"/>
    <brk id="82"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22FAF-0BA8-4CE3-8B3B-5EA20CB70C1F}">
  <sheetPr>
    <tabColor rgb="FFFFC000"/>
    <pageSetUpPr fitToPage="1"/>
  </sheetPr>
  <dimension ref="A1:K675"/>
  <sheetViews>
    <sheetView showGridLines="0" showZeros="0" view="pageBreakPreview" zoomScaleNormal="100" zoomScaleSheetLayoutView="100" workbookViewId="0">
      <pane ySplit="5" topLeftCell="A6" activePane="bottomLeft" state="frozen"/>
      <selection activeCell="B305" sqref="B305"/>
      <selection pane="bottomLeft" activeCell="A2" sqref="A2"/>
    </sheetView>
  </sheetViews>
  <sheetFormatPr defaultColWidth="9.140625" defaultRowHeight="12.75" outlineLevelRow="1" x14ac:dyDescent="0.2"/>
  <cols>
    <col min="1" max="1" width="15.42578125" style="460" customWidth="1"/>
    <col min="2" max="2" width="52.5703125" style="305" customWidth="1"/>
    <col min="3" max="3" width="7.7109375" style="461" customWidth="1"/>
    <col min="4" max="4" width="10.28515625" style="304" bestFit="1" customWidth="1"/>
    <col min="5" max="5" width="12" style="304" bestFit="1" customWidth="1"/>
    <col min="6" max="6" width="14.5703125" style="462" bestFit="1" customWidth="1"/>
    <col min="7" max="7" width="58.85546875" style="264" customWidth="1"/>
    <col min="8" max="8" width="41.7109375" style="264" customWidth="1"/>
    <col min="9" max="16384" width="9.140625" style="264"/>
  </cols>
  <sheetData>
    <row r="1" spans="1:11" ht="31.5" outlineLevel="1" x14ac:dyDescent="0.2">
      <c r="A1" s="1096" t="str">
        <f>'General Summary '!D3</f>
        <v>اسم المشروع: تطوير شبكات البنية التحتية في المدينة الصناعية بالخرج</v>
      </c>
      <c r="B1" s="1097"/>
      <c r="C1" s="1098"/>
      <c r="D1" s="1099"/>
      <c r="E1" s="1099"/>
      <c r="F1" s="1100"/>
      <c r="G1" s="281"/>
      <c r="H1" s="756" t="str">
        <f>'General Summary '!C3</f>
        <v>Development of Infrastructure in Kharj Industrial City</v>
      </c>
    </row>
    <row r="2" spans="1:11" ht="15.75" outlineLevel="1" x14ac:dyDescent="0.2">
      <c r="A2" s="282" t="s">
        <v>26</v>
      </c>
      <c r="B2" s="283"/>
      <c r="C2" s="1101"/>
      <c r="D2" s="1102"/>
      <c r="E2" s="1102"/>
      <c r="F2" s="1103"/>
      <c r="G2" s="284"/>
      <c r="H2" s="285" t="s">
        <v>27</v>
      </c>
    </row>
    <row r="3" spans="1:11" ht="15.75" outlineLevel="1" x14ac:dyDescent="0.2">
      <c r="A3" s="286"/>
      <c r="B3" s="287"/>
      <c r="C3" s="1101"/>
      <c r="D3" s="1102"/>
      <c r="E3" s="1102"/>
      <c r="F3" s="1103"/>
      <c r="G3" s="288"/>
      <c r="H3" s="285"/>
    </row>
    <row r="4" spans="1:11" ht="25.5" outlineLevel="1" x14ac:dyDescent="0.2">
      <c r="A4" s="1104" t="s">
        <v>28</v>
      </c>
      <c r="B4" s="1104" t="s">
        <v>8</v>
      </c>
      <c r="C4" s="289" t="s">
        <v>29</v>
      </c>
      <c r="D4" s="290" t="s">
        <v>30</v>
      </c>
      <c r="E4" s="291" t="s">
        <v>31</v>
      </c>
      <c r="F4" s="291" t="s">
        <v>32</v>
      </c>
      <c r="G4" s="1095" t="s">
        <v>33</v>
      </c>
      <c r="H4" s="1095" t="s">
        <v>34</v>
      </c>
    </row>
    <row r="5" spans="1:11" outlineLevel="1" x14ac:dyDescent="0.2">
      <c r="A5" s="1104"/>
      <c r="B5" s="1104"/>
      <c r="C5" s="289" t="s">
        <v>35</v>
      </c>
      <c r="D5" s="290" t="s">
        <v>36</v>
      </c>
      <c r="E5" s="291" t="s">
        <v>37</v>
      </c>
      <c r="F5" s="291" t="s">
        <v>38</v>
      </c>
      <c r="G5" s="1095"/>
      <c r="H5" s="1095"/>
      <c r="K5" s="292"/>
    </row>
    <row r="6" spans="1:11" ht="18" outlineLevel="1" x14ac:dyDescent="0.25">
      <c r="A6" s="1085" t="s">
        <v>39</v>
      </c>
      <c r="B6" s="1086"/>
      <c r="C6" s="1087"/>
      <c r="D6" s="1088"/>
      <c r="E6" s="1088"/>
      <c r="F6" s="1089"/>
      <c r="G6" s="1090" t="s">
        <v>40</v>
      </c>
      <c r="H6" s="1091"/>
    </row>
    <row r="7" spans="1:11" ht="15.75" outlineLevel="1" x14ac:dyDescent="0.2">
      <c r="A7" s="293" t="str">
        <f t="shared" ref="A7:A9" si="0">H7</f>
        <v>02 41 00</v>
      </c>
      <c r="B7" s="294" t="s">
        <v>41</v>
      </c>
      <c r="C7" s="75"/>
      <c r="D7" s="76"/>
      <c r="E7" s="295"/>
      <c r="F7" s="295"/>
      <c r="G7" s="296" t="s">
        <v>42</v>
      </c>
      <c r="H7" s="297" t="s">
        <v>43</v>
      </c>
    </row>
    <row r="8" spans="1:11" ht="15.75" outlineLevel="1" x14ac:dyDescent="0.2">
      <c r="A8" s="293" t="str">
        <f t="shared" si="0"/>
        <v>B1.02 41 00.1</v>
      </c>
      <c r="B8" s="298" t="s">
        <v>44</v>
      </c>
      <c r="C8" s="81" t="s">
        <v>1026</v>
      </c>
      <c r="D8" s="299">
        <v>100</v>
      </c>
      <c r="E8" s="113">
        <v>9</v>
      </c>
      <c r="F8" s="113">
        <f>E8*D8</f>
        <v>900</v>
      </c>
      <c r="G8" s="300" t="s">
        <v>46</v>
      </c>
      <c r="H8" s="297" t="s">
        <v>47</v>
      </c>
    </row>
    <row r="9" spans="1:11" outlineLevel="1" x14ac:dyDescent="0.2">
      <c r="A9" s="293" t="str">
        <f t="shared" si="0"/>
        <v>B1.02 41 00.2</v>
      </c>
      <c r="B9" s="298" t="s">
        <v>51</v>
      </c>
      <c r="C9" s="81" t="s">
        <v>52</v>
      </c>
      <c r="D9" s="299">
        <v>100</v>
      </c>
      <c r="E9" s="113">
        <v>12</v>
      </c>
      <c r="F9" s="113">
        <f>E9*D9</f>
        <v>1200</v>
      </c>
      <c r="G9" s="300" t="s">
        <v>53</v>
      </c>
      <c r="H9" s="297" t="s">
        <v>50</v>
      </c>
    </row>
    <row r="10" spans="1:11" ht="15.75" x14ac:dyDescent="0.2">
      <c r="A10" s="293" t="str">
        <f>H10</f>
        <v>31 22 00</v>
      </c>
      <c r="B10" s="301" t="s">
        <v>55</v>
      </c>
      <c r="C10" s="302"/>
      <c r="D10" s="295"/>
      <c r="E10" s="295"/>
      <c r="F10" s="295"/>
      <c r="G10" s="296" t="s">
        <v>56</v>
      </c>
      <c r="H10" s="297" t="s">
        <v>57</v>
      </c>
    </row>
    <row r="11" spans="1:11" x14ac:dyDescent="0.2">
      <c r="A11" s="293" t="str">
        <f t="shared" ref="A11:A17" si="1">H11</f>
        <v>B1.31 22 00.01</v>
      </c>
      <c r="B11" s="298" t="s">
        <v>1027</v>
      </c>
      <c r="C11" s="293" t="s">
        <v>59</v>
      </c>
      <c r="D11" s="299">
        <v>17489</v>
      </c>
      <c r="E11" s="113">
        <v>14</v>
      </c>
      <c r="F11" s="113">
        <f t="shared" ref="F11:F13" si="2">E11*D11</f>
        <v>244846</v>
      </c>
      <c r="G11" s="300" t="s">
        <v>1028</v>
      </c>
      <c r="H11" s="297" t="s">
        <v>61</v>
      </c>
    </row>
    <row r="12" spans="1:11" s="305" customFormat="1" ht="25.5" x14ac:dyDescent="0.2">
      <c r="A12" s="293" t="str">
        <f t="shared" si="1"/>
        <v>B1.31 22 00.02</v>
      </c>
      <c r="B12" s="298" t="s">
        <v>1029</v>
      </c>
      <c r="C12" s="293" t="s">
        <v>59</v>
      </c>
      <c r="D12" s="299">
        <v>6422</v>
      </c>
      <c r="E12" s="113">
        <v>24</v>
      </c>
      <c r="F12" s="113">
        <f t="shared" si="2"/>
        <v>154128</v>
      </c>
      <c r="G12" s="300" t="s">
        <v>1030</v>
      </c>
      <c r="H12" s="297" t="s">
        <v>64</v>
      </c>
    </row>
    <row r="13" spans="1:11" s="307" customFormat="1" x14ac:dyDescent="0.2">
      <c r="A13" s="293" t="str">
        <f t="shared" si="1"/>
        <v>B1.31 22 00.03</v>
      </c>
      <c r="B13" s="306" t="s">
        <v>1031</v>
      </c>
      <c r="C13" s="293" t="s">
        <v>59</v>
      </c>
      <c r="D13" s="299">
        <v>8953</v>
      </c>
      <c r="E13" s="113">
        <v>18</v>
      </c>
      <c r="F13" s="113">
        <f t="shared" si="2"/>
        <v>161154</v>
      </c>
      <c r="G13" s="300" t="s">
        <v>66</v>
      </c>
      <c r="H13" s="297" t="s">
        <v>67</v>
      </c>
    </row>
    <row r="14" spans="1:11" s="307" customFormat="1" ht="15.75" x14ac:dyDescent="0.2">
      <c r="A14" s="293" t="str">
        <f t="shared" si="1"/>
        <v>32 11 23</v>
      </c>
      <c r="B14" s="301" t="s">
        <v>68</v>
      </c>
      <c r="C14" s="302"/>
      <c r="D14" s="308"/>
      <c r="E14" s="308"/>
      <c r="F14" s="295"/>
      <c r="G14" s="309" t="s">
        <v>69</v>
      </c>
      <c r="H14" s="293" t="s">
        <v>70</v>
      </c>
    </row>
    <row r="15" spans="1:11" s="307" customFormat="1" x14ac:dyDescent="0.2">
      <c r="A15" s="293" t="str">
        <f t="shared" si="1"/>
        <v>B1.32 11 23.01</v>
      </c>
      <c r="B15" s="298" t="s">
        <v>68</v>
      </c>
      <c r="C15" s="293" t="s">
        <v>59</v>
      </c>
      <c r="D15" s="299">
        <v>5193</v>
      </c>
      <c r="E15" s="113">
        <v>65</v>
      </c>
      <c r="F15" s="113">
        <f>E15*D15</f>
        <v>337545</v>
      </c>
      <c r="G15" s="300" t="s">
        <v>71</v>
      </c>
      <c r="H15" s="293" t="s">
        <v>72</v>
      </c>
    </row>
    <row r="16" spans="1:11" s="310" customFormat="1" ht="15.75" x14ac:dyDescent="0.2">
      <c r="A16" s="293" t="str">
        <f t="shared" si="1"/>
        <v>32 11 26</v>
      </c>
      <c r="B16" s="311" t="s">
        <v>73</v>
      </c>
      <c r="C16" s="302"/>
      <c r="D16" s="312"/>
      <c r="E16" s="313"/>
      <c r="F16" s="313"/>
      <c r="G16" s="296" t="s">
        <v>74</v>
      </c>
      <c r="H16" s="297" t="s">
        <v>75</v>
      </c>
    </row>
    <row r="17" spans="1:8" s="307" customFormat="1" ht="38.25" x14ac:dyDescent="0.2">
      <c r="A17" s="293" t="str">
        <f t="shared" si="1"/>
        <v>B1.32 11 26.01</v>
      </c>
      <c r="B17" s="298" t="s">
        <v>1032</v>
      </c>
      <c r="C17" s="293" t="s">
        <v>59</v>
      </c>
      <c r="D17" s="299">
        <v>1664</v>
      </c>
      <c r="E17" s="113">
        <v>642</v>
      </c>
      <c r="F17" s="113">
        <f>E17*D17</f>
        <v>1068288</v>
      </c>
      <c r="G17" s="300" t="s">
        <v>1033</v>
      </c>
      <c r="H17" s="297" t="s">
        <v>1034</v>
      </c>
    </row>
    <row r="18" spans="1:8" s="307" customFormat="1" ht="15.75" x14ac:dyDescent="0.2">
      <c r="A18" s="293" t="str">
        <f>H18</f>
        <v>32 12 16</v>
      </c>
      <c r="B18" s="301" t="s">
        <v>79</v>
      </c>
      <c r="C18" s="302"/>
      <c r="D18" s="308"/>
      <c r="E18" s="308"/>
      <c r="F18" s="295"/>
      <c r="G18" s="309" t="s">
        <v>80</v>
      </c>
      <c r="H18" s="293" t="s">
        <v>81</v>
      </c>
    </row>
    <row r="19" spans="1:8" s="310" customFormat="1" ht="25.5" x14ac:dyDescent="0.2">
      <c r="A19" s="293" t="str">
        <f t="shared" ref="A19" si="3">H19</f>
        <v>B1.32 12 16.01</v>
      </c>
      <c r="B19" s="298" t="s">
        <v>1035</v>
      </c>
      <c r="C19" s="293" t="s">
        <v>59</v>
      </c>
      <c r="D19" s="299">
        <v>1200</v>
      </c>
      <c r="E19" s="113">
        <v>648</v>
      </c>
      <c r="F19" s="113">
        <f>E19*D19</f>
        <v>777600</v>
      </c>
      <c r="G19" s="300" t="s">
        <v>1036</v>
      </c>
      <c r="H19" s="314" t="s">
        <v>84</v>
      </c>
    </row>
    <row r="20" spans="1:8" s="263" customFormat="1" ht="15.75" x14ac:dyDescent="0.2">
      <c r="A20" s="293" t="str">
        <f>H20</f>
        <v>32 14 13</v>
      </c>
      <c r="B20" s="301" t="s">
        <v>85</v>
      </c>
      <c r="C20" s="302"/>
      <c r="D20" s="312"/>
      <c r="E20" s="313"/>
      <c r="F20" s="313"/>
      <c r="G20" s="309" t="s">
        <v>86</v>
      </c>
      <c r="H20" s="314" t="s">
        <v>87</v>
      </c>
    </row>
    <row r="21" spans="1:8" s="263" customFormat="1" x14ac:dyDescent="0.2">
      <c r="A21" s="293" t="str">
        <f>H21</f>
        <v>B1.32 14 13.01</v>
      </c>
      <c r="B21" s="298" t="s">
        <v>88</v>
      </c>
      <c r="C21" s="293" t="s">
        <v>52</v>
      </c>
      <c r="D21" s="299">
        <v>2922</v>
      </c>
      <c r="E21" s="113">
        <v>65</v>
      </c>
      <c r="F21" s="113">
        <f t="shared" ref="F21:F22" si="4">E21*D21</f>
        <v>189930</v>
      </c>
      <c r="G21" s="300" t="s">
        <v>89</v>
      </c>
      <c r="H21" s="314" t="s">
        <v>90</v>
      </c>
    </row>
    <row r="22" spans="1:8" s="263" customFormat="1" x14ac:dyDescent="0.2">
      <c r="A22" s="293" t="str">
        <f>H22</f>
        <v>B1.32 14 13.02</v>
      </c>
      <c r="B22" s="298" t="s">
        <v>91</v>
      </c>
      <c r="C22" s="293" t="s">
        <v>52</v>
      </c>
      <c r="D22" s="299">
        <v>1304</v>
      </c>
      <c r="E22" s="113">
        <v>60</v>
      </c>
      <c r="F22" s="113">
        <f t="shared" si="4"/>
        <v>78240</v>
      </c>
      <c r="G22" s="300" t="s">
        <v>92</v>
      </c>
      <c r="H22" s="314" t="s">
        <v>93</v>
      </c>
    </row>
    <row r="23" spans="1:8" s="307" customFormat="1" ht="15.75" x14ac:dyDescent="0.2">
      <c r="A23" s="293" t="str">
        <f t="shared" ref="A23:A33" si="5">H23</f>
        <v>32 17 23</v>
      </c>
      <c r="B23" s="315" t="s">
        <v>100</v>
      </c>
      <c r="C23" s="316"/>
      <c r="D23" s="295"/>
      <c r="E23" s="295"/>
      <c r="F23" s="317"/>
      <c r="G23" s="296" t="s">
        <v>101</v>
      </c>
      <c r="H23" s="314" t="s">
        <v>102</v>
      </c>
    </row>
    <row r="24" spans="1:8" s="307" customFormat="1" ht="15.75" x14ac:dyDescent="0.2">
      <c r="A24" s="293" t="str">
        <f t="shared" si="5"/>
        <v>32 17 23.01</v>
      </c>
      <c r="B24" s="315" t="s">
        <v>103</v>
      </c>
      <c r="C24" s="316"/>
      <c r="D24" s="295"/>
      <c r="E24" s="295"/>
      <c r="F24" s="317"/>
      <c r="G24" s="296" t="s">
        <v>104</v>
      </c>
      <c r="H24" s="314" t="s">
        <v>105</v>
      </c>
    </row>
    <row r="25" spans="1:8" s="310" customFormat="1" x14ac:dyDescent="0.2">
      <c r="A25" s="158" t="str">
        <f t="shared" si="5"/>
        <v>B1.32 17 23.01.01</v>
      </c>
      <c r="B25" s="127" t="s">
        <v>1037</v>
      </c>
      <c r="C25" s="158" t="s">
        <v>107</v>
      </c>
      <c r="D25" s="113">
        <v>789</v>
      </c>
      <c r="E25" s="113">
        <v>41</v>
      </c>
      <c r="F25" s="113">
        <f t="shared" ref="F25:F29" si="6">E25*D25</f>
        <v>32349</v>
      </c>
      <c r="G25" s="114" t="s">
        <v>1038</v>
      </c>
      <c r="H25" s="318" t="s">
        <v>109</v>
      </c>
    </row>
    <row r="26" spans="1:8" s="310" customFormat="1" x14ac:dyDescent="0.2">
      <c r="A26" s="158" t="str">
        <f t="shared" si="5"/>
        <v>B1.32 17 23.01.02</v>
      </c>
      <c r="B26" s="127" t="s">
        <v>1039</v>
      </c>
      <c r="C26" s="158" t="s">
        <v>107</v>
      </c>
      <c r="D26" s="113">
        <v>495</v>
      </c>
      <c r="E26" s="113">
        <v>41</v>
      </c>
      <c r="F26" s="113">
        <f t="shared" si="6"/>
        <v>20295</v>
      </c>
      <c r="G26" s="114" t="s">
        <v>1040</v>
      </c>
      <c r="H26" s="318" t="s">
        <v>112</v>
      </c>
    </row>
    <row r="27" spans="1:8" s="310" customFormat="1" x14ac:dyDescent="0.2">
      <c r="A27" s="158" t="s">
        <v>1041</v>
      </c>
      <c r="B27" s="127" t="s">
        <v>125</v>
      </c>
      <c r="C27" s="318" t="s">
        <v>298</v>
      </c>
      <c r="D27" s="113">
        <v>200</v>
      </c>
      <c r="E27" s="113">
        <v>30</v>
      </c>
      <c r="F27" s="113">
        <f t="shared" si="6"/>
        <v>6000</v>
      </c>
      <c r="G27" s="114" t="s">
        <v>126</v>
      </c>
      <c r="H27" s="221" t="s">
        <v>1041</v>
      </c>
    </row>
    <row r="28" spans="1:8" s="310" customFormat="1" x14ac:dyDescent="0.2">
      <c r="A28" s="158" t="s">
        <v>1042</v>
      </c>
      <c r="B28" s="127" t="s">
        <v>128</v>
      </c>
      <c r="C28" s="318" t="s">
        <v>298</v>
      </c>
      <c r="D28" s="113">
        <v>200</v>
      </c>
      <c r="E28" s="113">
        <v>12</v>
      </c>
      <c r="F28" s="113">
        <f t="shared" si="6"/>
        <v>2400</v>
      </c>
      <c r="G28" s="114" t="s">
        <v>129</v>
      </c>
      <c r="H28" s="221" t="s">
        <v>1042</v>
      </c>
    </row>
    <row r="29" spans="1:8" s="310" customFormat="1" x14ac:dyDescent="0.2">
      <c r="A29" s="158" t="s">
        <v>1043</v>
      </c>
      <c r="B29" s="127" t="s">
        <v>131</v>
      </c>
      <c r="C29" s="318" t="s">
        <v>298</v>
      </c>
      <c r="D29" s="113">
        <v>200</v>
      </c>
      <c r="E29" s="113">
        <v>166</v>
      </c>
      <c r="F29" s="113">
        <f t="shared" si="6"/>
        <v>33200</v>
      </c>
      <c r="G29" s="114" t="s">
        <v>132</v>
      </c>
      <c r="H29" s="221" t="s">
        <v>1043</v>
      </c>
    </row>
    <row r="30" spans="1:8" s="307" customFormat="1" ht="15.75" x14ac:dyDescent="0.2">
      <c r="A30" s="293" t="str">
        <f t="shared" si="5"/>
        <v>10 14 53</v>
      </c>
      <c r="B30" s="301" t="s">
        <v>113</v>
      </c>
      <c r="C30" s="302"/>
      <c r="D30" s="295"/>
      <c r="E30" s="313"/>
      <c r="F30" s="313"/>
      <c r="G30" s="296" t="s">
        <v>114</v>
      </c>
      <c r="H30" s="297" t="s">
        <v>115</v>
      </c>
    </row>
    <row r="31" spans="1:8" s="307" customFormat="1" ht="38.25" x14ac:dyDescent="0.2">
      <c r="A31" s="293" t="str">
        <f t="shared" si="5"/>
        <v>B1.10 14 53.01</v>
      </c>
      <c r="B31" s="306" t="s">
        <v>116</v>
      </c>
      <c r="C31" s="318" t="s">
        <v>298</v>
      </c>
      <c r="D31" s="299">
        <v>87</v>
      </c>
      <c r="E31" s="113">
        <v>1065</v>
      </c>
      <c r="F31" s="113">
        <f t="shared" ref="F31:F33" si="7">E31*D31</f>
        <v>92655</v>
      </c>
      <c r="G31" s="300" t="s">
        <v>117</v>
      </c>
      <c r="H31" s="297" t="s">
        <v>118</v>
      </c>
    </row>
    <row r="32" spans="1:8" s="307" customFormat="1" ht="38.25" x14ac:dyDescent="0.2">
      <c r="A32" s="293" t="str">
        <f t="shared" si="5"/>
        <v>B1.10 14 53.02</v>
      </c>
      <c r="B32" s="306" t="s">
        <v>119</v>
      </c>
      <c r="C32" s="318" t="s">
        <v>298</v>
      </c>
      <c r="D32" s="299">
        <v>74</v>
      </c>
      <c r="E32" s="113">
        <v>1479</v>
      </c>
      <c r="F32" s="113">
        <f t="shared" si="7"/>
        <v>109446</v>
      </c>
      <c r="G32" s="300" t="s">
        <v>120</v>
      </c>
      <c r="H32" s="297" t="s">
        <v>121</v>
      </c>
    </row>
    <row r="33" spans="1:8" s="307" customFormat="1" ht="38.25" x14ac:dyDescent="0.2">
      <c r="A33" s="293" t="str">
        <f t="shared" si="5"/>
        <v>B1.10 14 53.03</v>
      </c>
      <c r="B33" s="306" t="s">
        <v>122</v>
      </c>
      <c r="C33" s="318" t="s">
        <v>298</v>
      </c>
      <c r="D33" s="299">
        <v>6</v>
      </c>
      <c r="E33" s="113">
        <v>2011</v>
      </c>
      <c r="F33" s="113">
        <f t="shared" si="7"/>
        <v>12066</v>
      </c>
      <c r="G33" s="300" t="s">
        <v>123</v>
      </c>
      <c r="H33" s="297" t="s">
        <v>124</v>
      </c>
    </row>
    <row r="34" spans="1:8" s="307" customFormat="1" x14ac:dyDescent="0.2">
      <c r="A34" s="293"/>
      <c r="B34" s="306"/>
      <c r="C34" s="314"/>
      <c r="D34" s="299"/>
      <c r="E34" s="113"/>
      <c r="F34" s="113"/>
      <c r="G34" s="300"/>
      <c r="H34" s="297"/>
    </row>
    <row r="35" spans="1:8" s="307" customFormat="1" x14ac:dyDescent="0.2">
      <c r="A35" s="293"/>
      <c r="B35" s="306"/>
      <c r="C35" s="314"/>
      <c r="D35" s="299"/>
      <c r="E35" s="113"/>
      <c r="F35" s="113"/>
      <c r="G35" s="300"/>
      <c r="H35" s="297"/>
    </row>
    <row r="36" spans="1:8" s="307" customFormat="1" x14ac:dyDescent="0.2">
      <c r="A36" s="293"/>
      <c r="B36" s="306"/>
      <c r="C36" s="314"/>
      <c r="D36" s="299"/>
      <c r="E36" s="113"/>
      <c r="F36" s="113"/>
      <c r="G36" s="300"/>
      <c r="H36" s="297"/>
    </row>
    <row r="37" spans="1:8" s="307" customFormat="1" x14ac:dyDescent="0.2">
      <c r="A37" s="293"/>
      <c r="B37" s="306"/>
      <c r="C37" s="314"/>
      <c r="D37" s="299"/>
      <c r="E37" s="113"/>
      <c r="F37" s="113"/>
      <c r="G37" s="300"/>
      <c r="H37" s="297"/>
    </row>
    <row r="38" spans="1:8" s="307" customFormat="1" x14ac:dyDescent="0.2">
      <c r="A38" s="293"/>
      <c r="B38" s="306"/>
      <c r="C38" s="314"/>
      <c r="D38" s="299"/>
      <c r="E38" s="113"/>
      <c r="F38" s="113"/>
      <c r="G38" s="300"/>
      <c r="H38" s="297"/>
    </row>
    <row r="39" spans="1:8" s="307" customFormat="1" x14ac:dyDescent="0.2">
      <c r="A39" s="293"/>
      <c r="B39" s="306"/>
      <c r="C39" s="314"/>
      <c r="D39" s="299"/>
      <c r="E39" s="113"/>
      <c r="F39" s="113"/>
      <c r="G39" s="300"/>
      <c r="H39" s="297"/>
    </row>
    <row r="40" spans="1:8" s="307" customFormat="1" x14ac:dyDescent="0.2">
      <c r="A40" s="293"/>
      <c r="B40" s="306"/>
      <c r="C40" s="314"/>
      <c r="D40" s="299"/>
      <c r="E40" s="113"/>
      <c r="F40" s="113"/>
      <c r="G40" s="300"/>
      <c r="H40" s="297"/>
    </row>
    <row r="41" spans="1:8" s="307" customFormat="1" x14ac:dyDescent="0.2">
      <c r="A41" s="293"/>
      <c r="B41" s="306"/>
      <c r="C41" s="314"/>
      <c r="D41" s="299"/>
      <c r="E41" s="113"/>
      <c r="F41" s="113"/>
      <c r="G41" s="300"/>
      <c r="H41" s="297"/>
    </row>
    <row r="42" spans="1:8" s="307" customFormat="1" x14ac:dyDescent="0.2">
      <c r="A42" s="293"/>
      <c r="B42" s="306"/>
      <c r="C42" s="314"/>
      <c r="D42" s="299"/>
      <c r="E42" s="113"/>
      <c r="F42" s="113"/>
      <c r="G42" s="300"/>
      <c r="H42" s="297"/>
    </row>
    <row r="43" spans="1:8" s="307" customFormat="1" x14ac:dyDescent="0.2">
      <c r="A43" s="293"/>
      <c r="B43" s="306"/>
      <c r="C43" s="314"/>
      <c r="D43" s="299"/>
      <c r="E43" s="113"/>
      <c r="F43" s="113"/>
      <c r="G43" s="300"/>
      <c r="H43" s="297"/>
    </row>
    <row r="44" spans="1:8" s="307" customFormat="1" x14ac:dyDescent="0.2">
      <c r="A44" s="293"/>
      <c r="B44" s="306"/>
      <c r="C44" s="314"/>
      <c r="D44" s="299"/>
      <c r="E44" s="113"/>
      <c r="F44" s="113"/>
      <c r="G44" s="300"/>
      <c r="H44" s="297"/>
    </row>
    <row r="45" spans="1:8" s="307" customFormat="1" x14ac:dyDescent="0.2">
      <c r="A45" s="293"/>
      <c r="B45" s="306"/>
      <c r="C45" s="314"/>
      <c r="D45" s="299"/>
      <c r="E45" s="113"/>
      <c r="F45" s="113"/>
      <c r="G45" s="300"/>
      <c r="H45" s="297"/>
    </row>
    <row r="46" spans="1:8" s="307" customFormat="1" x14ac:dyDescent="0.2">
      <c r="A46" s="293"/>
      <c r="B46" s="306"/>
      <c r="C46" s="314"/>
      <c r="D46" s="299"/>
      <c r="E46" s="113"/>
      <c r="F46" s="113"/>
      <c r="G46" s="300"/>
      <c r="H46" s="297"/>
    </row>
    <row r="47" spans="1:8" s="307" customFormat="1" x14ac:dyDescent="0.2">
      <c r="A47" s="293"/>
      <c r="B47" s="306"/>
      <c r="C47" s="314"/>
      <c r="D47" s="299"/>
      <c r="E47" s="113"/>
      <c r="F47" s="113"/>
      <c r="G47" s="300"/>
      <c r="H47" s="297"/>
    </row>
    <row r="48" spans="1:8" s="307" customFormat="1" x14ac:dyDescent="0.2">
      <c r="A48" s="293"/>
      <c r="B48" s="306"/>
      <c r="C48" s="314"/>
      <c r="D48" s="299"/>
      <c r="E48" s="113"/>
      <c r="F48" s="113"/>
      <c r="G48" s="300"/>
      <c r="H48" s="297"/>
    </row>
    <row r="49" spans="1:8" s="307" customFormat="1" x14ac:dyDescent="0.2">
      <c r="A49" s="293"/>
      <c r="B49" s="306"/>
      <c r="C49" s="314"/>
      <c r="D49" s="299"/>
      <c r="E49" s="113"/>
      <c r="F49" s="113"/>
      <c r="G49" s="300"/>
      <c r="H49" s="297"/>
    </row>
    <row r="50" spans="1:8" s="307" customFormat="1" x14ac:dyDescent="0.2">
      <c r="A50" s="293"/>
      <c r="B50" s="306"/>
      <c r="C50" s="314"/>
      <c r="D50" s="319"/>
      <c r="E50" s="319"/>
      <c r="F50" s="319"/>
      <c r="G50" s="300"/>
      <c r="H50" s="297"/>
    </row>
    <row r="51" spans="1:8" s="307" customFormat="1" x14ac:dyDescent="0.2">
      <c r="A51" s="293"/>
      <c r="B51" s="306"/>
      <c r="C51" s="314"/>
      <c r="D51" s="319"/>
      <c r="E51" s="319"/>
      <c r="F51" s="319"/>
      <c r="G51" s="300"/>
      <c r="H51" s="297"/>
    </row>
    <row r="52" spans="1:8" s="326" customFormat="1" ht="15.75" x14ac:dyDescent="0.2">
      <c r="A52" s="320"/>
      <c r="B52" s="321" t="s">
        <v>97</v>
      </c>
      <c r="C52" s="1074" t="s">
        <v>98</v>
      </c>
      <c r="D52" s="1074"/>
      <c r="E52" s="1074"/>
      <c r="F52" s="323">
        <f>SUM(F8:F33)</f>
        <v>3322242</v>
      </c>
      <c r="G52" s="324" t="s">
        <v>99</v>
      </c>
      <c r="H52" s="325"/>
    </row>
    <row r="53" spans="1:8" s="326" customFormat="1" ht="15.75" x14ac:dyDescent="0.2">
      <c r="A53" s="1075" t="s">
        <v>1044</v>
      </c>
      <c r="B53" s="1076"/>
      <c r="C53" s="322"/>
      <c r="D53" s="322"/>
      <c r="E53" s="322"/>
      <c r="F53" s="323"/>
      <c r="G53" s="1077" t="s">
        <v>1045</v>
      </c>
      <c r="H53" s="1078"/>
    </row>
    <row r="54" spans="1:8" s="333" customFormat="1" ht="15.75" x14ac:dyDescent="0.2">
      <c r="A54" s="327" t="str">
        <f t="shared" ref="A54:A62" si="8">H54</f>
        <v>31 23 00</v>
      </c>
      <c r="B54" s="301" t="s">
        <v>136</v>
      </c>
      <c r="C54" s="328"/>
      <c r="D54" s="329"/>
      <c r="E54" s="330"/>
      <c r="F54" s="317"/>
      <c r="G54" s="331" t="s">
        <v>137</v>
      </c>
      <c r="H54" s="332" t="s">
        <v>138</v>
      </c>
    </row>
    <row r="55" spans="1:8" s="310" customFormat="1" x14ac:dyDescent="0.2">
      <c r="A55" s="327" t="str">
        <f t="shared" si="8"/>
        <v>B2.31 23 00.01</v>
      </c>
      <c r="B55" s="334" t="s">
        <v>1046</v>
      </c>
      <c r="C55" s="335" t="s">
        <v>140</v>
      </c>
      <c r="D55" s="336">
        <f>D59</f>
        <v>3817</v>
      </c>
      <c r="E55" s="113">
        <v>23</v>
      </c>
      <c r="F55" s="337">
        <f>E55*D55</f>
        <v>87791</v>
      </c>
      <c r="G55" s="300" t="s">
        <v>1047</v>
      </c>
      <c r="H55" s="327" t="s">
        <v>142</v>
      </c>
    </row>
    <row r="56" spans="1:8" s="338" customFormat="1" ht="15.75" x14ac:dyDescent="0.2">
      <c r="A56" s="327" t="str">
        <f t="shared" si="8"/>
        <v>33 71 19</v>
      </c>
      <c r="B56" s="301" t="s">
        <v>161</v>
      </c>
      <c r="C56" s="328"/>
      <c r="D56" s="329"/>
      <c r="E56" s="330"/>
      <c r="F56" s="330"/>
      <c r="G56" s="331" t="s">
        <v>162</v>
      </c>
      <c r="H56" s="332" t="s">
        <v>163</v>
      </c>
    </row>
    <row r="57" spans="1:8" s="310" customFormat="1" x14ac:dyDescent="0.2">
      <c r="A57" s="327" t="str">
        <f t="shared" si="8"/>
        <v>B2.33 71 19.01</v>
      </c>
      <c r="B57" s="298" t="s">
        <v>1048</v>
      </c>
      <c r="C57" s="327" t="s">
        <v>52</v>
      </c>
      <c r="D57" s="336">
        <v>109</v>
      </c>
      <c r="E57" s="113">
        <v>573</v>
      </c>
      <c r="F57" s="337">
        <f>E57*D57</f>
        <v>62457</v>
      </c>
      <c r="G57" s="340" t="s">
        <v>1049</v>
      </c>
      <c r="H57" s="327" t="s">
        <v>166</v>
      </c>
    </row>
    <row r="58" spans="1:8" s="338" customFormat="1" ht="15.75" x14ac:dyDescent="0.2">
      <c r="A58" s="332" t="str">
        <f t="shared" si="8"/>
        <v>26 05 13.16</v>
      </c>
      <c r="B58" s="301" t="s">
        <v>176</v>
      </c>
      <c r="C58" s="328"/>
      <c r="D58" s="329"/>
      <c r="E58" s="330"/>
      <c r="F58" s="330"/>
      <c r="G58" s="331" t="s">
        <v>177</v>
      </c>
      <c r="H58" s="332" t="s">
        <v>178</v>
      </c>
    </row>
    <row r="59" spans="1:8" s="310" customFormat="1" ht="25.5" x14ac:dyDescent="0.2">
      <c r="A59" s="332" t="str">
        <f t="shared" si="8"/>
        <v>B2.26.05.13.16.01</v>
      </c>
      <c r="B59" s="306" t="s">
        <v>1050</v>
      </c>
      <c r="C59" s="327" t="s">
        <v>52</v>
      </c>
      <c r="D59" s="341">
        <v>3817</v>
      </c>
      <c r="E59" s="113">
        <v>172</v>
      </c>
      <c r="F59" s="337">
        <f t="shared" ref="F59:F62" si="9">E59*D59</f>
        <v>656524</v>
      </c>
      <c r="G59" s="342" t="s">
        <v>1051</v>
      </c>
      <c r="H59" s="327" t="s">
        <v>181</v>
      </c>
    </row>
    <row r="60" spans="1:8" s="310" customFormat="1" ht="25.5" x14ac:dyDescent="0.2">
      <c r="A60" s="332" t="str">
        <f t="shared" si="8"/>
        <v>B2.26.05.13.16.02</v>
      </c>
      <c r="B60" s="342" t="s">
        <v>1052</v>
      </c>
      <c r="C60" s="327" t="s">
        <v>52</v>
      </c>
      <c r="D60" s="336">
        <v>90</v>
      </c>
      <c r="E60" s="113">
        <v>92</v>
      </c>
      <c r="F60" s="337">
        <f t="shared" si="9"/>
        <v>8280</v>
      </c>
      <c r="G60" s="300" t="s">
        <v>1053</v>
      </c>
      <c r="H60" s="327" t="s">
        <v>184</v>
      </c>
    </row>
    <row r="61" spans="1:8" s="310" customFormat="1" ht="25.5" x14ac:dyDescent="0.2">
      <c r="A61" s="332" t="str">
        <f t="shared" si="8"/>
        <v>B2.26.05.13.16.03</v>
      </c>
      <c r="B61" s="306" t="s">
        <v>1054</v>
      </c>
      <c r="C61" s="318" t="s">
        <v>298</v>
      </c>
      <c r="D61" s="336">
        <v>60</v>
      </c>
      <c r="E61" s="113">
        <v>2615</v>
      </c>
      <c r="F61" s="337">
        <f t="shared" si="9"/>
        <v>156900</v>
      </c>
      <c r="G61" s="300" t="s">
        <v>1055</v>
      </c>
      <c r="H61" s="327" t="s">
        <v>187</v>
      </c>
    </row>
    <row r="62" spans="1:8" s="310" customFormat="1" ht="25.5" x14ac:dyDescent="0.2">
      <c r="A62" s="332" t="str">
        <f t="shared" si="8"/>
        <v>B2.26.05.13.16.04</v>
      </c>
      <c r="B62" s="306" t="s">
        <v>1056</v>
      </c>
      <c r="C62" s="318" t="s">
        <v>298</v>
      </c>
      <c r="D62" s="336">
        <v>40</v>
      </c>
      <c r="E62" s="113">
        <v>1534</v>
      </c>
      <c r="F62" s="337">
        <f t="shared" si="9"/>
        <v>61360</v>
      </c>
      <c r="G62" s="300" t="s">
        <v>1057</v>
      </c>
      <c r="H62" s="327" t="s">
        <v>190</v>
      </c>
    </row>
    <row r="63" spans="1:8" s="344" customFormat="1" ht="15.75" x14ac:dyDescent="0.2">
      <c r="A63" s="332" t="s">
        <v>1058</v>
      </c>
      <c r="B63" s="343" t="s">
        <v>1059</v>
      </c>
      <c r="C63" s="320"/>
      <c r="D63" s="336"/>
      <c r="E63" s="335"/>
      <c r="F63" s="335"/>
      <c r="G63" s="331" t="s">
        <v>1060</v>
      </c>
      <c r="H63" s="332" t="s">
        <v>1058</v>
      </c>
    </row>
    <row r="64" spans="1:8" s="344" customFormat="1" ht="15" x14ac:dyDescent="0.2">
      <c r="A64" s="327" t="s">
        <v>1061</v>
      </c>
      <c r="B64" s="345" t="s">
        <v>1062</v>
      </c>
      <c r="C64" s="320"/>
      <c r="D64" s="336"/>
      <c r="E64" s="335"/>
      <c r="F64" s="335"/>
      <c r="G64" s="346" t="s">
        <v>1063</v>
      </c>
      <c r="H64" s="327" t="s">
        <v>1061</v>
      </c>
    </row>
    <row r="65" spans="1:8" s="344" customFormat="1" ht="89.25" x14ac:dyDescent="0.2">
      <c r="A65" s="347"/>
      <c r="B65" s="306" t="s">
        <v>1064</v>
      </c>
      <c r="C65" s="320"/>
      <c r="D65" s="336"/>
      <c r="E65" s="335"/>
      <c r="F65" s="335"/>
      <c r="G65" s="300" t="s">
        <v>1065</v>
      </c>
      <c r="H65" s="327"/>
    </row>
    <row r="66" spans="1:8" s="344" customFormat="1" ht="25.5" x14ac:dyDescent="0.2">
      <c r="A66" s="327" t="s">
        <v>1066</v>
      </c>
      <c r="B66" s="306" t="s">
        <v>1067</v>
      </c>
      <c r="C66" s="318" t="s">
        <v>298</v>
      </c>
      <c r="D66" s="336">
        <v>7</v>
      </c>
      <c r="E66" s="113">
        <v>273919</v>
      </c>
      <c r="F66" s="337">
        <f t="shared" ref="F66:F67" si="10">E66*D66</f>
        <v>1917433</v>
      </c>
      <c r="G66" s="300" t="s">
        <v>1068</v>
      </c>
      <c r="H66" s="327" t="s">
        <v>1066</v>
      </c>
    </row>
    <row r="67" spans="1:8" s="344" customFormat="1" ht="25.5" x14ac:dyDescent="0.2">
      <c r="A67" s="327" t="s">
        <v>1069</v>
      </c>
      <c r="B67" s="306" t="s">
        <v>1070</v>
      </c>
      <c r="C67" s="318" t="s">
        <v>298</v>
      </c>
      <c r="D67" s="336">
        <v>1</v>
      </c>
      <c r="E67" s="113">
        <v>323723</v>
      </c>
      <c r="F67" s="337">
        <f t="shared" si="10"/>
        <v>323723</v>
      </c>
      <c r="G67" s="300" t="s">
        <v>1071</v>
      </c>
      <c r="H67" s="327" t="s">
        <v>1069</v>
      </c>
    </row>
    <row r="68" spans="1:8" s="344" customFormat="1" ht="15" x14ac:dyDescent="0.2">
      <c r="A68" s="327"/>
      <c r="B68" s="348"/>
      <c r="C68" s="320"/>
      <c r="D68" s="336"/>
      <c r="E68" s="335"/>
      <c r="F68" s="335"/>
      <c r="G68" s="349"/>
      <c r="H68" s="327"/>
    </row>
    <row r="69" spans="1:8" s="344" customFormat="1" ht="15" x14ac:dyDescent="0.2">
      <c r="A69" s="327"/>
      <c r="B69" s="348"/>
      <c r="C69" s="320"/>
      <c r="D69" s="336"/>
      <c r="E69" s="335"/>
      <c r="F69" s="335"/>
      <c r="G69" s="349"/>
      <c r="H69" s="327"/>
    </row>
    <row r="70" spans="1:8" s="344" customFormat="1" ht="15" x14ac:dyDescent="0.2">
      <c r="A70" s="327"/>
      <c r="B70" s="348"/>
      <c r="C70" s="320"/>
      <c r="D70" s="336"/>
      <c r="E70" s="335"/>
      <c r="F70" s="335"/>
      <c r="G70" s="349"/>
      <c r="H70" s="327"/>
    </row>
    <row r="71" spans="1:8" s="344" customFormat="1" ht="15" x14ac:dyDescent="0.2">
      <c r="A71" s="327"/>
      <c r="B71" s="348"/>
      <c r="C71" s="320"/>
      <c r="D71" s="336"/>
      <c r="E71" s="335"/>
      <c r="F71" s="335"/>
      <c r="G71" s="349"/>
      <c r="H71" s="327"/>
    </row>
    <row r="72" spans="1:8" s="344" customFormat="1" ht="15" x14ac:dyDescent="0.2">
      <c r="A72" s="327"/>
      <c r="B72" s="348"/>
      <c r="C72" s="320"/>
      <c r="D72" s="336"/>
      <c r="E72" s="335"/>
      <c r="F72" s="335"/>
      <c r="G72" s="349"/>
      <c r="H72" s="327"/>
    </row>
    <row r="73" spans="1:8" s="344" customFormat="1" ht="15" x14ac:dyDescent="0.2">
      <c r="A73" s="327"/>
      <c r="B73" s="348"/>
      <c r="C73" s="320"/>
      <c r="D73" s="336"/>
      <c r="E73" s="335"/>
      <c r="F73" s="335"/>
      <c r="G73" s="349"/>
      <c r="H73" s="327"/>
    </row>
    <row r="74" spans="1:8" s="344" customFormat="1" ht="15" x14ac:dyDescent="0.2">
      <c r="A74" s="327"/>
      <c r="B74" s="348"/>
      <c r="C74" s="320"/>
      <c r="D74" s="336"/>
      <c r="E74" s="335"/>
      <c r="F74" s="335"/>
      <c r="G74" s="349"/>
      <c r="H74" s="327"/>
    </row>
    <row r="75" spans="1:8" s="344" customFormat="1" ht="15" x14ac:dyDescent="0.2">
      <c r="A75" s="327"/>
      <c r="B75" s="348"/>
      <c r="C75" s="320"/>
      <c r="D75" s="336"/>
      <c r="E75" s="335"/>
      <c r="F75" s="335"/>
      <c r="G75" s="349"/>
      <c r="H75" s="327"/>
    </row>
    <row r="76" spans="1:8" s="344" customFormat="1" ht="15" x14ac:dyDescent="0.2">
      <c r="A76" s="327"/>
      <c r="B76" s="348"/>
      <c r="C76" s="320"/>
      <c r="D76" s="336"/>
      <c r="E76" s="335"/>
      <c r="F76" s="335"/>
      <c r="G76" s="349"/>
      <c r="H76" s="327"/>
    </row>
    <row r="77" spans="1:8" s="344" customFormat="1" ht="15" x14ac:dyDescent="0.2">
      <c r="A77" s="327"/>
      <c r="B77" s="348"/>
      <c r="C77" s="320"/>
      <c r="D77" s="336"/>
      <c r="E77" s="335"/>
      <c r="F77" s="335"/>
      <c r="G77" s="349"/>
      <c r="H77" s="327"/>
    </row>
    <row r="78" spans="1:8" s="344" customFormat="1" ht="15" x14ac:dyDescent="0.2">
      <c r="A78" s="327"/>
      <c r="B78" s="348"/>
      <c r="C78" s="320"/>
      <c r="D78" s="336"/>
      <c r="E78" s="335"/>
      <c r="F78" s="335"/>
      <c r="G78" s="349"/>
      <c r="H78" s="327"/>
    </row>
    <row r="79" spans="1:8" s="344" customFormat="1" ht="15" x14ac:dyDescent="0.2">
      <c r="A79" s="327"/>
      <c r="B79" s="348"/>
      <c r="C79" s="320"/>
      <c r="D79" s="336"/>
      <c r="E79" s="335"/>
      <c r="F79" s="335"/>
      <c r="G79" s="349"/>
      <c r="H79" s="327"/>
    </row>
    <row r="80" spans="1:8" s="344" customFormat="1" ht="15" x14ac:dyDescent="0.2">
      <c r="A80" s="327"/>
      <c r="B80" s="348"/>
      <c r="C80" s="320"/>
      <c r="D80" s="336"/>
      <c r="E80" s="335"/>
      <c r="F80" s="335"/>
      <c r="G80" s="349"/>
      <c r="H80" s="327"/>
    </row>
    <row r="81" spans="1:8" s="344" customFormat="1" ht="15" x14ac:dyDescent="0.2">
      <c r="A81" s="327"/>
      <c r="B81" s="348"/>
      <c r="C81" s="320"/>
      <c r="D81" s="336"/>
      <c r="E81" s="335"/>
      <c r="F81" s="335"/>
      <c r="G81" s="349"/>
      <c r="H81" s="327"/>
    </row>
    <row r="82" spans="1:8" s="344" customFormat="1" ht="15" x14ac:dyDescent="0.2">
      <c r="A82" s="327"/>
      <c r="B82" s="348"/>
      <c r="C82" s="320"/>
      <c r="D82" s="336"/>
      <c r="E82" s="335"/>
      <c r="F82" s="335"/>
      <c r="G82" s="349"/>
      <c r="H82" s="327"/>
    </row>
    <row r="83" spans="1:8" s="344" customFormat="1" ht="15" x14ac:dyDescent="0.2">
      <c r="A83" s="327"/>
      <c r="B83" s="348"/>
      <c r="C83" s="320"/>
      <c r="D83" s="336"/>
      <c r="E83" s="335"/>
      <c r="F83" s="335"/>
      <c r="G83" s="349"/>
      <c r="H83" s="327"/>
    </row>
    <row r="84" spans="1:8" s="344" customFormat="1" ht="15" x14ac:dyDescent="0.2">
      <c r="A84" s="327"/>
      <c r="B84" s="348"/>
      <c r="C84" s="320"/>
      <c r="D84" s="336"/>
      <c r="E84" s="335"/>
      <c r="F84" s="335"/>
      <c r="G84" s="349"/>
      <c r="H84" s="327"/>
    </row>
    <row r="85" spans="1:8" s="344" customFormat="1" ht="15" x14ac:dyDescent="0.2">
      <c r="A85" s="327"/>
      <c r="B85" s="348"/>
      <c r="C85" s="320"/>
      <c r="D85" s="336"/>
      <c r="E85" s="335"/>
      <c r="F85" s="335"/>
      <c r="G85" s="349"/>
      <c r="H85" s="327"/>
    </row>
    <row r="86" spans="1:8" s="344" customFormat="1" ht="15" x14ac:dyDescent="0.2">
      <c r="A86" s="327"/>
      <c r="B86" s="348"/>
      <c r="C86" s="320"/>
      <c r="D86" s="336"/>
      <c r="E86" s="335"/>
      <c r="F86" s="335"/>
      <c r="G86" s="349"/>
      <c r="H86" s="327"/>
    </row>
    <row r="87" spans="1:8" s="344" customFormat="1" ht="15" x14ac:dyDescent="0.2">
      <c r="A87" s="327"/>
      <c r="B87" s="348"/>
      <c r="C87" s="320"/>
      <c r="D87" s="336"/>
      <c r="E87" s="335"/>
      <c r="F87" s="335"/>
      <c r="G87" s="349"/>
      <c r="H87" s="327"/>
    </row>
    <row r="88" spans="1:8" s="344" customFormat="1" ht="15" x14ac:dyDescent="0.2">
      <c r="A88" s="327"/>
      <c r="B88" s="348"/>
      <c r="C88" s="320"/>
      <c r="D88" s="336"/>
      <c r="E88" s="335"/>
      <c r="F88" s="335"/>
      <c r="G88" s="349"/>
      <c r="H88" s="327"/>
    </row>
    <row r="89" spans="1:8" s="344" customFormat="1" ht="15" x14ac:dyDescent="0.2">
      <c r="A89" s="327"/>
      <c r="B89" s="348"/>
      <c r="C89" s="320"/>
      <c r="D89" s="336"/>
      <c r="E89" s="335"/>
      <c r="F89" s="335"/>
      <c r="G89" s="349"/>
      <c r="H89" s="327"/>
    </row>
    <row r="90" spans="1:8" s="344" customFormat="1" ht="15" x14ac:dyDescent="0.2">
      <c r="A90" s="327"/>
      <c r="B90" s="348"/>
      <c r="C90" s="320"/>
      <c r="D90" s="336"/>
      <c r="E90" s="335"/>
      <c r="F90" s="335"/>
      <c r="G90" s="349"/>
      <c r="H90" s="327"/>
    </row>
    <row r="91" spans="1:8" s="344" customFormat="1" ht="15" x14ac:dyDescent="0.2">
      <c r="A91" s="327"/>
      <c r="B91" s="348"/>
      <c r="C91" s="320"/>
      <c r="D91" s="336"/>
      <c r="E91" s="335"/>
      <c r="F91" s="335"/>
      <c r="G91" s="349"/>
      <c r="H91" s="327"/>
    </row>
    <row r="92" spans="1:8" s="344" customFormat="1" ht="15" x14ac:dyDescent="0.2">
      <c r="A92" s="327"/>
      <c r="B92" s="348"/>
      <c r="C92" s="320"/>
      <c r="D92" s="336"/>
      <c r="E92" s="335"/>
      <c r="F92" s="335"/>
      <c r="G92" s="349"/>
      <c r="H92" s="327"/>
    </row>
    <row r="93" spans="1:8" s="344" customFormat="1" ht="31.5" x14ac:dyDescent="0.2">
      <c r="A93" s="350"/>
      <c r="B93" s="321" t="s">
        <v>191</v>
      </c>
      <c r="C93" s="1074" t="s">
        <v>98</v>
      </c>
      <c r="D93" s="1092"/>
      <c r="E93" s="1092"/>
      <c r="F93" s="351">
        <f>SUM(F55:F67)</f>
        <v>3274468</v>
      </c>
      <c r="G93" s="352" t="s">
        <v>192</v>
      </c>
      <c r="H93" s="350"/>
    </row>
    <row r="94" spans="1:8" s="326" customFormat="1" ht="15.75" x14ac:dyDescent="0.2">
      <c r="A94" s="353"/>
      <c r="B94" s="354" t="s">
        <v>199</v>
      </c>
      <c r="C94" s="322"/>
      <c r="D94" s="323"/>
      <c r="E94" s="355"/>
      <c r="F94" s="355"/>
      <c r="G94" s="356" t="s">
        <v>200</v>
      </c>
      <c r="H94" s="327"/>
    </row>
    <row r="95" spans="1:8" s="344" customFormat="1" ht="15.75" x14ac:dyDescent="0.2">
      <c r="A95" s="347" t="str">
        <f>H95</f>
        <v>26 05 19</v>
      </c>
      <c r="B95" s="301" t="s">
        <v>210</v>
      </c>
      <c r="C95" s="328"/>
      <c r="D95" s="329"/>
      <c r="E95" s="329"/>
      <c r="F95" s="330"/>
      <c r="G95" s="331" t="s">
        <v>211</v>
      </c>
      <c r="H95" s="332" t="s">
        <v>212</v>
      </c>
    </row>
    <row r="96" spans="1:8" s="307" customFormat="1" ht="25.5" x14ac:dyDescent="0.2">
      <c r="A96" s="347" t="s">
        <v>218</v>
      </c>
      <c r="B96" s="357" t="s">
        <v>1072</v>
      </c>
      <c r="C96" s="293" t="s">
        <v>52</v>
      </c>
      <c r="D96" s="336">
        <v>3</v>
      </c>
      <c r="E96" s="113">
        <v>32</v>
      </c>
      <c r="F96" s="339">
        <f>E96*D96</f>
        <v>96</v>
      </c>
      <c r="G96" s="358" t="s">
        <v>1073</v>
      </c>
      <c r="H96" s="347" t="s">
        <v>218</v>
      </c>
    </row>
    <row r="97" spans="1:8" s="307" customFormat="1" x14ac:dyDescent="0.2">
      <c r="A97" s="347" t="s">
        <v>221</v>
      </c>
      <c r="B97" s="357" t="s">
        <v>1074</v>
      </c>
      <c r="C97" s="293" t="s">
        <v>52</v>
      </c>
      <c r="D97" s="341">
        <v>2637</v>
      </c>
      <c r="E97" s="113">
        <v>89</v>
      </c>
      <c r="F97" s="339">
        <f t="shared" ref="F97:F99" si="11">E97*D97</f>
        <v>234693</v>
      </c>
      <c r="G97" s="358" t="s">
        <v>1075</v>
      </c>
      <c r="H97" s="347" t="s">
        <v>221</v>
      </c>
    </row>
    <row r="98" spans="1:8" s="307" customFormat="1" x14ac:dyDescent="0.2">
      <c r="A98" s="347" t="s">
        <v>224</v>
      </c>
      <c r="B98" s="357" t="s">
        <v>1076</v>
      </c>
      <c r="C98" s="293" t="s">
        <v>52</v>
      </c>
      <c r="D98" s="336">
        <v>400</v>
      </c>
      <c r="E98" s="113">
        <v>23</v>
      </c>
      <c r="F98" s="339">
        <f t="shared" si="11"/>
        <v>9200</v>
      </c>
      <c r="G98" s="358" t="s">
        <v>1077</v>
      </c>
      <c r="H98" s="347" t="s">
        <v>224</v>
      </c>
    </row>
    <row r="99" spans="1:8" s="307" customFormat="1" x14ac:dyDescent="0.2">
      <c r="A99" s="347" t="s">
        <v>1078</v>
      </c>
      <c r="B99" s="357" t="s">
        <v>1079</v>
      </c>
      <c r="C99" s="293" t="s">
        <v>52</v>
      </c>
      <c r="D99" s="336">
        <f>(392+457+392+308+385+325+301+387+528+385+399+534)</f>
        <v>4793</v>
      </c>
      <c r="E99" s="113">
        <v>32</v>
      </c>
      <c r="F99" s="339">
        <f t="shared" si="11"/>
        <v>153376</v>
      </c>
      <c r="G99" s="358" t="s">
        <v>1080</v>
      </c>
      <c r="H99" s="347" t="s">
        <v>1078</v>
      </c>
    </row>
    <row r="100" spans="1:8" s="307" customFormat="1" ht="15.75" x14ac:dyDescent="0.2">
      <c r="A100" s="332" t="s">
        <v>1081</v>
      </c>
      <c r="B100" s="359" t="s">
        <v>1082</v>
      </c>
      <c r="C100" s="328"/>
      <c r="D100" s="329"/>
      <c r="E100" s="330"/>
      <c r="F100" s="330"/>
      <c r="G100" s="331" t="s">
        <v>1083</v>
      </c>
      <c r="H100" s="332" t="s">
        <v>1081</v>
      </c>
    </row>
    <row r="101" spans="1:8" s="307" customFormat="1" x14ac:dyDescent="0.2">
      <c r="A101" s="332" t="s">
        <v>1084</v>
      </c>
      <c r="B101" s="306" t="s">
        <v>1085</v>
      </c>
      <c r="C101" s="327" t="s">
        <v>52</v>
      </c>
      <c r="D101" s="336">
        <f>D99</f>
        <v>4793</v>
      </c>
      <c r="E101" s="113">
        <v>56</v>
      </c>
      <c r="F101" s="339">
        <f>E101*D101</f>
        <v>268408</v>
      </c>
      <c r="G101" s="300" t="s">
        <v>1086</v>
      </c>
      <c r="H101" s="332" t="s">
        <v>1084</v>
      </c>
    </row>
    <row r="102" spans="1:8" s="344" customFormat="1" ht="15.75" x14ac:dyDescent="0.2">
      <c r="A102" s="332" t="str">
        <f t="shared" ref="A102:A105" si="12">H102</f>
        <v>26 56 19</v>
      </c>
      <c r="B102" s="360" t="s">
        <v>231</v>
      </c>
      <c r="C102" s="302"/>
      <c r="D102" s="361"/>
      <c r="E102" s="329"/>
      <c r="F102" s="330"/>
      <c r="G102" s="331" t="s">
        <v>232</v>
      </c>
      <c r="H102" s="332" t="s">
        <v>233</v>
      </c>
    </row>
    <row r="103" spans="1:8" s="307" customFormat="1" ht="38.25" x14ac:dyDescent="0.2">
      <c r="A103" s="327" t="str">
        <f t="shared" si="12"/>
        <v>B2.26 56 19.01</v>
      </c>
      <c r="B103" s="357" t="s">
        <v>1087</v>
      </c>
      <c r="C103" s="318" t="s">
        <v>298</v>
      </c>
      <c r="D103" s="336">
        <v>10</v>
      </c>
      <c r="E103" s="113">
        <v>2615</v>
      </c>
      <c r="F103" s="339">
        <f t="shared" ref="F103:F105" si="13">E103*D103</f>
        <v>26150</v>
      </c>
      <c r="G103" s="362" t="s">
        <v>1088</v>
      </c>
      <c r="H103" s="347" t="s">
        <v>236</v>
      </c>
    </row>
    <row r="104" spans="1:8" s="307" customFormat="1" ht="38.25" x14ac:dyDescent="0.2">
      <c r="A104" s="327" t="str">
        <f t="shared" si="12"/>
        <v>B2.26 56 19.02</v>
      </c>
      <c r="B104" s="357" t="s">
        <v>1089</v>
      </c>
      <c r="C104" s="318" t="s">
        <v>298</v>
      </c>
      <c r="D104" s="336">
        <v>2</v>
      </c>
      <c r="E104" s="113">
        <v>2988</v>
      </c>
      <c r="F104" s="339">
        <f t="shared" si="13"/>
        <v>5976</v>
      </c>
      <c r="G104" s="362" t="s">
        <v>1090</v>
      </c>
      <c r="H104" s="347" t="s">
        <v>239</v>
      </c>
    </row>
    <row r="105" spans="1:8" s="307" customFormat="1" ht="38.25" x14ac:dyDescent="0.2">
      <c r="A105" s="327" t="str">
        <f t="shared" si="12"/>
        <v>B2.26 56 19.03</v>
      </c>
      <c r="B105" s="357" t="s">
        <v>1091</v>
      </c>
      <c r="C105" s="318" t="s">
        <v>298</v>
      </c>
      <c r="D105" s="336">
        <v>106</v>
      </c>
      <c r="E105" s="113">
        <v>3299</v>
      </c>
      <c r="F105" s="339">
        <f t="shared" si="13"/>
        <v>349694</v>
      </c>
      <c r="G105" s="362" t="s">
        <v>1092</v>
      </c>
      <c r="H105" s="347" t="s">
        <v>242</v>
      </c>
    </row>
    <row r="106" spans="1:8" s="344" customFormat="1" ht="15.75" x14ac:dyDescent="0.2">
      <c r="A106" s="332" t="str">
        <f>H106</f>
        <v>26 56 19</v>
      </c>
      <c r="B106" s="301" t="s">
        <v>243</v>
      </c>
      <c r="C106" s="328"/>
      <c r="D106" s="329"/>
      <c r="E106" s="329"/>
      <c r="F106" s="330"/>
      <c r="G106" s="331" t="s">
        <v>244</v>
      </c>
      <c r="H106" s="332" t="s">
        <v>233</v>
      </c>
    </row>
    <row r="107" spans="1:8" s="307" customFormat="1" ht="25.5" x14ac:dyDescent="0.2">
      <c r="A107" s="347" t="s">
        <v>236</v>
      </c>
      <c r="B107" s="357" t="s">
        <v>1093</v>
      </c>
      <c r="C107" s="318" t="s">
        <v>298</v>
      </c>
      <c r="D107" s="336">
        <f>(2*D104+D103+D105)</f>
        <v>120</v>
      </c>
      <c r="E107" s="113">
        <v>965</v>
      </c>
      <c r="F107" s="339">
        <f>E107*D107</f>
        <v>115800</v>
      </c>
      <c r="G107" s="362" t="s">
        <v>1094</v>
      </c>
      <c r="H107" s="347" t="s">
        <v>236</v>
      </c>
    </row>
    <row r="108" spans="1:8" s="344" customFormat="1" ht="15.75" x14ac:dyDescent="0.2">
      <c r="A108" s="332" t="str">
        <f>H108</f>
        <v>26 05 26</v>
      </c>
      <c r="B108" s="301" t="s">
        <v>254</v>
      </c>
      <c r="C108" s="328"/>
      <c r="D108" s="329"/>
      <c r="E108" s="329"/>
      <c r="F108" s="330"/>
      <c r="G108" s="331" t="s">
        <v>255</v>
      </c>
      <c r="H108" s="332" t="s">
        <v>256</v>
      </c>
    </row>
    <row r="109" spans="1:8" s="307" customFormat="1" ht="25.5" x14ac:dyDescent="0.2">
      <c r="A109" s="327" t="str">
        <f t="shared" ref="A109" si="14">H109</f>
        <v>B2.26 05 26.01</v>
      </c>
      <c r="B109" s="357" t="s">
        <v>257</v>
      </c>
      <c r="C109" s="318" t="s">
        <v>298</v>
      </c>
      <c r="D109" s="336">
        <v>185</v>
      </c>
      <c r="E109" s="113">
        <v>1296</v>
      </c>
      <c r="F109" s="339">
        <f>E109*D109</f>
        <v>239760</v>
      </c>
      <c r="G109" s="358" t="s">
        <v>258</v>
      </c>
      <c r="H109" s="347" t="s">
        <v>259</v>
      </c>
    </row>
    <row r="110" spans="1:8" s="338" customFormat="1" ht="15.75" x14ac:dyDescent="0.2">
      <c r="A110" s="332" t="str">
        <f>H110</f>
        <v>33 71 19</v>
      </c>
      <c r="B110" s="359" t="s">
        <v>260</v>
      </c>
      <c r="C110" s="328"/>
      <c r="D110" s="329"/>
      <c r="E110" s="329"/>
      <c r="F110" s="330"/>
      <c r="G110" s="331" t="s">
        <v>261</v>
      </c>
      <c r="H110" s="332" t="s">
        <v>163</v>
      </c>
    </row>
    <row r="111" spans="1:8" s="307" customFormat="1" ht="25.5" x14ac:dyDescent="0.2">
      <c r="A111" s="332" t="s">
        <v>1095</v>
      </c>
      <c r="B111" s="363" t="s">
        <v>1096</v>
      </c>
      <c r="C111" s="293" t="s">
        <v>52</v>
      </c>
      <c r="D111" s="336">
        <v>80</v>
      </c>
      <c r="E111" s="113">
        <v>308</v>
      </c>
      <c r="F111" s="339">
        <f t="shared" ref="F111:F114" si="15">E111*D111</f>
        <v>24640</v>
      </c>
      <c r="G111" s="358" t="s">
        <v>1097</v>
      </c>
      <c r="H111" s="332" t="s">
        <v>1095</v>
      </c>
    </row>
    <row r="112" spans="1:8" s="307" customFormat="1" ht="25.5" x14ac:dyDescent="0.2">
      <c r="A112" s="332" t="s">
        <v>1098</v>
      </c>
      <c r="B112" s="363" t="s">
        <v>1099</v>
      </c>
      <c r="C112" s="293" t="s">
        <v>52</v>
      </c>
      <c r="D112" s="336">
        <v>66</v>
      </c>
      <c r="E112" s="113">
        <v>308</v>
      </c>
      <c r="F112" s="339">
        <f t="shared" si="15"/>
        <v>20328</v>
      </c>
      <c r="G112" s="358" t="s">
        <v>1100</v>
      </c>
      <c r="H112" s="332" t="s">
        <v>1098</v>
      </c>
    </row>
    <row r="113" spans="1:8" s="307" customFormat="1" ht="25.5" x14ac:dyDescent="0.2">
      <c r="A113" s="332" t="s">
        <v>1101</v>
      </c>
      <c r="B113" s="363" t="s">
        <v>1102</v>
      </c>
      <c r="C113" s="293" t="s">
        <v>52</v>
      </c>
      <c r="D113" s="336">
        <v>21</v>
      </c>
      <c r="E113" s="113">
        <v>573</v>
      </c>
      <c r="F113" s="339">
        <f t="shared" si="15"/>
        <v>12033</v>
      </c>
      <c r="G113" s="358" t="s">
        <v>1103</v>
      </c>
      <c r="H113" s="332" t="s">
        <v>1101</v>
      </c>
    </row>
    <row r="114" spans="1:8" s="307" customFormat="1" ht="25.5" x14ac:dyDescent="0.2">
      <c r="A114" s="332" t="s">
        <v>1104</v>
      </c>
      <c r="B114" s="363" t="s">
        <v>1105</v>
      </c>
      <c r="C114" s="293" t="s">
        <v>52</v>
      </c>
      <c r="D114" s="336">
        <v>30</v>
      </c>
      <c r="E114" s="113">
        <v>838</v>
      </c>
      <c r="F114" s="339">
        <f t="shared" si="15"/>
        <v>25140</v>
      </c>
      <c r="G114" s="358" t="s">
        <v>1106</v>
      </c>
      <c r="H114" s="332" t="s">
        <v>1104</v>
      </c>
    </row>
    <row r="115" spans="1:8" s="338" customFormat="1" ht="15.75" x14ac:dyDescent="0.2">
      <c r="A115" s="332" t="str">
        <f>H115</f>
        <v>26 24 16</v>
      </c>
      <c r="B115" s="359" t="s">
        <v>264</v>
      </c>
      <c r="C115" s="328"/>
      <c r="D115" s="329"/>
      <c r="E115" s="329"/>
      <c r="F115" s="330"/>
      <c r="G115" s="331" t="s">
        <v>265</v>
      </c>
      <c r="H115" s="332" t="s">
        <v>266</v>
      </c>
    </row>
    <row r="116" spans="1:8" s="307" customFormat="1" x14ac:dyDescent="0.2">
      <c r="A116" s="327" t="str">
        <f t="shared" ref="A116:A117" si="16">H116</f>
        <v>B2.26 24 16.01</v>
      </c>
      <c r="B116" s="363" t="s">
        <v>1107</v>
      </c>
      <c r="C116" s="318" t="s">
        <v>298</v>
      </c>
      <c r="D116" s="336">
        <v>3</v>
      </c>
      <c r="E116" s="113">
        <v>11081</v>
      </c>
      <c r="F116" s="339">
        <f t="shared" ref="F116:F117" si="17">E116*D116</f>
        <v>33243</v>
      </c>
      <c r="G116" s="358" t="s">
        <v>268</v>
      </c>
      <c r="H116" s="347" t="s">
        <v>269</v>
      </c>
    </row>
    <row r="117" spans="1:8" s="307" customFormat="1" ht="38.25" x14ac:dyDescent="0.2">
      <c r="A117" s="327" t="str">
        <f t="shared" si="16"/>
        <v>B2.26 24 16.02</v>
      </c>
      <c r="B117" s="340" t="s">
        <v>270</v>
      </c>
      <c r="C117" s="318" t="s">
        <v>298</v>
      </c>
      <c r="D117" s="336">
        <v>3</v>
      </c>
      <c r="E117" s="113">
        <v>934</v>
      </c>
      <c r="F117" s="339">
        <f t="shared" si="17"/>
        <v>2802</v>
      </c>
      <c r="G117" s="365" t="s">
        <v>1108</v>
      </c>
      <c r="H117" s="327" t="s">
        <v>272</v>
      </c>
    </row>
    <row r="118" spans="1:8" s="338" customFormat="1" ht="15.75" x14ac:dyDescent="0.2">
      <c r="A118" s="332"/>
      <c r="B118" s="301"/>
      <c r="C118" s="328"/>
      <c r="D118" s="329"/>
      <c r="E118" s="330"/>
      <c r="F118" s="330"/>
      <c r="G118" s="331"/>
      <c r="H118" s="332"/>
    </row>
    <row r="119" spans="1:8" s="338" customFormat="1" ht="15.75" x14ac:dyDescent="0.2">
      <c r="A119" s="332"/>
      <c r="B119" s="301"/>
      <c r="C119" s="328"/>
      <c r="D119" s="329"/>
      <c r="E119" s="330"/>
      <c r="F119" s="330"/>
      <c r="G119" s="331"/>
      <c r="H119" s="332"/>
    </row>
    <row r="120" spans="1:8" s="338" customFormat="1" ht="15.75" x14ac:dyDescent="0.2">
      <c r="A120" s="332"/>
      <c r="B120" s="301"/>
      <c r="C120" s="328"/>
      <c r="D120" s="329"/>
      <c r="E120" s="330"/>
      <c r="F120" s="330"/>
      <c r="G120" s="331"/>
      <c r="H120" s="332"/>
    </row>
    <row r="121" spans="1:8" s="338" customFormat="1" ht="15.75" x14ac:dyDescent="0.2">
      <c r="A121" s="332"/>
      <c r="B121" s="301"/>
      <c r="C121" s="328"/>
      <c r="D121" s="329"/>
      <c r="E121" s="330"/>
      <c r="F121" s="330"/>
      <c r="G121" s="331"/>
      <c r="H121" s="332"/>
    </row>
    <row r="122" spans="1:8" s="338" customFormat="1" ht="15.75" x14ac:dyDescent="0.2">
      <c r="A122" s="332"/>
      <c r="B122" s="301"/>
      <c r="C122" s="328"/>
      <c r="D122" s="329"/>
      <c r="E122" s="330"/>
      <c r="F122" s="330"/>
      <c r="G122" s="331"/>
      <c r="H122" s="332"/>
    </row>
    <row r="123" spans="1:8" s="344" customFormat="1" ht="15" x14ac:dyDescent="0.2">
      <c r="A123" s="347"/>
      <c r="B123" s="298"/>
      <c r="C123" s="320"/>
      <c r="D123" s="336"/>
      <c r="E123" s="335"/>
      <c r="F123" s="335"/>
      <c r="G123" s="334"/>
      <c r="H123" s="327"/>
    </row>
    <row r="124" spans="1:8" s="344" customFormat="1" ht="31.5" x14ac:dyDescent="0.2">
      <c r="A124" s="350"/>
      <c r="B124" s="321" t="s">
        <v>191</v>
      </c>
      <c r="C124" s="1074" t="s">
        <v>98</v>
      </c>
      <c r="D124" s="1092"/>
      <c r="E124" s="1092"/>
      <c r="F124" s="351">
        <f>SUM(F96:F117)</f>
        <v>1521339</v>
      </c>
      <c r="G124" s="352" t="s">
        <v>192</v>
      </c>
      <c r="H124" s="350"/>
    </row>
    <row r="125" spans="1:8" s="338" customFormat="1" ht="15.75" x14ac:dyDescent="0.2">
      <c r="A125" s="332"/>
      <c r="B125" s="366" t="s">
        <v>279</v>
      </c>
      <c r="C125" s="328"/>
      <c r="D125" s="361"/>
      <c r="E125" s="330"/>
      <c r="F125" s="330"/>
      <c r="G125" s="331" t="s">
        <v>280</v>
      </c>
      <c r="H125" s="332"/>
    </row>
    <row r="126" spans="1:8" s="338" customFormat="1" ht="31.5" x14ac:dyDescent="0.2">
      <c r="A126" s="332" t="str">
        <f>H126</f>
        <v>33 71 19</v>
      </c>
      <c r="B126" s="359" t="s">
        <v>281</v>
      </c>
      <c r="C126" s="328"/>
      <c r="D126" s="329"/>
      <c r="E126" s="329"/>
      <c r="F126" s="330"/>
      <c r="G126" s="331" t="s">
        <v>282</v>
      </c>
      <c r="H126" s="332" t="s">
        <v>163</v>
      </c>
    </row>
    <row r="127" spans="1:8" s="307" customFormat="1" x14ac:dyDescent="0.2">
      <c r="A127" s="327" t="str">
        <f t="shared" ref="A127:A131" si="18">H127</f>
        <v>B2.33 71 19.05</v>
      </c>
      <c r="B127" s="363" t="s">
        <v>283</v>
      </c>
      <c r="C127" s="293" t="s">
        <v>52</v>
      </c>
      <c r="D127" s="336">
        <v>87</v>
      </c>
      <c r="E127" s="113">
        <v>178</v>
      </c>
      <c r="F127" s="135">
        <f>E127*D127</f>
        <v>15486</v>
      </c>
      <c r="G127" s="358" t="s">
        <v>284</v>
      </c>
      <c r="H127" s="347" t="s">
        <v>285</v>
      </c>
    </row>
    <row r="128" spans="1:8" s="307" customFormat="1" ht="25.5" x14ac:dyDescent="0.2">
      <c r="A128" s="327" t="str">
        <f t="shared" si="18"/>
        <v>B2.33 71 19.06</v>
      </c>
      <c r="B128" s="363" t="s">
        <v>1109</v>
      </c>
      <c r="C128" s="293" t="s">
        <v>52</v>
      </c>
      <c r="D128" s="336">
        <v>40</v>
      </c>
      <c r="E128" s="113">
        <v>205</v>
      </c>
      <c r="F128" s="135">
        <f t="shared" ref="F128:F136" si="19">E128*D128</f>
        <v>8200</v>
      </c>
      <c r="G128" s="358" t="s">
        <v>1110</v>
      </c>
      <c r="H128" s="347" t="s">
        <v>288</v>
      </c>
    </row>
    <row r="129" spans="1:8" s="307" customFormat="1" ht="25.5" x14ac:dyDescent="0.2">
      <c r="A129" s="327" t="str">
        <f t="shared" si="18"/>
        <v>B2.33 71 19.07</v>
      </c>
      <c r="B129" s="363" t="s">
        <v>1111</v>
      </c>
      <c r="C129" s="293" t="s">
        <v>52</v>
      </c>
      <c r="D129" s="336">
        <v>7</v>
      </c>
      <c r="E129" s="113">
        <v>199</v>
      </c>
      <c r="F129" s="135">
        <f t="shared" si="19"/>
        <v>1393</v>
      </c>
      <c r="G129" s="358" t="s">
        <v>1112</v>
      </c>
      <c r="H129" s="347" t="s">
        <v>293</v>
      </c>
    </row>
    <row r="130" spans="1:8" s="307" customFormat="1" ht="25.5" x14ac:dyDescent="0.2">
      <c r="A130" s="327" t="str">
        <f t="shared" si="18"/>
        <v>B2.33 71 19.08</v>
      </c>
      <c r="B130" s="363" t="s">
        <v>1113</v>
      </c>
      <c r="C130" s="293" t="s">
        <v>52</v>
      </c>
      <c r="D130" s="336">
        <v>14</v>
      </c>
      <c r="E130" s="113">
        <v>193</v>
      </c>
      <c r="F130" s="135">
        <f t="shared" si="19"/>
        <v>2702</v>
      </c>
      <c r="G130" s="358" t="s">
        <v>1114</v>
      </c>
      <c r="H130" s="347" t="s">
        <v>1115</v>
      </c>
    </row>
    <row r="131" spans="1:8" s="307" customFormat="1" ht="25.5" x14ac:dyDescent="0.2">
      <c r="A131" s="327" t="str">
        <f t="shared" si="18"/>
        <v>B2.33 71 19.09</v>
      </c>
      <c r="B131" s="363" t="s">
        <v>1116</v>
      </c>
      <c r="C131" s="293" t="s">
        <v>52</v>
      </c>
      <c r="D131" s="336">
        <v>21</v>
      </c>
      <c r="E131" s="113">
        <v>193</v>
      </c>
      <c r="F131" s="135">
        <f t="shared" si="19"/>
        <v>4053</v>
      </c>
      <c r="G131" s="358" t="s">
        <v>1117</v>
      </c>
      <c r="H131" s="347" t="s">
        <v>1118</v>
      </c>
    </row>
    <row r="132" spans="1:8" s="307" customFormat="1" ht="25.5" x14ac:dyDescent="0.2">
      <c r="A132" s="347" t="s">
        <v>1119</v>
      </c>
      <c r="B132" s="363" t="s">
        <v>1120</v>
      </c>
      <c r="C132" s="293" t="s">
        <v>52</v>
      </c>
      <c r="D132" s="336">
        <v>12</v>
      </c>
      <c r="E132" s="113">
        <v>193</v>
      </c>
      <c r="F132" s="135">
        <f t="shared" si="19"/>
        <v>2316</v>
      </c>
      <c r="G132" s="358" t="s">
        <v>1121</v>
      </c>
      <c r="H132" s="347" t="s">
        <v>1119</v>
      </c>
    </row>
    <row r="133" spans="1:8" s="307" customFormat="1" ht="25.5" x14ac:dyDescent="0.2">
      <c r="A133" s="327" t="str">
        <f t="shared" ref="A133:A136" si="20">H133</f>
        <v>B2.33 71 19.11</v>
      </c>
      <c r="B133" s="363" t="s">
        <v>1122</v>
      </c>
      <c r="C133" s="293" t="s">
        <v>52</v>
      </c>
      <c r="D133" s="336">
        <v>16</v>
      </c>
      <c r="E133" s="113">
        <v>224</v>
      </c>
      <c r="F133" s="135">
        <f t="shared" si="19"/>
        <v>3584</v>
      </c>
      <c r="G133" s="358" t="s">
        <v>1123</v>
      </c>
      <c r="H133" s="347" t="s">
        <v>1124</v>
      </c>
    </row>
    <row r="134" spans="1:8" s="307" customFormat="1" ht="25.5" x14ac:dyDescent="0.2">
      <c r="A134" s="327" t="str">
        <f t="shared" si="20"/>
        <v>B2.33 71 19.12</v>
      </c>
      <c r="B134" s="363" t="s">
        <v>1125</v>
      </c>
      <c r="C134" s="293" t="s">
        <v>52</v>
      </c>
      <c r="D134" s="336">
        <v>12</v>
      </c>
      <c r="E134" s="113">
        <v>212</v>
      </c>
      <c r="F134" s="135">
        <f t="shared" si="19"/>
        <v>2544</v>
      </c>
      <c r="G134" s="358" t="s">
        <v>1126</v>
      </c>
      <c r="H134" s="347" t="s">
        <v>1127</v>
      </c>
    </row>
    <row r="135" spans="1:8" s="307" customFormat="1" x14ac:dyDescent="0.2">
      <c r="A135" s="327" t="str">
        <f t="shared" si="20"/>
        <v>B2.33 71 19.13</v>
      </c>
      <c r="B135" s="363" t="s">
        <v>1128</v>
      </c>
      <c r="C135" s="293" t="s">
        <v>52</v>
      </c>
      <c r="D135" s="336">
        <v>57</v>
      </c>
      <c r="E135" s="113">
        <v>187</v>
      </c>
      <c r="F135" s="135">
        <f t="shared" si="19"/>
        <v>10659</v>
      </c>
      <c r="G135" s="358" t="s">
        <v>1129</v>
      </c>
      <c r="H135" s="347" t="s">
        <v>1130</v>
      </c>
    </row>
    <row r="136" spans="1:8" s="307" customFormat="1" x14ac:dyDescent="0.2">
      <c r="A136" s="327" t="str">
        <f t="shared" si="20"/>
        <v>B2.33 71 19.14</v>
      </c>
      <c r="B136" s="363" t="s">
        <v>1131</v>
      </c>
      <c r="C136" s="293" t="s">
        <v>52</v>
      </c>
      <c r="D136" s="336">
        <v>26</v>
      </c>
      <c r="E136" s="113">
        <v>162</v>
      </c>
      <c r="F136" s="135">
        <f t="shared" si="19"/>
        <v>4212</v>
      </c>
      <c r="G136" s="358" t="s">
        <v>1132</v>
      </c>
      <c r="H136" s="347" t="s">
        <v>1133</v>
      </c>
    </row>
    <row r="137" spans="1:8" s="338" customFormat="1" ht="15.75" x14ac:dyDescent="0.2">
      <c r="A137" s="367" t="str">
        <f>H137</f>
        <v>33 71 19</v>
      </c>
      <c r="B137" s="359" t="s">
        <v>286</v>
      </c>
      <c r="C137" s="368"/>
      <c r="D137" s="369"/>
      <c r="E137" s="369"/>
      <c r="F137" s="370"/>
      <c r="G137" s="331" t="s">
        <v>287</v>
      </c>
      <c r="H137" s="367" t="s">
        <v>163</v>
      </c>
    </row>
    <row r="138" spans="1:8" s="307" customFormat="1" x14ac:dyDescent="0.2">
      <c r="A138" s="347" t="str">
        <f>H138</f>
        <v>B2.33 71 19.14</v>
      </c>
      <c r="B138" s="363" t="s">
        <v>1134</v>
      </c>
      <c r="C138" s="293" t="s">
        <v>52</v>
      </c>
      <c r="D138" s="336">
        <v>34</v>
      </c>
      <c r="E138" s="113">
        <v>178</v>
      </c>
      <c r="F138" s="135">
        <f>E138*D138</f>
        <v>6052</v>
      </c>
      <c r="G138" s="358" t="s">
        <v>1135</v>
      </c>
      <c r="H138" s="347" t="s">
        <v>1133</v>
      </c>
    </row>
    <row r="139" spans="1:8" s="310" customFormat="1" ht="15.75" x14ac:dyDescent="0.2">
      <c r="A139" s="367" t="str">
        <f t="shared" ref="A139:A155" si="21">H139</f>
        <v>33 71 19</v>
      </c>
      <c r="B139" s="359" t="s">
        <v>289</v>
      </c>
      <c r="C139" s="368"/>
      <c r="D139" s="369"/>
      <c r="E139" s="370"/>
      <c r="F139" s="370"/>
      <c r="G139" s="331" t="s">
        <v>290</v>
      </c>
      <c r="H139" s="367" t="s">
        <v>163</v>
      </c>
    </row>
    <row r="140" spans="1:8" s="310" customFormat="1" x14ac:dyDescent="0.2">
      <c r="A140" s="327" t="str">
        <f t="shared" si="21"/>
        <v>B2.33 71 19.15</v>
      </c>
      <c r="B140" s="306" t="s">
        <v>291</v>
      </c>
      <c r="C140" s="327" t="s">
        <v>52</v>
      </c>
      <c r="D140" s="336">
        <v>311</v>
      </c>
      <c r="E140" s="113">
        <v>50</v>
      </c>
      <c r="F140" s="135">
        <f t="shared" ref="F140:F151" si="22">E140*D140</f>
        <v>15550</v>
      </c>
      <c r="G140" s="300" t="s">
        <v>292</v>
      </c>
      <c r="H140" s="347" t="s">
        <v>1136</v>
      </c>
    </row>
    <row r="141" spans="1:8" s="310" customFormat="1" x14ac:dyDescent="0.2">
      <c r="A141" s="327" t="str">
        <f t="shared" si="21"/>
        <v>B2.33 71 19.16</v>
      </c>
      <c r="B141" s="363" t="s">
        <v>1137</v>
      </c>
      <c r="C141" s="293" t="s">
        <v>52</v>
      </c>
      <c r="D141" s="336">
        <v>613</v>
      </c>
      <c r="E141" s="113">
        <v>55</v>
      </c>
      <c r="F141" s="135">
        <f t="shared" si="22"/>
        <v>33715</v>
      </c>
      <c r="G141" s="358" t="s">
        <v>1138</v>
      </c>
      <c r="H141" s="347" t="s">
        <v>1139</v>
      </c>
    </row>
    <row r="142" spans="1:8" s="310" customFormat="1" x14ac:dyDescent="0.2">
      <c r="A142" s="327" t="str">
        <f t="shared" si="21"/>
        <v>B2.33 71 19.17</v>
      </c>
      <c r="B142" s="363" t="s">
        <v>1140</v>
      </c>
      <c r="C142" s="293" t="s">
        <v>52</v>
      </c>
      <c r="D142" s="336">
        <v>50</v>
      </c>
      <c r="E142" s="113">
        <v>62</v>
      </c>
      <c r="F142" s="135">
        <f t="shared" si="22"/>
        <v>3100</v>
      </c>
      <c r="G142" s="358" t="s">
        <v>1141</v>
      </c>
      <c r="H142" s="347" t="s">
        <v>1142</v>
      </c>
    </row>
    <row r="143" spans="1:8" s="310" customFormat="1" x14ac:dyDescent="0.2">
      <c r="A143" s="327" t="str">
        <f t="shared" si="21"/>
        <v>B2.33 71 19.18</v>
      </c>
      <c r="B143" s="363" t="s">
        <v>1143</v>
      </c>
      <c r="C143" s="293" t="s">
        <v>52</v>
      </c>
      <c r="D143" s="336">
        <v>56</v>
      </c>
      <c r="E143" s="113">
        <v>56</v>
      </c>
      <c r="F143" s="135">
        <f t="shared" si="22"/>
        <v>3136</v>
      </c>
      <c r="G143" s="358" t="s">
        <v>1144</v>
      </c>
      <c r="H143" s="347" t="s">
        <v>1145</v>
      </c>
    </row>
    <row r="144" spans="1:8" s="310" customFormat="1" x14ac:dyDescent="0.2">
      <c r="A144" s="327" t="str">
        <f t="shared" si="21"/>
        <v>B2.33 71 19.19</v>
      </c>
      <c r="B144" s="363" t="s">
        <v>1146</v>
      </c>
      <c r="C144" s="293" t="s">
        <v>52</v>
      </c>
      <c r="D144" s="336">
        <v>467</v>
      </c>
      <c r="E144" s="113">
        <v>60</v>
      </c>
      <c r="F144" s="135">
        <f t="shared" si="22"/>
        <v>28020</v>
      </c>
      <c r="G144" s="358" t="s">
        <v>1147</v>
      </c>
      <c r="H144" s="347" t="s">
        <v>1148</v>
      </c>
    </row>
    <row r="145" spans="1:8" s="310" customFormat="1" x14ac:dyDescent="0.2">
      <c r="A145" s="327" t="str">
        <f t="shared" si="21"/>
        <v>B2.33 71 19.20</v>
      </c>
      <c r="B145" s="363" t="s">
        <v>1149</v>
      </c>
      <c r="C145" s="293" t="s">
        <v>52</v>
      </c>
      <c r="D145" s="336">
        <v>69</v>
      </c>
      <c r="E145" s="113">
        <v>62</v>
      </c>
      <c r="F145" s="135">
        <f t="shared" si="22"/>
        <v>4278</v>
      </c>
      <c r="G145" s="358" t="s">
        <v>1150</v>
      </c>
      <c r="H145" s="347" t="s">
        <v>1151</v>
      </c>
    </row>
    <row r="146" spans="1:8" s="310" customFormat="1" ht="25.5" x14ac:dyDescent="0.2">
      <c r="A146" s="327" t="str">
        <f t="shared" si="21"/>
        <v>B2.33 71 19.21</v>
      </c>
      <c r="B146" s="363" t="s">
        <v>1152</v>
      </c>
      <c r="C146" s="293" t="s">
        <v>52</v>
      </c>
      <c r="D146" s="336">
        <v>230</v>
      </c>
      <c r="E146" s="113">
        <v>68</v>
      </c>
      <c r="F146" s="135">
        <f t="shared" si="22"/>
        <v>15640</v>
      </c>
      <c r="G146" s="358" t="s">
        <v>1153</v>
      </c>
      <c r="H146" s="347" t="s">
        <v>1154</v>
      </c>
    </row>
    <row r="147" spans="1:8" s="310" customFormat="1" x14ac:dyDescent="0.2">
      <c r="A147" s="327" t="str">
        <f t="shared" si="21"/>
        <v>B2.33 71 19.22</v>
      </c>
      <c r="B147" s="363" t="s">
        <v>1155</v>
      </c>
      <c r="C147" s="293" t="s">
        <v>52</v>
      </c>
      <c r="D147" s="336">
        <v>19</v>
      </c>
      <c r="E147" s="113">
        <v>93</v>
      </c>
      <c r="F147" s="135">
        <f t="shared" si="22"/>
        <v>1767</v>
      </c>
      <c r="G147" s="358" t="s">
        <v>1156</v>
      </c>
      <c r="H147" s="347" t="s">
        <v>1157</v>
      </c>
    </row>
    <row r="148" spans="1:8" s="310" customFormat="1" x14ac:dyDescent="0.2">
      <c r="A148" s="327" t="str">
        <f t="shared" si="21"/>
        <v>B2.33 71 19.23</v>
      </c>
      <c r="B148" s="363" t="s">
        <v>1158</v>
      </c>
      <c r="C148" s="293" t="s">
        <v>52</v>
      </c>
      <c r="D148" s="336">
        <v>32</v>
      </c>
      <c r="E148" s="113">
        <v>112</v>
      </c>
      <c r="F148" s="135">
        <f t="shared" si="22"/>
        <v>3584</v>
      </c>
      <c r="G148" s="358" t="s">
        <v>1159</v>
      </c>
      <c r="H148" s="347" t="s">
        <v>1160</v>
      </c>
    </row>
    <row r="149" spans="1:8" s="310" customFormat="1" x14ac:dyDescent="0.2">
      <c r="A149" s="327" t="str">
        <f t="shared" si="21"/>
        <v>B2.33 71 19.24</v>
      </c>
      <c r="B149" s="363" t="s">
        <v>1161</v>
      </c>
      <c r="C149" s="293" t="s">
        <v>52</v>
      </c>
      <c r="D149" s="336">
        <v>4</v>
      </c>
      <c r="E149" s="113">
        <v>123</v>
      </c>
      <c r="F149" s="135">
        <f t="shared" si="22"/>
        <v>492</v>
      </c>
      <c r="G149" s="358" t="s">
        <v>1162</v>
      </c>
      <c r="H149" s="347" t="s">
        <v>1163</v>
      </c>
    </row>
    <row r="150" spans="1:8" s="310" customFormat="1" x14ac:dyDescent="0.2">
      <c r="A150" s="327" t="str">
        <f t="shared" si="21"/>
        <v>B2.33 71 19.25</v>
      </c>
      <c r="B150" s="363" t="s">
        <v>1164</v>
      </c>
      <c r="C150" s="293" t="s">
        <v>52</v>
      </c>
      <c r="D150" s="336">
        <v>18</v>
      </c>
      <c r="E150" s="113">
        <v>187</v>
      </c>
      <c r="F150" s="135">
        <f t="shared" si="22"/>
        <v>3366</v>
      </c>
      <c r="G150" s="358" t="s">
        <v>1165</v>
      </c>
      <c r="H150" s="347" t="s">
        <v>1166</v>
      </c>
    </row>
    <row r="151" spans="1:8" s="310" customFormat="1" x14ac:dyDescent="0.2">
      <c r="A151" s="327" t="str">
        <f t="shared" si="21"/>
        <v>B2.33 71 19.26</v>
      </c>
      <c r="B151" s="363" t="s">
        <v>1167</v>
      </c>
      <c r="C151" s="293" t="s">
        <v>52</v>
      </c>
      <c r="D151" s="336">
        <v>39</v>
      </c>
      <c r="E151" s="113">
        <v>32</v>
      </c>
      <c r="F151" s="135">
        <f t="shared" si="22"/>
        <v>1248</v>
      </c>
      <c r="G151" s="358" t="s">
        <v>1168</v>
      </c>
      <c r="H151" s="347" t="s">
        <v>1169</v>
      </c>
    </row>
    <row r="152" spans="1:8" s="338" customFormat="1" ht="15.75" x14ac:dyDescent="0.2">
      <c r="A152" s="327" t="str">
        <f t="shared" si="21"/>
        <v>33 71 19.13</v>
      </c>
      <c r="B152" s="315" t="s">
        <v>294</v>
      </c>
      <c r="C152" s="328"/>
      <c r="D152" s="361"/>
      <c r="E152" s="330"/>
      <c r="F152" s="330"/>
      <c r="G152" s="331" t="s">
        <v>295</v>
      </c>
      <c r="H152" s="332" t="s">
        <v>296</v>
      </c>
    </row>
    <row r="153" spans="1:8" s="310" customFormat="1" ht="25.5" x14ac:dyDescent="0.2">
      <c r="A153" s="327" t="str">
        <f t="shared" si="21"/>
        <v>B2.33.71.19.13.02</v>
      </c>
      <c r="B153" s="306" t="s">
        <v>1170</v>
      </c>
      <c r="C153" s="327" t="s">
        <v>298</v>
      </c>
      <c r="D153" s="336">
        <v>7</v>
      </c>
      <c r="E153" s="113">
        <v>6706</v>
      </c>
      <c r="F153" s="135">
        <f>E153*D153</f>
        <v>46942</v>
      </c>
      <c r="G153" s="300" t="s">
        <v>1171</v>
      </c>
      <c r="H153" s="347" t="s">
        <v>300</v>
      </c>
    </row>
    <row r="154" spans="1:8" s="338" customFormat="1" ht="15.75" x14ac:dyDescent="0.2">
      <c r="A154" s="327" t="str">
        <f t="shared" si="21"/>
        <v>33 71 19.13</v>
      </c>
      <c r="B154" s="315" t="s">
        <v>1172</v>
      </c>
      <c r="C154" s="328"/>
      <c r="D154" s="361"/>
      <c r="E154" s="330"/>
      <c r="F154" s="339"/>
      <c r="G154" s="331" t="s">
        <v>1173</v>
      </c>
      <c r="H154" s="332" t="s">
        <v>296</v>
      </c>
    </row>
    <row r="155" spans="1:8" s="310" customFormat="1" ht="25.5" x14ac:dyDescent="0.2">
      <c r="A155" s="327" t="str">
        <f t="shared" si="21"/>
        <v>B2.33.71.19.13.03</v>
      </c>
      <c r="B155" s="306" t="s">
        <v>1174</v>
      </c>
      <c r="C155" s="327" t="s">
        <v>298</v>
      </c>
      <c r="D155" s="336">
        <v>5</v>
      </c>
      <c r="E155" s="113">
        <v>4588</v>
      </c>
      <c r="F155" s="135">
        <f>E155*D155</f>
        <v>22940</v>
      </c>
      <c r="G155" s="300" t="s">
        <v>1175</v>
      </c>
      <c r="H155" s="347" t="s">
        <v>303</v>
      </c>
    </row>
    <row r="156" spans="1:8" s="310" customFormat="1" x14ac:dyDescent="0.2">
      <c r="A156" s="327"/>
      <c r="B156" s="306"/>
      <c r="C156" s="327"/>
      <c r="D156" s="336"/>
      <c r="E156" s="339"/>
      <c r="F156" s="339"/>
      <c r="G156" s="300"/>
      <c r="H156" s="347"/>
    </row>
    <row r="157" spans="1:8" s="310" customFormat="1" x14ac:dyDescent="0.2">
      <c r="A157" s="327"/>
      <c r="B157" s="306"/>
      <c r="C157" s="327"/>
      <c r="D157" s="336"/>
      <c r="E157" s="339"/>
      <c r="F157" s="339"/>
      <c r="G157" s="300"/>
      <c r="H157" s="347"/>
    </row>
    <row r="158" spans="1:8" s="310" customFormat="1" x14ac:dyDescent="0.2">
      <c r="A158" s="327"/>
      <c r="B158" s="306"/>
      <c r="C158" s="327"/>
      <c r="D158" s="336"/>
      <c r="E158" s="339"/>
      <c r="F158" s="339"/>
      <c r="G158" s="300"/>
      <c r="H158" s="347"/>
    </row>
    <row r="159" spans="1:8" s="310" customFormat="1" x14ac:dyDescent="0.2">
      <c r="A159" s="327"/>
      <c r="B159" s="306"/>
      <c r="C159" s="327"/>
      <c r="D159" s="336"/>
      <c r="E159" s="339"/>
      <c r="F159" s="339"/>
      <c r="G159" s="300"/>
      <c r="H159" s="347"/>
    </row>
    <row r="160" spans="1:8" s="310" customFormat="1" x14ac:dyDescent="0.2">
      <c r="A160" s="327"/>
      <c r="B160" s="306"/>
      <c r="C160" s="327"/>
      <c r="D160" s="336"/>
      <c r="E160" s="339"/>
      <c r="F160" s="339"/>
      <c r="G160" s="300"/>
      <c r="H160" s="347"/>
    </row>
    <row r="161" spans="1:8" s="344" customFormat="1" ht="31.5" x14ac:dyDescent="0.2">
      <c r="A161" s="350"/>
      <c r="B161" s="321" t="s">
        <v>1176</v>
      </c>
      <c r="C161" s="1074" t="s">
        <v>98</v>
      </c>
      <c r="D161" s="1092"/>
      <c r="E161" s="1092"/>
      <c r="F161" s="351">
        <f>SUM(F127:F155)</f>
        <v>244979</v>
      </c>
      <c r="G161" s="352" t="s">
        <v>1177</v>
      </c>
      <c r="H161" s="350"/>
    </row>
    <row r="162" spans="1:8" ht="15.75" x14ac:dyDescent="0.2">
      <c r="A162" s="1093" t="s">
        <v>307</v>
      </c>
      <c r="B162" s="1094"/>
      <c r="C162" s="371"/>
      <c r="D162" s="372"/>
      <c r="E162" s="372"/>
      <c r="F162" s="373"/>
      <c r="G162" s="1077" t="s">
        <v>308</v>
      </c>
      <c r="H162" s="1078"/>
    </row>
    <row r="163" spans="1:8" s="381" customFormat="1" ht="15.75" x14ac:dyDescent="0.2">
      <c r="A163" s="320"/>
      <c r="B163" s="374" t="s">
        <v>309</v>
      </c>
      <c r="C163" s="375"/>
      <c r="D163" s="376"/>
      <c r="E163" s="377"/>
      <c r="F163" s="378"/>
      <c r="G163" s="379" t="s">
        <v>310</v>
      </c>
      <c r="H163" s="380"/>
    </row>
    <row r="164" spans="1:8" s="326" customFormat="1" ht="31.5" x14ac:dyDescent="0.2">
      <c r="A164" s="320" t="str">
        <f t="shared" ref="A164" si="23">H164</f>
        <v>33 14 13</v>
      </c>
      <c r="B164" s="382" t="s">
        <v>311</v>
      </c>
      <c r="C164" s="375"/>
      <c r="D164" s="383"/>
      <c r="E164" s="377"/>
      <c r="F164" s="377"/>
      <c r="G164" s="379" t="s">
        <v>312</v>
      </c>
      <c r="H164" s="320" t="s">
        <v>313</v>
      </c>
    </row>
    <row r="165" spans="1:8" s="326" customFormat="1" ht="15.75" x14ac:dyDescent="0.2">
      <c r="A165" s="320"/>
      <c r="B165" s="382" t="s">
        <v>325</v>
      </c>
      <c r="C165" s="375"/>
      <c r="D165" s="383"/>
      <c r="E165" s="377"/>
      <c r="F165" s="377"/>
      <c r="G165" s="379" t="s">
        <v>326</v>
      </c>
      <c r="H165" s="320"/>
    </row>
    <row r="166" spans="1:8" s="326" customFormat="1" x14ac:dyDescent="0.2">
      <c r="A166" s="320" t="str">
        <f t="shared" ref="A166:A168" si="24">H166</f>
        <v>B3.33 14 13.01</v>
      </c>
      <c r="B166" s="384" t="s">
        <v>316</v>
      </c>
      <c r="C166" s="327" t="s">
        <v>52</v>
      </c>
      <c r="D166" s="383">
        <v>1600</v>
      </c>
      <c r="E166" s="113">
        <v>117</v>
      </c>
      <c r="F166" s="135">
        <f>E166*D166</f>
        <v>187200</v>
      </c>
      <c r="G166" s="386" t="s">
        <v>317</v>
      </c>
      <c r="H166" s="320" t="s">
        <v>318</v>
      </c>
    </row>
    <row r="167" spans="1:8" s="326" customFormat="1" x14ac:dyDescent="0.2">
      <c r="A167" s="320" t="str">
        <f t="shared" si="24"/>
        <v>B3.33 14 13.02</v>
      </c>
      <c r="B167" s="384" t="s">
        <v>319</v>
      </c>
      <c r="C167" s="327" t="s">
        <v>52</v>
      </c>
      <c r="D167" s="383">
        <v>40</v>
      </c>
      <c r="E167" s="113">
        <v>129</v>
      </c>
      <c r="F167" s="135">
        <f t="shared" ref="F167:F168" si="25">E167*D167</f>
        <v>5160</v>
      </c>
      <c r="G167" s="386" t="s">
        <v>320</v>
      </c>
      <c r="H167" s="320" t="s">
        <v>321</v>
      </c>
    </row>
    <row r="168" spans="1:8" s="326" customFormat="1" x14ac:dyDescent="0.2">
      <c r="A168" s="320" t="str">
        <f t="shared" si="24"/>
        <v>B3.33 14 13.03</v>
      </c>
      <c r="B168" s="384" t="s">
        <v>1178</v>
      </c>
      <c r="C168" s="327" t="s">
        <v>52</v>
      </c>
      <c r="D168" s="383">
        <v>30</v>
      </c>
      <c r="E168" s="113">
        <v>159</v>
      </c>
      <c r="F168" s="135">
        <f t="shared" si="25"/>
        <v>4770</v>
      </c>
      <c r="G168" s="386" t="s">
        <v>1179</v>
      </c>
      <c r="H168" s="320" t="s">
        <v>324</v>
      </c>
    </row>
    <row r="169" spans="1:8" s="326" customFormat="1" ht="15.75" x14ac:dyDescent="0.2">
      <c r="A169" s="320"/>
      <c r="B169" s="382" t="s">
        <v>329</v>
      </c>
      <c r="C169" s="375"/>
      <c r="D169" s="383"/>
      <c r="E169" s="377"/>
      <c r="F169" s="135">
        <f t="shared" ref="F169:F187" si="26">E169*D169</f>
        <v>0</v>
      </c>
      <c r="G169" s="379" t="s">
        <v>330</v>
      </c>
      <c r="H169" s="320"/>
    </row>
    <row r="170" spans="1:8" s="326" customFormat="1" x14ac:dyDescent="0.2">
      <c r="A170" s="320" t="str">
        <f>H170</f>
        <v>B3.33 14 13.04</v>
      </c>
      <c r="B170" s="384" t="s">
        <v>316</v>
      </c>
      <c r="C170" s="327" t="s">
        <v>52</v>
      </c>
      <c r="D170" s="383">
        <v>25</v>
      </c>
      <c r="E170" s="113">
        <v>167</v>
      </c>
      <c r="F170" s="135">
        <f t="shared" si="26"/>
        <v>4175</v>
      </c>
      <c r="G170" s="386" t="s">
        <v>317</v>
      </c>
      <c r="H170" s="320" t="s">
        <v>327</v>
      </c>
    </row>
    <row r="171" spans="1:8" s="326" customFormat="1" x14ac:dyDescent="0.2">
      <c r="A171" s="320" t="str">
        <f>H171</f>
        <v>B3.33 14 13.05</v>
      </c>
      <c r="B171" s="384" t="s">
        <v>1180</v>
      </c>
      <c r="C171" s="327" t="s">
        <v>52</v>
      </c>
      <c r="D171" s="383">
        <v>20</v>
      </c>
      <c r="E171" s="113">
        <v>179</v>
      </c>
      <c r="F171" s="135">
        <f t="shared" si="26"/>
        <v>3580</v>
      </c>
      <c r="G171" s="386" t="s">
        <v>1181</v>
      </c>
      <c r="H171" s="320" t="s">
        <v>328</v>
      </c>
    </row>
    <row r="172" spans="1:8" s="338" customFormat="1" ht="15.75" x14ac:dyDescent="0.2">
      <c r="A172" s="327" t="str">
        <f>H172</f>
        <v>33 14 19</v>
      </c>
      <c r="B172" s="382" t="s">
        <v>375</v>
      </c>
      <c r="C172" s="375"/>
      <c r="D172" s="383"/>
      <c r="E172" s="377"/>
      <c r="F172" s="135">
        <f t="shared" si="26"/>
        <v>0</v>
      </c>
      <c r="G172" s="379" t="s">
        <v>376</v>
      </c>
      <c r="H172" s="371" t="s">
        <v>379</v>
      </c>
    </row>
    <row r="173" spans="1:8" s="310" customFormat="1" ht="15.75" x14ac:dyDescent="0.2">
      <c r="A173" s="327">
        <f>H173</f>
        <v>0</v>
      </c>
      <c r="B173" s="382" t="s">
        <v>380</v>
      </c>
      <c r="C173" s="375"/>
      <c r="D173" s="383"/>
      <c r="E173" s="377"/>
      <c r="F173" s="135">
        <f t="shared" si="26"/>
        <v>0</v>
      </c>
      <c r="G173" s="379" t="s">
        <v>381</v>
      </c>
      <c r="H173" s="327"/>
    </row>
    <row r="174" spans="1:8" s="307" customFormat="1" x14ac:dyDescent="0.2">
      <c r="A174" s="327" t="str">
        <f t="shared" ref="A174" si="27">H174</f>
        <v>B3.33 14 19.01</v>
      </c>
      <c r="B174" s="387" t="s">
        <v>382</v>
      </c>
      <c r="C174" s="327" t="s">
        <v>298</v>
      </c>
      <c r="D174" s="383">
        <v>44</v>
      </c>
      <c r="E174" s="113">
        <v>2817</v>
      </c>
      <c r="F174" s="135">
        <f>E174*D174</f>
        <v>123948</v>
      </c>
      <c r="G174" s="334" t="s">
        <v>383</v>
      </c>
      <c r="H174" s="327" t="s">
        <v>384</v>
      </c>
    </row>
    <row r="175" spans="1:8" s="307" customFormat="1" ht="15.75" x14ac:dyDescent="0.2">
      <c r="A175" s="134">
        <f>H175</f>
        <v>0</v>
      </c>
      <c r="B175" s="388" t="s">
        <v>399</v>
      </c>
      <c r="C175" s="389"/>
      <c r="D175" s="383"/>
      <c r="E175" s="390"/>
      <c r="F175" s="135">
        <f t="shared" si="26"/>
        <v>0</v>
      </c>
      <c r="G175" s="391" t="s">
        <v>400</v>
      </c>
      <c r="H175" s="134"/>
    </row>
    <row r="176" spans="1:8" s="307" customFormat="1" x14ac:dyDescent="0.2">
      <c r="A176" s="134" t="str">
        <f t="shared" ref="A176" si="28">H176</f>
        <v>B3.33 14 19.05</v>
      </c>
      <c r="B176" s="392" t="s">
        <v>401</v>
      </c>
      <c r="C176" s="134" t="s">
        <v>298</v>
      </c>
      <c r="D176" s="383">
        <v>1</v>
      </c>
      <c r="E176" s="113">
        <v>5526</v>
      </c>
      <c r="F176" s="135">
        <f>E176*D176</f>
        <v>5526</v>
      </c>
      <c r="G176" s="124" t="s">
        <v>402</v>
      </c>
      <c r="H176" s="134" t="s">
        <v>398</v>
      </c>
    </row>
    <row r="177" spans="1:8" s="307" customFormat="1" ht="15.75" x14ac:dyDescent="0.2">
      <c r="A177" s="134">
        <f>H177</f>
        <v>0</v>
      </c>
      <c r="B177" s="388" t="s">
        <v>413</v>
      </c>
      <c r="C177" s="389"/>
      <c r="D177" s="383"/>
      <c r="E177" s="390"/>
      <c r="F177" s="135">
        <f t="shared" si="26"/>
        <v>0</v>
      </c>
      <c r="G177" s="391" t="s">
        <v>414</v>
      </c>
      <c r="H177" s="134"/>
    </row>
    <row r="178" spans="1:8" s="307" customFormat="1" x14ac:dyDescent="0.2">
      <c r="A178" s="134" t="str">
        <f t="shared" ref="A178:A186" si="29">H178</f>
        <v>B3.33 14 19.09</v>
      </c>
      <c r="B178" s="392" t="s">
        <v>415</v>
      </c>
      <c r="C178" s="134" t="s">
        <v>298</v>
      </c>
      <c r="D178" s="383">
        <v>1</v>
      </c>
      <c r="E178" s="113">
        <v>6123</v>
      </c>
      <c r="F178" s="135">
        <f>E178*D178</f>
        <v>6123</v>
      </c>
      <c r="G178" s="124" t="s">
        <v>416</v>
      </c>
      <c r="H178" s="134" t="s">
        <v>412</v>
      </c>
    </row>
    <row r="179" spans="1:8" s="338" customFormat="1" ht="15.75" x14ac:dyDescent="0.2">
      <c r="A179" s="327">
        <f t="shared" si="29"/>
        <v>0</v>
      </c>
      <c r="B179" s="301" t="s">
        <v>429</v>
      </c>
      <c r="C179" s="393"/>
      <c r="D179" s="383"/>
      <c r="E179" s="394"/>
      <c r="F179" s="135">
        <f t="shared" si="26"/>
        <v>0</v>
      </c>
      <c r="G179" s="379" t="s">
        <v>430</v>
      </c>
      <c r="H179" s="327"/>
    </row>
    <row r="180" spans="1:8" s="338" customFormat="1" ht="15.75" x14ac:dyDescent="0.2">
      <c r="A180" s="134" t="str">
        <f t="shared" si="29"/>
        <v>B3.33 14 13</v>
      </c>
      <c r="B180" s="395" t="s">
        <v>431</v>
      </c>
      <c r="C180" s="396"/>
      <c r="D180" s="383"/>
      <c r="E180" s="397"/>
      <c r="F180" s="135">
        <f t="shared" si="26"/>
        <v>0</v>
      </c>
      <c r="G180" s="391" t="s">
        <v>432</v>
      </c>
      <c r="H180" s="134" t="s">
        <v>433</v>
      </c>
    </row>
    <row r="181" spans="1:8" s="338" customFormat="1" ht="15.75" x14ac:dyDescent="0.2">
      <c r="A181" s="327"/>
      <c r="B181" s="395" t="s">
        <v>438</v>
      </c>
      <c r="C181" s="393"/>
      <c r="D181" s="383"/>
      <c r="E181" s="394"/>
      <c r="F181" s="135">
        <f t="shared" si="26"/>
        <v>0</v>
      </c>
      <c r="G181" s="379"/>
      <c r="H181" s="327"/>
    </row>
    <row r="182" spans="1:8" s="338" customFormat="1" ht="15" x14ac:dyDescent="0.2">
      <c r="A182" s="134" t="str">
        <f t="shared" ref="A182" si="30">H182</f>
        <v>B3.33 14 13.02</v>
      </c>
      <c r="B182" s="127" t="s">
        <v>440</v>
      </c>
      <c r="C182" s="134" t="s">
        <v>298</v>
      </c>
      <c r="D182" s="383">
        <v>1</v>
      </c>
      <c r="E182" s="113">
        <v>20741</v>
      </c>
      <c r="F182" s="135">
        <f>E182*D182</f>
        <v>20741</v>
      </c>
      <c r="G182" s="392" t="s">
        <v>1182</v>
      </c>
      <c r="H182" s="134" t="s">
        <v>321</v>
      </c>
    </row>
    <row r="183" spans="1:8" s="338" customFormat="1" ht="15.75" x14ac:dyDescent="0.2">
      <c r="A183" s="327"/>
      <c r="B183" s="395" t="s">
        <v>449</v>
      </c>
      <c r="C183" s="393"/>
      <c r="D183" s="383"/>
      <c r="E183" s="394"/>
      <c r="F183" s="135">
        <f t="shared" si="26"/>
        <v>0</v>
      </c>
      <c r="G183" s="379"/>
      <c r="H183" s="327"/>
    </row>
    <row r="184" spans="1:8" s="338" customFormat="1" ht="15" x14ac:dyDescent="0.2">
      <c r="A184" s="134" t="str">
        <f t="shared" ref="A184" si="31">H184</f>
        <v>B3.33 14 13.06</v>
      </c>
      <c r="B184" s="127" t="s">
        <v>451</v>
      </c>
      <c r="C184" s="134" t="s">
        <v>298</v>
      </c>
      <c r="D184" s="383">
        <v>1</v>
      </c>
      <c r="E184" s="113">
        <v>16004</v>
      </c>
      <c r="F184" s="135">
        <f>E184*D184</f>
        <v>16004</v>
      </c>
      <c r="G184" s="392" t="s">
        <v>452</v>
      </c>
      <c r="H184" s="158" t="s">
        <v>448</v>
      </c>
    </row>
    <row r="185" spans="1:8" s="338" customFormat="1" ht="15.75" x14ac:dyDescent="0.2">
      <c r="A185" s="332" t="str">
        <f t="shared" si="29"/>
        <v>33 71 19</v>
      </c>
      <c r="B185" s="301" t="s">
        <v>457</v>
      </c>
      <c r="C185" s="393"/>
      <c r="D185" s="383"/>
      <c r="E185" s="394"/>
      <c r="F185" s="135">
        <f t="shared" si="26"/>
        <v>0</v>
      </c>
      <c r="G185" s="379" t="s">
        <v>458</v>
      </c>
      <c r="H185" s="332" t="s">
        <v>163</v>
      </c>
    </row>
    <row r="186" spans="1:8" s="307" customFormat="1" ht="25.5" x14ac:dyDescent="0.2">
      <c r="A186" s="327" t="str">
        <f t="shared" si="29"/>
        <v>B3.33 71 19.01</v>
      </c>
      <c r="B186" s="363" t="s">
        <v>459</v>
      </c>
      <c r="C186" s="293" t="s">
        <v>298</v>
      </c>
      <c r="D186" s="383">
        <v>34</v>
      </c>
      <c r="E186" s="113">
        <v>2794</v>
      </c>
      <c r="F186" s="135">
        <f>E186*D186</f>
        <v>94996</v>
      </c>
      <c r="G186" s="358" t="s">
        <v>460</v>
      </c>
      <c r="H186" s="347" t="s">
        <v>461</v>
      </c>
    </row>
    <row r="187" spans="1:8" s="307" customFormat="1" ht="15.75" x14ac:dyDescent="0.2">
      <c r="A187" s="398"/>
      <c r="B187" s="395"/>
      <c r="C187" s="393"/>
      <c r="D187" s="383"/>
      <c r="E187" s="394"/>
      <c r="F187" s="135">
        <f t="shared" si="26"/>
        <v>0</v>
      </c>
      <c r="G187" s="379"/>
      <c r="H187" s="327"/>
    </row>
    <row r="188" spans="1:8" s="307" customFormat="1" ht="15.75" x14ac:dyDescent="0.2">
      <c r="A188" s="398"/>
      <c r="B188" s="395"/>
      <c r="C188" s="393"/>
      <c r="D188" s="383"/>
      <c r="E188" s="394"/>
      <c r="F188" s="394"/>
      <c r="G188" s="379"/>
      <c r="H188" s="327"/>
    </row>
    <row r="189" spans="1:8" s="307" customFormat="1" ht="15.75" x14ac:dyDescent="0.2">
      <c r="A189" s="398"/>
      <c r="B189" s="395"/>
      <c r="C189" s="393"/>
      <c r="D189" s="383"/>
      <c r="E189" s="394"/>
      <c r="F189" s="394"/>
      <c r="G189" s="379"/>
      <c r="H189" s="327"/>
    </row>
    <row r="190" spans="1:8" s="307" customFormat="1" ht="15.75" x14ac:dyDescent="0.2">
      <c r="A190" s="398"/>
      <c r="B190" s="395"/>
      <c r="C190" s="393"/>
      <c r="D190" s="383"/>
      <c r="E190" s="394"/>
      <c r="F190" s="394"/>
      <c r="G190" s="379"/>
      <c r="H190" s="327"/>
    </row>
    <row r="191" spans="1:8" s="307" customFormat="1" ht="15.75" x14ac:dyDescent="0.2">
      <c r="A191" s="398"/>
      <c r="B191" s="395"/>
      <c r="C191" s="393"/>
      <c r="D191" s="383"/>
      <c r="E191" s="394"/>
      <c r="F191" s="394"/>
      <c r="G191" s="379"/>
      <c r="H191" s="327"/>
    </row>
    <row r="192" spans="1:8" s="307" customFormat="1" ht="15.75" x14ac:dyDescent="0.2">
      <c r="A192" s="398"/>
      <c r="B192" s="395"/>
      <c r="C192" s="393"/>
      <c r="D192" s="383"/>
      <c r="E192" s="394"/>
      <c r="F192" s="394"/>
      <c r="G192" s="379"/>
      <c r="H192" s="327"/>
    </row>
    <row r="193" spans="1:8" s="307" customFormat="1" ht="15.75" x14ac:dyDescent="0.2">
      <c r="A193" s="398"/>
      <c r="B193" s="395"/>
      <c r="C193" s="393"/>
      <c r="D193" s="383"/>
      <c r="E193" s="394"/>
      <c r="F193" s="394"/>
      <c r="G193" s="379"/>
      <c r="H193" s="327"/>
    </row>
    <row r="194" spans="1:8" s="307" customFormat="1" ht="15.75" x14ac:dyDescent="0.2">
      <c r="A194" s="398"/>
      <c r="B194" s="395"/>
      <c r="C194" s="393"/>
      <c r="D194" s="383"/>
      <c r="E194" s="394"/>
      <c r="F194" s="394"/>
      <c r="G194" s="379"/>
      <c r="H194" s="327"/>
    </row>
    <row r="195" spans="1:8" s="307" customFormat="1" ht="15.75" x14ac:dyDescent="0.2">
      <c r="A195" s="398"/>
      <c r="B195" s="395"/>
      <c r="C195" s="393"/>
      <c r="D195" s="383"/>
      <c r="E195" s="394"/>
      <c r="F195" s="394"/>
      <c r="G195" s="379"/>
      <c r="H195" s="327"/>
    </row>
    <row r="196" spans="1:8" s="307" customFormat="1" ht="15.75" x14ac:dyDescent="0.2">
      <c r="A196" s="398"/>
      <c r="B196" s="395"/>
      <c r="C196" s="393"/>
      <c r="D196" s="383"/>
      <c r="E196" s="394"/>
      <c r="F196" s="394"/>
      <c r="G196" s="379"/>
      <c r="H196" s="327"/>
    </row>
    <row r="197" spans="1:8" s="307" customFormat="1" ht="15.75" x14ac:dyDescent="0.2">
      <c r="A197" s="398"/>
      <c r="B197" s="395"/>
      <c r="C197" s="393"/>
      <c r="D197" s="383"/>
      <c r="E197" s="394"/>
      <c r="F197" s="394"/>
      <c r="G197" s="379"/>
      <c r="H197" s="327"/>
    </row>
    <row r="198" spans="1:8" s="307" customFormat="1" ht="15.75" x14ac:dyDescent="0.2">
      <c r="A198" s="398"/>
      <c r="B198" s="395"/>
      <c r="C198" s="393"/>
      <c r="D198" s="383"/>
      <c r="E198" s="394"/>
      <c r="F198" s="394"/>
      <c r="G198" s="379"/>
      <c r="H198" s="327"/>
    </row>
    <row r="199" spans="1:8" s="307" customFormat="1" ht="15.75" x14ac:dyDescent="0.2">
      <c r="A199" s="398"/>
      <c r="B199" s="395"/>
      <c r="C199" s="393"/>
      <c r="D199" s="383"/>
      <c r="E199" s="394"/>
      <c r="F199" s="394"/>
      <c r="G199" s="379"/>
      <c r="H199" s="327"/>
    </row>
    <row r="200" spans="1:8" s="307" customFormat="1" ht="15.75" x14ac:dyDescent="0.2">
      <c r="A200" s="398"/>
      <c r="B200" s="395"/>
      <c r="C200" s="393"/>
      <c r="D200" s="383"/>
      <c r="E200" s="394"/>
      <c r="F200" s="394"/>
      <c r="G200" s="379"/>
      <c r="H200" s="327"/>
    </row>
    <row r="201" spans="1:8" s="307" customFormat="1" ht="15.75" x14ac:dyDescent="0.2">
      <c r="A201" s="398"/>
      <c r="B201" s="395"/>
      <c r="C201" s="393"/>
      <c r="D201" s="383"/>
      <c r="E201" s="394"/>
      <c r="F201" s="394"/>
      <c r="G201" s="379"/>
      <c r="H201" s="327"/>
    </row>
    <row r="202" spans="1:8" s="307" customFormat="1" ht="15.75" x14ac:dyDescent="0.2">
      <c r="A202" s="398"/>
      <c r="B202" s="395"/>
      <c r="C202" s="393"/>
      <c r="D202" s="383"/>
      <c r="E202" s="394"/>
      <c r="F202" s="394"/>
      <c r="G202" s="379"/>
      <c r="H202" s="327"/>
    </row>
    <row r="203" spans="1:8" s="307" customFormat="1" ht="15.75" x14ac:dyDescent="0.2">
      <c r="A203" s="398"/>
      <c r="B203" s="395"/>
      <c r="C203" s="393"/>
      <c r="D203" s="383"/>
      <c r="E203" s="394"/>
      <c r="F203" s="394"/>
      <c r="G203" s="379"/>
      <c r="H203" s="327"/>
    </row>
    <row r="204" spans="1:8" s="307" customFormat="1" ht="15.75" x14ac:dyDescent="0.2">
      <c r="A204" s="398"/>
      <c r="B204" s="395"/>
      <c r="C204" s="393"/>
      <c r="D204" s="383"/>
      <c r="E204" s="394"/>
      <c r="F204" s="394"/>
      <c r="G204" s="379"/>
      <c r="H204" s="327"/>
    </row>
    <row r="205" spans="1:8" s="307" customFormat="1" ht="15.75" x14ac:dyDescent="0.2">
      <c r="A205" s="398"/>
      <c r="B205" s="395"/>
      <c r="C205" s="393"/>
      <c r="D205" s="383"/>
      <c r="E205" s="394"/>
      <c r="F205" s="394"/>
      <c r="G205" s="379"/>
      <c r="H205" s="327"/>
    </row>
    <row r="206" spans="1:8" s="307" customFormat="1" ht="15.75" x14ac:dyDescent="0.2">
      <c r="A206" s="398"/>
      <c r="B206" s="395"/>
      <c r="C206" s="393"/>
      <c r="D206" s="383"/>
      <c r="E206" s="394"/>
      <c r="F206" s="394"/>
      <c r="G206" s="379"/>
      <c r="H206" s="327"/>
    </row>
    <row r="207" spans="1:8" s="307" customFormat="1" ht="15.75" x14ac:dyDescent="0.2">
      <c r="A207" s="398"/>
      <c r="B207" s="395"/>
      <c r="C207" s="393"/>
      <c r="D207" s="383"/>
      <c r="E207" s="394"/>
      <c r="F207" s="394"/>
      <c r="G207" s="379"/>
      <c r="H207" s="327"/>
    </row>
    <row r="208" spans="1:8" s="307" customFormat="1" ht="15.75" x14ac:dyDescent="0.2">
      <c r="A208" s="398"/>
      <c r="B208" s="395"/>
      <c r="C208" s="393"/>
      <c r="D208" s="383"/>
      <c r="E208" s="394"/>
      <c r="F208" s="394"/>
      <c r="G208" s="379"/>
      <c r="H208" s="327"/>
    </row>
    <row r="209" spans="1:8" s="338" customFormat="1" ht="15.75" x14ac:dyDescent="0.2">
      <c r="A209" s="399"/>
      <c r="B209" s="395"/>
      <c r="C209" s="393"/>
      <c r="D209" s="383"/>
      <c r="E209" s="394"/>
      <c r="F209" s="394"/>
      <c r="G209" s="379"/>
      <c r="H209" s="327"/>
    </row>
    <row r="210" spans="1:8" s="338" customFormat="1" ht="15.75" x14ac:dyDescent="0.2">
      <c r="A210" s="400"/>
      <c r="B210" s="321" t="s">
        <v>344</v>
      </c>
      <c r="C210" s="1079" t="s">
        <v>98</v>
      </c>
      <c r="D210" s="1080"/>
      <c r="E210" s="1081"/>
      <c r="F210" s="355">
        <f>SUM(F166:F186)</f>
        <v>472223</v>
      </c>
      <c r="G210" s="324" t="s">
        <v>345</v>
      </c>
      <c r="H210" s="400"/>
    </row>
    <row r="211" spans="1:8" s="338" customFormat="1" ht="15.75" x14ac:dyDescent="0.2">
      <c r="A211" s="1075" t="s">
        <v>1183</v>
      </c>
      <c r="B211" s="1076"/>
      <c r="C211" s="322"/>
      <c r="D211" s="322"/>
      <c r="E211" s="322"/>
      <c r="F211" s="355"/>
      <c r="G211" s="1077" t="s">
        <v>1184</v>
      </c>
      <c r="H211" s="1078"/>
    </row>
    <row r="212" spans="1:8" s="338" customFormat="1" ht="15.75" x14ac:dyDescent="0.2">
      <c r="A212" s="375">
        <f t="shared" ref="A212" si="32">H212</f>
        <v>0</v>
      </c>
      <c r="B212" s="374" t="s">
        <v>309</v>
      </c>
      <c r="C212" s="401"/>
      <c r="D212" s="402"/>
      <c r="E212" s="403"/>
      <c r="F212" s="403"/>
      <c r="G212" s="379" t="s">
        <v>473</v>
      </c>
      <c r="H212" s="404"/>
    </row>
    <row r="213" spans="1:8" s="338" customFormat="1" ht="15.75" x14ac:dyDescent="0.2">
      <c r="A213" s="320" t="str">
        <f>H213</f>
        <v>33 31 00</v>
      </c>
      <c r="B213" s="1082" t="s">
        <v>311</v>
      </c>
      <c r="C213" s="1083"/>
      <c r="D213" s="406"/>
      <c r="E213" s="407"/>
      <c r="F213" s="408"/>
      <c r="G213" s="409" t="s">
        <v>474</v>
      </c>
      <c r="H213" s="320" t="s">
        <v>475</v>
      </c>
    </row>
    <row r="214" spans="1:8" s="338" customFormat="1" ht="15.75" x14ac:dyDescent="0.2">
      <c r="A214" s="410"/>
      <c r="B214" s="388" t="s">
        <v>325</v>
      </c>
      <c r="C214" s="389"/>
      <c r="D214" s="411"/>
      <c r="E214" s="390"/>
      <c r="F214" s="390"/>
      <c r="G214" s="391" t="s">
        <v>326</v>
      </c>
      <c r="H214" s="410"/>
    </row>
    <row r="215" spans="1:8" s="338" customFormat="1" ht="15" x14ac:dyDescent="0.2">
      <c r="A215" s="332" t="str">
        <f t="shared" ref="A215:A230" si="33">H215</f>
        <v>B3.33 31 00.01</v>
      </c>
      <c r="B215" s="384" t="s">
        <v>316</v>
      </c>
      <c r="C215" s="327" t="s">
        <v>52</v>
      </c>
      <c r="D215" s="383">
        <v>710</v>
      </c>
      <c r="E215" s="113">
        <v>117</v>
      </c>
      <c r="F215" s="135">
        <f>E215*D215</f>
        <v>83070</v>
      </c>
      <c r="G215" s="386" t="s">
        <v>317</v>
      </c>
      <c r="H215" s="320" t="s">
        <v>1185</v>
      </c>
    </row>
    <row r="216" spans="1:8" s="338" customFormat="1" ht="15" x14ac:dyDescent="0.2">
      <c r="A216" s="332" t="str">
        <f t="shared" si="33"/>
        <v>B3.33 31 00.02</v>
      </c>
      <c r="B216" s="412" t="s">
        <v>319</v>
      </c>
      <c r="C216" s="327" t="s">
        <v>52</v>
      </c>
      <c r="D216" s="383">
        <v>875</v>
      </c>
      <c r="E216" s="113">
        <v>129</v>
      </c>
      <c r="F216" s="135">
        <f t="shared" ref="F216:F218" si="34">E216*D216</f>
        <v>112875</v>
      </c>
      <c r="G216" s="386" t="s">
        <v>477</v>
      </c>
      <c r="H216" s="320" t="s">
        <v>1186</v>
      </c>
    </row>
    <row r="217" spans="1:8" s="338" customFormat="1" ht="15" x14ac:dyDescent="0.2">
      <c r="A217" s="332" t="str">
        <f t="shared" si="33"/>
        <v>B3.33 31 00.03</v>
      </c>
      <c r="B217" s="412" t="s">
        <v>333</v>
      </c>
      <c r="C217" s="327" t="s">
        <v>52</v>
      </c>
      <c r="D217" s="383">
        <v>420</v>
      </c>
      <c r="E217" s="113">
        <v>159</v>
      </c>
      <c r="F217" s="135">
        <f t="shared" si="34"/>
        <v>66780</v>
      </c>
      <c r="G217" s="386" t="s">
        <v>553</v>
      </c>
      <c r="H217" s="320" t="s">
        <v>1187</v>
      </c>
    </row>
    <row r="218" spans="1:8" s="338" customFormat="1" ht="15" x14ac:dyDescent="0.2">
      <c r="A218" s="332" t="str">
        <f t="shared" si="33"/>
        <v>B3.33 31 00.04</v>
      </c>
      <c r="B218" s="384" t="s">
        <v>1188</v>
      </c>
      <c r="C218" s="327"/>
      <c r="D218" s="383">
        <v>10</v>
      </c>
      <c r="E218" s="113">
        <v>175</v>
      </c>
      <c r="F218" s="135">
        <f t="shared" si="34"/>
        <v>1750</v>
      </c>
      <c r="G218" s="386" t="s">
        <v>1189</v>
      </c>
      <c r="H218" s="320" t="s">
        <v>1190</v>
      </c>
    </row>
    <row r="219" spans="1:8" s="338" customFormat="1" ht="15.75" x14ac:dyDescent="0.2">
      <c r="A219" s="410"/>
      <c r="B219" s="388" t="s">
        <v>329</v>
      </c>
      <c r="C219" s="389"/>
      <c r="D219" s="383"/>
      <c r="E219" s="390"/>
      <c r="F219" s="135">
        <f t="shared" ref="F219:F241" si="35">E219*D219</f>
        <v>0</v>
      </c>
      <c r="G219" s="391" t="s">
        <v>330</v>
      </c>
      <c r="H219" s="410"/>
    </row>
    <row r="220" spans="1:8" s="338" customFormat="1" ht="15" x14ac:dyDescent="0.2">
      <c r="A220" s="332" t="str">
        <f t="shared" si="33"/>
        <v>B3.33 31 00.05</v>
      </c>
      <c r="B220" s="384" t="s">
        <v>316</v>
      </c>
      <c r="C220" s="327" t="s">
        <v>52</v>
      </c>
      <c r="D220" s="383">
        <v>10</v>
      </c>
      <c r="E220" s="113">
        <v>167</v>
      </c>
      <c r="F220" s="135">
        <f t="shared" si="35"/>
        <v>1670</v>
      </c>
      <c r="G220" s="386" t="s">
        <v>317</v>
      </c>
      <c r="H220" s="320" t="s">
        <v>1191</v>
      </c>
    </row>
    <row r="221" spans="1:8" s="338" customFormat="1" ht="15" x14ac:dyDescent="0.2">
      <c r="A221" s="332" t="str">
        <f t="shared" si="33"/>
        <v>B3.33 31 00.06</v>
      </c>
      <c r="B221" s="412" t="s">
        <v>319</v>
      </c>
      <c r="C221" s="327" t="s">
        <v>52</v>
      </c>
      <c r="D221" s="383">
        <v>10</v>
      </c>
      <c r="E221" s="113">
        <v>179</v>
      </c>
      <c r="F221" s="135">
        <f t="shared" si="35"/>
        <v>1790</v>
      </c>
      <c r="G221" s="386" t="s">
        <v>477</v>
      </c>
      <c r="H221" s="320" t="s">
        <v>1192</v>
      </c>
    </row>
    <row r="222" spans="1:8" s="338" customFormat="1" ht="15" x14ac:dyDescent="0.2">
      <c r="A222" s="332" t="str">
        <f t="shared" si="33"/>
        <v>B3.33 31 00.07</v>
      </c>
      <c r="B222" s="412" t="s">
        <v>333</v>
      </c>
      <c r="C222" s="327" t="s">
        <v>52</v>
      </c>
      <c r="D222" s="383">
        <v>10</v>
      </c>
      <c r="E222" s="113">
        <v>208</v>
      </c>
      <c r="F222" s="135">
        <f t="shared" si="35"/>
        <v>2080</v>
      </c>
      <c r="G222" s="386" t="s">
        <v>553</v>
      </c>
      <c r="H222" s="320" t="s">
        <v>1193</v>
      </c>
    </row>
    <row r="223" spans="1:8" s="338" customFormat="1" ht="15" x14ac:dyDescent="0.2">
      <c r="A223" s="332" t="str">
        <f t="shared" si="33"/>
        <v>B3.33 31 00.08</v>
      </c>
      <c r="B223" s="412" t="s">
        <v>568</v>
      </c>
      <c r="C223" s="327" t="s">
        <v>52</v>
      </c>
      <c r="D223" s="383">
        <v>25</v>
      </c>
      <c r="E223" s="113">
        <v>226</v>
      </c>
      <c r="F223" s="135">
        <f t="shared" si="35"/>
        <v>5650</v>
      </c>
      <c r="G223" s="386" t="s">
        <v>556</v>
      </c>
      <c r="H223" s="320" t="s">
        <v>1194</v>
      </c>
    </row>
    <row r="224" spans="1:8" s="338" customFormat="1" ht="15" x14ac:dyDescent="0.2">
      <c r="A224" s="332" t="str">
        <f t="shared" si="33"/>
        <v>B3.33 31 00.09</v>
      </c>
      <c r="B224" s="384" t="s">
        <v>1195</v>
      </c>
      <c r="C224" s="327"/>
      <c r="D224" s="383">
        <v>10</v>
      </c>
      <c r="E224" s="113">
        <v>243</v>
      </c>
      <c r="F224" s="135">
        <f t="shared" si="35"/>
        <v>2430</v>
      </c>
      <c r="G224" s="386" t="s">
        <v>1196</v>
      </c>
      <c r="H224" s="320" t="s">
        <v>1197</v>
      </c>
    </row>
    <row r="225" spans="1:8" s="338" customFormat="1" ht="15.75" x14ac:dyDescent="0.2">
      <c r="A225" s="134"/>
      <c r="B225" s="388" t="s">
        <v>375</v>
      </c>
      <c r="C225" s="389"/>
      <c r="D225" s="383"/>
      <c r="E225" s="390"/>
      <c r="F225" s="135">
        <f t="shared" si="35"/>
        <v>0</v>
      </c>
      <c r="G225" s="391" t="s">
        <v>376</v>
      </c>
      <c r="H225" s="134"/>
    </row>
    <row r="226" spans="1:8" s="338" customFormat="1" ht="15.75" x14ac:dyDescent="0.2">
      <c r="A226" s="332" t="str">
        <f t="shared" si="33"/>
        <v>33 14 19</v>
      </c>
      <c r="B226" s="388" t="s">
        <v>377</v>
      </c>
      <c r="C226" s="389"/>
      <c r="D226" s="383"/>
      <c r="E226" s="390"/>
      <c r="F226" s="135">
        <f t="shared" si="35"/>
        <v>0</v>
      </c>
      <c r="G226" s="391" t="s">
        <v>378</v>
      </c>
      <c r="H226" s="175" t="s">
        <v>379</v>
      </c>
    </row>
    <row r="227" spans="1:8" s="338" customFormat="1" ht="15.75" x14ac:dyDescent="0.2">
      <c r="A227" s="332">
        <f t="shared" si="33"/>
        <v>0</v>
      </c>
      <c r="B227" s="388" t="s">
        <v>380</v>
      </c>
      <c r="C227" s="389"/>
      <c r="D227" s="383"/>
      <c r="E227" s="390"/>
      <c r="F227" s="135">
        <f t="shared" si="35"/>
        <v>0</v>
      </c>
      <c r="G227" s="391" t="s">
        <v>381</v>
      </c>
      <c r="H227" s="134"/>
    </row>
    <row r="228" spans="1:8" s="338" customFormat="1" ht="15" x14ac:dyDescent="0.2">
      <c r="A228" s="332" t="str">
        <f t="shared" si="33"/>
        <v>B3.33 14 19.01</v>
      </c>
      <c r="B228" s="392" t="s">
        <v>382</v>
      </c>
      <c r="C228" s="134" t="s">
        <v>298</v>
      </c>
      <c r="D228" s="383">
        <v>13</v>
      </c>
      <c r="E228" s="113">
        <v>2817</v>
      </c>
      <c r="F228" s="135">
        <f>E228*D228</f>
        <v>36621</v>
      </c>
      <c r="G228" s="124" t="s">
        <v>383</v>
      </c>
      <c r="H228" s="115" t="s">
        <v>384</v>
      </c>
    </row>
    <row r="229" spans="1:8" s="338" customFormat="1" ht="15.75" x14ac:dyDescent="0.2">
      <c r="A229" s="332">
        <f t="shared" si="33"/>
        <v>0</v>
      </c>
      <c r="B229" s="388" t="s">
        <v>399</v>
      </c>
      <c r="C229" s="389"/>
      <c r="D229" s="383"/>
      <c r="E229" s="390"/>
      <c r="F229" s="135">
        <f t="shared" si="35"/>
        <v>0</v>
      </c>
      <c r="G229" s="391" t="s">
        <v>400</v>
      </c>
      <c r="H229" s="134"/>
    </row>
    <row r="230" spans="1:8" s="338" customFormat="1" ht="15" x14ac:dyDescent="0.2">
      <c r="A230" s="134" t="str">
        <f t="shared" si="33"/>
        <v>B3.33 14 19.05</v>
      </c>
      <c r="B230" s="392" t="s">
        <v>401</v>
      </c>
      <c r="C230" s="134" t="s">
        <v>298</v>
      </c>
      <c r="D230" s="383">
        <v>1</v>
      </c>
      <c r="E230" s="113">
        <v>5526</v>
      </c>
      <c r="F230" s="135">
        <f>E230*D230</f>
        <v>5526</v>
      </c>
      <c r="G230" s="124" t="s">
        <v>402</v>
      </c>
      <c r="H230" s="134" t="s">
        <v>398</v>
      </c>
    </row>
    <row r="231" spans="1:8" s="338" customFormat="1" ht="15.75" x14ac:dyDescent="0.2">
      <c r="A231" s="134">
        <f>H231</f>
        <v>0</v>
      </c>
      <c r="B231" s="388" t="s">
        <v>413</v>
      </c>
      <c r="C231" s="389"/>
      <c r="D231" s="383"/>
      <c r="E231" s="390"/>
      <c r="F231" s="135">
        <f t="shared" si="35"/>
        <v>0</v>
      </c>
      <c r="G231" s="391" t="s">
        <v>414</v>
      </c>
      <c r="H231" s="134"/>
    </row>
    <row r="232" spans="1:8" s="338" customFormat="1" ht="15" x14ac:dyDescent="0.2">
      <c r="A232" s="134" t="str">
        <f t="shared" ref="A232:A234" si="36">H232</f>
        <v>B3.33 14 19.09</v>
      </c>
      <c r="B232" s="392" t="s">
        <v>415</v>
      </c>
      <c r="C232" s="134" t="s">
        <v>298</v>
      </c>
      <c r="D232" s="383">
        <v>1</v>
      </c>
      <c r="E232" s="113">
        <v>6123</v>
      </c>
      <c r="F232" s="135">
        <f>E232*D232</f>
        <v>6123</v>
      </c>
      <c r="G232" s="124" t="s">
        <v>416</v>
      </c>
      <c r="H232" s="134" t="s">
        <v>412</v>
      </c>
    </row>
    <row r="233" spans="1:8" s="338" customFormat="1" ht="15.75" x14ac:dyDescent="0.2">
      <c r="A233" s="327">
        <f t="shared" si="36"/>
        <v>0</v>
      </c>
      <c r="B233" s="301" t="s">
        <v>429</v>
      </c>
      <c r="C233" s="393"/>
      <c r="D233" s="383"/>
      <c r="E233" s="394"/>
      <c r="F233" s="135">
        <f t="shared" si="35"/>
        <v>0</v>
      </c>
      <c r="G233" s="379" t="s">
        <v>430</v>
      </c>
      <c r="H233" s="327"/>
    </row>
    <row r="234" spans="1:8" s="338" customFormat="1" ht="15.75" x14ac:dyDescent="0.2">
      <c r="A234" s="134" t="str">
        <f t="shared" si="36"/>
        <v>B3.33 14 13</v>
      </c>
      <c r="B234" s="395" t="s">
        <v>431</v>
      </c>
      <c r="C234" s="396"/>
      <c r="D234" s="383"/>
      <c r="E234" s="397"/>
      <c r="F234" s="135">
        <f t="shared" si="35"/>
        <v>0</v>
      </c>
      <c r="G234" s="391" t="s">
        <v>432</v>
      </c>
      <c r="H234" s="134" t="s">
        <v>433</v>
      </c>
    </row>
    <row r="235" spans="1:8" s="338" customFormat="1" ht="15.75" x14ac:dyDescent="0.2">
      <c r="A235" s="327"/>
      <c r="B235" s="395" t="s">
        <v>438</v>
      </c>
      <c r="C235" s="393"/>
      <c r="D235" s="383"/>
      <c r="E235" s="394"/>
      <c r="F235" s="135">
        <f t="shared" si="35"/>
        <v>0</v>
      </c>
      <c r="G235" s="379"/>
      <c r="H235" s="327"/>
    </row>
    <row r="236" spans="1:8" s="338" customFormat="1" ht="15" x14ac:dyDescent="0.2">
      <c r="A236" s="134" t="str">
        <f t="shared" ref="A236" si="37">H236</f>
        <v>B3.33 14 13.02</v>
      </c>
      <c r="B236" s="127" t="s">
        <v>440</v>
      </c>
      <c r="C236" s="134" t="s">
        <v>298</v>
      </c>
      <c r="D236" s="383">
        <v>1</v>
      </c>
      <c r="E236" s="113">
        <v>20741</v>
      </c>
      <c r="F236" s="135">
        <f>E236*D236</f>
        <v>20741</v>
      </c>
      <c r="G236" s="392" t="s">
        <v>1182</v>
      </c>
      <c r="H236" s="134" t="s">
        <v>321</v>
      </c>
    </row>
    <row r="237" spans="1:8" s="338" customFormat="1" ht="15.75" x14ac:dyDescent="0.2">
      <c r="A237" s="327"/>
      <c r="B237" s="395" t="s">
        <v>449</v>
      </c>
      <c r="C237" s="393"/>
      <c r="D237" s="383"/>
      <c r="E237" s="394"/>
      <c r="F237" s="135">
        <f t="shared" si="35"/>
        <v>0</v>
      </c>
      <c r="G237" s="379"/>
      <c r="H237" s="327"/>
    </row>
    <row r="238" spans="1:8" s="338" customFormat="1" ht="15" x14ac:dyDescent="0.2">
      <c r="A238" s="134" t="str">
        <f t="shared" ref="A238" si="38">H238</f>
        <v>B3.33 14 13.06</v>
      </c>
      <c r="B238" s="127" t="s">
        <v>451</v>
      </c>
      <c r="C238" s="134" t="s">
        <v>298</v>
      </c>
      <c r="D238" s="383">
        <v>1</v>
      </c>
      <c r="E238" s="113">
        <v>16004</v>
      </c>
      <c r="F238" s="135">
        <f>E238*D238</f>
        <v>16004</v>
      </c>
      <c r="G238" s="392" t="s">
        <v>452</v>
      </c>
      <c r="H238" s="158" t="s">
        <v>448</v>
      </c>
    </row>
    <row r="239" spans="1:8" s="338" customFormat="1" ht="15.75" x14ac:dyDescent="0.2">
      <c r="A239" s="413"/>
      <c r="B239" s="395" t="s">
        <v>457</v>
      </c>
      <c r="C239" s="396"/>
      <c r="D239" s="383"/>
      <c r="E239" s="397"/>
      <c r="F239" s="135">
        <f t="shared" si="35"/>
        <v>0</v>
      </c>
      <c r="G239" s="391" t="s">
        <v>458</v>
      </c>
      <c r="H239" s="413"/>
    </row>
    <row r="240" spans="1:8" s="338" customFormat="1" ht="25.5" x14ac:dyDescent="0.2">
      <c r="A240" s="134"/>
      <c r="B240" s="414" t="s">
        <v>1198</v>
      </c>
      <c r="C240" s="158" t="s">
        <v>298</v>
      </c>
      <c r="D240" s="383">
        <v>15</v>
      </c>
      <c r="E240" s="113">
        <v>2794</v>
      </c>
      <c r="F240" s="135">
        <f>E240*D240</f>
        <v>41910</v>
      </c>
      <c r="G240" s="415" t="s">
        <v>460</v>
      </c>
      <c r="H240" s="137" t="s">
        <v>461</v>
      </c>
    </row>
    <row r="241" spans="1:8" s="338" customFormat="1" ht="15.75" x14ac:dyDescent="0.2">
      <c r="A241" s="327">
        <f>H241</f>
        <v>0</v>
      </c>
      <c r="B241" s="301" t="s">
        <v>424</v>
      </c>
      <c r="C241" s="393"/>
      <c r="D241" s="383"/>
      <c r="E241" s="394"/>
      <c r="F241" s="135">
        <f t="shared" si="35"/>
        <v>0</v>
      </c>
      <c r="G241" s="379" t="s">
        <v>425</v>
      </c>
      <c r="H241" s="327"/>
    </row>
    <row r="242" spans="1:8" s="338" customFormat="1" ht="25.5" x14ac:dyDescent="0.2">
      <c r="A242" s="327" t="str">
        <f t="shared" ref="A242" si="39">H242</f>
        <v>B3.33 14 19.12</v>
      </c>
      <c r="B242" s="298" t="s">
        <v>426</v>
      </c>
      <c r="C242" s="327" t="s">
        <v>298</v>
      </c>
      <c r="D242" s="383">
        <v>30</v>
      </c>
      <c r="E242" s="113">
        <v>10634</v>
      </c>
      <c r="F242" s="135">
        <f>E242*D242</f>
        <v>319020</v>
      </c>
      <c r="G242" s="386" t="s">
        <v>427</v>
      </c>
      <c r="H242" s="327" t="s">
        <v>423</v>
      </c>
    </row>
    <row r="243" spans="1:8" s="338" customFormat="1" ht="15.75" x14ac:dyDescent="0.2">
      <c r="A243" s="413"/>
      <c r="B243" s="395"/>
      <c r="C243" s="396"/>
      <c r="D243" s="383"/>
      <c r="E243" s="397"/>
      <c r="F243" s="397"/>
      <c r="G243" s="391"/>
      <c r="H243" s="413"/>
    </row>
    <row r="244" spans="1:8" s="338" customFormat="1" ht="15.75" x14ac:dyDescent="0.2">
      <c r="A244" s="413"/>
      <c r="B244" s="395"/>
      <c r="C244" s="396"/>
      <c r="D244" s="383"/>
      <c r="E244" s="397"/>
      <c r="F244" s="397"/>
      <c r="G244" s="391"/>
      <c r="H244" s="413"/>
    </row>
    <row r="245" spans="1:8" s="338" customFormat="1" ht="15.75" x14ac:dyDescent="0.2">
      <c r="A245" s="413"/>
      <c r="B245" s="395"/>
      <c r="C245" s="396"/>
      <c r="D245" s="383"/>
      <c r="E245" s="397"/>
      <c r="F245" s="397"/>
      <c r="G245" s="391"/>
      <c r="H245" s="413"/>
    </row>
    <row r="246" spans="1:8" s="338" customFormat="1" ht="15.75" x14ac:dyDescent="0.2">
      <c r="A246" s="413"/>
      <c r="B246" s="395"/>
      <c r="C246" s="396"/>
      <c r="D246" s="383"/>
      <c r="E246" s="397"/>
      <c r="F246" s="397"/>
      <c r="G246" s="391"/>
      <c r="H246" s="413"/>
    </row>
    <row r="247" spans="1:8" s="338" customFormat="1" ht="15.75" x14ac:dyDescent="0.2">
      <c r="A247" s="413"/>
      <c r="B247" s="395"/>
      <c r="C247" s="396"/>
      <c r="D247" s="383"/>
      <c r="E247" s="397"/>
      <c r="F247" s="397"/>
      <c r="G247" s="391"/>
      <c r="H247" s="413"/>
    </row>
    <row r="248" spans="1:8" s="338" customFormat="1" ht="15.75" x14ac:dyDescent="0.2">
      <c r="A248" s="413"/>
      <c r="B248" s="395"/>
      <c r="C248" s="396"/>
      <c r="D248" s="383"/>
      <c r="E248" s="397"/>
      <c r="F248" s="397"/>
      <c r="G248" s="391"/>
      <c r="H248" s="413"/>
    </row>
    <row r="249" spans="1:8" s="338" customFormat="1" ht="15.75" x14ac:dyDescent="0.2">
      <c r="A249" s="413"/>
      <c r="B249" s="395"/>
      <c r="C249" s="396"/>
      <c r="D249" s="383"/>
      <c r="E249" s="397"/>
      <c r="F249" s="397"/>
      <c r="G249" s="391"/>
      <c r="H249" s="413"/>
    </row>
    <row r="250" spans="1:8" s="338" customFormat="1" ht="15.75" x14ac:dyDescent="0.2">
      <c r="A250" s="413"/>
      <c r="B250" s="395"/>
      <c r="C250" s="396"/>
      <c r="D250" s="383"/>
      <c r="E250" s="397"/>
      <c r="F250" s="397"/>
      <c r="G250" s="391"/>
      <c r="H250" s="413"/>
    </row>
    <row r="251" spans="1:8" s="338" customFormat="1" ht="15.75" x14ac:dyDescent="0.2">
      <c r="A251" s="413"/>
      <c r="B251" s="395"/>
      <c r="C251" s="396"/>
      <c r="D251" s="383"/>
      <c r="E251" s="397"/>
      <c r="F251" s="397"/>
      <c r="G251" s="391"/>
      <c r="H251" s="413"/>
    </row>
    <row r="252" spans="1:8" s="338" customFormat="1" ht="15.75" x14ac:dyDescent="0.2">
      <c r="A252" s="413"/>
      <c r="B252" s="395"/>
      <c r="C252" s="396"/>
      <c r="D252" s="383"/>
      <c r="E252" s="397"/>
      <c r="F252" s="397"/>
      <c r="G252" s="391"/>
      <c r="H252" s="413"/>
    </row>
    <row r="253" spans="1:8" s="338" customFormat="1" ht="15.75" x14ac:dyDescent="0.2">
      <c r="A253" s="413"/>
      <c r="B253" s="395"/>
      <c r="C253" s="396"/>
      <c r="D253" s="383"/>
      <c r="E253" s="397"/>
      <c r="F253" s="397"/>
      <c r="G253" s="391"/>
      <c r="H253" s="413"/>
    </row>
    <row r="254" spans="1:8" s="338" customFormat="1" ht="15.75" x14ac:dyDescent="0.2">
      <c r="A254" s="413"/>
      <c r="B254" s="395"/>
      <c r="C254" s="396"/>
      <c r="D254" s="383"/>
      <c r="E254" s="397"/>
      <c r="F254" s="397"/>
      <c r="G254" s="391"/>
      <c r="H254" s="413"/>
    </row>
    <row r="255" spans="1:8" s="338" customFormat="1" ht="15.75" x14ac:dyDescent="0.2">
      <c r="A255" s="413"/>
      <c r="B255" s="395"/>
      <c r="C255" s="396"/>
      <c r="D255" s="383"/>
      <c r="E255" s="397"/>
      <c r="F255" s="397"/>
      <c r="G255" s="391"/>
      <c r="H255" s="413"/>
    </row>
    <row r="256" spans="1:8" s="338" customFormat="1" ht="15.75" x14ac:dyDescent="0.2">
      <c r="A256" s="413"/>
      <c r="B256" s="395"/>
      <c r="C256" s="396"/>
      <c r="D256" s="383"/>
      <c r="E256" s="397"/>
      <c r="F256" s="397"/>
      <c r="G256" s="391"/>
      <c r="H256" s="413"/>
    </row>
    <row r="257" spans="1:8" s="338" customFormat="1" ht="15.75" x14ac:dyDescent="0.2">
      <c r="A257" s="413"/>
      <c r="B257" s="395"/>
      <c r="C257" s="396"/>
      <c r="D257" s="383"/>
      <c r="E257" s="397"/>
      <c r="F257" s="397"/>
      <c r="G257" s="391"/>
      <c r="H257" s="413"/>
    </row>
    <row r="258" spans="1:8" s="338" customFormat="1" ht="15.75" x14ac:dyDescent="0.2">
      <c r="A258" s="400"/>
      <c r="B258" s="321" t="s">
        <v>1199</v>
      </c>
      <c r="C258" s="1079" t="s">
        <v>98</v>
      </c>
      <c r="D258" s="1080"/>
      <c r="E258" s="1081"/>
      <c r="F258" s="355">
        <f>SUM(F215:F242)</f>
        <v>724040</v>
      </c>
      <c r="G258" s="324" t="s">
        <v>1200</v>
      </c>
      <c r="H258" s="400"/>
    </row>
    <row r="259" spans="1:8" s="338" customFormat="1" ht="15.75" x14ac:dyDescent="0.2">
      <c r="A259" s="1075" t="s">
        <v>471</v>
      </c>
      <c r="B259" s="1076"/>
      <c r="C259" s="322"/>
      <c r="D259" s="322"/>
      <c r="E259" s="322"/>
      <c r="F259" s="355"/>
      <c r="G259" s="1077" t="s">
        <v>472</v>
      </c>
      <c r="H259" s="1078"/>
    </row>
    <row r="260" spans="1:8" s="381" customFormat="1" ht="15.75" x14ac:dyDescent="0.2">
      <c r="A260" s="375">
        <f t="shared" ref="A260" si="40">H260</f>
        <v>0</v>
      </c>
      <c r="B260" s="374" t="s">
        <v>309</v>
      </c>
      <c r="C260" s="401"/>
      <c r="D260" s="402"/>
      <c r="E260" s="403"/>
      <c r="F260" s="403"/>
      <c r="G260" s="379" t="s">
        <v>473</v>
      </c>
      <c r="H260" s="404"/>
    </row>
    <row r="261" spans="1:8" ht="15.75" x14ac:dyDescent="0.2">
      <c r="A261" s="320" t="str">
        <f>H261</f>
        <v>33 31 00</v>
      </c>
      <c r="B261" s="1082" t="s">
        <v>311</v>
      </c>
      <c r="C261" s="1083"/>
      <c r="D261" s="406"/>
      <c r="E261" s="407"/>
      <c r="F261" s="408"/>
      <c r="G261" s="409" t="s">
        <v>474</v>
      </c>
      <c r="H261" s="320" t="s">
        <v>475</v>
      </c>
    </row>
    <row r="262" spans="1:8" ht="15.75" x14ac:dyDescent="0.2">
      <c r="A262" s="320"/>
      <c r="B262" s="374" t="s">
        <v>1201</v>
      </c>
      <c r="C262" s="405"/>
      <c r="D262" s="383"/>
      <c r="E262" s="407"/>
      <c r="F262" s="408"/>
      <c r="G262" s="379" t="s">
        <v>1202</v>
      </c>
      <c r="H262" s="320"/>
    </row>
    <row r="263" spans="1:8" x14ac:dyDescent="0.2">
      <c r="A263" s="134" t="str">
        <f t="shared" ref="A263:A266" si="41">H263</f>
        <v>B4.33 31 00.01</v>
      </c>
      <c r="B263" s="384" t="s">
        <v>316</v>
      </c>
      <c r="C263" s="327" t="s">
        <v>52</v>
      </c>
      <c r="D263" s="383">
        <v>20</v>
      </c>
      <c r="E263" s="113">
        <v>75</v>
      </c>
      <c r="F263" s="135">
        <f>E263*D263</f>
        <v>1500</v>
      </c>
      <c r="G263" s="386" t="s">
        <v>317</v>
      </c>
      <c r="H263" s="320" t="s">
        <v>476</v>
      </c>
    </row>
    <row r="264" spans="1:8" x14ac:dyDescent="0.2">
      <c r="A264" s="134" t="str">
        <f t="shared" si="41"/>
        <v>B4.33 31 00.02</v>
      </c>
      <c r="B264" s="412" t="s">
        <v>319</v>
      </c>
      <c r="C264" s="327" t="s">
        <v>52</v>
      </c>
      <c r="D264" s="383">
        <v>790</v>
      </c>
      <c r="E264" s="113">
        <v>88</v>
      </c>
      <c r="F264" s="135">
        <f t="shared" ref="F264:F290" si="42">E264*D264</f>
        <v>69520</v>
      </c>
      <c r="G264" s="386" t="s">
        <v>477</v>
      </c>
      <c r="H264" s="320" t="s">
        <v>478</v>
      </c>
    </row>
    <row r="265" spans="1:8" x14ac:dyDescent="0.2">
      <c r="A265" s="134" t="str">
        <f t="shared" si="41"/>
        <v>B4.33 31 00.03</v>
      </c>
      <c r="B265" s="412" t="s">
        <v>333</v>
      </c>
      <c r="C265" s="327" t="s">
        <v>52</v>
      </c>
      <c r="D265" s="383">
        <v>70</v>
      </c>
      <c r="E265" s="113">
        <v>115</v>
      </c>
      <c r="F265" s="135">
        <f t="shared" si="42"/>
        <v>8050</v>
      </c>
      <c r="G265" s="386" t="s">
        <v>553</v>
      </c>
      <c r="H265" s="320" t="s">
        <v>479</v>
      </c>
    </row>
    <row r="266" spans="1:8" x14ac:dyDescent="0.2">
      <c r="A266" s="134" t="str">
        <f t="shared" si="41"/>
        <v>B4.33 31 00.04</v>
      </c>
      <c r="B266" s="384" t="s">
        <v>1188</v>
      </c>
      <c r="C266" s="327"/>
      <c r="D266" s="383">
        <v>20</v>
      </c>
      <c r="E266" s="113">
        <v>134</v>
      </c>
      <c r="F266" s="135">
        <f t="shared" si="42"/>
        <v>2680</v>
      </c>
      <c r="G266" s="386" t="s">
        <v>1189</v>
      </c>
      <c r="H266" s="320" t="s">
        <v>480</v>
      </c>
    </row>
    <row r="267" spans="1:8" ht="15.75" x14ac:dyDescent="0.2">
      <c r="A267" s="320"/>
      <c r="B267" s="374" t="s">
        <v>314</v>
      </c>
      <c r="C267" s="401"/>
      <c r="D267" s="383"/>
      <c r="E267" s="403"/>
      <c r="F267" s="135">
        <f t="shared" si="42"/>
        <v>0</v>
      </c>
      <c r="G267" s="379" t="s">
        <v>315</v>
      </c>
      <c r="H267" s="320"/>
    </row>
    <row r="268" spans="1:8" x14ac:dyDescent="0.2">
      <c r="A268" s="320" t="str">
        <f>H268</f>
        <v>B4.33 31 00.05</v>
      </c>
      <c r="B268" s="384" t="s">
        <v>316</v>
      </c>
      <c r="C268" s="327" t="s">
        <v>52</v>
      </c>
      <c r="D268" s="383">
        <v>20</v>
      </c>
      <c r="E268" s="113">
        <v>82</v>
      </c>
      <c r="F268" s="135">
        <f t="shared" si="42"/>
        <v>1640</v>
      </c>
      <c r="G268" s="386" t="s">
        <v>317</v>
      </c>
      <c r="H268" s="320" t="s">
        <v>481</v>
      </c>
    </row>
    <row r="269" spans="1:8" s="326" customFormat="1" x14ac:dyDescent="0.2">
      <c r="A269" s="320" t="str">
        <f t="shared" ref="A269:A273" si="43">H269</f>
        <v>B4.33 31 00.06</v>
      </c>
      <c r="B269" s="412" t="s">
        <v>319</v>
      </c>
      <c r="C269" s="327" t="s">
        <v>52</v>
      </c>
      <c r="D269" s="383">
        <v>940</v>
      </c>
      <c r="E269" s="113">
        <v>106</v>
      </c>
      <c r="F269" s="135">
        <f t="shared" si="42"/>
        <v>99640</v>
      </c>
      <c r="G269" s="386" t="s">
        <v>477</v>
      </c>
      <c r="H269" s="320" t="s">
        <v>484</v>
      </c>
    </row>
    <row r="270" spans="1:8" s="326" customFormat="1" x14ac:dyDescent="0.2">
      <c r="A270" s="320" t="str">
        <f t="shared" si="43"/>
        <v>B4.33 31 00.07</v>
      </c>
      <c r="B270" s="412" t="s">
        <v>333</v>
      </c>
      <c r="C270" s="327" t="s">
        <v>52</v>
      </c>
      <c r="D270" s="383">
        <v>290</v>
      </c>
      <c r="E270" s="113">
        <v>138</v>
      </c>
      <c r="F270" s="135">
        <f t="shared" si="42"/>
        <v>40020</v>
      </c>
      <c r="G270" s="386" t="s">
        <v>553</v>
      </c>
      <c r="H270" s="320" t="s">
        <v>485</v>
      </c>
    </row>
    <row r="271" spans="1:8" s="326" customFormat="1" x14ac:dyDescent="0.2">
      <c r="A271" s="320" t="str">
        <f t="shared" si="43"/>
        <v>B4.33 31 00.08</v>
      </c>
      <c r="B271" s="384" t="s">
        <v>1188</v>
      </c>
      <c r="C271" s="327"/>
      <c r="D271" s="383">
        <v>20</v>
      </c>
      <c r="E271" s="113">
        <v>160</v>
      </c>
      <c r="F271" s="135">
        <f t="shared" si="42"/>
        <v>3200</v>
      </c>
      <c r="G271" s="386" t="s">
        <v>1189</v>
      </c>
      <c r="H271" s="320" t="s">
        <v>486</v>
      </c>
    </row>
    <row r="272" spans="1:8" s="326" customFormat="1" ht="15.75" x14ac:dyDescent="0.2">
      <c r="A272" s="410" t="str">
        <f t="shared" si="43"/>
        <v>32 81 11</v>
      </c>
      <c r="B272" s="416" t="s">
        <v>489</v>
      </c>
      <c r="C272" s="417"/>
      <c r="D272" s="383"/>
      <c r="E272" s="418"/>
      <c r="F272" s="135">
        <f t="shared" si="42"/>
        <v>0</v>
      </c>
      <c r="G272" s="391" t="s">
        <v>490</v>
      </c>
      <c r="H272" s="410" t="s">
        <v>491</v>
      </c>
    </row>
    <row r="273" spans="1:8" s="326" customFormat="1" x14ac:dyDescent="0.2">
      <c r="A273" s="410" t="str">
        <f t="shared" si="43"/>
        <v>B4.32 81 11.01</v>
      </c>
      <c r="B273" s="419" t="s">
        <v>329</v>
      </c>
      <c r="C273" s="134" t="s">
        <v>52</v>
      </c>
      <c r="D273" s="383">
        <v>180</v>
      </c>
      <c r="E273" s="113">
        <v>164</v>
      </c>
      <c r="F273" s="135">
        <f t="shared" si="42"/>
        <v>29520</v>
      </c>
      <c r="G273" s="201" t="s">
        <v>492</v>
      </c>
      <c r="H273" s="410" t="s">
        <v>493</v>
      </c>
    </row>
    <row r="274" spans="1:8" s="310" customFormat="1" ht="15.75" x14ac:dyDescent="0.2">
      <c r="A274" s="327" t="str">
        <f>H274</f>
        <v>33 14 19</v>
      </c>
      <c r="B274" s="374" t="s">
        <v>375</v>
      </c>
      <c r="C274" s="401"/>
      <c r="D274" s="383"/>
      <c r="E274" s="403"/>
      <c r="F274" s="135">
        <f t="shared" si="42"/>
        <v>0</v>
      </c>
      <c r="G274" s="379" t="s">
        <v>376</v>
      </c>
      <c r="H274" s="327" t="s">
        <v>379</v>
      </c>
    </row>
    <row r="275" spans="1:8" s="307" customFormat="1" ht="15.75" x14ac:dyDescent="0.2">
      <c r="A275" s="327">
        <f>H275</f>
        <v>0</v>
      </c>
      <c r="B275" s="374" t="s">
        <v>380</v>
      </c>
      <c r="C275" s="401"/>
      <c r="D275" s="383"/>
      <c r="E275" s="403"/>
      <c r="F275" s="135">
        <f t="shared" si="42"/>
        <v>0</v>
      </c>
      <c r="G275" s="379" t="s">
        <v>381</v>
      </c>
      <c r="H275" s="327"/>
    </row>
    <row r="276" spans="1:8" s="307" customFormat="1" x14ac:dyDescent="0.2">
      <c r="A276" s="327" t="str">
        <f t="shared" ref="A276:A277" si="44">H276</f>
        <v>B4.33 14 19.01</v>
      </c>
      <c r="B276" s="387" t="s">
        <v>1203</v>
      </c>
      <c r="C276" s="327" t="s">
        <v>298</v>
      </c>
      <c r="D276" s="383">
        <v>8</v>
      </c>
      <c r="E276" s="113">
        <v>1397</v>
      </c>
      <c r="F276" s="135">
        <f t="shared" si="42"/>
        <v>11176</v>
      </c>
      <c r="G276" s="334" t="s">
        <v>1204</v>
      </c>
      <c r="H276" s="327" t="s">
        <v>509</v>
      </c>
    </row>
    <row r="277" spans="1:8" s="307" customFormat="1" x14ac:dyDescent="0.2">
      <c r="A277" s="327" t="str">
        <f t="shared" si="44"/>
        <v>B4.33 14 19.02</v>
      </c>
      <c r="B277" s="387" t="s">
        <v>507</v>
      </c>
      <c r="C277" s="327" t="s">
        <v>298</v>
      </c>
      <c r="D277" s="383">
        <v>6</v>
      </c>
      <c r="E277" s="113">
        <v>1644</v>
      </c>
      <c r="F277" s="135">
        <f t="shared" si="42"/>
        <v>9864</v>
      </c>
      <c r="G277" s="334" t="s">
        <v>508</v>
      </c>
      <c r="H277" s="327" t="s">
        <v>511</v>
      </c>
    </row>
    <row r="278" spans="1:8" s="307" customFormat="1" ht="15.75" x14ac:dyDescent="0.2">
      <c r="A278" s="134"/>
      <c r="B278" s="416" t="s">
        <v>399</v>
      </c>
      <c r="C278" s="417"/>
      <c r="D278" s="383"/>
      <c r="E278" s="418"/>
      <c r="F278" s="135">
        <f t="shared" si="42"/>
        <v>0</v>
      </c>
      <c r="G278" s="391" t="s">
        <v>400</v>
      </c>
      <c r="H278" s="134"/>
    </row>
    <row r="279" spans="1:8" s="307" customFormat="1" x14ac:dyDescent="0.2">
      <c r="A279" s="134" t="str">
        <f t="shared" ref="A279" si="45">H279</f>
        <v>B4.33 14 19.04</v>
      </c>
      <c r="B279" s="392" t="s">
        <v>514</v>
      </c>
      <c r="C279" s="134" t="s">
        <v>298</v>
      </c>
      <c r="D279" s="383">
        <v>1</v>
      </c>
      <c r="E279" s="113">
        <v>5360</v>
      </c>
      <c r="F279" s="135">
        <f t="shared" si="42"/>
        <v>5360</v>
      </c>
      <c r="G279" s="124" t="s">
        <v>515</v>
      </c>
      <c r="H279" s="134" t="s">
        <v>516</v>
      </c>
    </row>
    <row r="280" spans="1:8" s="307" customFormat="1" ht="15.75" x14ac:dyDescent="0.2">
      <c r="A280" s="134"/>
      <c r="B280" s="416" t="s">
        <v>413</v>
      </c>
      <c r="C280" s="417"/>
      <c r="D280" s="383"/>
      <c r="E280" s="418"/>
      <c r="F280" s="135">
        <f t="shared" si="42"/>
        <v>0</v>
      </c>
      <c r="G280" s="391" t="s">
        <v>414</v>
      </c>
      <c r="H280" s="134"/>
    </row>
    <row r="281" spans="1:8" s="307" customFormat="1" x14ac:dyDescent="0.2">
      <c r="A281" s="134" t="str">
        <f t="shared" ref="A281:A282" si="46">H281</f>
        <v>B4.33 14 19.05</v>
      </c>
      <c r="B281" s="392" t="s">
        <v>517</v>
      </c>
      <c r="C281" s="134" t="s">
        <v>298</v>
      </c>
      <c r="D281" s="383">
        <v>1</v>
      </c>
      <c r="E281" s="113">
        <v>5939</v>
      </c>
      <c r="F281" s="135">
        <f t="shared" si="42"/>
        <v>5939</v>
      </c>
      <c r="G281" s="124" t="s">
        <v>518</v>
      </c>
      <c r="H281" s="134" t="s">
        <v>519</v>
      </c>
    </row>
    <row r="282" spans="1:8" s="420" customFormat="1" ht="15.75" x14ac:dyDescent="0.2">
      <c r="A282" s="327" t="str">
        <f t="shared" si="46"/>
        <v>B4.33 14 13</v>
      </c>
      <c r="B282" s="374" t="s">
        <v>429</v>
      </c>
      <c r="C282" s="401"/>
      <c r="D282" s="383"/>
      <c r="E282" s="403"/>
      <c r="F282" s="135">
        <f t="shared" si="42"/>
        <v>0</v>
      </c>
      <c r="G282" s="379" t="s">
        <v>430</v>
      </c>
      <c r="H282" s="327" t="s">
        <v>520</v>
      </c>
    </row>
    <row r="283" spans="1:8" s="420" customFormat="1" ht="15.75" x14ac:dyDescent="0.2">
      <c r="A283" s="134">
        <f>H283</f>
        <v>0</v>
      </c>
      <c r="B283" s="416" t="s">
        <v>438</v>
      </c>
      <c r="C283" s="417"/>
      <c r="D283" s="383"/>
      <c r="E283" s="418"/>
      <c r="F283" s="135">
        <f t="shared" si="42"/>
        <v>0</v>
      </c>
      <c r="G283" s="391" t="s">
        <v>439</v>
      </c>
      <c r="H283" s="134"/>
    </row>
    <row r="284" spans="1:8" s="420" customFormat="1" ht="15" x14ac:dyDescent="0.2">
      <c r="A284" s="134" t="str">
        <f t="shared" ref="A284:A290" si="47">H284</f>
        <v>B4.33 14 13.01</v>
      </c>
      <c r="B284" s="127" t="s">
        <v>521</v>
      </c>
      <c r="C284" s="134" t="s">
        <v>298</v>
      </c>
      <c r="D284" s="383">
        <v>1</v>
      </c>
      <c r="E284" s="113">
        <v>21006</v>
      </c>
      <c r="F284" s="135">
        <f t="shared" si="42"/>
        <v>21006</v>
      </c>
      <c r="G284" s="392" t="s">
        <v>1205</v>
      </c>
      <c r="H284" s="134" t="s">
        <v>523</v>
      </c>
    </row>
    <row r="285" spans="1:8" s="420" customFormat="1" ht="15.75" x14ac:dyDescent="0.2">
      <c r="A285" s="134">
        <f t="shared" si="47"/>
        <v>0</v>
      </c>
      <c r="B285" s="416" t="s">
        <v>449</v>
      </c>
      <c r="C285" s="417"/>
      <c r="D285" s="383"/>
      <c r="E285" s="418"/>
      <c r="F285" s="135">
        <f t="shared" si="42"/>
        <v>0</v>
      </c>
      <c r="G285" s="391" t="s">
        <v>450</v>
      </c>
      <c r="H285" s="158"/>
    </row>
    <row r="286" spans="1:8" s="420" customFormat="1" ht="15" x14ac:dyDescent="0.2">
      <c r="A286" s="134" t="str">
        <f t="shared" si="47"/>
        <v>B4.33 14 13.02</v>
      </c>
      <c r="B286" s="127" t="s">
        <v>1206</v>
      </c>
      <c r="C286" s="134" t="s">
        <v>298</v>
      </c>
      <c r="D286" s="383">
        <v>1</v>
      </c>
      <c r="E286" s="113">
        <v>6212</v>
      </c>
      <c r="F286" s="135">
        <f t="shared" si="42"/>
        <v>6212</v>
      </c>
      <c r="G286" s="392" t="s">
        <v>525</v>
      </c>
      <c r="H286" s="158" t="s">
        <v>526</v>
      </c>
    </row>
    <row r="287" spans="1:8" s="420" customFormat="1" ht="15.75" x14ac:dyDescent="0.2">
      <c r="A287" s="327" t="str">
        <f t="shared" si="47"/>
        <v>32 84 00</v>
      </c>
      <c r="B287" s="374" t="s">
        <v>457</v>
      </c>
      <c r="C287" s="401"/>
      <c r="D287" s="383"/>
      <c r="E287" s="403"/>
      <c r="F287" s="135">
        <f t="shared" si="42"/>
        <v>0</v>
      </c>
      <c r="G287" s="379" t="s">
        <v>458</v>
      </c>
      <c r="H287" s="327" t="s">
        <v>527</v>
      </c>
    </row>
    <row r="288" spans="1:8" s="420" customFormat="1" ht="25.5" x14ac:dyDescent="0.2">
      <c r="A288" s="327" t="str">
        <f t="shared" si="47"/>
        <v>B4.32 84 00.01</v>
      </c>
      <c r="B288" s="421" t="s">
        <v>1207</v>
      </c>
      <c r="C288" s="293" t="s">
        <v>298</v>
      </c>
      <c r="D288" s="383">
        <v>15</v>
      </c>
      <c r="E288" s="113">
        <v>2515</v>
      </c>
      <c r="F288" s="135">
        <f t="shared" si="42"/>
        <v>37725</v>
      </c>
      <c r="G288" s="386" t="s">
        <v>529</v>
      </c>
      <c r="H288" s="327" t="s">
        <v>530</v>
      </c>
    </row>
    <row r="289" spans="1:8" s="420" customFormat="1" ht="15.75" x14ac:dyDescent="0.2">
      <c r="A289" s="134" t="str">
        <f t="shared" si="47"/>
        <v>32 80 00</v>
      </c>
      <c r="B289" s="416" t="s">
        <v>531</v>
      </c>
      <c r="C289" s="417"/>
      <c r="D289" s="383"/>
      <c r="E289" s="418"/>
      <c r="F289" s="135">
        <f t="shared" si="42"/>
        <v>0</v>
      </c>
      <c r="G289" s="391" t="s">
        <v>532</v>
      </c>
      <c r="H289" s="134" t="s">
        <v>533</v>
      </c>
    </row>
    <row r="290" spans="1:8" s="420" customFormat="1" ht="38.25" x14ac:dyDescent="0.2">
      <c r="A290" s="134" t="str">
        <f t="shared" si="47"/>
        <v>B4.32 80 00.01</v>
      </c>
      <c r="B290" s="334" t="s">
        <v>534</v>
      </c>
      <c r="C290" s="158" t="s">
        <v>52</v>
      </c>
      <c r="D290" s="383">
        <v>2200</v>
      </c>
      <c r="E290" s="113">
        <v>18</v>
      </c>
      <c r="F290" s="135">
        <f t="shared" si="42"/>
        <v>39600</v>
      </c>
      <c r="G290" s="415" t="s">
        <v>535</v>
      </c>
      <c r="H290" s="134" t="s">
        <v>536</v>
      </c>
    </row>
    <row r="291" spans="1:8" s="420" customFormat="1" ht="15" x14ac:dyDescent="0.2">
      <c r="A291" s="134"/>
      <c r="B291" s="334"/>
      <c r="C291" s="158"/>
      <c r="D291" s="383"/>
      <c r="E291" s="364"/>
      <c r="F291" s="135">
        <f t="shared" ref="F291:F305" si="48">E291*D291</f>
        <v>0</v>
      </c>
      <c r="G291" s="415"/>
      <c r="H291" s="134"/>
    </row>
    <row r="292" spans="1:8" s="420" customFormat="1" ht="15" x14ac:dyDescent="0.2">
      <c r="A292" s="134"/>
      <c r="B292" s="334"/>
      <c r="C292" s="158"/>
      <c r="D292" s="383"/>
      <c r="E292" s="364"/>
      <c r="F292" s="135">
        <f t="shared" si="48"/>
        <v>0</v>
      </c>
      <c r="G292" s="415"/>
      <c r="H292" s="134"/>
    </row>
    <row r="293" spans="1:8" s="420" customFormat="1" ht="15" x14ac:dyDescent="0.2">
      <c r="A293" s="134"/>
      <c r="B293" s="334"/>
      <c r="C293" s="158"/>
      <c r="D293" s="383"/>
      <c r="E293" s="364"/>
      <c r="F293" s="135">
        <f t="shared" si="48"/>
        <v>0</v>
      </c>
      <c r="G293" s="415"/>
      <c r="H293" s="134"/>
    </row>
    <row r="294" spans="1:8" s="420" customFormat="1" ht="15" x14ac:dyDescent="0.2">
      <c r="A294" s="134"/>
      <c r="B294" s="334"/>
      <c r="C294" s="158"/>
      <c r="D294" s="383"/>
      <c r="E294" s="364"/>
      <c r="F294" s="135"/>
      <c r="G294" s="415"/>
      <c r="H294" s="134"/>
    </row>
    <row r="295" spans="1:8" s="420" customFormat="1" ht="15" x14ac:dyDescent="0.2">
      <c r="A295" s="134"/>
      <c r="B295" s="334"/>
      <c r="C295" s="158"/>
      <c r="D295" s="383"/>
      <c r="E295" s="364"/>
      <c r="F295" s="135"/>
      <c r="G295" s="415"/>
      <c r="H295" s="134"/>
    </row>
    <row r="296" spans="1:8" s="420" customFormat="1" ht="15" x14ac:dyDescent="0.2">
      <c r="A296" s="134"/>
      <c r="B296" s="334"/>
      <c r="C296" s="158"/>
      <c r="D296" s="383"/>
      <c r="E296" s="364"/>
      <c r="F296" s="135"/>
      <c r="G296" s="415"/>
      <c r="H296" s="134"/>
    </row>
    <row r="297" spans="1:8" s="420" customFormat="1" ht="15" x14ac:dyDescent="0.2">
      <c r="A297" s="134"/>
      <c r="B297" s="334"/>
      <c r="C297" s="158"/>
      <c r="D297" s="383"/>
      <c r="E297" s="364"/>
      <c r="F297" s="135"/>
      <c r="G297" s="415"/>
      <c r="H297" s="134"/>
    </row>
    <row r="298" spans="1:8" s="420" customFormat="1" ht="15" x14ac:dyDescent="0.2">
      <c r="A298" s="134"/>
      <c r="B298" s="334"/>
      <c r="C298" s="158"/>
      <c r="D298" s="383"/>
      <c r="E298" s="364"/>
      <c r="F298" s="135"/>
      <c r="G298" s="415"/>
      <c r="H298" s="134"/>
    </row>
    <row r="299" spans="1:8" s="420" customFormat="1" ht="15" x14ac:dyDescent="0.2">
      <c r="A299" s="134"/>
      <c r="B299" s="334"/>
      <c r="C299" s="158"/>
      <c r="D299" s="383"/>
      <c r="E299" s="364"/>
      <c r="F299" s="135"/>
      <c r="G299" s="415"/>
      <c r="H299" s="134"/>
    </row>
    <row r="300" spans="1:8" s="420" customFormat="1" ht="15" x14ac:dyDescent="0.2">
      <c r="A300" s="134"/>
      <c r="B300" s="334"/>
      <c r="C300" s="158"/>
      <c r="D300" s="383"/>
      <c r="E300" s="364"/>
      <c r="F300" s="135"/>
      <c r="G300" s="415"/>
      <c r="H300" s="134"/>
    </row>
    <row r="301" spans="1:8" s="420" customFormat="1" ht="15" x14ac:dyDescent="0.2">
      <c r="A301" s="134"/>
      <c r="B301" s="334"/>
      <c r="C301" s="158"/>
      <c r="D301" s="383"/>
      <c r="E301" s="364"/>
      <c r="F301" s="135"/>
      <c r="G301" s="415"/>
      <c r="H301" s="134"/>
    </row>
    <row r="302" spans="1:8" s="420" customFormat="1" ht="15" x14ac:dyDescent="0.2">
      <c r="A302" s="134"/>
      <c r="B302" s="334"/>
      <c r="C302" s="158"/>
      <c r="D302" s="383"/>
      <c r="E302" s="364"/>
      <c r="F302" s="135"/>
      <c r="G302" s="415"/>
      <c r="H302" s="134"/>
    </row>
    <row r="303" spans="1:8" s="420" customFormat="1" ht="15" x14ac:dyDescent="0.2">
      <c r="A303" s="134"/>
      <c r="B303" s="334"/>
      <c r="C303" s="158"/>
      <c r="D303" s="383"/>
      <c r="E303" s="364"/>
      <c r="F303" s="135"/>
      <c r="G303" s="415"/>
      <c r="H303" s="134"/>
    </row>
    <row r="304" spans="1:8" s="420" customFormat="1" ht="15" x14ac:dyDescent="0.2">
      <c r="A304" s="134"/>
      <c r="B304" s="334"/>
      <c r="C304" s="158"/>
      <c r="D304" s="383"/>
      <c r="E304" s="364"/>
      <c r="F304" s="135">
        <f t="shared" si="48"/>
        <v>0</v>
      </c>
      <c r="G304" s="415"/>
      <c r="H304" s="134"/>
    </row>
    <row r="305" spans="1:8" s="420" customFormat="1" ht="15" x14ac:dyDescent="0.2">
      <c r="A305" s="134"/>
      <c r="B305" s="334"/>
      <c r="C305" s="158"/>
      <c r="D305" s="383"/>
      <c r="E305" s="364"/>
      <c r="F305" s="135">
        <f t="shared" si="48"/>
        <v>0</v>
      </c>
      <c r="G305" s="415"/>
      <c r="H305" s="134"/>
    </row>
    <row r="306" spans="1:8" s="420" customFormat="1" ht="15" x14ac:dyDescent="0.2">
      <c r="A306" s="134"/>
      <c r="B306" s="334"/>
      <c r="C306" s="158"/>
      <c r="D306" s="383"/>
      <c r="E306" s="364"/>
      <c r="F306" s="135"/>
      <c r="G306" s="415"/>
      <c r="H306" s="134"/>
    </row>
    <row r="307" spans="1:8" s="420" customFormat="1" ht="15" x14ac:dyDescent="0.2">
      <c r="A307" s="134"/>
      <c r="B307" s="334"/>
      <c r="C307" s="158"/>
      <c r="D307" s="383"/>
      <c r="E307" s="364"/>
      <c r="F307" s="135"/>
      <c r="G307" s="415"/>
      <c r="H307" s="134"/>
    </row>
    <row r="308" spans="1:8" s="420" customFormat="1" ht="15.75" x14ac:dyDescent="0.2">
      <c r="A308" s="422"/>
      <c r="B308" s="321" t="s">
        <v>494</v>
      </c>
      <c r="C308" s="1074" t="s">
        <v>98</v>
      </c>
      <c r="D308" s="1084"/>
      <c r="E308" s="1084"/>
      <c r="F308" s="355">
        <f>SUM(F263:F290)</f>
        <v>392652</v>
      </c>
      <c r="G308" s="324" t="s">
        <v>495</v>
      </c>
      <c r="H308" s="423"/>
    </row>
    <row r="309" spans="1:8" s="338" customFormat="1" ht="15.75" x14ac:dyDescent="0.2">
      <c r="A309" s="1075" t="s">
        <v>537</v>
      </c>
      <c r="B309" s="1076"/>
      <c r="C309" s="322"/>
      <c r="D309" s="322"/>
      <c r="E309" s="322"/>
      <c r="F309" s="355"/>
      <c r="G309" s="1077" t="s">
        <v>538</v>
      </c>
      <c r="H309" s="1078"/>
    </row>
    <row r="310" spans="1:8" s="381" customFormat="1" ht="15.75" x14ac:dyDescent="0.2">
      <c r="A310" s="328"/>
      <c r="B310" s="301" t="s">
        <v>539</v>
      </c>
      <c r="C310" s="328"/>
      <c r="D310" s="361"/>
      <c r="E310" s="330"/>
      <c r="F310" s="330"/>
      <c r="G310" s="379" t="s">
        <v>310</v>
      </c>
      <c r="H310" s="328"/>
    </row>
    <row r="311" spans="1:8" s="326" customFormat="1" ht="47.25" x14ac:dyDescent="0.2">
      <c r="A311" s="328" t="s">
        <v>475</v>
      </c>
      <c r="B311" s="424" t="s">
        <v>540</v>
      </c>
      <c r="C311" s="328"/>
      <c r="D311" s="376"/>
      <c r="E311" s="377"/>
      <c r="F311" s="377"/>
      <c r="G311" s="379" t="s">
        <v>541</v>
      </c>
      <c r="H311" s="328" t="s">
        <v>475</v>
      </c>
    </row>
    <row r="312" spans="1:8" s="326" customFormat="1" ht="15.75" x14ac:dyDescent="0.2">
      <c r="A312" s="380"/>
      <c r="B312" s="424" t="s">
        <v>542</v>
      </c>
      <c r="C312" s="328"/>
      <c r="D312" s="376"/>
      <c r="E312" s="377"/>
      <c r="F312" s="377"/>
      <c r="G312" s="379" t="s">
        <v>543</v>
      </c>
      <c r="H312" s="380"/>
    </row>
    <row r="313" spans="1:8" s="326" customFormat="1" x14ac:dyDescent="0.2">
      <c r="A313" s="327" t="str">
        <f t="shared" ref="A313:A315" si="49">H313</f>
        <v>B5.33 31 00.01</v>
      </c>
      <c r="B313" s="412" t="s">
        <v>544</v>
      </c>
      <c r="C313" s="327" t="s">
        <v>52</v>
      </c>
      <c r="D313" s="383">
        <v>20</v>
      </c>
      <c r="E313" s="113">
        <v>119</v>
      </c>
      <c r="F313" s="128">
        <f>E313*D313</f>
        <v>2380</v>
      </c>
      <c r="G313" s="386" t="s">
        <v>576</v>
      </c>
      <c r="H313" s="327" t="s">
        <v>546</v>
      </c>
    </row>
    <row r="314" spans="1:8" s="326" customFormat="1" x14ac:dyDescent="0.2">
      <c r="A314" s="327" t="str">
        <f t="shared" si="49"/>
        <v>B5.33 31 00.02</v>
      </c>
      <c r="B314" s="412" t="s">
        <v>319</v>
      </c>
      <c r="C314" s="327" t="s">
        <v>52</v>
      </c>
      <c r="D314" s="383">
        <v>290</v>
      </c>
      <c r="E314" s="113">
        <v>126</v>
      </c>
      <c r="F314" s="128">
        <f t="shared" ref="F314:F333" si="50">E314*D314</f>
        <v>36540</v>
      </c>
      <c r="G314" s="386" t="s">
        <v>547</v>
      </c>
      <c r="H314" s="327" t="s">
        <v>548</v>
      </c>
    </row>
    <row r="315" spans="1:8" s="326" customFormat="1" x14ac:dyDescent="0.2">
      <c r="A315" s="327" t="str">
        <f t="shared" si="49"/>
        <v>B5.33 31 00.03</v>
      </c>
      <c r="B315" s="384" t="s">
        <v>1178</v>
      </c>
      <c r="C315" s="327" t="s">
        <v>52</v>
      </c>
      <c r="D315" s="383">
        <v>20</v>
      </c>
      <c r="E315" s="113">
        <v>154</v>
      </c>
      <c r="F315" s="128">
        <f t="shared" si="50"/>
        <v>3080</v>
      </c>
      <c r="G315" s="386" t="s">
        <v>1179</v>
      </c>
      <c r="H315" s="327" t="s">
        <v>550</v>
      </c>
    </row>
    <row r="316" spans="1:8" s="326" customFormat="1" ht="15.75" x14ac:dyDescent="0.2">
      <c r="A316" s="380"/>
      <c r="B316" s="424" t="s">
        <v>329</v>
      </c>
      <c r="C316" s="328"/>
      <c r="D316" s="376"/>
      <c r="E316" s="377"/>
      <c r="F316" s="128">
        <f t="shared" si="50"/>
        <v>0</v>
      </c>
      <c r="G316" s="379" t="s">
        <v>330</v>
      </c>
      <c r="H316" s="380"/>
    </row>
    <row r="317" spans="1:8" s="326" customFormat="1" x14ac:dyDescent="0.2">
      <c r="A317" s="327" t="str">
        <f t="shared" ref="A317:A319" si="51">H317</f>
        <v>B5.33 31 00.04</v>
      </c>
      <c r="B317" s="412" t="s">
        <v>544</v>
      </c>
      <c r="C317" s="327" t="s">
        <v>52</v>
      </c>
      <c r="D317" s="383">
        <v>25</v>
      </c>
      <c r="E317" s="113">
        <v>128</v>
      </c>
      <c r="F317" s="128">
        <f t="shared" si="50"/>
        <v>3200</v>
      </c>
      <c r="G317" s="386" t="s">
        <v>576</v>
      </c>
      <c r="H317" s="327" t="s">
        <v>1208</v>
      </c>
    </row>
    <row r="318" spans="1:8" s="326" customFormat="1" x14ac:dyDescent="0.2">
      <c r="A318" s="327" t="str">
        <f t="shared" si="51"/>
        <v>B5.33 31 00.05</v>
      </c>
      <c r="B318" s="412" t="s">
        <v>319</v>
      </c>
      <c r="C318" s="327" t="s">
        <v>52</v>
      </c>
      <c r="D318" s="383">
        <v>1345</v>
      </c>
      <c r="E318" s="113">
        <v>140</v>
      </c>
      <c r="F318" s="128">
        <f t="shared" si="50"/>
        <v>188300</v>
      </c>
      <c r="G318" s="386" t="s">
        <v>477</v>
      </c>
      <c r="H318" s="327" t="s">
        <v>551</v>
      </c>
    </row>
    <row r="319" spans="1:8" s="326" customFormat="1" x14ac:dyDescent="0.2">
      <c r="A319" s="327" t="str">
        <f t="shared" si="51"/>
        <v>B5.33 31 00.06</v>
      </c>
      <c r="B319" s="412" t="s">
        <v>333</v>
      </c>
      <c r="C319" s="327" t="s">
        <v>52</v>
      </c>
      <c r="D319" s="383">
        <v>20</v>
      </c>
      <c r="E319" s="113">
        <v>169</v>
      </c>
      <c r="F319" s="128">
        <f t="shared" si="50"/>
        <v>3380</v>
      </c>
      <c r="G319" s="386" t="s">
        <v>553</v>
      </c>
      <c r="H319" s="327" t="s">
        <v>552</v>
      </c>
    </row>
    <row r="320" spans="1:8" s="326" customFormat="1" x14ac:dyDescent="0.2">
      <c r="A320" s="320"/>
      <c r="B320" s="384" t="s">
        <v>1188</v>
      </c>
      <c r="C320" s="327" t="s">
        <v>52</v>
      </c>
      <c r="D320" s="383">
        <v>20</v>
      </c>
      <c r="E320" s="113">
        <v>185</v>
      </c>
      <c r="F320" s="128">
        <f t="shared" si="50"/>
        <v>3700</v>
      </c>
      <c r="G320" s="386" t="s">
        <v>1189</v>
      </c>
      <c r="H320" s="320"/>
    </row>
    <row r="321" spans="1:8" s="326" customFormat="1" ht="15.75" x14ac:dyDescent="0.2">
      <c r="A321" s="380"/>
      <c r="B321" s="424" t="s">
        <v>338</v>
      </c>
      <c r="C321" s="328"/>
      <c r="D321" s="376"/>
      <c r="E321" s="377"/>
      <c r="F321" s="128">
        <f t="shared" si="50"/>
        <v>0</v>
      </c>
      <c r="G321" s="379" t="s">
        <v>339</v>
      </c>
      <c r="H321" s="380"/>
    </row>
    <row r="322" spans="1:8" s="326" customFormat="1" x14ac:dyDescent="0.2">
      <c r="A322" s="327" t="str">
        <f t="shared" ref="A322:A326" si="52">H322</f>
        <v>B5.33 31 00.07</v>
      </c>
      <c r="B322" s="412" t="s">
        <v>544</v>
      </c>
      <c r="C322" s="327" t="s">
        <v>52</v>
      </c>
      <c r="D322" s="383">
        <v>20</v>
      </c>
      <c r="E322" s="113">
        <v>144</v>
      </c>
      <c r="F322" s="128">
        <f t="shared" si="50"/>
        <v>2880</v>
      </c>
      <c r="G322" s="386" t="s">
        <v>576</v>
      </c>
      <c r="H322" s="327" t="s">
        <v>554</v>
      </c>
    </row>
    <row r="323" spans="1:8" s="326" customFormat="1" x14ac:dyDescent="0.2">
      <c r="A323" s="327" t="str">
        <f t="shared" si="52"/>
        <v>B5.33 31 00.08</v>
      </c>
      <c r="B323" s="412" t="s">
        <v>319</v>
      </c>
      <c r="C323" s="327" t="s">
        <v>52</v>
      </c>
      <c r="D323" s="383">
        <v>180</v>
      </c>
      <c r="E323" s="113">
        <v>156</v>
      </c>
      <c r="F323" s="128">
        <f t="shared" si="50"/>
        <v>28080</v>
      </c>
      <c r="G323" s="386" t="s">
        <v>477</v>
      </c>
      <c r="H323" s="327" t="s">
        <v>557</v>
      </c>
    </row>
    <row r="324" spans="1:8" s="326" customFormat="1" x14ac:dyDescent="0.2">
      <c r="A324" s="327" t="str">
        <f t="shared" si="52"/>
        <v>B5.33 31 00.09</v>
      </c>
      <c r="B324" s="412" t="s">
        <v>701</v>
      </c>
      <c r="C324" s="327" t="s">
        <v>52</v>
      </c>
      <c r="D324" s="383">
        <v>225</v>
      </c>
      <c r="E324" s="113">
        <v>184</v>
      </c>
      <c r="F324" s="128">
        <f t="shared" si="50"/>
        <v>41400</v>
      </c>
      <c r="G324" s="386" t="s">
        <v>1209</v>
      </c>
      <c r="H324" s="327" t="s">
        <v>560</v>
      </c>
    </row>
    <row r="325" spans="1:8" s="326" customFormat="1" x14ac:dyDescent="0.2">
      <c r="A325" s="327" t="str">
        <f t="shared" si="52"/>
        <v>B5.33 31 00.10</v>
      </c>
      <c r="B325" s="412" t="s">
        <v>555</v>
      </c>
      <c r="C325" s="327" t="s">
        <v>52</v>
      </c>
      <c r="D325" s="383">
        <v>50</v>
      </c>
      <c r="E325" s="113">
        <v>220</v>
      </c>
      <c r="F325" s="128">
        <f t="shared" si="50"/>
        <v>11000</v>
      </c>
      <c r="G325" s="386" t="s">
        <v>556</v>
      </c>
      <c r="H325" s="327" t="s">
        <v>563</v>
      </c>
    </row>
    <row r="326" spans="1:8" s="326" customFormat="1" x14ac:dyDescent="0.2">
      <c r="A326" s="327" t="str">
        <f t="shared" si="52"/>
        <v>B5.33 31 00.11</v>
      </c>
      <c r="B326" s="384" t="s">
        <v>1195</v>
      </c>
      <c r="C326" s="327" t="s">
        <v>52</v>
      </c>
      <c r="D326" s="383">
        <v>20</v>
      </c>
      <c r="E326" s="113">
        <v>257</v>
      </c>
      <c r="F326" s="128">
        <f t="shared" si="50"/>
        <v>5140</v>
      </c>
      <c r="G326" s="386" t="s">
        <v>1196</v>
      </c>
      <c r="H326" s="327" t="s">
        <v>564</v>
      </c>
    </row>
    <row r="327" spans="1:8" s="326" customFormat="1" ht="47.25" x14ac:dyDescent="0.2">
      <c r="A327" s="328" t="s">
        <v>475</v>
      </c>
      <c r="B327" s="424" t="s">
        <v>540</v>
      </c>
      <c r="C327" s="328"/>
      <c r="D327" s="376"/>
      <c r="E327" s="377"/>
      <c r="F327" s="128">
        <f t="shared" si="50"/>
        <v>0</v>
      </c>
      <c r="G327" s="379" t="s">
        <v>541</v>
      </c>
      <c r="H327" s="328" t="s">
        <v>475</v>
      </c>
    </row>
    <row r="328" spans="1:8" s="326" customFormat="1" ht="15.75" x14ac:dyDescent="0.2">
      <c r="A328" s="380"/>
      <c r="B328" s="424" t="s">
        <v>574</v>
      </c>
      <c r="C328" s="328"/>
      <c r="D328" s="376"/>
      <c r="E328" s="135"/>
      <c r="F328" s="128">
        <f t="shared" si="50"/>
        <v>0</v>
      </c>
      <c r="G328" s="379" t="s">
        <v>575</v>
      </c>
      <c r="H328" s="380"/>
    </row>
    <row r="329" spans="1:8" s="326" customFormat="1" x14ac:dyDescent="0.2">
      <c r="A329" s="327" t="str">
        <f t="shared" ref="A329:A333" si="53">H329</f>
        <v>B5.33 31 00.12</v>
      </c>
      <c r="B329" s="412" t="s">
        <v>544</v>
      </c>
      <c r="C329" s="327" t="s">
        <v>52</v>
      </c>
      <c r="D329" s="383">
        <v>20</v>
      </c>
      <c r="E329" s="113">
        <v>161</v>
      </c>
      <c r="F329" s="128">
        <f t="shared" si="50"/>
        <v>3220</v>
      </c>
      <c r="G329" s="386" t="s">
        <v>576</v>
      </c>
      <c r="H329" s="327" t="s">
        <v>565</v>
      </c>
    </row>
    <row r="330" spans="1:8" s="326" customFormat="1" x14ac:dyDescent="0.2">
      <c r="A330" s="327" t="str">
        <f t="shared" si="53"/>
        <v>B5.33 31 00.13</v>
      </c>
      <c r="B330" s="412" t="s">
        <v>319</v>
      </c>
      <c r="C330" s="327" t="s">
        <v>52</v>
      </c>
      <c r="D330" s="383">
        <v>20</v>
      </c>
      <c r="E330" s="113">
        <v>174</v>
      </c>
      <c r="F330" s="128">
        <f t="shared" si="50"/>
        <v>3480</v>
      </c>
      <c r="G330" s="386" t="s">
        <v>477</v>
      </c>
      <c r="H330" s="327" t="s">
        <v>567</v>
      </c>
    </row>
    <row r="331" spans="1:8" s="326" customFormat="1" x14ac:dyDescent="0.2">
      <c r="A331" s="327" t="str">
        <f t="shared" si="53"/>
        <v>B5.33 31 00.14</v>
      </c>
      <c r="B331" s="412" t="s">
        <v>701</v>
      </c>
      <c r="C331" s="327" t="s">
        <v>52</v>
      </c>
      <c r="D331" s="383">
        <v>20</v>
      </c>
      <c r="E331" s="113">
        <v>202</v>
      </c>
      <c r="F331" s="128">
        <f t="shared" si="50"/>
        <v>4040</v>
      </c>
      <c r="G331" s="386" t="s">
        <v>1209</v>
      </c>
      <c r="H331" s="327" t="s">
        <v>569</v>
      </c>
    </row>
    <row r="332" spans="1:8" s="326" customFormat="1" x14ac:dyDescent="0.2">
      <c r="A332" s="327" t="str">
        <f t="shared" si="53"/>
        <v>B5.33 31 00.15</v>
      </c>
      <c r="B332" s="412" t="s">
        <v>555</v>
      </c>
      <c r="C332" s="327" t="s">
        <v>52</v>
      </c>
      <c r="D332" s="383">
        <v>25</v>
      </c>
      <c r="E332" s="113">
        <v>220</v>
      </c>
      <c r="F332" s="128">
        <f t="shared" si="50"/>
        <v>5500</v>
      </c>
      <c r="G332" s="386" t="s">
        <v>556</v>
      </c>
      <c r="H332" s="327" t="s">
        <v>570</v>
      </c>
    </row>
    <row r="333" spans="1:8" s="326" customFormat="1" x14ac:dyDescent="0.2">
      <c r="A333" s="327" t="str">
        <f t="shared" si="53"/>
        <v>B5.33 31 00.16</v>
      </c>
      <c r="B333" s="384" t="s">
        <v>1195</v>
      </c>
      <c r="C333" s="327" t="s">
        <v>52</v>
      </c>
      <c r="D333" s="383">
        <v>20</v>
      </c>
      <c r="E333" s="113">
        <v>257</v>
      </c>
      <c r="F333" s="128">
        <f t="shared" si="50"/>
        <v>5140</v>
      </c>
      <c r="G333" s="386" t="s">
        <v>1196</v>
      </c>
      <c r="H333" s="327" t="s">
        <v>571</v>
      </c>
    </row>
    <row r="334" spans="1:8" s="326" customFormat="1" x14ac:dyDescent="0.2">
      <c r="A334" s="320"/>
      <c r="B334" s="384"/>
      <c r="C334" s="327"/>
      <c r="D334" s="383"/>
      <c r="E334" s="135"/>
      <c r="F334" s="128"/>
      <c r="G334" s="386"/>
      <c r="H334" s="320"/>
    </row>
    <row r="335" spans="1:8" s="326" customFormat="1" x14ac:dyDescent="0.2">
      <c r="A335" s="320"/>
      <c r="B335" s="384"/>
      <c r="C335" s="327"/>
      <c r="D335" s="383"/>
      <c r="E335" s="135"/>
      <c r="F335" s="128"/>
      <c r="G335" s="386"/>
      <c r="H335" s="320"/>
    </row>
    <row r="336" spans="1:8" s="326" customFormat="1" x14ac:dyDescent="0.2">
      <c r="A336" s="320"/>
      <c r="B336" s="384"/>
      <c r="C336" s="327"/>
      <c r="D336" s="383"/>
      <c r="E336" s="135"/>
      <c r="F336" s="128"/>
      <c r="G336" s="386"/>
      <c r="H336" s="320"/>
    </row>
    <row r="337" spans="1:8" s="326" customFormat="1" x14ac:dyDescent="0.2">
      <c r="A337" s="320"/>
      <c r="B337" s="384"/>
      <c r="C337" s="327"/>
      <c r="D337" s="383"/>
      <c r="E337" s="135"/>
      <c r="F337" s="128"/>
      <c r="G337" s="386"/>
      <c r="H337" s="320"/>
    </row>
    <row r="338" spans="1:8" s="326" customFormat="1" x14ac:dyDescent="0.2">
      <c r="A338" s="320"/>
      <c r="B338" s="384"/>
      <c r="C338" s="327"/>
      <c r="D338" s="383"/>
      <c r="E338" s="135"/>
      <c r="F338" s="128"/>
      <c r="G338" s="386"/>
      <c r="H338" s="320"/>
    </row>
    <row r="339" spans="1:8" s="326" customFormat="1" x14ac:dyDescent="0.2">
      <c r="A339" s="320"/>
      <c r="B339" s="384"/>
      <c r="C339" s="327"/>
      <c r="D339" s="383"/>
      <c r="E339" s="135"/>
      <c r="F339" s="128"/>
      <c r="G339" s="386"/>
      <c r="H339" s="320"/>
    </row>
    <row r="340" spans="1:8" s="326" customFormat="1" x14ac:dyDescent="0.2">
      <c r="A340" s="320"/>
      <c r="B340" s="384"/>
      <c r="C340" s="327"/>
      <c r="D340" s="383"/>
      <c r="E340" s="135"/>
      <c r="F340" s="128"/>
      <c r="G340" s="386"/>
      <c r="H340" s="320"/>
    </row>
    <row r="341" spans="1:8" s="326" customFormat="1" x14ac:dyDescent="0.2">
      <c r="A341" s="320"/>
      <c r="B341" s="384"/>
      <c r="C341" s="327"/>
      <c r="D341" s="383"/>
      <c r="E341" s="135"/>
      <c r="F341" s="128"/>
      <c r="G341" s="386"/>
      <c r="H341" s="320"/>
    </row>
    <row r="342" spans="1:8" s="326" customFormat="1" x14ac:dyDescent="0.2">
      <c r="A342" s="320"/>
      <c r="B342" s="384"/>
      <c r="C342" s="327"/>
      <c r="D342" s="383"/>
      <c r="E342" s="135"/>
      <c r="F342" s="128"/>
      <c r="G342" s="386"/>
      <c r="H342" s="320"/>
    </row>
    <row r="343" spans="1:8" s="326" customFormat="1" x14ac:dyDescent="0.2">
      <c r="A343" s="320"/>
      <c r="B343" s="384"/>
      <c r="C343" s="327"/>
      <c r="D343" s="383"/>
      <c r="E343" s="135"/>
      <c r="F343" s="128"/>
      <c r="G343" s="386"/>
      <c r="H343" s="320"/>
    </row>
    <row r="344" spans="1:8" s="326" customFormat="1" x14ac:dyDescent="0.2">
      <c r="A344" s="320"/>
      <c r="B344" s="384"/>
      <c r="C344" s="327"/>
      <c r="D344" s="383"/>
      <c r="E344" s="135"/>
      <c r="F344" s="128"/>
      <c r="G344" s="386"/>
      <c r="H344" s="320"/>
    </row>
    <row r="345" spans="1:8" s="326" customFormat="1" x14ac:dyDescent="0.2">
      <c r="A345" s="320"/>
      <c r="B345" s="384"/>
      <c r="C345" s="327"/>
      <c r="D345" s="383"/>
      <c r="E345" s="135"/>
      <c r="F345" s="128"/>
      <c r="G345" s="386"/>
      <c r="H345" s="320"/>
    </row>
    <row r="346" spans="1:8" s="326" customFormat="1" x14ac:dyDescent="0.2">
      <c r="A346" s="320"/>
      <c r="B346" s="384"/>
      <c r="C346" s="327"/>
      <c r="D346" s="383"/>
      <c r="E346" s="135"/>
      <c r="F346" s="128"/>
      <c r="G346" s="386"/>
      <c r="H346" s="320"/>
    </row>
    <row r="347" spans="1:8" s="326" customFormat="1" x14ac:dyDescent="0.2">
      <c r="A347" s="320"/>
      <c r="B347" s="384"/>
      <c r="C347" s="327"/>
      <c r="D347" s="383"/>
      <c r="E347" s="135"/>
      <c r="F347" s="128"/>
      <c r="G347" s="386"/>
      <c r="H347" s="320"/>
    </row>
    <row r="348" spans="1:8" s="326" customFormat="1" x14ac:dyDescent="0.2">
      <c r="A348" s="320"/>
      <c r="B348" s="384"/>
      <c r="C348" s="327"/>
      <c r="D348" s="383"/>
      <c r="E348" s="135"/>
      <c r="F348" s="128"/>
      <c r="G348" s="386"/>
      <c r="H348" s="320"/>
    </row>
    <row r="349" spans="1:8" s="326" customFormat="1" x14ac:dyDescent="0.2">
      <c r="A349" s="320"/>
      <c r="B349" s="384"/>
      <c r="C349" s="327"/>
      <c r="D349" s="383"/>
      <c r="E349" s="135"/>
      <c r="F349" s="128"/>
      <c r="G349" s="386"/>
      <c r="H349" s="320"/>
    </row>
    <row r="350" spans="1:8" s="326" customFormat="1" x14ac:dyDescent="0.2">
      <c r="A350" s="320"/>
      <c r="B350" s="384"/>
      <c r="C350" s="327"/>
      <c r="D350" s="383"/>
      <c r="E350" s="135"/>
      <c r="F350" s="128"/>
      <c r="G350" s="386"/>
      <c r="H350" s="320"/>
    </row>
    <row r="351" spans="1:8" s="326" customFormat="1" x14ac:dyDescent="0.2">
      <c r="A351" s="320"/>
      <c r="B351" s="384"/>
      <c r="C351" s="327"/>
      <c r="D351" s="383"/>
      <c r="E351" s="135"/>
      <c r="F351" s="128"/>
      <c r="G351" s="386"/>
      <c r="H351" s="320"/>
    </row>
    <row r="352" spans="1:8" s="326" customFormat="1" x14ac:dyDescent="0.2">
      <c r="A352" s="320"/>
      <c r="B352" s="384"/>
      <c r="C352" s="327"/>
      <c r="D352" s="383"/>
      <c r="E352" s="135"/>
      <c r="F352" s="128"/>
      <c r="G352" s="386"/>
      <c r="H352" s="320"/>
    </row>
    <row r="353" spans="1:8" s="326" customFormat="1" x14ac:dyDescent="0.2">
      <c r="A353" s="320"/>
      <c r="B353" s="384"/>
      <c r="C353" s="327"/>
      <c r="D353" s="383"/>
      <c r="E353" s="135"/>
      <c r="F353" s="128"/>
      <c r="G353" s="386"/>
      <c r="H353" s="320"/>
    </row>
    <row r="354" spans="1:8" s="326" customFormat="1" x14ac:dyDescent="0.2">
      <c r="A354" s="320"/>
      <c r="B354" s="384"/>
      <c r="C354" s="327"/>
      <c r="D354" s="383"/>
      <c r="E354" s="135"/>
      <c r="F354" s="128"/>
      <c r="G354" s="386"/>
      <c r="H354" s="320"/>
    </row>
    <row r="355" spans="1:8" s="326" customFormat="1" x14ac:dyDescent="0.2">
      <c r="A355" s="320"/>
      <c r="B355" s="384"/>
      <c r="C355" s="327"/>
      <c r="D355" s="383"/>
      <c r="E355" s="135"/>
      <c r="F355" s="128"/>
      <c r="G355" s="386"/>
      <c r="H355" s="320"/>
    </row>
    <row r="356" spans="1:8" s="326" customFormat="1" x14ac:dyDescent="0.2">
      <c r="A356" s="320"/>
      <c r="B356" s="384"/>
      <c r="C356" s="327"/>
      <c r="D356" s="383"/>
      <c r="E356" s="135"/>
      <c r="F356" s="128"/>
      <c r="G356" s="386"/>
      <c r="H356" s="320"/>
    </row>
    <row r="357" spans="1:8" s="326" customFormat="1" x14ac:dyDescent="0.2">
      <c r="A357" s="320"/>
      <c r="B357" s="384"/>
      <c r="C357" s="327"/>
      <c r="D357" s="383"/>
      <c r="E357" s="135"/>
      <c r="F357" s="128"/>
      <c r="G357" s="386"/>
      <c r="H357" s="320"/>
    </row>
    <row r="358" spans="1:8" s="326" customFormat="1" x14ac:dyDescent="0.2">
      <c r="A358" s="320"/>
      <c r="B358" s="384"/>
      <c r="C358" s="327"/>
      <c r="D358" s="383"/>
      <c r="E358" s="135"/>
      <c r="F358" s="128"/>
      <c r="G358" s="386"/>
      <c r="H358" s="320"/>
    </row>
    <row r="359" spans="1:8" s="326" customFormat="1" x14ac:dyDescent="0.2">
      <c r="A359" s="320"/>
      <c r="B359" s="384"/>
      <c r="C359" s="327"/>
      <c r="D359" s="383"/>
      <c r="E359" s="135"/>
      <c r="F359" s="128"/>
      <c r="G359" s="386"/>
      <c r="H359" s="320"/>
    </row>
    <row r="360" spans="1:8" s="326" customFormat="1" x14ac:dyDescent="0.2">
      <c r="A360" s="320"/>
      <c r="B360" s="384"/>
      <c r="C360" s="327"/>
      <c r="D360" s="383"/>
      <c r="E360" s="135"/>
      <c r="F360" s="128"/>
      <c r="G360" s="386"/>
      <c r="H360" s="320"/>
    </row>
    <row r="361" spans="1:8" s="326" customFormat="1" ht="15.75" x14ac:dyDescent="0.2">
      <c r="A361" s="302"/>
      <c r="B361" s="321" t="s">
        <v>572</v>
      </c>
      <c r="C361" s="1074" t="s">
        <v>98</v>
      </c>
      <c r="D361" s="1084"/>
      <c r="E361" s="1084"/>
      <c r="F361" s="369">
        <f>SUM(F313:F333)</f>
        <v>350460</v>
      </c>
      <c r="G361" s="425" t="s">
        <v>573</v>
      </c>
      <c r="H361" s="302"/>
    </row>
    <row r="362" spans="1:8" s="310" customFormat="1" ht="15.75" x14ac:dyDescent="0.2">
      <c r="A362" s="327"/>
      <c r="B362" s="424" t="s">
        <v>612</v>
      </c>
      <c r="C362" s="328"/>
      <c r="D362" s="376"/>
      <c r="E362" s="377"/>
      <c r="F362" s="377"/>
      <c r="G362" s="379" t="s">
        <v>613</v>
      </c>
      <c r="H362" s="327"/>
    </row>
    <row r="363" spans="1:8" s="310" customFormat="1" ht="15.75" x14ac:dyDescent="0.2">
      <c r="A363" s="371" t="str">
        <f>H363</f>
        <v>33 05 13</v>
      </c>
      <c r="B363" s="424" t="s">
        <v>614</v>
      </c>
      <c r="C363" s="328"/>
      <c r="D363" s="376"/>
      <c r="E363" s="377"/>
      <c r="F363" s="377"/>
      <c r="G363" s="379" t="s">
        <v>615</v>
      </c>
      <c r="H363" s="371" t="s">
        <v>616</v>
      </c>
    </row>
    <row r="364" spans="1:8" s="310" customFormat="1" ht="15.75" x14ac:dyDescent="0.2">
      <c r="A364" s="327"/>
      <c r="B364" s="424" t="s">
        <v>617</v>
      </c>
      <c r="C364" s="328"/>
      <c r="D364" s="376"/>
      <c r="E364" s="377"/>
      <c r="F364" s="377"/>
      <c r="G364" s="379" t="s">
        <v>618</v>
      </c>
      <c r="H364" s="327"/>
    </row>
    <row r="365" spans="1:8" s="310" customFormat="1" x14ac:dyDescent="0.2">
      <c r="A365" s="327" t="str">
        <f>H365</f>
        <v>B5.33 05 13.01</v>
      </c>
      <c r="B365" s="426" t="s">
        <v>619</v>
      </c>
      <c r="C365" s="327" t="s">
        <v>298</v>
      </c>
      <c r="D365" s="383">
        <v>1</v>
      </c>
      <c r="E365" s="113">
        <v>7630</v>
      </c>
      <c r="F365" s="128">
        <f>E365*D365</f>
        <v>7630</v>
      </c>
      <c r="G365" s="386" t="s">
        <v>620</v>
      </c>
      <c r="H365" s="327" t="s">
        <v>621</v>
      </c>
    </row>
    <row r="366" spans="1:8" s="310" customFormat="1" x14ac:dyDescent="0.2">
      <c r="A366" s="327" t="str">
        <f t="shared" ref="A366:A374" si="54">H366</f>
        <v>B5.33 05 13.02</v>
      </c>
      <c r="B366" s="426" t="s">
        <v>622</v>
      </c>
      <c r="C366" s="327" t="s">
        <v>298</v>
      </c>
      <c r="D366" s="383">
        <v>70</v>
      </c>
      <c r="E366" s="113">
        <v>10029</v>
      </c>
      <c r="F366" s="128">
        <f t="shared" ref="F366:F370" si="55">E366*D366</f>
        <v>702030</v>
      </c>
      <c r="G366" s="386" t="s">
        <v>623</v>
      </c>
      <c r="H366" s="327" t="s">
        <v>624</v>
      </c>
    </row>
    <row r="367" spans="1:8" s="310" customFormat="1" x14ac:dyDescent="0.2">
      <c r="A367" s="327" t="str">
        <f t="shared" si="54"/>
        <v>B5.33 05 13.03</v>
      </c>
      <c r="B367" s="426" t="s">
        <v>625</v>
      </c>
      <c r="C367" s="327" t="s">
        <v>298</v>
      </c>
      <c r="D367" s="383">
        <v>9</v>
      </c>
      <c r="E367" s="113">
        <v>11353</v>
      </c>
      <c r="F367" s="128">
        <f t="shared" si="55"/>
        <v>102177</v>
      </c>
      <c r="G367" s="386" t="s">
        <v>626</v>
      </c>
      <c r="H367" s="327" t="s">
        <v>627</v>
      </c>
    </row>
    <row r="368" spans="1:8" s="310" customFormat="1" x14ac:dyDescent="0.2">
      <c r="A368" s="327" t="str">
        <f t="shared" si="54"/>
        <v>B5.33 05 13.04</v>
      </c>
      <c r="B368" s="426" t="s">
        <v>628</v>
      </c>
      <c r="C368" s="327" t="s">
        <v>298</v>
      </c>
      <c r="D368" s="383">
        <v>5</v>
      </c>
      <c r="E368" s="113">
        <v>12383</v>
      </c>
      <c r="F368" s="128">
        <f t="shared" si="55"/>
        <v>61915</v>
      </c>
      <c r="G368" s="386" t="s">
        <v>629</v>
      </c>
      <c r="H368" s="327" t="s">
        <v>630</v>
      </c>
    </row>
    <row r="369" spans="1:8" s="310" customFormat="1" x14ac:dyDescent="0.2">
      <c r="A369" s="327" t="str">
        <f t="shared" si="54"/>
        <v>B5.33 05 13.05</v>
      </c>
      <c r="B369" s="426" t="s">
        <v>1210</v>
      </c>
      <c r="C369" s="327" t="s">
        <v>298</v>
      </c>
      <c r="D369" s="383">
        <v>2</v>
      </c>
      <c r="E369" s="113">
        <v>15270</v>
      </c>
      <c r="F369" s="128">
        <f t="shared" si="55"/>
        <v>30540</v>
      </c>
      <c r="G369" s="386" t="s">
        <v>743</v>
      </c>
      <c r="H369" s="327" t="s">
        <v>633</v>
      </c>
    </row>
    <row r="370" spans="1:8" s="310" customFormat="1" x14ac:dyDescent="0.2">
      <c r="A370" s="327" t="str">
        <f t="shared" si="54"/>
        <v>B5.33 05 13.06</v>
      </c>
      <c r="B370" s="426" t="s">
        <v>1211</v>
      </c>
      <c r="C370" s="327" t="s">
        <v>298</v>
      </c>
      <c r="D370" s="383">
        <v>1</v>
      </c>
      <c r="E370" s="113">
        <v>19386</v>
      </c>
      <c r="F370" s="128">
        <f t="shared" si="55"/>
        <v>19386</v>
      </c>
      <c r="G370" s="386" t="s">
        <v>1212</v>
      </c>
      <c r="H370" s="327" t="s">
        <v>636</v>
      </c>
    </row>
    <row r="371" spans="1:8" s="310" customFormat="1" ht="31.5" x14ac:dyDescent="0.2">
      <c r="A371" s="327"/>
      <c r="B371" s="424" t="s">
        <v>1213</v>
      </c>
      <c r="C371" s="328"/>
      <c r="D371" s="376"/>
      <c r="E371" s="377"/>
      <c r="F371" s="128">
        <f t="shared" ref="F371:F375" si="56">E371*D371</f>
        <v>0</v>
      </c>
      <c r="G371" s="379" t="s">
        <v>1214</v>
      </c>
      <c r="H371" s="327"/>
    </row>
    <row r="372" spans="1:8" s="310" customFormat="1" x14ac:dyDescent="0.2">
      <c r="A372" s="327" t="str">
        <f t="shared" si="54"/>
        <v>B5.33 05 13.07</v>
      </c>
      <c r="B372" s="426" t="s">
        <v>1215</v>
      </c>
      <c r="C372" s="327" t="s">
        <v>298</v>
      </c>
      <c r="D372" s="383">
        <v>1</v>
      </c>
      <c r="E372" s="113">
        <v>6219</v>
      </c>
      <c r="F372" s="128">
        <f t="shared" si="56"/>
        <v>6219</v>
      </c>
      <c r="G372" s="386" t="s">
        <v>1216</v>
      </c>
      <c r="H372" s="327" t="s">
        <v>639</v>
      </c>
    </row>
    <row r="373" spans="1:8" s="310" customFormat="1" x14ac:dyDescent="0.2">
      <c r="A373" s="327" t="str">
        <f t="shared" si="54"/>
        <v>B5.33 05 13.08</v>
      </c>
      <c r="B373" s="426" t="s">
        <v>1217</v>
      </c>
      <c r="C373" s="327" t="s">
        <v>298</v>
      </c>
      <c r="D373" s="383">
        <v>34</v>
      </c>
      <c r="E373" s="113">
        <v>7721</v>
      </c>
      <c r="F373" s="128">
        <f t="shared" si="56"/>
        <v>262514</v>
      </c>
      <c r="G373" s="386" t="s">
        <v>1218</v>
      </c>
      <c r="H373" s="327" t="s">
        <v>642</v>
      </c>
    </row>
    <row r="374" spans="1:8" s="310" customFormat="1" x14ac:dyDescent="0.2">
      <c r="A374" s="327" t="str">
        <f t="shared" si="54"/>
        <v>B5.33 05 13.09</v>
      </c>
      <c r="B374" s="426" t="s">
        <v>1219</v>
      </c>
      <c r="C374" s="327" t="s">
        <v>298</v>
      </c>
      <c r="D374" s="383">
        <v>1</v>
      </c>
      <c r="E374" s="113">
        <v>8602</v>
      </c>
      <c r="F374" s="128">
        <f t="shared" si="56"/>
        <v>8602</v>
      </c>
      <c r="G374" s="386" t="s">
        <v>1220</v>
      </c>
      <c r="H374" s="327" t="s">
        <v>645</v>
      </c>
    </row>
    <row r="375" spans="1:8" s="310" customFormat="1" ht="15.75" x14ac:dyDescent="0.2">
      <c r="A375" s="327"/>
      <c r="B375" s="426"/>
      <c r="C375" s="327"/>
      <c r="D375" s="383"/>
      <c r="E375" s="377"/>
      <c r="F375" s="128">
        <f t="shared" si="56"/>
        <v>0</v>
      </c>
      <c r="G375" s="379"/>
      <c r="H375" s="327"/>
    </row>
    <row r="376" spans="1:8" s="310" customFormat="1" ht="15.75" x14ac:dyDescent="0.2">
      <c r="A376" s="327"/>
      <c r="B376" s="426"/>
      <c r="C376" s="327"/>
      <c r="D376" s="383"/>
      <c r="E376" s="377"/>
      <c r="F376" s="377"/>
      <c r="G376" s="379"/>
      <c r="H376" s="327"/>
    </row>
    <row r="377" spans="1:8" s="310" customFormat="1" ht="15.75" x14ac:dyDescent="0.2">
      <c r="A377" s="327"/>
      <c r="B377" s="426"/>
      <c r="C377" s="327"/>
      <c r="D377" s="383"/>
      <c r="E377" s="377"/>
      <c r="F377" s="377"/>
      <c r="G377" s="379"/>
      <c r="H377" s="327"/>
    </row>
    <row r="378" spans="1:8" s="310" customFormat="1" ht="15.75" x14ac:dyDescent="0.2">
      <c r="A378" s="327"/>
      <c r="B378" s="426"/>
      <c r="C378" s="327"/>
      <c r="D378" s="383"/>
      <c r="E378" s="377"/>
      <c r="F378" s="377"/>
      <c r="G378" s="379"/>
      <c r="H378" s="327"/>
    </row>
    <row r="379" spans="1:8" s="310" customFormat="1" ht="15.75" x14ac:dyDescent="0.2">
      <c r="A379" s="327"/>
      <c r="B379" s="426"/>
      <c r="C379" s="327"/>
      <c r="D379" s="383"/>
      <c r="E379" s="377"/>
      <c r="F379" s="377"/>
      <c r="G379" s="379"/>
      <c r="H379" s="327"/>
    </row>
    <row r="380" spans="1:8" s="310" customFormat="1" ht="15.75" x14ac:dyDescent="0.2">
      <c r="A380" s="327"/>
      <c r="B380" s="426"/>
      <c r="C380" s="327"/>
      <c r="D380" s="383"/>
      <c r="E380" s="377"/>
      <c r="F380" s="377"/>
      <c r="G380" s="379"/>
      <c r="H380" s="327"/>
    </row>
    <row r="381" spans="1:8" s="310" customFormat="1" ht="15.75" x14ac:dyDescent="0.2">
      <c r="A381" s="327"/>
      <c r="B381" s="426"/>
      <c r="C381" s="327"/>
      <c r="D381" s="383"/>
      <c r="E381" s="377"/>
      <c r="F381" s="377"/>
      <c r="G381" s="379"/>
      <c r="H381" s="327"/>
    </row>
    <row r="382" spans="1:8" s="310" customFormat="1" ht="15.75" x14ac:dyDescent="0.2">
      <c r="A382" s="327"/>
      <c r="B382" s="426"/>
      <c r="C382" s="327"/>
      <c r="D382" s="383"/>
      <c r="E382" s="377"/>
      <c r="F382" s="377"/>
      <c r="G382" s="379"/>
      <c r="H382" s="327"/>
    </row>
    <row r="383" spans="1:8" s="310" customFormat="1" ht="15.75" x14ac:dyDescent="0.2">
      <c r="A383" s="327"/>
      <c r="B383" s="426"/>
      <c r="C383" s="327"/>
      <c r="D383" s="383"/>
      <c r="E383" s="377"/>
      <c r="F383" s="377"/>
      <c r="G383" s="379"/>
      <c r="H383" s="327"/>
    </row>
    <row r="384" spans="1:8" s="310" customFormat="1" ht="15.75" x14ac:dyDescent="0.2">
      <c r="A384" s="327"/>
      <c r="B384" s="426"/>
      <c r="C384" s="327"/>
      <c r="D384" s="383"/>
      <c r="E384" s="377"/>
      <c r="F384" s="377"/>
      <c r="G384" s="379"/>
      <c r="H384" s="327"/>
    </row>
    <row r="385" spans="1:8" s="310" customFormat="1" ht="15.75" x14ac:dyDescent="0.2">
      <c r="A385" s="327"/>
      <c r="B385" s="426"/>
      <c r="C385" s="327"/>
      <c r="D385" s="383"/>
      <c r="E385" s="377"/>
      <c r="F385" s="377"/>
      <c r="G385" s="379"/>
      <c r="H385" s="327"/>
    </row>
    <row r="386" spans="1:8" s="310" customFormat="1" ht="15.75" x14ac:dyDescent="0.2">
      <c r="A386" s="327"/>
      <c r="B386" s="426"/>
      <c r="C386" s="327"/>
      <c r="D386" s="383"/>
      <c r="E386" s="377"/>
      <c r="F386" s="377"/>
      <c r="G386" s="379"/>
      <c r="H386" s="327"/>
    </row>
    <row r="387" spans="1:8" s="310" customFormat="1" ht="15.75" x14ac:dyDescent="0.2">
      <c r="A387" s="327"/>
      <c r="B387" s="426"/>
      <c r="C387" s="327"/>
      <c r="D387" s="383"/>
      <c r="E387" s="377"/>
      <c r="F387" s="377"/>
      <c r="G387" s="379"/>
      <c r="H387" s="327"/>
    </row>
    <row r="388" spans="1:8" s="310" customFormat="1" ht="15.75" x14ac:dyDescent="0.2">
      <c r="A388" s="327"/>
      <c r="B388" s="426"/>
      <c r="C388" s="327"/>
      <c r="D388" s="383"/>
      <c r="E388" s="377"/>
      <c r="F388" s="377"/>
      <c r="G388" s="379"/>
      <c r="H388" s="327"/>
    </row>
    <row r="389" spans="1:8" s="310" customFormat="1" ht="15.75" x14ac:dyDescent="0.2">
      <c r="A389" s="327"/>
      <c r="B389" s="426"/>
      <c r="C389" s="327"/>
      <c r="D389" s="383"/>
      <c r="E389" s="377"/>
      <c r="F389" s="377"/>
      <c r="G389" s="379"/>
      <c r="H389" s="327"/>
    </row>
    <row r="390" spans="1:8" s="310" customFormat="1" ht="15.75" x14ac:dyDescent="0.2">
      <c r="A390" s="327"/>
      <c r="B390" s="426"/>
      <c r="C390" s="327"/>
      <c r="D390" s="383"/>
      <c r="E390" s="377"/>
      <c r="F390" s="377"/>
      <c r="G390" s="379"/>
      <c r="H390" s="327"/>
    </row>
    <row r="391" spans="1:8" s="310" customFormat="1" ht="15.75" x14ac:dyDescent="0.2">
      <c r="A391" s="327"/>
      <c r="B391" s="426"/>
      <c r="C391" s="327"/>
      <c r="D391" s="383"/>
      <c r="E391" s="377"/>
      <c r="F391" s="377"/>
      <c r="G391" s="379"/>
      <c r="H391" s="327"/>
    </row>
    <row r="392" spans="1:8" s="310" customFormat="1" ht="15.75" x14ac:dyDescent="0.2">
      <c r="A392" s="327"/>
      <c r="B392" s="426"/>
      <c r="C392" s="327"/>
      <c r="D392" s="383"/>
      <c r="E392" s="377"/>
      <c r="F392" s="377"/>
      <c r="G392" s="379"/>
      <c r="H392" s="327"/>
    </row>
    <row r="393" spans="1:8" s="310" customFormat="1" ht="15.75" x14ac:dyDescent="0.2">
      <c r="A393" s="327"/>
      <c r="B393" s="426"/>
      <c r="C393" s="327"/>
      <c r="D393" s="383"/>
      <c r="E393" s="377"/>
      <c r="F393" s="377"/>
      <c r="G393" s="379"/>
      <c r="H393" s="327"/>
    </row>
    <row r="394" spans="1:8" s="310" customFormat="1" ht="15.75" x14ac:dyDescent="0.2">
      <c r="A394" s="327"/>
      <c r="B394" s="426"/>
      <c r="C394" s="327"/>
      <c r="D394" s="383"/>
      <c r="E394" s="377"/>
      <c r="F394" s="377"/>
      <c r="G394" s="379"/>
      <c r="H394" s="327"/>
    </row>
    <row r="395" spans="1:8" s="310" customFormat="1" ht="15.75" x14ac:dyDescent="0.2">
      <c r="A395" s="327"/>
      <c r="B395" s="426"/>
      <c r="C395" s="327"/>
      <c r="D395" s="383"/>
      <c r="E395" s="377"/>
      <c r="F395" s="377"/>
      <c r="G395" s="379"/>
      <c r="H395" s="327"/>
    </row>
    <row r="396" spans="1:8" s="310" customFormat="1" ht="15.75" x14ac:dyDescent="0.2">
      <c r="A396" s="327"/>
      <c r="B396" s="426"/>
      <c r="C396" s="327"/>
      <c r="D396" s="383"/>
      <c r="E396" s="377"/>
      <c r="F396" s="377"/>
      <c r="G396" s="379"/>
      <c r="H396" s="327"/>
    </row>
    <row r="397" spans="1:8" s="310" customFormat="1" ht="15.75" x14ac:dyDescent="0.2">
      <c r="A397" s="327"/>
      <c r="B397" s="426"/>
      <c r="C397" s="327"/>
      <c r="D397" s="383"/>
      <c r="E397" s="377"/>
      <c r="F397" s="377"/>
      <c r="G397" s="379"/>
      <c r="H397" s="327"/>
    </row>
    <row r="398" spans="1:8" s="310" customFormat="1" ht="15.75" x14ac:dyDescent="0.2">
      <c r="A398" s="327"/>
      <c r="B398" s="426"/>
      <c r="C398" s="327"/>
      <c r="D398" s="383"/>
      <c r="E398" s="377"/>
      <c r="F398" s="377"/>
      <c r="G398" s="379"/>
      <c r="H398" s="327"/>
    </row>
    <row r="399" spans="1:8" s="310" customFormat="1" ht="15.75" x14ac:dyDescent="0.2">
      <c r="A399" s="327"/>
      <c r="B399" s="426"/>
      <c r="C399" s="327"/>
      <c r="D399" s="383"/>
      <c r="E399" s="377"/>
      <c r="F399" s="377"/>
      <c r="G399" s="379"/>
      <c r="H399" s="327"/>
    </row>
    <row r="400" spans="1:8" s="310" customFormat="1" ht="15.75" x14ac:dyDescent="0.2">
      <c r="A400" s="327"/>
      <c r="B400" s="426"/>
      <c r="C400" s="327"/>
      <c r="D400" s="383"/>
      <c r="E400" s="377"/>
      <c r="F400" s="377"/>
      <c r="G400" s="379"/>
      <c r="H400" s="327"/>
    </row>
    <row r="401" spans="1:8" s="310" customFormat="1" ht="15.75" x14ac:dyDescent="0.2">
      <c r="A401" s="327"/>
      <c r="B401" s="426"/>
      <c r="C401" s="327"/>
      <c r="D401" s="383"/>
      <c r="E401" s="377"/>
      <c r="F401" s="377"/>
      <c r="G401" s="379"/>
      <c r="H401" s="327"/>
    </row>
    <row r="402" spans="1:8" s="310" customFormat="1" ht="15.75" x14ac:dyDescent="0.2">
      <c r="A402" s="327"/>
      <c r="B402" s="426"/>
      <c r="C402" s="327"/>
      <c r="D402" s="383"/>
      <c r="E402" s="377"/>
      <c r="F402" s="377"/>
      <c r="G402" s="379"/>
      <c r="H402" s="327"/>
    </row>
    <row r="403" spans="1:8" s="310" customFormat="1" ht="15.75" x14ac:dyDescent="0.2">
      <c r="A403" s="327"/>
      <c r="B403" s="426"/>
      <c r="C403" s="327"/>
      <c r="D403" s="383"/>
      <c r="E403" s="377"/>
      <c r="F403" s="377"/>
      <c r="G403" s="379"/>
      <c r="H403" s="327"/>
    </row>
    <row r="404" spans="1:8" s="310" customFormat="1" ht="15.75" x14ac:dyDescent="0.2">
      <c r="A404" s="327"/>
      <c r="B404" s="426"/>
      <c r="C404" s="327"/>
      <c r="D404" s="383"/>
      <c r="E404" s="377"/>
      <c r="F404" s="377"/>
      <c r="G404" s="379"/>
      <c r="H404" s="327"/>
    </row>
    <row r="405" spans="1:8" s="310" customFormat="1" ht="15.75" x14ac:dyDescent="0.2">
      <c r="A405" s="327"/>
      <c r="B405" s="426"/>
      <c r="C405" s="327"/>
      <c r="D405" s="383"/>
      <c r="E405" s="377"/>
      <c r="F405" s="377"/>
      <c r="G405" s="379"/>
      <c r="H405" s="327"/>
    </row>
    <row r="406" spans="1:8" s="310" customFormat="1" ht="15.75" x14ac:dyDescent="0.2">
      <c r="A406" s="327"/>
      <c r="B406" s="426"/>
      <c r="C406" s="327"/>
      <c r="D406" s="383"/>
      <c r="E406" s="377"/>
      <c r="F406" s="377"/>
      <c r="G406" s="379"/>
      <c r="H406" s="327"/>
    </row>
    <row r="407" spans="1:8" s="310" customFormat="1" ht="15.75" x14ac:dyDescent="0.2">
      <c r="A407" s="327"/>
      <c r="B407" s="426"/>
      <c r="C407" s="327"/>
      <c r="D407" s="383"/>
      <c r="E407" s="377"/>
      <c r="F407" s="377"/>
      <c r="G407" s="379"/>
      <c r="H407" s="327"/>
    </row>
    <row r="408" spans="1:8" s="310" customFormat="1" ht="15.75" x14ac:dyDescent="0.2">
      <c r="A408" s="327"/>
      <c r="B408" s="426"/>
      <c r="C408" s="327"/>
      <c r="D408" s="383"/>
      <c r="E408" s="377"/>
      <c r="F408" s="377"/>
      <c r="G408" s="379"/>
      <c r="H408" s="327"/>
    </row>
    <row r="409" spans="1:8" s="310" customFormat="1" ht="15.75" x14ac:dyDescent="0.2">
      <c r="A409" s="327"/>
      <c r="B409" s="426"/>
      <c r="C409" s="327"/>
      <c r="D409" s="383"/>
      <c r="E409" s="377"/>
      <c r="F409" s="377"/>
      <c r="G409" s="379"/>
      <c r="H409" s="327"/>
    </row>
    <row r="410" spans="1:8" s="310" customFormat="1" ht="15.75" x14ac:dyDescent="0.2">
      <c r="A410" s="327"/>
      <c r="B410" s="426"/>
      <c r="C410" s="327"/>
      <c r="D410" s="383"/>
      <c r="E410" s="377"/>
      <c r="F410" s="377"/>
      <c r="G410" s="379"/>
      <c r="H410" s="327"/>
    </row>
    <row r="411" spans="1:8" s="326" customFormat="1" ht="15.75" x14ac:dyDescent="0.2">
      <c r="A411" s="375">
        <f t="shared" ref="A411" si="57">H411</f>
        <v>0</v>
      </c>
      <c r="B411" s="321" t="s">
        <v>681</v>
      </c>
      <c r="C411" s="1074" t="s">
        <v>98</v>
      </c>
      <c r="D411" s="1074"/>
      <c r="E411" s="1074"/>
      <c r="F411" s="323">
        <f>SUM(F365:F374)</f>
        <v>1201013</v>
      </c>
      <c r="G411" s="324" t="s">
        <v>682</v>
      </c>
      <c r="H411" s="324"/>
    </row>
    <row r="412" spans="1:8" s="338" customFormat="1" ht="15.75" x14ac:dyDescent="0.2">
      <c r="A412" s="1075" t="s">
        <v>659</v>
      </c>
      <c r="B412" s="1076"/>
      <c r="C412" s="322"/>
      <c r="D412" s="322"/>
      <c r="E412" s="322"/>
      <c r="F412" s="355"/>
      <c r="G412" s="1077" t="s">
        <v>660</v>
      </c>
      <c r="H412" s="1078"/>
    </row>
    <row r="413" spans="1:8" s="326" customFormat="1" ht="15.75" x14ac:dyDescent="0.2">
      <c r="A413" s="293">
        <f>H413</f>
        <v>0</v>
      </c>
      <c r="B413" s="301" t="s">
        <v>661</v>
      </c>
      <c r="C413" s="427"/>
      <c r="D413" s="428"/>
      <c r="E413" s="428"/>
      <c r="F413" s="428"/>
      <c r="G413" s="296" t="s">
        <v>662</v>
      </c>
      <c r="H413" s="297"/>
    </row>
    <row r="414" spans="1:8" s="326" customFormat="1" ht="15.75" x14ac:dyDescent="0.2">
      <c r="A414" s="297" t="str">
        <f>H414</f>
        <v>33 42 11</v>
      </c>
      <c r="B414" s="301" t="s">
        <v>663</v>
      </c>
      <c r="C414" s="429"/>
      <c r="D414" s="430"/>
      <c r="E414" s="430"/>
      <c r="F414" s="430"/>
      <c r="G414" s="309" t="s">
        <v>664</v>
      </c>
      <c r="H414" s="297" t="s">
        <v>665</v>
      </c>
    </row>
    <row r="415" spans="1:8" s="326" customFormat="1" ht="47.25" x14ac:dyDescent="0.2">
      <c r="A415" s="297">
        <f t="shared" ref="A415:A477" si="58">H415</f>
        <v>0</v>
      </c>
      <c r="B415" s="424" t="s">
        <v>540</v>
      </c>
      <c r="C415" s="328"/>
      <c r="D415" s="376"/>
      <c r="E415" s="377"/>
      <c r="F415" s="377"/>
      <c r="G415" s="379" t="s">
        <v>541</v>
      </c>
      <c r="H415" s="297"/>
    </row>
    <row r="416" spans="1:8" s="326" customFormat="1" ht="15.75" x14ac:dyDescent="0.2">
      <c r="A416" s="328">
        <f t="shared" si="58"/>
        <v>0</v>
      </c>
      <c r="B416" s="301" t="s">
        <v>584</v>
      </c>
      <c r="C416" s="427"/>
      <c r="D416" s="428"/>
      <c r="E416" s="428"/>
      <c r="F416" s="428"/>
      <c r="G416" s="296" t="s">
        <v>585</v>
      </c>
      <c r="H416" s="328"/>
    </row>
    <row r="417" spans="1:8" s="326" customFormat="1" x14ac:dyDescent="0.2">
      <c r="A417" s="327" t="str">
        <f t="shared" si="58"/>
        <v>B6.33 42 11.01</v>
      </c>
      <c r="B417" s="412" t="s">
        <v>544</v>
      </c>
      <c r="C417" s="327" t="s">
        <v>52</v>
      </c>
      <c r="D417" s="383">
        <v>10</v>
      </c>
      <c r="E417" s="113">
        <v>187</v>
      </c>
      <c r="F417" s="128">
        <f>E417*D417</f>
        <v>1870</v>
      </c>
      <c r="G417" s="386" t="s">
        <v>576</v>
      </c>
      <c r="H417" s="327" t="s">
        <v>666</v>
      </c>
    </row>
    <row r="418" spans="1:8" s="326" customFormat="1" x14ac:dyDescent="0.2">
      <c r="A418" s="327" t="str">
        <f t="shared" si="58"/>
        <v>B6.33 42 11.02</v>
      </c>
      <c r="B418" s="412" t="s">
        <v>319</v>
      </c>
      <c r="C418" s="327" t="s">
        <v>52</v>
      </c>
      <c r="D418" s="383">
        <v>385</v>
      </c>
      <c r="E418" s="113">
        <v>199</v>
      </c>
      <c r="F418" s="128">
        <f t="shared" ref="F418:F448" si="59">E418*D418</f>
        <v>76615</v>
      </c>
      <c r="G418" s="386" t="s">
        <v>547</v>
      </c>
      <c r="H418" s="327" t="s">
        <v>667</v>
      </c>
    </row>
    <row r="419" spans="1:8" s="326" customFormat="1" x14ac:dyDescent="0.2">
      <c r="A419" s="327" t="str">
        <f t="shared" si="58"/>
        <v>B6.33 42 11.03</v>
      </c>
      <c r="B419" s="384" t="s">
        <v>1178</v>
      </c>
      <c r="C419" s="327" t="s">
        <v>52</v>
      </c>
      <c r="D419" s="383">
        <v>10</v>
      </c>
      <c r="E419" s="113">
        <v>228</v>
      </c>
      <c r="F419" s="128">
        <f t="shared" si="59"/>
        <v>2280</v>
      </c>
      <c r="G419" s="386" t="s">
        <v>1179</v>
      </c>
      <c r="H419" s="327" t="s">
        <v>668</v>
      </c>
    </row>
    <row r="420" spans="1:8" s="326" customFormat="1" ht="15.75" x14ac:dyDescent="0.2">
      <c r="A420" s="327">
        <f t="shared" si="58"/>
        <v>0</v>
      </c>
      <c r="B420" s="301" t="s">
        <v>594</v>
      </c>
      <c r="C420" s="427"/>
      <c r="D420" s="428"/>
      <c r="E420" s="428"/>
      <c r="F420" s="128">
        <f t="shared" si="59"/>
        <v>0</v>
      </c>
      <c r="G420" s="296" t="s">
        <v>595</v>
      </c>
      <c r="H420" s="328"/>
    </row>
    <row r="421" spans="1:8" s="326" customFormat="1" x14ac:dyDescent="0.2">
      <c r="A421" s="327" t="str">
        <f t="shared" si="58"/>
        <v>B6.33 42 11.04</v>
      </c>
      <c r="B421" s="412" t="s">
        <v>544</v>
      </c>
      <c r="C421" s="327" t="s">
        <v>52</v>
      </c>
      <c r="D421" s="383">
        <v>10</v>
      </c>
      <c r="E421" s="113">
        <v>215</v>
      </c>
      <c r="F421" s="128">
        <f t="shared" si="59"/>
        <v>2150</v>
      </c>
      <c r="G421" s="386" t="s">
        <v>576</v>
      </c>
      <c r="H421" s="327" t="s">
        <v>669</v>
      </c>
    </row>
    <row r="422" spans="1:8" s="326" customFormat="1" x14ac:dyDescent="0.2">
      <c r="A422" s="327" t="str">
        <f t="shared" si="58"/>
        <v>B6.33 42 11.05</v>
      </c>
      <c r="B422" s="412" t="s">
        <v>319</v>
      </c>
      <c r="C422" s="327" t="s">
        <v>52</v>
      </c>
      <c r="D422" s="383">
        <v>230</v>
      </c>
      <c r="E422" s="113">
        <v>229</v>
      </c>
      <c r="F422" s="128">
        <f t="shared" si="59"/>
        <v>52670</v>
      </c>
      <c r="G422" s="386" t="s">
        <v>547</v>
      </c>
      <c r="H422" s="327" t="s">
        <v>1221</v>
      </c>
    </row>
    <row r="423" spans="1:8" s="326" customFormat="1" x14ac:dyDescent="0.2">
      <c r="A423" s="327" t="str">
        <f t="shared" si="58"/>
        <v>B6.33 42 11.06</v>
      </c>
      <c r="B423" s="384" t="s">
        <v>1178</v>
      </c>
      <c r="C423" s="327" t="s">
        <v>52</v>
      </c>
      <c r="D423" s="383">
        <v>10</v>
      </c>
      <c r="E423" s="113">
        <v>259</v>
      </c>
      <c r="F423" s="128">
        <f t="shared" si="59"/>
        <v>2590</v>
      </c>
      <c r="G423" s="386" t="s">
        <v>1179</v>
      </c>
      <c r="H423" s="327" t="s">
        <v>672</v>
      </c>
    </row>
    <row r="424" spans="1:8" s="326" customFormat="1" ht="15.75" x14ac:dyDescent="0.2">
      <c r="A424" s="327">
        <f t="shared" si="58"/>
        <v>0</v>
      </c>
      <c r="B424" s="301" t="s">
        <v>601</v>
      </c>
      <c r="C424" s="427"/>
      <c r="D424" s="428"/>
      <c r="E424" s="428"/>
      <c r="F424" s="128">
        <f t="shared" si="59"/>
        <v>0</v>
      </c>
      <c r="G424" s="296" t="s">
        <v>602</v>
      </c>
      <c r="H424" s="328"/>
    </row>
    <row r="425" spans="1:8" s="326" customFormat="1" x14ac:dyDescent="0.2">
      <c r="A425" s="327" t="str">
        <f t="shared" si="58"/>
        <v>B6.33 42 11.07</v>
      </c>
      <c r="B425" s="412" t="s">
        <v>544</v>
      </c>
      <c r="C425" s="327" t="s">
        <v>52</v>
      </c>
      <c r="D425" s="383">
        <v>10</v>
      </c>
      <c r="E425" s="113">
        <v>257</v>
      </c>
      <c r="F425" s="128">
        <f t="shared" si="59"/>
        <v>2570</v>
      </c>
      <c r="G425" s="386" t="s">
        <v>576</v>
      </c>
      <c r="H425" s="327" t="s">
        <v>673</v>
      </c>
    </row>
    <row r="426" spans="1:8" s="326" customFormat="1" x14ac:dyDescent="0.2">
      <c r="A426" s="327" t="str">
        <f t="shared" si="58"/>
        <v>B6.33 42 11.08</v>
      </c>
      <c r="B426" s="412" t="s">
        <v>319</v>
      </c>
      <c r="C426" s="327" t="s">
        <v>52</v>
      </c>
      <c r="D426" s="383">
        <v>420</v>
      </c>
      <c r="E426" s="113">
        <v>275</v>
      </c>
      <c r="F426" s="128">
        <f t="shared" si="59"/>
        <v>115500</v>
      </c>
      <c r="G426" s="386" t="s">
        <v>547</v>
      </c>
      <c r="H426" s="327" t="s">
        <v>674</v>
      </c>
    </row>
    <row r="427" spans="1:8" s="326" customFormat="1" x14ac:dyDescent="0.2">
      <c r="A427" s="327" t="str">
        <f t="shared" si="58"/>
        <v>B6.33 42 11.09</v>
      </c>
      <c r="B427" s="412" t="s">
        <v>333</v>
      </c>
      <c r="C427" s="327" t="s">
        <v>52</v>
      </c>
      <c r="D427" s="383">
        <v>10</v>
      </c>
      <c r="E427" s="113">
        <v>307</v>
      </c>
      <c r="F427" s="128">
        <f t="shared" si="59"/>
        <v>3070</v>
      </c>
      <c r="G427" s="386" t="s">
        <v>549</v>
      </c>
      <c r="H427" s="327" t="s">
        <v>675</v>
      </c>
    </row>
    <row r="428" spans="1:8" s="326" customFormat="1" x14ac:dyDescent="0.2">
      <c r="A428" s="327" t="str">
        <f t="shared" si="58"/>
        <v>B6.33 42 11.10</v>
      </c>
      <c r="B428" s="384" t="s">
        <v>1188</v>
      </c>
      <c r="C428" s="327" t="s">
        <v>52</v>
      </c>
      <c r="D428" s="383">
        <v>10</v>
      </c>
      <c r="E428" s="113">
        <v>332</v>
      </c>
      <c r="F428" s="128">
        <f t="shared" si="59"/>
        <v>3320</v>
      </c>
      <c r="G428" s="386" t="s">
        <v>1189</v>
      </c>
      <c r="H428" s="327" t="s">
        <v>676</v>
      </c>
    </row>
    <row r="429" spans="1:8" s="326" customFormat="1" ht="15.75" x14ac:dyDescent="0.2">
      <c r="A429" s="327">
        <f t="shared" si="58"/>
        <v>0</v>
      </c>
      <c r="B429" s="301" t="s">
        <v>683</v>
      </c>
      <c r="C429" s="427"/>
      <c r="D429" s="383"/>
      <c r="E429" s="428"/>
      <c r="F429" s="128">
        <f t="shared" si="59"/>
        <v>0</v>
      </c>
      <c r="G429" s="296" t="s">
        <v>684</v>
      </c>
      <c r="H429" s="328"/>
    </row>
    <row r="430" spans="1:8" s="326" customFormat="1" x14ac:dyDescent="0.2">
      <c r="A430" s="327" t="str">
        <f t="shared" si="58"/>
        <v>B6.33 42 11.11</v>
      </c>
      <c r="B430" s="412" t="s">
        <v>544</v>
      </c>
      <c r="C430" s="327" t="s">
        <v>52</v>
      </c>
      <c r="D430" s="383">
        <v>10</v>
      </c>
      <c r="E430" s="113">
        <v>322</v>
      </c>
      <c r="F430" s="128">
        <f t="shared" si="59"/>
        <v>3220</v>
      </c>
      <c r="G430" s="386" t="s">
        <v>576</v>
      </c>
      <c r="H430" s="327" t="s">
        <v>677</v>
      </c>
    </row>
    <row r="431" spans="1:8" s="326" customFormat="1" x14ac:dyDescent="0.2">
      <c r="A431" s="327" t="str">
        <f t="shared" si="58"/>
        <v>B6.33 42 11.12</v>
      </c>
      <c r="B431" s="412" t="s">
        <v>319</v>
      </c>
      <c r="C431" s="327" t="s">
        <v>52</v>
      </c>
      <c r="D431" s="383">
        <v>420</v>
      </c>
      <c r="E431" s="113">
        <v>346</v>
      </c>
      <c r="F431" s="128">
        <f t="shared" si="59"/>
        <v>145320</v>
      </c>
      <c r="G431" s="386" t="s">
        <v>547</v>
      </c>
      <c r="H431" s="327" t="s">
        <v>678</v>
      </c>
    </row>
    <row r="432" spans="1:8" s="326" customFormat="1" x14ac:dyDescent="0.2">
      <c r="A432" s="327" t="str">
        <f t="shared" si="58"/>
        <v>B6.33 42 11.13</v>
      </c>
      <c r="B432" s="412" t="s">
        <v>333</v>
      </c>
      <c r="C432" s="327" t="s">
        <v>52</v>
      </c>
      <c r="D432" s="383">
        <v>130</v>
      </c>
      <c r="E432" s="113">
        <v>371</v>
      </c>
      <c r="F432" s="128">
        <f t="shared" si="59"/>
        <v>48230</v>
      </c>
      <c r="G432" s="386" t="s">
        <v>549</v>
      </c>
      <c r="H432" s="327" t="s">
        <v>679</v>
      </c>
    </row>
    <row r="433" spans="1:8" s="326" customFormat="1" x14ac:dyDescent="0.2">
      <c r="A433" s="327" t="str">
        <f t="shared" si="58"/>
        <v>B6.33 42 11.14</v>
      </c>
      <c r="B433" s="384" t="s">
        <v>1188</v>
      </c>
      <c r="C433" s="327" t="s">
        <v>52</v>
      </c>
      <c r="D433" s="383">
        <v>10</v>
      </c>
      <c r="E433" s="113">
        <v>427</v>
      </c>
      <c r="F433" s="128">
        <f t="shared" si="59"/>
        <v>4270</v>
      </c>
      <c r="G433" s="386" t="s">
        <v>1189</v>
      </c>
      <c r="H433" s="327" t="s">
        <v>680</v>
      </c>
    </row>
    <row r="434" spans="1:8" s="326" customFormat="1" ht="15.75" x14ac:dyDescent="0.2">
      <c r="A434" s="327">
        <f t="shared" si="58"/>
        <v>0</v>
      </c>
      <c r="B434" s="301" t="s">
        <v>690</v>
      </c>
      <c r="C434" s="427"/>
      <c r="D434" s="383"/>
      <c r="E434" s="428"/>
      <c r="F434" s="128">
        <f t="shared" si="59"/>
        <v>0</v>
      </c>
      <c r="G434" s="296" t="s">
        <v>691</v>
      </c>
      <c r="H434" s="328"/>
    </row>
    <row r="435" spans="1:8" s="326" customFormat="1" x14ac:dyDescent="0.2">
      <c r="A435" s="327" t="str">
        <f t="shared" si="58"/>
        <v>B6.33 42 11.15</v>
      </c>
      <c r="B435" s="412" t="s">
        <v>544</v>
      </c>
      <c r="C435" s="327" t="s">
        <v>52</v>
      </c>
      <c r="D435" s="383">
        <v>5</v>
      </c>
      <c r="E435" s="113">
        <v>381</v>
      </c>
      <c r="F435" s="128">
        <f t="shared" si="59"/>
        <v>1905</v>
      </c>
      <c r="G435" s="386" t="s">
        <v>576</v>
      </c>
      <c r="H435" s="327" t="s">
        <v>685</v>
      </c>
    </row>
    <row r="436" spans="1:8" s="326" customFormat="1" x14ac:dyDescent="0.2">
      <c r="A436" s="327" t="str">
        <f t="shared" si="58"/>
        <v>B6.33 42 11.16</v>
      </c>
      <c r="B436" s="412" t="s">
        <v>319</v>
      </c>
      <c r="C436" s="327" t="s">
        <v>52</v>
      </c>
      <c r="D436" s="383">
        <v>5</v>
      </c>
      <c r="E436" s="113">
        <v>406</v>
      </c>
      <c r="F436" s="128">
        <f t="shared" si="59"/>
        <v>2030</v>
      </c>
      <c r="G436" s="386" t="s">
        <v>547</v>
      </c>
      <c r="H436" s="327" t="s">
        <v>687</v>
      </c>
    </row>
    <row r="437" spans="1:8" s="326" customFormat="1" x14ac:dyDescent="0.2">
      <c r="A437" s="327" t="str">
        <f t="shared" si="58"/>
        <v>B6.33 42 11.17</v>
      </c>
      <c r="B437" s="412" t="s">
        <v>333</v>
      </c>
      <c r="C437" s="327" t="s">
        <v>52</v>
      </c>
      <c r="D437" s="383">
        <v>5</v>
      </c>
      <c r="E437" s="113">
        <v>432</v>
      </c>
      <c r="F437" s="128">
        <f t="shared" si="59"/>
        <v>2160</v>
      </c>
      <c r="G437" s="386" t="s">
        <v>549</v>
      </c>
      <c r="H437" s="327" t="s">
        <v>688</v>
      </c>
    </row>
    <row r="438" spans="1:8" s="326" customFormat="1" x14ac:dyDescent="0.2">
      <c r="A438" s="327" t="str">
        <f t="shared" si="58"/>
        <v>B6.33 42 11.18</v>
      </c>
      <c r="B438" s="384" t="s">
        <v>1188</v>
      </c>
      <c r="C438" s="327" t="s">
        <v>52</v>
      </c>
      <c r="D438" s="383">
        <v>5</v>
      </c>
      <c r="E438" s="113">
        <v>500</v>
      </c>
      <c r="F438" s="128">
        <f t="shared" si="59"/>
        <v>2500</v>
      </c>
      <c r="G438" s="386" t="s">
        <v>1189</v>
      </c>
      <c r="H438" s="327" t="s">
        <v>689</v>
      </c>
    </row>
    <row r="439" spans="1:8" s="326" customFormat="1" ht="15.75" x14ac:dyDescent="0.2">
      <c r="A439" s="327">
        <f t="shared" si="58"/>
        <v>0</v>
      </c>
      <c r="B439" s="301" t="s">
        <v>697</v>
      </c>
      <c r="C439" s="427"/>
      <c r="D439" s="383"/>
      <c r="E439" s="428"/>
      <c r="F439" s="128">
        <f t="shared" si="59"/>
        <v>0</v>
      </c>
      <c r="G439" s="296" t="s">
        <v>698</v>
      </c>
      <c r="H439" s="328"/>
    </row>
    <row r="440" spans="1:8" s="326" customFormat="1" x14ac:dyDescent="0.2">
      <c r="A440" s="327" t="str">
        <f t="shared" si="58"/>
        <v>B6.33 42 11.18</v>
      </c>
      <c r="B440" s="412" t="s">
        <v>544</v>
      </c>
      <c r="C440" s="327" t="s">
        <v>52</v>
      </c>
      <c r="D440" s="383">
        <v>5</v>
      </c>
      <c r="E440" s="113">
        <v>500</v>
      </c>
      <c r="F440" s="128">
        <f t="shared" si="59"/>
        <v>2500</v>
      </c>
      <c r="G440" s="386" t="s">
        <v>576</v>
      </c>
      <c r="H440" s="327" t="s">
        <v>689</v>
      </c>
    </row>
    <row r="441" spans="1:8" s="326" customFormat="1" x14ac:dyDescent="0.2">
      <c r="A441" s="327" t="str">
        <f t="shared" si="58"/>
        <v>B6.33 42 11.19</v>
      </c>
      <c r="B441" s="412" t="s">
        <v>319</v>
      </c>
      <c r="C441" s="327" t="s">
        <v>52</v>
      </c>
      <c r="D441" s="383">
        <v>30</v>
      </c>
      <c r="E441" s="113">
        <v>484</v>
      </c>
      <c r="F441" s="128">
        <f t="shared" si="59"/>
        <v>14520</v>
      </c>
      <c r="G441" s="386" t="s">
        <v>547</v>
      </c>
      <c r="H441" s="327" t="s">
        <v>692</v>
      </c>
    </row>
    <row r="442" spans="1:8" s="326" customFormat="1" x14ac:dyDescent="0.2">
      <c r="A442" s="327" t="str">
        <f t="shared" si="58"/>
        <v>B6.33 42 11.20</v>
      </c>
      <c r="B442" s="384" t="s">
        <v>1178</v>
      </c>
      <c r="C442" s="327" t="s">
        <v>52</v>
      </c>
      <c r="D442" s="383">
        <v>5</v>
      </c>
      <c r="E442" s="113">
        <v>513</v>
      </c>
      <c r="F442" s="128">
        <f t="shared" si="59"/>
        <v>2565</v>
      </c>
      <c r="G442" s="386" t="s">
        <v>1179</v>
      </c>
      <c r="H442" s="327" t="s">
        <v>694</v>
      </c>
    </row>
    <row r="443" spans="1:8" s="326" customFormat="1" ht="15.75" x14ac:dyDescent="0.2">
      <c r="A443" s="327">
        <f t="shared" si="58"/>
        <v>0</v>
      </c>
      <c r="B443" s="301" t="s">
        <v>705</v>
      </c>
      <c r="C443" s="427"/>
      <c r="D443" s="383"/>
      <c r="E443" s="428"/>
      <c r="F443" s="128">
        <f t="shared" si="59"/>
        <v>0</v>
      </c>
      <c r="G443" s="296" t="s">
        <v>706</v>
      </c>
      <c r="H443" s="328"/>
    </row>
    <row r="444" spans="1:8" s="326" customFormat="1" x14ac:dyDescent="0.2">
      <c r="A444" s="327" t="str">
        <f t="shared" si="58"/>
        <v>B6.33 42 11.20</v>
      </c>
      <c r="B444" s="412" t="s">
        <v>544</v>
      </c>
      <c r="C444" s="327" t="s">
        <v>52</v>
      </c>
      <c r="D444" s="383">
        <v>5</v>
      </c>
      <c r="E444" s="113">
        <v>513</v>
      </c>
      <c r="F444" s="128">
        <f t="shared" si="59"/>
        <v>2565</v>
      </c>
      <c r="G444" s="386" t="s">
        <v>576</v>
      </c>
      <c r="H444" s="327" t="s">
        <v>694</v>
      </c>
    </row>
    <row r="445" spans="1:8" s="326" customFormat="1" x14ac:dyDescent="0.2">
      <c r="A445" s="327" t="str">
        <f t="shared" si="58"/>
        <v>B6.33 42 11.21</v>
      </c>
      <c r="B445" s="412" t="s">
        <v>319</v>
      </c>
      <c r="C445" s="327" t="s">
        <v>52</v>
      </c>
      <c r="D445" s="383">
        <v>5</v>
      </c>
      <c r="E445" s="113">
        <v>557</v>
      </c>
      <c r="F445" s="128">
        <f t="shared" si="59"/>
        <v>2785</v>
      </c>
      <c r="G445" s="386" t="s">
        <v>547</v>
      </c>
      <c r="H445" s="327" t="s">
        <v>695</v>
      </c>
    </row>
    <row r="446" spans="1:8" s="326" customFormat="1" x14ac:dyDescent="0.2">
      <c r="A446" s="327" t="str">
        <f t="shared" si="58"/>
        <v>B6.33 42 11.22</v>
      </c>
      <c r="B446" s="412" t="s">
        <v>333</v>
      </c>
      <c r="C446" s="327" t="s">
        <v>52</v>
      </c>
      <c r="D446" s="383">
        <v>5</v>
      </c>
      <c r="E446" s="113">
        <v>585</v>
      </c>
      <c r="F446" s="128">
        <f t="shared" si="59"/>
        <v>2925</v>
      </c>
      <c r="G446" s="386" t="s">
        <v>549</v>
      </c>
      <c r="H446" s="327" t="s">
        <v>696</v>
      </c>
    </row>
    <row r="447" spans="1:8" s="326" customFormat="1" x14ac:dyDescent="0.2">
      <c r="A447" s="327" t="str">
        <f t="shared" si="58"/>
        <v>B6.33 42 11.23</v>
      </c>
      <c r="B447" s="412" t="s">
        <v>568</v>
      </c>
      <c r="C447" s="327" t="s">
        <v>52</v>
      </c>
      <c r="D447" s="383">
        <v>25</v>
      </c>
      <c r="E447" s="113">
        <v>680</v>
      </c>
      <c r="F447" s="128">
        <f t="shared" si="59"/>
        <v>17000</v>
      </c>
      <c r="G447" s="386" t="s">
        <v>1222</v>
      </c>
      <c r="H447" s="327" t="s">
        <v>699</v>
      </c>
    </row>
    <row r="448" spans="1:8" s="326" customFormat="1" x14ac:dyDescent="0.2">
      <c r="A448" s="327" t="str">
        <f t="shared" si="58"/>
        <v>B6.33 42 11.24</v>
      </c>
      <c r="B448" s="384" t="s">
        <v>1195</v>
      </c>
      <c r="C448" s="327" t="s">
        <v>52</v>
      </c>
      <c r="D448" s="383">
        <v>5</v>
      </c>
      <c r="E448" s="113">
        <v>709</v>
      </c>
      <c r="F448" s="128">
        <f t="shared" si="59"/>
        <v>3545</v>
      </c>
      <c r="G448" s="386" t="s">
        <v>1196</v>
      </c>
      <c r="H448" s="327" t="s">
        <v>700</v>
      </c>
    </row>
    <row r="449" spans="1:8" s="326" customFormat="1" x14ac:dyDescent="0.2">
      <c r="A449" s="327">
        <f t="shared" si="58"/>
        <v>0</v>
      </c>
      <c r="B449" s="384"/>
      <c r="C449" s="327"/>
      <c r="D449" s="383"/>
      <c r="E449" s="385"/>
      <c r="F449" s="128"/>
      <c r="G449" s="386"/>
      <c r="H449" s="320"/>
    </row>
    <row r="450" spans="1:8" s="326" customFormat="1" x14ac:dyDescent="0.2">
      <c r="A450" s="327">
        <f t="shared" si="58"/>
        <v>0</v>
      </c>
      <c r="B450" s="384"/>
      <c r="C450" s="327"/>
      <c r="D450" s="383"/>
      <c r="E450" s="385"/>
      <c r="F450" s="128"/>
      <c r="G450" s="386"/>
      <c r="H450" s="320"/>
    </row>
    <row r="451" spans="1:8" s="326" customFormat="1" x14ac:dyDescent="0.2">
      <c r="A451" s="327"/>
      <c r="B451" s="384"/>
      <c r="C451" s="327"/>
      <c r="D451" s="383"/>
      <c r="E451" s="385"/>
      <c r="F451" s="128"/>
      <c r="G451" s="386"/>
      <c r="H451" s="320"/>
    </row>
    <row r="452" spans="1:8" s="326" customFormat="1" x14ac:dyDescent="0.2">
      <c r="A452" s="327"/>
      <c r="B452" s="384"/>
      <c r="C452" s="327"/>
      <c r="D452" s="383"/>
      <c r="E452" s="385"/>
      <c r="F452" s="128"/>
      <c r="G452" s="386"/>
      <c r="H452" s="320"/>
    </row>
    <row r="453" spans="1:8" s="326" customFormat="1" x14ac:dyDescent="0.2">
      <c r="A453" s="327"/>
      <c r="B453" s="384"/>
      <c r="C453" s="327"/>
      <c r="D453" s="383"/>
      <c r="E453" s="385"/>
      <c r="F453" s="128"/>
      <c r="G453" s="386"/>
      <c r="H453" s="320"/>
    </row>
    <row r="454" spans="1:8" s="326" customFormat="1" x14ac:dyDescent="0.2">
      <c r="A454" s="327"/>
      <c r="B454" s="384"/>
      <c r="C454" s="327"/>
      <c r="D454" s="383"/>
      <c r="E454" s="385"/>
      <c r="F454" s="128"/>
      <c r="G454" s="386"/>
      <c r="H454" s="320"/>
    </row>
    <row r="455" spans="1:8" s="326" customFormat="1" x14ac:dyDescent="0.2">
      <c r="A455" s="327"/>
      <c r="B455" s="384"/>
      <c r="C455" s="327"/>
      <c r="D455" s="383"/>
      <c r="E455" s="385"/>
      <c r="F455" s="128"/>
      <c r="G455" s="386"/>
      <c r="H455" s="320"/>
    </row>
    <row r="456" spans="1:8" s="326" customFormat="1" x14ac:dyDescent="0.2">
      <c r="A456" s="327"/>
      <c r="B456" s="384"/>
      <c r="C456" s="327"/>
      <c r="D456" s="383"/>
      <c r="E456" s="385"/>
      <c r="F456" s="128"/>
      <c r="G456" s="386"/>
      <c r="H456" s="320"/>
    </row>
    <row r="457" spans="1:8" s="326" customFormat="1" x14ac:dyDescent="0.2">
      <c r="A457" s="327">
        <f t="shared" si="58"/>
        <v>0</v>
      </c>
      <c r="B457" s="384"/>
      <c r="C457" s="327"/>
      <c r="D457" s="383"/>
      <c r="E457" s="385"/>
      <c r="F457" s="128"/>
      <c r="G457" s="386"/>
      <c r="H457" s="320"/>
    </row>
    <row r="458" spans="1:8" s="326" customFormat="1" x14ac:dyDescent="0.2">
      <c r="A458" s="327"/>
      <c r="B458" s="384"/>
      <c r="C458" s="327"/>
      <c r="D458" s="383"/>
      <c r="E458" s="385"/>
      <c r="F458" s="128"/>
      <c r="G458" s="386"/>
      <c r="H458" s="320"/>
    </row>
    <row r="459" spans="1:8" s="326" customFormat="1" x14ac:dyDescent="0.2">
      <c r="A459" s="327"/>
      <c r="B459" s="384"/>
      <c r="C459" s="327"/>
      <c r="D459" s="383"/>
      <c r="E459" s="385"/>
      <c r="F459" s="128"/>
      <c r="G459" s="386"/>
      <c r="H459" s="320"/>
    </row>
    <row r="460" spans="1:8" s="326" customFormat="1" x14ac:dyDescent="0.2">
      <c r="A460" s="327"/>
      <c r="B460" s="384"/>
      <c r="C460" s="327"/>
      <c r="D460" s="383"/>
      <c r="E460" s="385"/>
      <c r="F460" s="128"/>
      <c r="G460" s="386"/>
      <c r="H460" s="320"/>
    </row>
    <row r="461" spans="1:8" s="326" customFormat="1" x14ac:dyDescent="0.2">
      <c r="A461" s="327"/>
      <c r="B461" s="384"/>
      <c r="C461" s="327"/>
      <c r="D461" s="383"/>
      <c r="E461" s="385"/>
      <c r="F461" s="128"/>
      <c r="G461" s="386"/>
      <c r="H461" s="320"/>
    </row>
    <row r="462" spans="1:8" s="326" customFormat="1" x14ac:dyDescent="0.2">
      <c r="A462" s="327">
        <f t="shared" si="58"/>
        <v>0</v>
      </c>
      <c r="B462" s="384"/>
      <c r="C462" s="327"/>
      <c r="D462" s="383"/>
      <c r="E462" s="385"/>
      <c r="F462" s="128"/>
      <c r="G462" s="386"/>
      <c r="H462" s="320"/>
    </row>
    <row r="463" spans="1:8" s="326" customFormat="1" x14ac:dyDescent="0.2">
      <c r="A463" s="327">
        <f t="shared" si="58"/>
        <v>0</v>
      </c>
      <c r="B463" s="384"/>
      <c r="C463" s="327"/>
      <c r="D463" s="383"/>
      <c r="E463" s="385"/>
      <c r="F463" s="128"/>
      <c r="G463" s="386"/>
      <c r="H463" s="320"/>
    </row>
    <row r="464" spans="1:8" s="326" customFormat="1" x14ac:dyDescent="0.2">
      <c r="A464" s="327">
        <f t="shared" si="58"/>
        <v>0</v>
      </c>
      <c r="B464" s="384"/>
      <c r="C464" s="327"/>
      <c r="D464" s="383"/>
      <c r="E464" s="385"/>
      <c r="F464" s="128"/>
      <c r="G464" s="386"/>
      <c r="H464" s="320"/>
    </row>
    <row r="465" spans="1:8" s="326" customFormat="1" x14ac:dyDescent="0.2">
      <c r="A465" s="327">
        <f t="shared" si="58"/>
        <v>0</v>
      </c>
      <c r="B465" s="384"/>
      <c r="C465" s="327"/>
      <c r="D465" s="383"/>
      <c r="E465" s="385"/>
      <c r="F465" s="128"/>
      <c r="G465" s="386"/>
      <c r="H465" s="320"/>
    </row>
    <row r="466" spans="1:8" s="326" customFormat="1" ht="15.75" x14ac:dyDescent="0.2">
      <c r="A466" s="327">
        <f t="shared" si="58"/>
        <v>0</v>
      </c>
      <c r="B466" s="321" t="s">
        <v>681</v>
      </c>
      <c r="C466" s="1074" t="s">
        <v>98</v>
      </c>
      <c r="D466" s="1074"/>
      <c r="E466" s="1074"/>
      <c r="F466" s="323">
        <f>SUM(F417:F448)</f>
        <v>520675</v>
      </c>
      <c r="G466" s="324" t="s">
        <v>682</v>
      </c>
      <c r="H466" s="324"/>
    </row>
    <row r="467" spans="1:8" s="326" customFormat="1" ht="15.75" x14ac:dyDescent="0.2">
      <c r="A467" s="327" t="str">
        <f t="shared" si="58"/>
        <v>33 42 11</v>
      </c>
      <c r="B467" s="301" t="s">
        <v>720</v>
      </c>
      <c r="C467" s="427"/>
      <c r="D467" s="428"/>
      <c r="E467" s="428"/>
      <c r="F467" s="428"/>
      <c r="G467" s="296" t="s">
        <v>721</v>
      </c>
      <c r="H467" s="297" t="s">
        <v>665</v>
      </c>
    </row>
    <row r="468" spans="1:8" s="326" customFormat="1" ht="15.75" x14ac:dyDescent="0.2">
      <c r="A468" s="327">
        <f t="shared" si="58"/>
        <v>0</v>
      </c>
      <c r="B468" s="301" t="s">
        <v>722</v>
      </c>
      <c r="C468" s="427"/>
      <c r="D468" s="428"/>
      <c r="E468" s="428"/>
      <c r="F468" s="428"/>
      <c r="G468" s="296" t="s">
        <v>723</v>
      </c>
      <c r="H468" s="297"/>
    </row>
    <row r="469" spans="1:8" s="326" customFormat="1" ht="15.75" x14ac:dyDescent="0.2">
      <c r="A469" s="327">
        <f t="shared" si="58"/>
        <v>0</v>
      </c>
      <c r="B469" s="301" t="s">
        <v>574</v>
      </c>
      <c r="C469" s="427"/>
      <c r="D469" s="428"/>
      <c r="E469" s="428"/>
      <c r="F469" s="428"/>
      <c r="G469" s="296" t="s">
        <v>575</v>
      </c>
      <c r="H469" s="328"/>
    </row>
    <row r="470" spans="1:8" s="326" customFormat="1" x14ac:dyDescent="0.2">
      <c r="A470" s="327" t="str">
        <f t="shared" si="58"/>
        <v>B6.33 42 11.25</v>
      </c>
      <c r="B470" s="412" t="s">
        <v>1223</v>
      </c>
      <c r="C470" s="327" t="s">
        <v>52</v>
      </c>
      <c r="D470" s="383">
        <v>820</v>
      </c>
      <c r="E470" s="113">
        <v>198</v>
      </c>
      <c r="F470" s="339">
        <f>E470*D470</f>
        <v>162360</v>
      </c>
      <c r="G470" s="386" t="s">
        <v>1224</v>
      </c>
      <c r="H470" s="327" t="s">
        <v>703</v>
      </c>
    </row>
    <row r="471" spans="1:8" s="326" customFormat="1" x14ac:dyDescent="0.2">
      <c r="A471" s="327" t="str">
        <f t="shared" si="58"/>
        <v>B6.33 42 11.26</v>
      </c>
      <c r="B471" s="384" t="s">
        <v>1180</v>
      </c>
      <c r="C471" s="327" t="s">
        <v>52</v>
      </c>
      <c r="D471" s="383">
        <v>5</v>
      </c>
      <c r="E471" s="113">
        <v>210</v>
      </c>
      <c r="F471" s="339">
        <f t="shared" ref="F471:F491" si="60">E471*D471</f>
        <v>1050</v>
      </c>
      <c r="G471" s="386" t="s">
        <v>1181</v>
      </c>
      <c r="H471" s="327" t="s">
        <v>704</v>
      </c>
    </row>
    <row r="472" spans="1:8" s="326" customFormat="1" ht="15.75" x14ac:dyDescent="0.2">
      <c r="A472" s="327">
        <f t="shared" si="58"/>
        <v>0</v>
      </c>
      <c r="B472" s="301" t="s">
        <v>584</v>
      </c>
      <c r="C472" s="427"/>
      <c r="D472" s="428"/>
      <c r="E472" s="428"/>
      <c r="F472" s="339">
        <f t="shared" si="60"/>
        <v>0</v>
      </c>
      <c r="G472" s="296" t="s">
        <v>585</v>
      </c>
      <c r="H472" s="328"/>
    </row>
    <row r="473" spans="1:8" s="326" customFormat="1" x14ac:dyDescent="0.2">
      <c r="A473" s="327" t="str">
        <f t="shared" si="58"/>
        <v>B6.33 42 11.27</v>
      </c>
      <c r="B473" s="412" t="s">
        <v>1223</v>
      </c>
      <c r="C473" s="327" t="s">
        <v>52</v>
      </c>
      <c r="D473" s="383">
        <v>70</v>
      </c>
      <c r="E473" s="113">
        <v>251</v>
      </c>
      <c r="F473" s="339">
        <f t="shared" si="60"/>
        <v>17570</v>
      </c>
      <c r="G473" s="386" t="s">
        <v>1224</v>
      </c>
      <c r="H473" s="327" t="s">
        <v>707</v>
      </c>
    </row>
    <row r="474" spans="1:8" s="326" customFormat="1" x14ac:dyDescent="0.2">
      <c r="A474" s="327" t="str">
        <f t="shared" si="58"/>
        <v>B6.33 42 11.28</v>
      </c>
      <c r="B474" s="384" t="s">
        <v>1180</v>
      </c>
      <c r="C474" s="327" t="s">
        <v>52</v>
      </c>
      <c r="D474" s="383">
        <v>5</v>
      </c>
      <c r="E474" s="113">
        <v>263</v>
      </c>
      <c r="F474" s="339">
        <f t="shared" si="60"/>
        <v>1315</v>
      </c>
      <c r="G474" s="386" t="s">
        <v>1181</v>
      </c>
      <c r="H474" s="327" t="s">
        <v>708</v>
      </c>
    </row>
    <row r="475" spans="1:8" s="263" customFormat="1" ht="31.5" x14ac:dyDescent="0.2">
      <c r="A475" s="293">
        <f t="shared" si="58"/>
        <v>0</v>
      </c>
      <c r="B475" s="301" t="s">
        <v>726</v>
      </c>
      <c r="C475" s="427"/>
      <c r="D475" s="428"/>
      <c r="E475" s="428"/>
      <c r="F475" s="339">
        <f t="shared" si="60"/>
        <v>0</v>
      </c>
      <c r="G475" s="296" t="s">
        <v>727</v>
      </c>
      <c r="H475" s="314"/>
    </row>
    <row r="476" spans="1:8" s="263" customFormat="1" ht="15.75" x14ac:dyDescent="0.2">
      <c r="A476" s="297" t="str">
        <f t="shared" si="58"/>
        <v>33 05 39</v>
      </c>
      <c r="B476" s="301" t="s">
        <v>728</v>
      </c>
      <c r="C476" s="427"/>
      <c r="D476" s="428"/>
      <c r="E476" s="428"/>
      <c r="F476" s="339">
        <f t="shared" si="60"/>
        <v>0</v>
      </c>
      <c r="G476" s="296" t="s">
        <v>729</v>
      </c>
      <c r="H476" s="297" t="s">
        <v>730</v>
      </c>
    </row>
    <row r="477" spans="1:8" s="263" customFormat="1" ht="15.75" x14ac:dyDescent="0.2">
      <c r="A477" s="297">
        <f t="shared" si="58"/>
        <v>0</v>
      </c>
      <c r="B477" s="301" t="s">
        <v>731</v>
      </c>
      <c r="C477" s="427"/>
      <c r="D477" s="428"/>
      <c r="E477" s="428"/>
      <c r="F477" s="339">
        <f t="shared" si="60"/>
        <v>0</v>
      </c>
      <c r="G477" s="296" t="s">
        <v>618</v>
      </c>
      <c r="H477" s="297"/>
    </row>
    <row r="478" spans="1:8" s="263" customFormat="1" x14ac:dyDescent="0.2">
      <c r="A478" s="327" t="str">
        <f>H478</f>
        <v>B6.33 05 39.01</v>
      </c>
      <c r="B478" s="426" t="s">
        <v>619</v>
      </c>
      <c r="C478" s="327" t="s">
        <v>298</v>
      </c>
      <c r="D478" s="383">
        <v>1</v>
      </c>
      <c r="E478" s="113">
        <v>7630</v>
      </c>
      <c r="F478" s="339">
        <f t="shared" si="60"/>
        <v>7630</v>
      </c>
      <c r="G478" s="386" t="s">
        <v>620</v>
      </c>
      <c r="H478" s="297" t="s">
        <v>734</v>
      </c>
    </row>
    <row r="479" spans="1:8" s="263" customFormat="1" x14ac:dyDescent="0.2">
      <c r="A479" s="327" t="str">
        <f t="shared" ref="A479:A491" si="61">H479</f>
        <v>B6.33 05 39.02</v>
      </c>
      <c r="B479" s="298" t="s">
        <v>732</v>
      </c>
      <c r="C479" s="327" t="s">
        <v>298</v>
      </c>
      <c r="D479" s="383">
        <v>40</v>
      </c>
      <c r="E479" s="113">
        <v>10029</v>
      </c>
      <c r="F479" s="339">
        <f t="shared" si="60"/>
        <v>401160</v>
      </c>
      <c r="G479" s="386" t="s">
        <v>733</v>
      </c>
      <c r="H479" s="297" t="s">
        <v>737</v>
      </c>
    </row>
    <row r="480" spans="1:8" s="263" customFormat="1" x14ac:dyDescent="0.2">
      <c r="A480" s="327" t="str">
        <f t="shared" si="61"/>
        <v>B6.33 05 39.03</v>
      </c>
      <c r="B480" s="426" t="s">
        <v>1225</v>
      </c>
      <c r="C480" s="327" t="s">
        <v>298</v>
      </c>
      <c r="D480" s="383">
        <v>5</v>
      </c>
      <c r="E480" s="113">
        <v>15270</v>
      </c>
      <c r="F480" s="339">
        <f t="shared" si="60"/>
        <v>76350</v>
      </c>
      <c r="G480" s="386" t="s">
        <v>1226</v>
      </c>
      <c r="H480" s="297" t="s">
        <v>739</v>
      </c>
    </row>
    <row r="481" spans="1:8" s="263" customFormat="1" ht="15.75" x14ac:dyDescent="0.2">
      <c r="A481" s="327">
        <f t="shared" si="61"/>
        <v>0</v>
      </c>
      <c r="B481" s="301" t="s">
        <v>762</v>
      </c>
      <c r="C481" s="427"/>
      <c r="D481" s="428"/>
      <c r="E481" s="428"/>
      <c r="F481" s="339">
        <f t="shared" si="60"/>
        <v>0</v>
      </c>
      <c r="G481" s="296" t="s">
        <v>763</v>
      </c>
      <c r="H481" s="297"/>
    </row>
    <row r="482" spans="1:8" s="263" customFormat="1" x14ac:dyDescent="0.2">
      <c r="A482" s="327" t="str">
        <f t="shared" si="61"/>
        <v>B6.33 05 39.03</v>
      </c>
      <c r="B482" s="426" t="s">
        <v>619</v>
      </c>
      <c r="C482" s="327" t="s">
        <v>298</v>
      </c>
      <c r="D482" s="383">
        <v>1</v>
      </c>
      <c r="E482" s="113">
        <v>9448</v>
      </c>
      <c r="F482" s="339">
        <f t="shared" si="60"/>
        <v>9448</v>
      </c>
      <c r="G482" s="386" t="s">
        <v>620</v>
      </c>
      <c r="H482" s="297" t="s">
        <v>739</v>
      </c>
    </row>
    <row r="483" spans="1:8" s="263" customFormat="1" x14ac:dyDescent="0.2">
      <c r="A483" s="327" t="str">
        <f t="shared" si="61"/>
        <v>B6.33 05 39.04</v>
      </c>
      <c r="B483" s="298" t="s">
        <v>732</v>
      </c>
      <c r="C483" s="327" t="s">
        <v>298</v>
      </c>
      <c r="D483" s="383">
        <v>11</v>
      </c>
      <c r="E483" s="113">
        <v>12149</v>
      </c>
      <c r="F483" s="339">
        <f t="shared" si="60"/>
        <v>133639</v>
      </c>
      <c r="G483" s="386" t="s">
        <v>733</v>
      </c>
      <c r="H483" s="297" t="s">
        <v>742</v>
      </c>
    </row>
    <row r="484" spans="1:8" s="263" customFormat="1" x14ac:dyDescent="0.2">
      <c r="A484" s="327" t="str">
        <f t="shared" si="61"/>
        <v>B6.33 05 39.05</v>
      </c>
      <c r="B484" s="298" t="s">
        <v>738</v>
      </c>
      <c r="C484" s="327" t="s">
        <v>298</v>
      </c>
      <c r="D484" s="383">
        <v>3</v>
      </c>
      <c r="E484" s="113">
        <v>15276</v>
      </c>
      <c r="F484" s="339">
        <f t="shared" si="60"/>
        <v>45828</v>
      </c>
      <c r="G484" s="386" t="s">
        <v>629</v>
      </c>
      <c r="H484" s="297" t="s">
        <v>744</v>
      </c>
    </row>
    <row r="485" spans="1:8" s="263" customFormat="1" x14ac:dyDescent="0.2">
      <c r="A485" s="327" t="str">
        <f t="shared" si="61"/>
        <v>B6.33 05 39.06</v>
      </c>
      <c r="B485" s="426" t="s">
        <v>1227</v>
      </c>
      <c r="C485" s="327" t="s">
        <v>298</v>
      </c>
      <c r="D485" s="383">
        <v>1</v>
      </c>
      <c r="E485" s="113">
        <v>21320</v>
      </c>
      <c r="F485" s="339">
        <f t="shared" si="60"/>
        <v>21320</v>
      </c>
      <c r="G485" s="386" t="s">
        <v>1228</v>
      </c>
      <c r="H485" s="297" t="s">
        <v>747</v>
      </c>
    </row>
    <row r="486" spans="1:8" s="263" customFormat="1" ht="15.75" x14ac:dyDescent="0.2">
      <c r="A486" s="327">
        <f t="shared" si="61"/>
        <v>0</v>
      </c>
      <c r="B486" s="301" t="s">
        <v>772</v>
      </c>
      <c r="C486" s="427"/>
      <c r="D486" s="428"/>
      <c r="E486" s="135"/>
      <c r="F486" s="339">
        <f t="shared" si="60"/>
        <v>0</v>
      </c>
      <c r="G486" s="296" t="s">
        <v>773</v>
      </c>
      <c r="H486" s="297"/>
    </row>
    <row r="487" spans="1:8" s="263" customFormat="1" x14ac:dyDescent="0.2">
      <c r="A487" s="327" t="str">
        <f t="shared" si="61"/>
        <v>B6.33 05 39.07</v>
      </c>
      <c r="B487" s="298" t="s">
        <v>634</v>
      </c>
      <c r="C487" s="327" t="s">
        <v>298</v>
      </c>
      <c r="D487" s="383">
        <v>1</v>
      </c>
      <c r="E487" s="113">
        <v>27303</v>
      </c>
      <c r="F487" s="339">
        <f t="shared" si="60"/>
        <v>27303</v>
      </c>
      <c r="G487" s="386" t="s">
        <v>743</v>
      </c>
      <c r="H487" s="297" t="s">
        <v>749</v>
      </c>
    </row>
    <row r="488" spans="1:8" s="263" customFormat="1" x14ac:dyDescent="0.2">
      <c r="A488" s="327" t="str">
        <f t="shared" si="61"/>
        <v>B6.33 05 39.08</v>
      </c>
      <c r="B488" s="426" t="s">
        <v>1211</v>
      </c>
      <c r="C488" s="327" t="s">
        <v>298</v>
      </c>
      <c r="D488" s="383">
        <v>1</v>
      </c>
      <c r="E488" s="113">
        <v>38127</v>
      </c>
      <c r="F488" s="339">
        <f t="shared" si="60"/>
        <v>38127</v>
      </c>
      <c r="G488" s="386" t="s">
        <v>1212</v>
      </c>
      <c r="H488" s="297" t="s">
        <v>752</v>
      </c>
    </row>
    <row r="489" spans="1:8" s="263" customFormat="1" ht="15.75" x14ac:dyDescent="0.2">
      <c r="A489" s="327">
        <f t="shared" si="61"/>
        <v>0</v>
      </c>
      <c r="B489" s="301" t="s">
        <v>799</v>
      </c>
      <c r="C489" s="427"/>
      <c r="D489" s="428"/>
      <c r="E489" s="428"/>
      <c r="F489" s="339">
        <f t="shared" si="60"/>
        <v>0</v>
      </c>
      <c r="G489" s="296" t="s">
        <v>800</v>
      </c>
      <c r="H489" s="297"/>
    </row>
    <row r="490" spans="1:8" s="263" customFormat="1" x14ac:dyDescent="0.2">
      <c r="A490" s="327" t="str">
        <f t="shared" si="61"/>
        <v>B6.33 05 39.09</v>
      </c>
      <c r="B490" s="298" t="s">
        <v>801</v>
      </c>
      <c r="C490" s="327" t="s">
        <v>298</v>
      </c>
      <c r="D490" s="383">
        <v>55</v>
      </c>
      <c r="E490" s="113">
        <v>5738</v>
      </c>
      <c r="F490" s="339">
        <f t="shared" si="60"/>
        <v>315590</v>
      </c>
      <c r="G490" s="386" t="s">
        <v>802</v>
      </c>
      <c r="H490" s="297" t="s">
        <v>755</v>
      </c>
    </row>
    <row r="491" spans="1:8" s="263" customFormat="1" x14ac:dyDescent="0.2">
      <c r="A491" s="327" t="str">
        <f t="shared" si="61"/>
        <v>B6.33 05 39.10</v>
      </c>
      <c r="B491" s="298" t="s">
        <v>804</v>
      </c>
      <c r="C491" s="327" t="s">
        <v>298</v>
      </c>
      <c r="D491" s="383">
        <v>2</v>
      </c>
      <c r="E491" s="113">
        <v>11600</v>
      </c>
      <c r="F491" s="339">
        <f t="shared" si="60"/>
        <v>23200</v>
      </c>
      <c r="G491" s="386" t="s">
        <v>805</v>
      </c>
      <c r="H491" s="297" t="s">
        <v>758</v>
      </c>
    </row>
    <row r="492" spans="1:8" s="263" customFormat="1" x14ac:dyDescent="0.2">
      <c r="A492" s="297"/>
      <c r="B492" s="431"/>
      <c r="C492" s="398"/>
      <c r="D492" s="432"/>
      <c r="E492" s="433"/>
      <c r="F492" s="113"/>
      <c r="G492" s="434"/>
      <c r="H492" s="297"/>
    </row>
    <row r="493" spans="1:8" s="263" customFormat="1" x14ac:dyDescent="0.2">
      <c r="A493" s="297"/>
      <c r="B493" s="431"/>
      <c r="C493" s="398"/>
      <c r="D493" s="432"/>
      <c r="E493" s="433"/>
      <c r="F493" s="113"/>
      <c r="G493" s="434"/>
      <c r="H493" s="297"/>
    </row>
    <row r="494" spans="1:8" s="263" customFormat="1" x14ac:dyDescent="0.2">
      <c r="A494" s="297"/>
      <c r="B494" s="431"/>
      <c r="C494" s="398"/>
      <c r="D494" s="432"/>
      <c r="E494" s="433"/>
      <c r="F494" s="113"/>
      <c r="G494" s="434"/>
      <c r="H494" s="297"/>
    </row>
    <row r="495" spans="1:8" s="263" customFormat="1" x14ac:dyDescent="0.2">
      <c r="A495" s="297"/>
      <c r="B495" s="431"/>
      <c r="C495" s="398"/>
      <c r="D495" s="432"/>
      <c r="E495" s="433"/>
      <c r="F495" s="113"/>
      <c r="G495" s="434"/>
      <c r="H495" s="297"/>
    </row>
    <row r="496" spans="1:8" s="263" customFormat="1" x14ac:dyDescent="0.2">
      <c r="A496" s="297"/>
      <c r="B496" s="431"/>
      <c r="C496" s="398"/>
      <c r="D496" s="432"/>
      <c r="E496" s="433"/>
      <c r="F496" s="113"/>
      <c r="G496" s="434"/>
      <c r="H496" s="297"/>
    </row>
    <row r="497" spans="1:8" s="263" customFormat="1" x14ac:dyDescent="0.2">
      <c r="A497" s="297"/>
      <c r="B497" s="431"/>
      <c r="C497" s="398"/>
      <c r="D497" s="432"/>
      <c r="E497" s="433"/>
      <c r="F497" s="113"/>
      <c r="G497" s="434"/>
      <c r="H497" s="297"/>
    </row>
    <row r="498" spans="1:8" s="263" customFormat="1" x14ac:dyDescent="0.2">
      <c r="A498" s="297"/>
      <c r="B498" s="431"/>
      <c r="C498" s="398"/>
      <c r="D498" s="432"/>
      <c r="E498" s="433"/>
      <c r="F498" s="113"/>
      <c r="G498" s="434"/>
      <c r="H498" s="297"/>
    </row>
    <row r="499" spans="1:8" s="263" customFormat="1" x14ac:dyDescent="0.2">
      <c r="A499" s="297"/>
      <c r="B499" s="431"/>
      <c r="C499" s="398"/>
      <c r="D499" s="432"/>
      <c r="E499" s="433"/>
      <c r="F499" s="113"/>
      <c r="G499" s="434"/>
      <c r="H499" s="297"/>
    </row>
    <row r="500" spans="1:8" s="263" customFormat="1" x14ac:dyDescent="0.2">
      <c r="A500" s="297"/>
      <c r="B500" s="431"/>
      <c r="C500" s="398"/>
      <c r="D500" s="432"/>
      <c r="E500" s="433"/>
      <c r="F500" s="113"/>
      <c r="G500" s="434"/>
      <c r="H500" s="297"/>
    </row>
    <row r="501" spans="1:8" s="263" customFormat="1" x14ac:dyDescent="0.2">
      <c r="A501" s="297"/>
      <c r="B501" s="431"/>
      <c r="C501" s="398"/>
      <c r="D501" s="432"/>
      <c r="E501" s="433"/>
      <c r="F501" s="113"/>
      <c r="G501" s="434"/>
      <c r="H501" s="297"/>
    </row>
    <row r="502" spans="1:8" s="263" customFormat="1" x14ac:dyDescent="0.2">
      <c r="A502" s="297"/>
      <c r="B502" s="431"/>
      <c r="C502" s="398"/>
      <c r="D502" s="432"/>
      <c r="E502" s="433"/>
      <c r="F502" s="113"/>
      <c r="G502" s="434"/>
      <c r="H502" s="297"/>
    </row>
    <row r="503" spans="1:8" s="263" customFormat="1" x14ac:dyDescent="0.2">
      <c r="A503" s="297"/>
      <c r="B503" s="431"/>
      <c r="C503" s="398"/>
      <c r="D503" s="432"/>
      <c r="E503" s="433"/>
      <c r="F503" s="113"/>
      <c r="G503" s="434"/>
      <c r="H503" s="297"/>
    </row>
    <row r="504" spans="1:8" s="263" customFormat="1" x14ac:dyDescent="0.2">
      <c r="A504" s="297"/>
      <c r="B504" s="431"/>
      <c r="C504" s="398"/>
      <c r="D504" s="432"/>
      <c r="E504" s="433"/>
      <c r="F504" s="113"/>
      <c r="G504" s="434"/>
      <c r="H504" s="297"/>
    </row>
    <row r="505" spans="1:8" s="263" customFormat="1" x14ac:dyDescent="0.2">
      <c r="A505" s="297"/>
      <c r="B505" s="431"/>
      <c r="C505" s="398"/>
      <c r="D505" s="432"/>
      <c r="E505" s="433"/>
      <c r="F505" s="113"/>
      <c r="G505" s="434"/>
      <c r="H505" s="297"/>
    </row>
    <row r="506" spans="1:8" s="263" customFormat="1" x14ac:dyDescent="0.2">
      <c r="A506" s="297"/>
      <c r="B506" s="431"/>
      <c r="C506" s="398"/>
      <c r="D506" s="432"/>
      <c r="E506" s="433"/>
      <c r="F506" s="113"/>
      <c r="G506" s="434"/>
      <c r="H506" s="297"/>
    </row>
    <row r="507" spans="1:8" s="263" customFormat="1" x14ac:dyDescent="0.2">
      <c r="A507" s="297"/>
      <c r="B507" s="431"/>
      <c r="C507" s="398"/>
      <c r="D507" s="432"/>
      <c r="E507" s="433"/>
      <c r="F507" s="113"/>
      <c r="G507" s="434"/>
      <c r="H507" s="297"/>
    </row>
    <row r="508" spans="1:8" s="263" customFormat="1" x14ac:dyDescent="0.2">
      <c r="A508" s="297"/>
      <c r="B508" s="431"/>
      <c r="C508" s="398"/>
      <c r="D508" s="432"/>
      <c r="E508" s="433"/>
      <c r="F508" s="113"/>
      <c r="G508" s="434"/>
      <c r="H508" s="297"/>
    </row>
    <row r="509" spans="1:8" s="263" customFormat="1" x14ac:dyDescent="0.2">
      <c r="A509" s="297"/>
      <c r="B509" s="431"/>
      <c r="C509" s="398"/>
      <c r="D509" s="432"/>
      <c r="E509" s="433"/>
      <c r="F509" s="113"/>
      <c r="G509" s="434"/>
      <c r="H509" s="297"/>
    </row>
    <row r="510" spans="1:8" s="263" customFormat="1" x14ac:dyDescent="0.2">
      <c r="A510" s="297"/>
      <c r="B510" s="431"/>
      <c r="C510" s="398"/>
      <c r="D510" s="432"/>
      <c r="E510" s="433"/>
      <c r="F510" s="113"/>
      <c r="G510" s="434"/>
      <c r="H510" s="297"/>
    </row>
    <row r="511" spans="1:8" s="263" customFormat="1" x14ac:dyDescent="0.2">
      <c r="A511" s="297"/>
      <c r="B511" s="431"/>
      <c r="C511" s="398"/>
      <c r="D511" s="432"/>
      <c r="E511" s="433"/>
      <c r="F511" s="113"/>
      <c r="G511" s="434"/>
      <c r="H511" s="297"/>
    </row>
    <row r="512" spans="1:8" s="263" customFormat="1" x14ac:dyDescent="0.2">
      <c r="A512" s="297"/>
      <c r="B512" s="431"/>
      <c r="C512" s="398"/>
      <c r="D512" s="432"/>
      <c r="E512" s="433"/>
      <c r="F512" s="113"/>
      <c r="G512" s="434"/>
      <c r="H512" s="297"/>
    </row>
    <row r="513" spans="1:8" s="263" customFormat="1" x14ac:dyDescent="0.2">
      <c r="A513" s="297"/>
      <c r="B513" s="431"/>
      <c r="C513" s="398"/>
      <c r="D513" s="432"/>
      <c r="E513" s="433"/>
      <c r="F513" s="113"/>
      <c r="G513" s="434"/>
      <c r="H513" s="297"/>
    </row>
    <row r="514" spans="1:8" s="263" customFormat="1" x14ac:dyDescent="0.2">
      <c r="A514" s="297"/>
      <c r="B514" s="431"/>
      <c r="C514" s="398"/>
      <c r="D514" s="432"/>
      <c r="E514" s="433"/>
      <c r="F514" s="113"/>
      <c r="G514" s="434"/>
      <c r="H514" s="297"/>
    </row>
    <row r="515" spans="1:8" s="263" customFormat="1" x14ac:dyDescent="0.2">
      <c r="A515" s="297"/>
      <c r="B515" s="431"/>
      <c r="C515" s="398"/>
      <c r="D515" s="432"/>
      <c r="E515" s="433"/>
      <c r="F515" s="113"/>
      <c r="G515" s="434"/>
      <c r="H515" s="297"/>
    </row>
    <row r="516" spans="1:8" s="263" customFormat="1" x14ac:dyDescent="0.2">
      <c r="A516" s="297"/>
      <c r="B516" s="431"/>
      <c r="C516" s="398"/>
      <c r="D516" s="432"/>
      <c r="E516" s="433"/>
      <c r="F516" s="113"/>
      <c r="G516" s="434"/>
      <c r="H516" s="297"/>
    </row>
    <row r="517" spans="1:8" s="263" customFormat="1" x14ac:dyDescent="0.2">
      <c r="A517" s="297"/>
      <c r="B517" s="431"/>
      <c r="C517" s="398"/>
      <c r="D517" s="432"/>
      <c r="E517" s="433"/>
      <c r="F517" s="113"/>
      <c r="G517" s="434"/>
      <c r="H517" s="297"/>
    </row>
    <row r="518" spans="1:8" s="263" customFormat="1" x14ac:dyDescent="0.2">
      <c r="A518" s="297"/>
      <c r="B518" s="431"/>
      <c r="C518" s="398"/>
      <c r="D518" s="432"/>
      <c r="E518" s="433"/>
      <c r="F518" s="113"/>
      <c r="G518" s="434"/>
      <c r="H518" s="297"/>
    </row>
    <row r="519" spans="1:8" s="263" customFormat="1" x14ac:dyDescent="0.2">
      <c r="A519" s="297"/>
      <c r="B519" s="431"/>
      <c r="C519" s="398"/>
      <c r="D519" s="432"/>
      <c r="E519" s="433"/>
      <c r="F519" s="113"/>
      <c r="G519" s="434"/>
      <c r="H519" s="297"/>
    </row>
    <row r="520" spans="1:8" s="263" customFormat="1" x14ac:dyDescent="0.2">
      <c r="A520" s="297"/>
      <c r="B520" s="431"/>
      <c r="C520" s="398"/>
      <c r="D520" s="432"/>
      <c r="E520" s="433"/>
      <c r="F520" s="113"/>
      <c r="G520" s="434"/>
      <c r="H520" s="297"/>
    </row>
    <row r="521" spans="1:8" ht="31.5" x14ac:dyDescent="0.2">
      <c r="A521" s="293">
        <f t="shared" ref="A521" si="62">H521</f>
        <v>0</v>
      </c>
      <c r="B521" s="435" t="s">
        <v>894</v>
      </c>
      <c r="C521" s="1079" t="s">
        <v>98</v>
      </c>
      <c r="D521" s="1080"/>
      <c r="E521" s="1081"/>
      <c r="F521" s="355">
        <f>SUM(F470:F491)</f>
        <v>1281890</v>
      </c>
      <c r="G521" s="436" t="s">
        <v>895</v>
      </c>
      <c r="H521" s="400"/>
    </row>
    <row r="522" spans="1:8" s="438" customFormat="1" ht="15.75" x14ac:dyDescent="0.2">
      <c r="A522" s="158"/>
      <c r="B522" s="206" t="s">
        <v>851</v>
      </c>
      <c r="C522" s="207"/>
      <c r="D522" s="208"/>
      <c r="E522" s="209"/>
      <c r="F522" s="437"/>
      <c r="G522" s="210" t="s">
        <v>852</v>
      </c>
      <c r="H522" s="211"/>
    </row>
    <row r="523" spans="1:8" s="438" customFormat="1" ht="15.75" x14ac:dyDescent="0.2">
      <c r="A523" s="214"/>
      <c r="B523" s="215" t="s">
        <v>853</v>
      </c>
      <c r="C523" s="216"/>
      <c r="D523" s="216"/>
      <c r="E523" s="217"/>
      <c r="F523" s="439"/>
      <c r="G523" s="218" t="s">
        <v>854</v>
      </c>
      <c r="H523" s="219"/>
    </row>
    <row r="524" spans="1:8" s="438" customFormat="1" x14ac:dyDescent="0.2">
      <c r="A524" s="214"/>
      <c r="B524" s="220" t="s">
        <v>855</v>
      </c>
      <c r="C524" s="221"/>
      <c r="D524" s="221"/>
      <c r="E524" s="222"/>
      <c r="F524" s="440"/>
      <c r="G524" s="223" t="s">
        <v>856</v>
      </c>
      <c r="H524" s="214"/>
    </row>
    <row r="525" spans="1:8" s="438" customFormat="1" ht="15.75" x14ac:dyDescent="0.2">
      <c r="A525" s="219" t="s">
        <v>857</v>
      </c>
      <c r="B525" s="215" t="s">
        <v>1229</v>
      </c>
      <c r="C525" s="224"/>
      <c r="D525" s="225"/>
      <c r="E525" s="209"/>
      <c r="F525" s="437"/>
      <c r="G525" s="218" t="s">
        <v>859</v>
      </c>
      <c r="H525" s="219" t="s">
        <v>857</v>
      </c>
    </row>
    <row r="526" spans="1:8" s="438" customFormat="1" ht="15" x14ac:dyDescent="0.2">
      <c r="A526" s="158" t="str">
        <f t="shared" ref="A526:A530" si="63">H526</f>
        <v>B7.32 92 00.01</v>
      </c>
      <c r="B526" s="127" t="s">
        <v>860</v>
      </c>
      <c r="C526" s="221" t="s">
        <v>861</v>
      </c>
      <c r="D526" s="226">
        <v>836</v>
      </c>
      <c r="E526" s="113">
        <v>41</v>
      </c>
      <c r="F526" s="135">
        <f>E526*D526</f>
        <v>34276</v>
      </c>
      <c r="G526" s="114" t="s">
        <v>862</v>
      </c>
      <c r="H526" s="214" t="s">
        <v>863</v>
      </c>
    </row>
    <row r="527" spans="1:8" s="438" customFormat="1" ht="15" x14ac:dyDescent="0.2">
      <c r="A527" s="158" t="str">
        <f t="shared" si="63"/>
        <v>B7.32 92 00.02</v>
      </c>
      <c r="B527" s="127" t="s">
        <v>1230</v>
      </c>
      <c r="C527" s="221" t="s">
        <v>861</v>
      </c>
      <c r="D527" s="226">
        <v>840</v>
      </c>
      <c r="E527" s="113">
        <v>41</v>
      </c>
      <c r="F527" s="135">
        <f t="shared" ref="F527:F530" si="64">E527*D527</f>
        <v>34440</v>
      </c>
      <c r="G527" s="114" t="s">
        <v>865</v>
      </c>
      <c r="H527" s="214" t="s">
        <v>866</v>
      </c>
    </row>
    <row r="528" spans="1:8" s="438" customFormat="1" ht="15" x14ac:dyDescent="0.2">
      <c r="A528" s="158" t="str">
        <f t="shared" si="63"/>
        <v>B7.32 92 00.03</v>
      </c>
      <c r="B528" s="127" t="s">
        <v>867</v>
      </c>
      <c r="C528" s="221" t="s">
        <v>861</v>
      </c>
      <c r="D528" s="226">
        <v>609</v>
      </c>
      <c r="E528" s="113">
        <v>71</v>
      </c>
      <c r="F528" s="135">
        <f t="shared" si="64"/>
        <v>43239</v>
      </c>
      <c r="G528" s="114" t="s">
        <v>868</v>
      </c>
      <c r="H528" s="214" t="s">
        <v>869</v>
      </c>
    </row>
    <row r="529" spans="1:8" s="438" customFormat="1" ht="15" x14ac:dyDescent="0.2">
      <c r="A529" s="158" t="str">
        <f t="shared" si="63"/>
        <v>B7.32 92 00.04</v>
      </c>
      <c r="B529" s="127" t="s">
        <v>1231</v>
      </c>
      <c r="C529" s="221" t="s">
        <v>861</v>
      </c>
      <c r="D529" s="226">
        <v>661</v>
      </c>
      <c r="E529" s="113">
        <v>53</v>
      </c>
      <c r="F529" s="135">
        <f t="shared" si="64"/>
        <v>35033</v>
      </c>
      <c r="G529" s="114" t="s">
        <v>871</v>
      </c>
      <c r="H529" s="214" t="s">
        <v>872</v>
      </c>
    </row>
    <row r="530" spans="1:8" s="438" customFormat="1" ht="15" x14ac:dyDescent="0.2">
      <c r="A530" s="158" t="str">
        <f t="shared" si="63"/>
        <v>B7.32 92 00.05</v>
      </c>
      <c r="B530" s="441" t="s">
        <v>1232</v>
      </c>
      <c r="C530" s="221" t="s">
        <v>861</v>
      </c>
      <c r="D530" s="226">
        <v>1313</v>
      </c>
      <c r="E530" s="113">
        <v>30</v>
      </c>
      <c r="F530" s="135">
        <f t="shared" si="64"/>
        <v>39390</v>
      </c>
      <c r="G530" s="114" t="s">
        <v>1233</v>
      </c>
      <c r="H530" s="214" t="s">
        <v>1234</v>
      </c>
    </row>
    <row r="531" spans="1:8" s="438" customFormat="1" ht="15.75" x14ac:dyDescent="0.2">
      <c r="A531" s="219" t="s">
        <v>873</v>
      </c>
      <c r="B531" s="215" t="s">
        <v>874</v>
      </c>
      <c r="C531" s="224"/>
      <c r="D531" s="225"/>
      <c r="E531" s="227"/>
      <c r="F531" s="135">
        <f t="shared" ref="F531:F548" si="65">E531*D531</f>
        <v>0</v>
      </c>
      <c r="G531" s="218" t="s">
        <v>875</v>
      </c>
      <c r="H531" s="219" t="s">
        <v>873</v>
      </c>
    </row>
    <row r="532" spans="1:8" s="438" customFormat="1" x14ac:dyDescent="0.2">
      <c r="A532" s="158" t="str">
        <f t="shared" ref="A532:A533" si="66">H532</f>
        <v>B7.32 93 00.01</v>
      </c>
      <c r="B532" s="228" t="s">
        <v>1235</v>
      </c>
      <c r="C532" s="221" t="s">
        <v>298</v>
      </c>
      <c r="D532" s="226">
        <v>81</v>
      </c>
      <c r="E532" s="113">
        <v>769</v>
      </c>
      <c r="F532" s="135">
        <f t="shared" si="65"/>
        <v>62289</v>
      </c>
      <c r="G532" s="114" t="s">
        <v>1236</v>
      </c>
      <c r="H532" s="214" t="s">
        <v>878</v>
      </c>
    </row>
    <row r="533" spans="1:8" s="438" customFormat="1" x14ac:dyDescent="0.2">
      <c r="A533" s="158" t="str">
        <f t="shared" si="66"/>
        <v>B7.32 93 00.02</v>
      </c>
      <c r="B533" s="228" t="s">
        <v>1237</v>
      </c>
      <c r="C533" s="221" t="s">
        <v>298</v>
      </c>
      <c r="D533" s="226">
        <v>30</v>
      </c>
      <c r="E533" s="113">
        <v>769</v>
      </c>
      <c r="F533" s="135">
        <f t="shared" si="65"/>
        <v>23070</v>
      </c>
      <c r="G533" s="114" t="s">
        <v>1238</v>
      </c>
      <c r="H533" s="214" t="s">
        <v>881</v>
      </c>
    </row>
    <row r="534" spans="1:8" s="438" customFormat="1" ht="15.75" x14ac:dyDescent="0.2">
      <c r="A534" s="219" t="s">
        <v>896</v>
      </c>
      <c r="B534" s="233" t="s">
        <v>897</v>
      </c>
      <c r="C534" s="224"/>
      <c r="D534" s="225"/>
      <c r="E534" s="227"/>
      <c r="F534" s="135">
        <f t="shared" si="65"/>
        <v>0</v>
      </c>
      <c r="G534" s="218" t="s">
        <v>898</v>
      </c>
      <c r="H534" s="219" t="s">
        <v>896</v>
      </c>
    </row>
    <row r="535" spans="1:8" s="438" customFormat="1" ht="25.5" x14ac:dyDescent="0.2">
      <c r="A535" s="158" t="str">
        <f t="shared" ref="A535:A547" si="67">H535</f>
        <v>B7.32 93 34.01</v>
      </c>
      <c r="B535" s="234" t="s">
        <v>899</v>
      </c>
      <c r="C535" s="221" t="s">
        <v>861</v>
      </c>
      <c r="D535" s="226">
        <v>9775</v>
      </c>
      <c r="E535" s="113">
        <v>75</v>
      </c>
      <c r="F535" s="135">
        <f t="shared" si="65"/>
        <v>733125</v>
      </c>
      <c r="G535" s="114" t="s">
        <v>900</v>
      </c>
      <c r="H535" s="214" t="s">
        <v>901</v>
      </c>
    </row>
    <row r="536" spans="1:8" s="438" customFormat="1" ht="25.5" x14ac:dyDescent="0.2">
      <c r="A536" s="158" t="str">
        <f t="shared" si="67"/>
        <v>B7.32 93 34.02</v>
      </c>
      <c r="B536" s="234" t="s">
        <v>908</v>
      </c>
      <c r="C536" s="221" t="s">
        <v>861</v>
      </c>
      <c r="D536" s="226">
        <v>162</v>
      </c>
      <c r="E536" s="113">
        <v>75</v>
      </c>
      <c r="F536" s="135">
        <f t="shared" si="65"/>
        <v>12150</v>
      </c>
      <c r="G536" s="114" t="s">
        <v>909</v>
      </c>
      <c r="H536" s="214" t="s">
        <v>904</v>
      </c>
    </row>
    <row r="537" spans="1:8" s="438" customFormat="1" ht="25.5" x14ac:dyDescent="0.2">
      <c r="A537" s="158" t="str">
        <f t="shared" si="67"/>
        <v>B7.32 93 34.03</v>
      </c>
      <c r="B537" s="234" t="s">
        <v>911</v>
      </c>
      <c r="C537" s="221" t="s">
        <v>861</v>
      </c>
      <c r="D537" s="226">
        <v>28</v>
      </c>
      <c r="E537" s="113">
        <v>8</v>
      </c>
      <c r="F537" s="135">
        <f t="shared" si="65"/>
        <v>224</v>
      </c>
      <c r="G537" s="114" t="s">
        <v>912</v>
      </c>
      <c r="H537" s="214" t="s">
        <v>907</v>
      </c>
    </row>
    <row r="538" spans="1:8" s="438" customFormat="1" ht="51" x14ac:dyDescent="0.2">
      <c r="A538" s="158" t="str">
        <f t="shared" si="67"/>
        <v>B7.32 93 34.04</v>
      </c>
      <c r="B538" s="234" t="s">
        <v>914</v>
      </c>
      <c r="C538" s="221" t="s">
        <v>52</v>
      </c>
      <c r="D538" s="226">
        <v>12223</v>
      </c>
      <c r="E538" s="113">
        <v>60</v>
      </c>
      <c r="F538" s="135">
        <f t="shared" si="65"/>
        <v>733380</v>
      </c>
      <c r="G538" s="114" t="s">
        <v>915</v>
      </c>
      <c r="H538" s="214" t="s">
        <v>910</v>
      </c>
    </row>
    <row r="539" spans="1:8" s="438" customFormat="1" ht="63.75" x14ac:dyDescent="0.2">
      <c r="A539" s="158" t="str">
        <f t="shared" si="67"/>
        <v>B7.32 93 34.05</v>
      </c>
      <c r="B539" s="234" t="s">
        <v>1239</v>
      </c>
      <c r="C539" s="221" t="s">
        <v>861</v>
      </c>
      <c r="D539" s="226">
        <v>3524</v>
      </c>
      <c r="E539" s="113">
        <v>10</v>
      </c>
      <c r="F539" s="135">
        <f t="shared" si="65"/>
        <v>35240</v>
      </c>
      <c r="G539" s="114" t="s">
        <v>1240</v>
      </c>
      <c r="H539" s="214" t="s">
        <v>913</v>
      </c>
    </row>
    <row r="540" spans="1:8" s="438" customFormat="1" ht="15.75" x14ac:dyDescent="0.2">
      <c r="A540" s="442" t="str">
        <f t="shared" si="67"/>
        <v>32 31 00</v>
      </c>
      <c r="B540" s="233" t="s">
        <v>1241</v>
      </c>
      <c r="C540" s="221"/>
      <c r="D540" s="226"/>
      <c r="E540" s="227"/>
      <c r="F540" s="135">
        <f t="shared" si="65"/>
        <v>0</v>
      </c>
      <c r="G540" s="218" t="s">
        <v>1242</v>
      </c>
      <c r="H540" s="443" t="s">
        <v>1243</v>
      </c>
    </row>
    <row r="541" spans="1:8" s="438" customFormat="1" x14ac:dyDescent="0.2">
      <c r="A541" s="158" t="str">
        <f t="shared" si="67"/>
        <v>32 31 00-02</v>
      </c>
      <c r="B541" s="444" t="s">
        <v>1244</v>
      </c>
      <c r="C541" s="221" t="s">
        <v>52</v>
      </c>
      <c r="D541" s="226">
        <v>1285</v>
      </c>
      <c r="E541" s="113">
        <v>1620</v>
      </c>
      <c r="F541" s="135">
        <f t="shared" si="65"/>
        <v>2081700</v>
      </c>
      <c r="G541" s="114" t="s">
        <v>1245</v>
      </c>
      <c r="H541" s="214" t="s">
        <v>1246</v>
      </c>
    </row>
    <row r="542" spans="1:8" s="438" customFormat="1" x14ac:dyDescent="0.2">
      <c r="A542" s="158" t="str">
        <f t="shared" si="67"/>
        <v>32 31 00-06</v>
      </c>
      <c r="B542" s="444" t="s">
        <v>1247</v>
      </c>
      <c r="C542" s="221"/>
      <c r="D542" s="226"/>
      <c r="E542" s="113"/>
      <c r="F542" s="135">
        <f t="shared" si="65"/>
        <v>0</v>
      </c>
      <c r="G542" s="114" t="s">
        <v>1248</v>
      </c>
      <c r="H542" s="214" t="s">
        <v>1249</v>
      </c>
    </row>
    <row r="543" spans="1:8" s="438" customFormat="1" x14ac:dyDescent="0.2">
      <c r="A543" s="158" t="str">
        <f t="shared" si="67"/>
        <v>32 31 00-06.01</v>
      </c>
      <c r="B543" s="445" t="s">
        <v>1250</v>
      </c>
      <c r="C543" s="221" t="s">
        <v>298</v>
      </c>
      <c r="D543" s="226">
        <v>8</v>
      </c>
      <c r="E543" s="113">
        <v>58550</v>
      </c>
      <c r="F543" s="135">
        <f t="shared" si="65"/>
        <v>468400</v>
      </c>
      <c r="G543" s="114" t="s">
        <v>1251</v>
      </c>
      <c r="H543" s="214" t="s">
        <v>1252</v>
      </c>
    </row>
    <row r="544" spans="1:8" s="438" customFormat="1" ht="15.75" x14ac:dyDescent="0.2">
      <c r="A544" s="442" t="str">
        <f t="shared" si="67"/>
        <v>32 33 00</v>
      </c>
      <c r="B544" s="446" t="s">
        <v>1253</v>
      </c>
      <c r="C544" s="221"/>
      <c r="D544" s="226"/>
      <c r="E544" s="113"/>
      <c r="F544" s="135">
        <f t="shared" si="65"/>
        <v>0</v>
      </c>
      <c r="G544" s="218" t="s">
        <v>1254</v>
      </c>
      <c r="H544" s="443" t="s">
        <v>1255</v>
      </c>
    </row>
    <row r="545" spans="1:8" s="438" customFormat="1" x14ac:dyDescent="0.2">
      <c r="A545" s="158" t="str">
        <f t="shared" si="67"/>
        <v>32 33 00-02</v>
      </c>
      <c r="B545" s="444" t="s">
        <v>1256</v>
      </c>
      <c r="C545" s="221"/>
      <c r="D545" s="226"/>
      <c r="E545" s="113"/>
      <c r="F545" s="135">
        <f t="shared" si="65"/>
        <v>0</v>
      </c>
      <c r="G545" s="114" t="s">
        <v>1257</v>
      </c>
      <c r="H545" s="214" t="s">
        <v>1258</v>
      </c>
    </row>
    <row r="546" spans="1:8" s="438" customFormat="1" x14ac:dyDescent="0.2">
      <c r="A546" s="158" t="str">
        <f t="shared" si="67"/>
        <v>32 33 00-02.01</v>
      </c>
      <c r="B546" s="444" t="s">
        <v>1259</v>
      </c>
      <c r="C546" s="221" t="s">
        <v>298</v>
      </c>
      <c r="D546" s="226">
        <v>4</v>
      </c>
      <c r="E546" s="113">
        <v>1774</v>
      </c>
      <c r="F546" s="135">
        <f t="shared" si="65"/>
        <v>7096</v>
      </c>
      <c r="G546" s="114" t="s">
        <v>1260</v>
      </c>
      <c r="H546" s="214" t="s">
        <v>1261</v>
      </c>
    </row>
    <row r="547" spans="1:8" s="438" customFormat="1" x14ac:dyDescent="0.2">
      <c r="A547" s="158" t="str">
        <f t="shared" si="67"/>
        <v>32 33 00-02.02</v>
      </c>
      <c r="B547" s="444" t="s">
        <v>1262</v>
      </c>
      <c r="C547" s="221" t="s">
        <v>298</v>
      </c>
      <c r="D547" s="226">
        <v>1</v>
      </c>
      <c r="E547" s="113">
        <v>828</v>
      </c>
      <c r="F547" s="135">
        <f t="shared" si="65"/>
        <v>828</v>
      </c>
      <c r="G547" s="447" t="s">
        <v>1263</v>
      </c>
      <c r="H547" s="214" t="s">
        <v>1264</v>
      </c>
    </row>
    <row r="548" spans="1:8" s="438" customFormat="1" x14ac:dyDescent="0.2">
      <c r="A548" s="158"/>
      <c r="B548" s="444"/>
      <c r="C548" s="221"/>
      <c r="D548" s="226"/>
      <c r="E548" s="113"/>
      <c r="F548" s="135">
        <f t="shared" si="65"/>
        <v>0</v>
      </c>
      <c r="G548" s="447"/>
      <c r="H548" s="214"/>
    </row>
    <row r="549" spans="1:8" s="438" customFormat="1" x14ac:dyDescent="0.2">
      <c r="A549" s="158"/>
      <c r="B549" s="444"/>
      <c r="C549" s="221"/>
      <c r="D549" s="226"/>
      <c r="E549" s="113"/>
      <c r="F549" s="135"/>
      <c r="G549" s="447"/>
      <c r="H549" s="214"/>
    </row>
    <row r="550" spans="1:8" s="438" customFormat="1" x14ac:dyDescent="0.2">
      <c r="A550" s="158"/>
      <c r="B550" s="444"/>
      <c r="C550" s="221"/>
      <c r="D550" s="226"/>
      <c r="E550" s="113"/>
      <c r="F550" s="135"/>
      <c r="G550" s="447"/>
      <c r="H550" s="214"/>
    </row>
    <row r="551" spans="1:8" s="438" customFormat="1" x14ac:dyDescent="0.2">
      <c r="A551" s="158"/>
      <c r="B551" s="444"/>
      <c r="C551" s="221"/>
      <c r="D551" s="226"/>
      <c r="E551" s="113"/>
      <c r="F551" s="135"/>
      <c r="G551" s="447"/>
      <c r="H551" s="214"/>
    </row>
    <row r="552" spans="1:8" s="438" customFormat="1" x14ac:dyDescent="0.2">
      <c r="A552" s="158"/>
      <c r="B552" s="444"/>
      <c r="C552" s="221"/>
      <c r="D552" s="226"/>
      <c r="E552" s="113"/>
      <c r="F552" s="135"/>
      <c r="G552" s="447"/>
      <c r="H552" s="214"/>
    </row>
    <row r="553" spans="1:8" s="438" customFormat="1" x14ac:dyDescent="0.2">
      <c r="A553" s="158"/>
      <c r="B553" s="444"/>
      <c r="C553" s="221"/>
      <c r="D553" s="226"/>
      <c r="E553" s="113"/>
      <c r="F553" s="135"/>
      <c r="G553" s="447"/>
      <c r="H553" s="214"/>
    </row>
    <row r="554" spans="1:8" s="438" customFormat="1" x14ac:dyDescent="0.2">
      <c r="A554" s="158"/>
      <c r="B554" s="444"/>
      <c r="C554" s="221"/>
      <c r="D554" s="226"/>
      <c r="E554" s="113"/>
      <c r="F554" s="135"/>
      <c r="G554" s="447"/>
      <c r="H554" s="214"/>
    </row>
    <row r="555" spans="1:8" s="438" customFormat="1" x14ac:dyDescent="0.2">
      <c r="A555" s="158"/>
      <c r="B555" s="444"/>
      <c r="C555" s="221"/>
      <c r="D555" s="226"/>
      <c r="E555" s="113"/>
      <c r="F555" s="135"/>
      <c r="G555" s="447"/>
      <c r="H555" s="214"/>
    </row>
    <row r="556" spans="1:8" s="438" customFormat="1" x14ac:dyDescent="0.2">
      <c r="A556" s="158"/>
      <c r="B556" s="444"/>
      <c r="C556" s="221"/>
      <c r="D556" s="226"/>
      <c r="E556" s="113"/>
      <c r="F556" s="135"/>
      <c r="G556" s="447"/>
      <c r="H556" s="214"/>
    </row>
    <row r="557" spans="1:8" s="438" customFormat="1" x14ac:dyDescent="0.2">
      <c r="A557" s="158"/>
      <c r="B557" s="444"/>
      <c r="C557" s="221"/>
      <c r="D557" s="226"/>
      <c r="E557" s="113"/>
      <c r="F557" s="135"/>
      <c r="G557" s="447"/>
      <c r="H557" s="214"/>
    </row>
    <row r="558" spans="1:8" s="438" customFormat="1" x14ac:dyDescent="0.2">
      <c r="A558" s="158"/>
      <c r="B558" s="444"/>
      <c r="C558" s="221"/>
      <c r="D558" s="226"/>
      <c r="E558" s="113"/>
      <c r="F558" s="135"/>
      <c r="G558" s="447"/>
      <c r="H558" s="214"/>
    </row>
    <row r="559" spans="1:8" s="438" customFormat="1" x14ac:dyDescent="0.2">
      <c r="A559" s="158"/>
      <c r="B559" s="444"/>
      <c r="C559" s="221"/>
      <c r="D559" s="226"/>
      <c r="E559" s="113"/>
      <c r="F559" s="135"/>
      <c r="G559" s="447"/>
      <c r="H559" s="214"/>
    </row>
    <row r="560" spans="1:8" s="438" customFormat="1" x14ac:dyDescent="0.2">
      <c r="A560" s="158"/>
      <c r="B560" s="444"/>
      <c r="C560" s="221"/>
      <c r="D560" s="226"/>
      <c r="E560" s="113"/>
      <c r="F560" s="135"/>
      <c r="G560" s="447"/>
      <c r="H560" s="214"/>
    </row>
    <row r="561" spans="1:8" s="438" customFormat="1" x14ac:dyDescent="0.2">
      <c r="A561" s="158"/>
      <c r="B561" s="444"/>
      <c r="C561" s="221"/>
      <c r="D561" s="226"/>
      <c r="E561" s="113"/>
      <c r="F561" s="135"/>
      <c r="G561" s="447"/>
      <c r="H561" s="214"/>
    </row>
    <row r="562" spans="1:8" s="438" customFormat="1" x14ac:dyDescent="0.2">
      <c r="A562" s="158"/>
      <c r="B562" s="444"/>
      <c r="C562" s="221"/>
      <c r="D562" s="226"/>
      <c r="E562" s="113"/>
      <c r="F562" s="135"/>
      <c r="G562" s="447"/>
      <c r="H562" s="214"/>
    </row>
    <row r="563" spans="1:8" s="438" customFormat="1" x14ac:dyDescent="0.2">
      <c r="A563" s="158"/>
      <c r="B563" s="444"/>
      <c r="C563" s="221"/>
      <c r="D563" s="226"/>
      <c r="E563" s="113"/>
      <c r="F563" s="135"/>
      <c r="G563" s="447"/>
      <c r="H563" s="214"/>
    </row>
    <row r="564" spans="1:8" s="438" customFormat="1" x14ac:dyDescent="0.2">
      <c r="A564" s="158"/>
      <c r="B564" s="444"/>
      <c r="C564" s="221"/>
      <c r="D564" s="226"/>
      <c r="E564" s="113"/>
      <c r="F564" s="135"/>
      <c r="G564" s="447"/>
      <c r="H564" s="214"/>
    </row>
    <row r="565" spans="1:8" s="438" customFormat="1" x14ac:dyDescent="0.2">
      <c r="A565" s="158"/>
      <c r="B565" s="444"/>
      <c r="C565" s="221"/>
      <c r="D565" s="226"/>
      <c r="E565" s="113"/>
      <c r="F565" s="135"/>
      <c r="G565" s="447"/>
      <c r="H565" s="214"/>
    </row>
    <row r="566" spans="1:8" s="438" customFormat="1" x14ac:dyDescent="0.2">
      <c r="A566" s="158"/>
      <c r="B566" s="444"/>
      <c r="C566" s="221"/>
      <c r="D566" s="226"/>
      <c r="E566" s="113"/>
      <c r="F566" s="135"/>
      <c r="G566" s="447"/>
      <c r="H566" s="214"/>
    </row>
    <row r="567" spans="1:8" s="438" customFormat="1" ht="31.5" x14ac:dyDescent="0.2">
      <c r="A567" s="293">
        <f t="shared" ref="A567" si="68">H567</f>
        <v>0</v>
      </c>
      <c r="B567" s="435" t="s">
        <v>894</v>
      </c>
      <c r="C567" s="1079" t="s">
        <v>98</v>
      </c>
      <c r="D567" s="1080"/>
      <c r="E567" s="1081"/>
      <c r="F567" s="355">
        <f>SUM(F526:F547)</f>
        <v>4343880</v>
      </c>
      <c r="G567" s="436" t="s">
        <v>895</v>
      </c>
      <c r="H567" s="400"/>
    </row>
    <row r="568" spans="1:8" s="438" customFormat="1" ht="15.75" x14ac:dyDescent="0.2">
      <c r="A568" s="158"/>
      <c r="B568" s="206" t="s">
        <v>917</v>
      </c>
      <c r="C568" s="207"/>
      <c r="D568" s="208"/>
      <c r="E568" s="209"/>
      <c r="F568" s="437"/>
      <c r="G568" s="210" t="s">
        <v>918</v>
      </c>
      <c r="H568" s="211"/>
    </row>
    <row r="569" spans="1:8" s="438" customFormat="1" ht="15.75" x14ac:dyDescent="0.2">
      <c r="A569" s="238" t="s">
        <v>359</v>
      </c>
      <c r="B569" s="239" t="s">
        <v>919</v>
      </c>
      <c r="C569" s="240"/>
      <c r="D569" s="240"/>
      <c r="E569" s="241"/>
      <c r="F569" s="448"/>
      <c r="G569" s="218" t="s">
        <v>920</v>
      </c>
      <c r="H569" s="219" t="s">
        <v>359</v>
      </c>
    </row>
    <row r="570" spans="1:8" s="438" customFormat="1" x14ac:dyDescent="0.2">
      <c r="A570" s="158" t="str">
        <f t="shared" ref="A570:A574" si="69">H570</f>
        <v>B7.33.14.11.01</v>
      </c>
      <c r="B570" s="242" t="s">
        <v>921</v>
      </c>
      <c r="C570" s="221" t="s">
        <v>52</v>
      </c>
      <c r="D570" s="226">
        <v>220</v>
      </c>
      <c r="E570" s="113">
        <v>62</v>
      </c>
      <c r="F570" s="135">
        <f>E570*D570</f>
        <v>13640</v>
      </c>
      <c r="G570" s="114" t="s">
        <v>922</v>
      </c>
      <c r="H570" s="214" t="s">
        <v>923</v>
      </c>
    </row>
    <row r="571" spans="1:8" s="438" customFormat="1" x14ac:dyDescent="0.2">
      <c r="A571" s="158" t="str">
        <f t="shared" si="69"/>
        <v>B7.33.14.11.02</v>
      </c>
      <c r="B571" s="242" t="s">
        <v>924</v>
      </c>
      <c r="C571" s="221" t="s">
        <v>52</v>
      </c>
      <c r="D571" s="226">
        <v>60</v>
      </c>
      <c r="E571" s="113">
        <v>58</v>
      </c>
      <c r="F571" s="135">
        <f t="shared" ref="F571:F584" si="70">E571*D571</f>
        <v>3480</v>
      </c>
      <c r="G571" s="114" t="s">
        <v>925</v>
      </c>
      <c r="H571" s="214" t="s">
        <v>926</v>
      </c>
    </row>
    <row r="572" spans="1:8" s="438" customFormat="1" x14ac:dyDescent="0.2">
      <c r="A572" s="158" t="str">
        <f t="shared" si="69"/>
        <v>B7.33.14.11.03</v>
      </c>
      <c r="B572" s="242" t="s">
        <v>927</v>
      </c>
      <c r="C572" s="221" t="s">
        <v>52</v>
      </c>
      <c r="D572" s="226">
        <v>180</v>
      </c>
      <c r="E572" s="113">
        <v>54</v>
      </c>
      <c r="F572" s="135">
        <f t="shared" si="70"/>
        <v>9720</v>
      </c>
      <c r="G572" s="114" t="s">
        <v>928</v>
      </c>
      <c r="H572" s="214" t="s">
        <v>929</v>
      </c>
    </row>
    <row r="573" spans="1:8" s="438" customFormat="1" x14ac:dyDescent="0.2">
      <c r="A573" s="158" t="str">
        <f t="shared" si="69"/>
        <v>B7.33.14.11.04</v>
      </c>
      <c r="B573" s="242" t="s">
        <v>930</v>
      </c>
      <c r="C573" s="221" t="s">
        <v>52</v>
      </c>
      <c r="D573" s="226">
        <v>730</v>
      </c>
      <c r="E573" s="113">
        <v>49</v>
      </c>
      <c r="F573" s="135">
        <f t="shared" si="70"/>
        <v>35770</v>
      </c>
      <c r="G573" s="114" t="s">
        <v>931</v>
      </c>
      <c r="H573" s="214" t="s">
        <v>932</v>
      </c>
    </row>
    <row r="574" spans="1:8" s="438" customFormat="1" x14ac:dyDescent="0.2">
      <c r="A574" s="158" t="str">
        <f t="shared" si="69"/>
        <v>B7.33.14.11.05</v>
      </c>
      <c r="B574" s="242" t="s">
        <v>933</v>
      </c>
      <c r="C574" s="221" t="s">
        <v>52</v>
      </c>
      <c r="D574" s="226">
        <v>1660</v>
      </c>
      <c r="E574" s="113">
        <v>44</v>
      </c>
      <c r="F574" s="135">
        <f t="shared" si="70"/>
        <v>73040</v>
      </c>
      <c r="G574" s="114" t="s">
        <v>934</v>
      </c>
      <c r="H574" s="214" t="s">
        <v>935</v>
      </c>
    </row>
    <row r="575" spans="1:8" s="438" customFormat="1" ht="78.75" x14ac:dyDescent="0.2">
      <c r="A575" s="246" t="str">
        <f>H575</f>
        <v>33 14 19</v>
      </c>
      <c r="B575" s="247" t="s">
        <v>936</v>
      </c>
      <c r="C575" s="240"/>
      <c r="D575" s="240"/>
      <c r="E575" s="248"/>
      <c r="F575" s="135">
        <f t="shared" si="70"/>
        <v>0</v>
      </c>
      <c r="G575" s="218" t="s">
        <v>937</v>
      </c>
      <c r="H575" s="219" t="s">
        <v>379</v>
      </c>
    </row>
    <row r="576" spans="1:8" s="438" customFormat="1" ht="51" x14ac:dyDescent="0.2">
      <c r="A576" s="158" t="str">
        <f>H576</f>
        <v>B7.33.14.19.01</v>
      </c>
      <c r="B576" s="129" t="s">
        <v>938</v>
      </c>
      <c r="C576" s="221" t="s">
        <v>298</v>
      </c>
      <c r="D576" s="226">
        <v>1</v>
      </c>
      <c r="E576" s="113">
        <v>1309</v>
      </c>
      <c r="F576" s="135">
        <f t="shared" si="70"/>
        <v>1309</v>
      </c>
      <c r="G576" s="114" t="s">
        <v>939</v>
      </c>
      <c r="H576" s="214" t="s">
        <v>940</v>
      </c>
    </row>
    <row r="577" spans="1:8" s="438" customFormat="1" ht="51" x14ac:dyDescent="0.2">
      <c r="A577" s="158" t="str">
        <f t="shared" ref="A577:A579" si="71">H577</f>
        <v>B7.33.14.19.02</v>
      </c>
      <c r="B577" s="129" t="s">
        <v>941</v>
      </c>
      <c r="C577" s="221" t="s">
        <v>298</v>
      </c>
      <c r="D577" s="226">
        <v>4</v>
      </c>
      <c r="E577" s="113">
        <v>1378</v>
      </c>
      <c r="F577" s="135">
        <f t="shared" si="70"/>
        <v>5512</v>
      </c>
      <c r="G577" s="114" t="s">
        <v>942</v>
      </c>
      <c r="H577" s="214" t="s">
        <v>943</v>
      </c>
    </row>
    <row r="578" spans="1:8" s="438" customFormat="1" ht="63.75" x14ac:dyDescent="0.2">
      <c r="A578" s="158" t="str">
        <f t="shared" si="71"/>
        <v>B7.33.14.19.03</v>
      </c>
      <c r="B578" s="129" t="s">
        <v>944</v>
      </c>
      <c r="C578" s="221" t="s">
        <v>298</v>
      </c>
      <c r="D578" s="226">
        <v>11</v>
      </c>
      <c r="E578" s="113">
        <v>1839</v>
      </c>
      <c r="F578" s="135">
        <f t="shared" si="70"/>
        <v>20229</v>
      </c>
      <c r="G578" s="114" t="s">
        <v>945</v>
      </c>
      <c r="H578" s="214" t="s">
        <v>946</v>
      </c>
    </row>
    <row r="579" spans="1:8" s="438" customFormat="1" x14ac:dyDescent="0.2">
      <c r="A579" s="158" t="str">
        <f t="shared" si="71"/>
        <v>B7.33.14.19.04</v>
      </c>
      <c r="B579" s="242" t="s">
        <v>947</v>
      </c>
      <c r="C579" s="221" t="s">
        <v>298</v>
      </c>
      <c r="D579" s="226">
        <v>13</v>
      </c>
      <c r="E579" s="113">
        <v>1644</v>
      </c>
      <c r="F579" s="135">
        <f t="shared" si="70"/>
        <v>21372</v>
      </c>
      <c r="G579" s="114" t="s">
        <v>948</v>
      </c>
      <c r="H579" s="214" t="s">
        <v>949</v>
      </c>
    </row>
    <row r="580" spans="1:8" s="438" customFormat="1" ht="38.25" x14ac:dyDescent="0.2">
      <c r="A580" s="158" t="str">
        <f>H580</f>
        <v>B7.32.80.00.01</v>
      </c>
      <c r="B580" s="251" t="s">
        <v>950</v>
      </c>
      <c r="C580" s="252" t="s">
        <v>52</v>
      </c>
      <c r="D580" s="253">
        <v>100</v>
      </c>
      <c r="E580" s="113">
        <v>16</v>
      </c>
      <c r="F580" s="135">
        <f t="shared" si="70"/>
        <v>1600</v>
      </c>
      <c r="G580" s="254" t="s">
        <v>951</v>
      </c>
      <c r="H580" s="158" t="s">
        <v>952</v>
      </c>
    </row>
    <row r="581" spans="1:8" s="438" customFormat="1" ht="38.25" x14ac:dyDescent="0.2">
      <c r="A581" s="158" t="str">
        <f t="shared" ref="A581:A584" si="72">H581</f>
        <v>B7.32.80.00.02</v>
      </c>
      <c r="B581" s="251" t="s">
        <v>1265</v>
      </c>
      <c r="C581" s="252" t="s">
        <v>298</v>
      </c>
      <c r="D581" s="253">
        <v>460</v>
      </c>
      <c r="E581" s="113">
        <v>57</v>
      </c>
      <c r="F581" s="135">
        <f t="shared" si="70"/>
        <v>26220</v>
      </c>
      <c r="G581" s="254" t="s">
        <v>1266</v>
      </c>
      <c r="H581" s="158" t="s">
        <v>955</v>
      </c>
    </row>
    <row r="582" spans="1:8" s="438" customFormat="1" ht="63.75" x14ac:dyDescent="0.2">
      <c r="A582" s="158" t="str">
        <f t="shared" si="72"/>
        <v>B7.32.80.00.03</v>
      </c>
      <c r="B582" s="251" t="s">
        <v>1267</v>
      </c>
      <c r="C582" s="252" t="s">
        <v>52</v>
      </c>
      <c r="D582" s="253">
        <v>11800</v>
      </c>
      <c r="E582" s="113">
        <v>16</v>
      </c>
      <c r="F582" s="135">
        <f t="shared" si="70"/>
        <v>188800</v>
      </c>
      <c r="G582" s="254" t="s">
        <v>1268</v>
      </c>
      <c r="H582" s="158" t="s">
        <v>958</v>
      </c>
    </row>
    <row r="583" spans="1:8" s="438" customFormat="1" ht="38.25" x14ac:dyDescent="0.2">
      <c r="A583" s="158" t="str">
        <f t="shared" si="72"/>
        <v>B7.32.80.00.04</v>
      </c>
      <c r="B583" s="255" t="s">
        <v>959</v>
      </c>
      <c r="C583" s="256" t="s">
        <v>298</v>
      </c>
      <c r="D583" s="257">
        <v>1</v>
      </c>
      <c r="E583" s="113">
        <v>33747</v>
      </c>
      <c r="F583" s="135">
        <f t="shared" si="70"/>
        <v>33747</v>
      </c>
      <c r="G583" s="258" t="s">
        <v>960</v>
      </c>
      <c r="H583" s="158" t="s">
        <v>961</v>
      </c>
    </row>
    <row r="584" spans="1:8" s="438" customFormat="1" ht="38.25" x14ac:dyDescent="0.2">
      <c r="A584" s="158" t="str">
        <f t="shared" si="72"/>
        <v>B7.32.80.00.05</v>
      </c>
      <c r="B584" s="255" t="s">
        <v>962</v>
      </c>
      <c r="C584" s="256" t="s">
        <v>298</v>
      </c>
      <c r="D584" s="257">
        <v>1</v>
      </c>
      <c r="E584" s="113">
        <v>868</v>
      </c>
      <c r="F584" s="135">
        <f t="shared" si="70"/>
        <v>868</v>
      </c>
      <c r="G584" s="258" t="s">
        <v>963</v>
      </c>
      <c r="H584" s="158" t="s">
        <v>964</v>
      </c>
    </row>
    <row r="585" spans="1:8" s="438" customFormat="1" x14ac:dyDescent="0.2">
      <c r="A585" s="158"/>
      <c r="B585" s="242"/>
      <c r="C585" s="221"/>
      <c r="D585" s="226"/>
      <c r="E585" s="113"/>
      <c r="F585" s="135"/>
      <c r="G585" s="114"/>
      <c r="H585" s="214"/>
    </row>
    <row r="586" spans="1:8" s="438" customFormat="1" x14ac:dyDescent="0.2">
      <c r="A586" s="158"/>
      <c r="B586" s="242"/>
      <c r="C586" s="221"/>
      <c r="D586" s="226"/>
      <c r="E586" s="113"/>
      <c r="F586" s="135"/>
      <c r="G586" s="114"/>
      <c r="H586" s="214"/>
    </row>
    <row r="587" spans="1:8" s="438" customFormat="1" x14ac:dyDescent="0.2">
      <c r="A587" s="158"/>
      <c r="B587" s="242"/>
      <c r="C587" s="221"/>
      <c r="D587" s="226"/>
      <c r="E587" s="113"/>
      <c r="F587" s="135"/>
      <c r="G587" s="114"/>
      <c r="H587" s="214"/>
    </row>
    <row r="588" spans="1:8" s="438" customFormat="1" x14ac:dyDescent="0.2">
      <c r="A588" s="158"/>
      <c r="B588" s="242"/>
      <c r="C588" s="221"/>
      <c r="D588" s="226"/>
      <c r="E588" s="113"/>
      <c r="F588" s="135"/>
      <c r="G588" s="114"/>
      <c r="H588" s="214"/>
    </row>
    <row r="589" spans="1:8" s="438" customFormat="1" x14ac:dyDescent="0.2">
      <c r="A589" s="158"/>
      <c r="B589" s="242"/>
      <c r="C589" s="221"/>
      <c r="D589" s="226"/>
      <c r="E589" s="113"/>
      <c r="F589" s="135"/>
      <c r="G589" s="114"/>
      <c r="H589" s="214"/>
    </row>
    <row r="590" spans="1:8" s="438" customFormat="1" x14ac:dyDescent="0.2">
      <c r="A590" s="158"/>
      <c r="B590" s="242"/>
      <c r="C590" s="221"/>
      <c r="D590" s="226"/>
      <c r="E590" s="113"/>
      <c r="F590" s="135"/>
      <c r="G590" s="114"/>
      <c r="H590" s="214"/>
    </row>
    <row r="591" spans="1:8" s="438" customFormat="1" x14ac:dyDescent="0.2">
      <c r="A591" s="158"/>
      <c r="B591" s="242"/>
      <c r="C591" s="221"/>
      <c r="D591" s="226"/>
      <c r="E591" s="113"/>
      <c r="F591" s="135"/>
      <c r="G591" s="114"/>
      <c r="H591" s="214"/>
    </row>
    <row r="592" spans="1:8" s="438" customFormat="1" x14ac:dyDescent="0.2">
      <c r="A592" s="158"/>
      <c r="B592" s="242"/>
      <c r="C592" s="221"/>
      <c r="D592" s="226"/>
      <c r="E592" s="113"/>
      <c r="F592" s="135"/>
      <c r="G592" s="114"/>
      <c r="H592" s="214"/>
    </row>
    <row r="593" spans="1:8" s="438" customFormat="1" x14ac:dyDescent="0.2">
      <c r="A593" s="158"/>
      <c r="B593" s="242"/>
      <c r="C593" s="221"/>
      <c r="D593" s="226"/>
      <c r="E593" s="113"/>
      <c r="F593" s="135"/>
      <c r="G593" s="114"/>
      <c r="H593" s="214"/>
    </row>
    <row r="594" spans="1:8" s="438" customFormat="1" x14ac:dyDescent="0.2">
      <c r="A594" s="158"/>
      <c r="B594" s="242"/>
      <c r="C594" s="221"/>
      <c r="D594" s="226"/>
      <c r="E594" s="113"/>
      <c r="F594" s="135"/>
      <c r="G594" s="114"/>
      <c r="H594" s="214"/>
    </row>
    <row r="595" spans="1:8" s="438" customFormat="1" x14ac:dyDescent="0.2">
      <c r="A595" s="158"/>
      <c r="B595" s="242"/>
      <c r="C595" s="221"/>
      <c r="D595" s="226"/>
      <c r="E595" s="113"/>
      <c r="F595" s="135"/>
      <c r="G595" s="114"/>
      <c r="H595" s="214"/>
    </row>
    <row r="596" spans="1:8" s="438" customFormat="1" x14ac:dyDescent="0.2">
      <c r="A596" s="158"/>
      <c r="B596" s="242"/>
      <c r="C596" s="221"/>
      <c r="D596" s="226"/>
      <c r="E596" s="113"/>
      <c r="F596" s="135"/>
      <c r="G596" s="114"/>
      <c r="H596" s="214"/>
    </row>
    <row r="597" spans="1:8" s="438" customFormat="1" x14ac:dyDescent="0.2">
      <c r="A597" s="158"/>
      <c r="B597" s="242"/>
      <c r="C597" s="221"/>
      <c r="D597" s="226"/>
      <c r="E597" s="113"/>
      <c r="F597" s="135"/>
      <c r="G597" s="114"/>
      <c r="H597" s="214"/>
    </row>
    <row r="598" spans="1:8" ht="31.5" x14ac:dyDescent="0.2">
      <c r="A598" s="230"/>
      <c r="B598" s="231" t="s">
        <v>894</v>
      </c>
      <c r="C598" s="1043" t="s">
        <v>98</v>
      </c>
      <c r="D598" s="1044"/>
      <c r="E598" s="1045"/>
      <c r="F598" s="449">
        <f>SUM(F570:F584)</f>
        <v>435307</v>
      </c>
      <c r="G598" s="232" t="s">
        <v>895</v>
      </c>
      <c r="H598" s="230"/>
    </row>
    <row r="599" spans="1:8" ht="15.75" x14ac:dyDescent="0.2">
      <c r="A599" s="450"/>
      <c r="B599" s="374" t="s">
        <v>965</v>
      </c>
      <c r="C599" s="451"/>
      <c r="D599" s="452"/>
      <c r="E599" s="452"/>
      <c r="F599" s="453"/>
      <c r="G599" s="454" t="s">
        <v>966</v>
      </c>
      <c r="H599" s="455"/>
    </row>
    <row r="600" spans="1:8" s="326" customFormat="1" ht="15" x14ac:dyDescent="0.2">
      <c r="A600" s="450"/>
      <c r="B600" s="375"/>
      <c r="C600" s="451"/>
      <c r="D600" s="376"/>
      <c r="E600" s="376"/>
      <c r="F600" s="453"/>
      <c r="G600" s="404"/>
      <c r="H600" s="380"/>
    </row>
    <row r="601" spans="1:8" s="326" customFormat="1" ht="15.75" x14ac:dyDescent="0.2">
      <c r="A601" s="371"/>
      <c r="B601" s="456" t="s">
        <v>967</v>
      </c>
      <c r="C601" s="451"/>
      <c r="D601" s="376"/>
      <c r="E601" s="376"/>
      <c r="F601" s="457">
        <f>F52</f>
        <v>3322242</v>
      </c>
      <c r="G601" s="422" t="s">
        <v>968</v>
      </c>
      <c r="H601" s="458"/>
    </row>
    <row r="602" spans="1:8" s="326" customFormat="1" ht="15.75" x14ac:dyDescent="0.2">
      <c r="A602" s="371"/>
      <c r="B602" s="456" t="s">
        <v>969</v>
      </c>
      <c r="C602" s="451"/>
      <c r="D602" s="376"/>
      <c r="E602" s="376"/>
      <c r="F602" s="457">
        <f>F93</f>
        <v>3274468</v>
      </c>
      <c r="G602" s="422" t="s">
        <v>970</v>
      </c>
      <c r="H602" s="458"/>
    </row>
    <row r="603" spans="1:8" s="326" customFormat="1" ht="15.75" x14ac:dyDescent="0.2">
      <c r="A603" s="371"/>
      <c r="B603" s="456" t="s">
        <v>971</v>
      </c>
      <c r="C603" s="451"/>
      <c r="D603" s="376"/>
      <c r="E603" s="376"/>
      <c r="F603" s="457">
        <f>F124</f>
        <v>1521339</v>
      </c>
      <c r="G603" s="422" t="s">
        <v>972</v>
      </c>
      <c r="H603" s="458"/>
    </row>
    <row r="604" spans="1:8" s="326" customFormat="1" ht="15.75" x14ac:dyDescent="0.2">
      <c r="A604" s="371"/>
      <c r="B604" s="456" t="s">
        <v>973</v>
      </c>
      <c r="C604" s="451"/>
      <c r="D604" s="376"/>
      <c r="E604" s="376"/>
      <c r="F604" s="457">
        <f>F161</f>
        <v>244979</v>
      </c>
      <c r="G604" s="422" t="s">
        <v>974</v>
      </c>
      <c r="H604" s="458"/>
    </row>
    <row r="605" spans="1:8" s="326" customFormat="1" ht="15.75" x14ac:dyDescent="0.2">
      <c r="A605" s="371"/>
      <c r="B605" s="456" t="s">
        <v>975</v>
      </c>
      <c r="C605" s="451"/>
      <c r="D605" s="376"/>
      <c r="E605" s="376"/>
      <c r="F605" s="457">
        <f>F210</f>
        <v>472223</v>
      </c>
      <c r="G605" s="422" t="s">
        <v>976</v>
      </c>
      <c r="H605" s="458"/>
    </row>
    <row r="606" spans="1:8" s="326" customFormat="1" ht="15.75" x14ac:dyDescent="0.2">
      <c r="A606" s="371"/>
      <c r="B606" s="456" t="s">
        <v>977</v>
      </c>
      <c r="C606" s="451"/>
      <c r="D606" s="376"/>
      <c r="E606" s="376"/>
      <c r="F606" s="457">
        <f>F258</f>
        <v>724040</v>
      </c>
      <c r="G606" s="422" t="s">
        <v>978</v>
      </c>
      <c r="H606" s="458"/>
    </row>
    <row r="607" spans="1:8" s="326" customFormat="1" ht="15.75" x14ac:dyDescent="0.2">
      <c r="A607" s="371"/>
      <c r="B607" s="456" t="s">
        <v>979</v>
      </c>
      <c r="C607" s="451"/>
      <c r="D607" s="376"/>
      <c r="E607" s="376"/>
      <c r="F607" s="457">
        <f>F308</f>
        <v>392652</v>
      </c>
      <c r="G607" s="422" t="s">
        <v>980</v>
      </c>
      <c r="H607" s="458"/>
    </row>
    <row r="608" spans="1:8" s="326" customFormat="1" ht="15.75" x14ac:dyDescent="0.2">
      <c r="A608" s="371"/>
      <c r="B608" s="456" t="s">
        <v>981</v>
      </c>
      <c r="C608" s="451"/>
      <c r="D608" s="376"/>
      <c r="E608" s="376"/>
      <c r="F608" s="457">
        <f>F361</f>
        <v>350460</v>
      </c>
      <c r="G608" s="422" t="s">
        <v>982</v>
      </c>
      <c r="H608" s="458"/>
    </row>
    <row r="609" spans="1:8" s="326" customFormat="1" ht="15.75" x14ac:dyDescent="0.2">
      <c r="A609" s="371"/>
      <c r="B609" s="456" t="s">
        <v>983</v>
      </c>
      <c r="C609" s="451"/>
      <c r="D609" s="376"/>
      <c r="E609" s="376"/>
      <c r="F609" s="457">
        <f>F411</f>
        <v>1201013</v>
      </c>
      <c r="G609" s="422" t="s">
        <v>984</v>
      </c>
      <c r="H609" s="458"/>
    </row>
    <row r="610" spans="1:8" s="326" customFormat="1" ht="15.75" x14ac:dyDescent="0.2">
      <c r="A610" s="371"/>
      <c r="B610" s="456" t="s">
        <v>985</v>
      </c>
      <c r="C610" s="451"/>
      <c r="D610" s="376"/>
      <c r="E610" s="376"/>
      <c r="F610" s="457">
        <f>F466</f>
        <v>520675</v>
      </c>
      <c r="G610" s="422" t="s">
        <v>986</v>
      </c>
      <c r="H610" s="458"/>
    </row>
    <row r="611" spans="1:8" s="326" customFormat="1" ht="15.75" x14ac:dyDescent="0.2">
      <c r="A611" s="371"/>
      <c r="B611" s="456" t="s">
        <v>987</v>
      </c>
      <c r="C611" s="451"/>
      <c r="D611" s="376"/>
      <c r="E611" s="376"/>
      <c r="F611" s="457">
        <f>F521</f>
        <v>1281890</v>
      </c>
      <c r="G611" s="422" t="s">
        <v>988</v>
      </c>
      <c r="H611" s="458"/>
    </row>
    <row r="612" spans="1:8" s="326" customFormat="1" ht="15.75" x14ac:dyDescent="0.2">
      <c r="A612" s="371"/>
      <c r="B612" s="456" t="s">
        <v>989</v>
      </c>
      <c r="C612" s="451"/>
      <c r="D612" s="376"/>
      <c r="E612" s="376"/>
      <c r="F612" s="457">
        <f>F567</f>
        <v>4343880</v>
      </c>
      <c r="G612" s="422" t="s">
        <v>990</v>
      </c>
      <c r="H612" s="458"/>
    </row>
    <row r="613" spans="1:8" ht="15.75" x14ac:dyDescent="0.2">
      <c r="A613" s="371"/>
      <c r="B613" s="456" t="s">
        <v>991</v>
      </c>
      <c r="C613" s="451"/>
      <c r="D613" s="376"/>
      <c r="E613" s="376"/>
      <c r="F613" s="457">
        <f>F598</f>
        <v>435307</v>
      </c>
      <c r="G613" s="422" t="s">
        <v>992</v>
      </c>
      <c r="H613" s="458"/>
    </row>
    <row r="614" spans="1:8" ht="15.75" x14ac:dyDescent="0.2">
      <c r="A614" s="371"/>
      <c r="B614" s="456"/>
      <c r="C614" s="451"/>
      <c r="D614" s="376"/>
      <c r="E614" s="376"/>
      <c r="F614" s="457"/>
      <c r="G614" s="422"/>
      <c r="H614" s="458"/>
    </row>
    <row r="615" spans="1:8" ht="15.75" x14ac:dyDescent="0.2">
      <c r="A615" s="371"/>
      <c r="B615" s="456"/>
      <c r="C615" s="451"/>
      <c r="D615" s="376"/>
      <c r="E615" s="376"/>
      <c r="F615" s="457"/>
      <c r="G615" s="422"/>
      <c r="H615" s="458"/>
    </row>
    <row r="616" spans="1:8" ht="15.75" x14ac:dyDescent="0.2">
      <c r="A616" s="371"/>
      <c r="B616" s="456"/>
      <c r="C616" s="451"/>
      <c r="D616" s="376"/>
      <c r="E616" s="376"/>
      <c r="F616" s="457"/>
      <c r="G616" s="422"/>
      <c r="H616" s="458"/>
    </row>
    <row r="617" spans="1:8" ht="15.75" x14ac:dyDescent="0.2">
      <c r="A617" s="371"/>
      <c r="B617" s="456"/>
      <c r="C617" s="451"/>
      <c r="D617" s="376"/>
      <c r="E617" s="376"/>
      <c r="F617" s="457"/>
      <c r="G617" s="422"/>
      <c r="H617" s="458"/>
    </row>
    <row r="618" spans="1:8" ht="15.75" x14ac:dyDescent="0.2">
      <c r="A618" s="371"/>
      <c r="B618" s="456"/>
      <c r="C618" s="451"/>
      <c r="D618" s="376"/>
      <c r="E618" s="376"/>
      <c r="F618" s="457"/>
      <c r="G618" s="422"/>
      <c r="H618" s="458"/>
    </row>
    <row r="619" spans="1:8" ht="15.75" x14ac:dyDescent="0.2">
      <c r="A619" s="371"/>
      <c r="B619" s="456"/>
      <c r="C619" s="451"/>
      <c r="D619" s="376"/>
      <c r="E619" s="376"/>
      <c r="F619" s="457"/>
      <c r="G619" s="422"/>
      <c r="H619" s="458"/>
    </row>
    <row r="620" spans="1:8" ht="15.75" x14ac:dyDescent="0.2">
      <c r="A620" s="371"/>
      <c r="B620" s="456"/>
      <c r="C620" s="451"/>
      <c r="D620" s="376"/>
      <c r="E620" s="376"/>
      <c r="F620" s="457"/>
      <c r="G620" s="422"/>
      <c r="H620" s="458"/>
    </row>
    <row r="621" spans="1:8" ht="15.75" x14ac:dyDescent="0.2">
      <c r="A621" s="371"/>
      <c r="B621" s="456"/>
      <c r="C621" s="451"/>
      <c r="D621" s="376"/>
      <c r="E621" s="376"/>
      <c r="F621" s="457"/>
      <c r="G621" s="422"/>
      <c r="H621" s="458"/>
    </row>
    <row r="622" spans="1:8" ht="15.75" x14ac:dyDescent="0.2">
      <c r="A622" s="371"/>
      <c r="B622" s="456"/>
      <c r="C622" s="451"/>
      <c r="D622" s="376"/>
      <c r="E622" s="376"/>
      <c r="F622" s="457"/>
      <c r="G622" s="422"/>
      <c r="H622" s="458"/>
    </row>
    <row r="623" spans="1:8" ht="15.75" x14ac:dyDescent="0.2">
      <c r="A623" s="371"/>
      <c r="B623" s="456"/>
      <c r="C623" s="451"/>
      <c r="D623" s="376"/>
      <c r="E623" s="376"/>
      <c r="F623" s="457"/>
      <c r="G623" s="422"/>
      <c r="H623" s="458"/>
    </row>
    <row r="624" spans="1:8" ht="15.75" x14ac:dyDescent="0.2">
      <c r="A624" s="371"/>
      <c r="B624" s="456"/>
      <c r="C624" s="451"/>
      <c r="D624" s="376"/>
      <c r="E624" s="376"/>
      <c r="F624" s="457"/>
      <c r="G624" s="422"/>
      <c r="H624" s="458"/>
    </row>
    <row r="625" spans="1:8" ht="15.75" x14ac:dyDescent="0.2">
      <c r="A625" s="371"/>
      <c r="B625" s="456"/>
      <c r="C625" s="451"/>
      <c r="D625" s="376"/>
      <c r="E625" s="376"/>
      <c r="F625" s="457"/>
      <c r="G625" s="422"/>
      <c r="H625" s="458"/>
    </row>
    <row r="626" spans="1:8" ht="15.75" x14ac:dyDescent="0.2">
      <c r="A626" s="371"/>
      <c r="B626" s="456"/>
      <c r="C626" s="451"/>
      <c r="D626" s="376"/>
      <c r="E626" s="376"/>
      <c r="F626" s="457"/>
      <c r="G626" s="422"/>
      <c r="H626" s="458"/>
    </row>
    <row r="627" spans="1:8" ht="15.75" x14ac:dyDescent="0.2">
      <c r="A627" s="371"/>
      <c r="B627" s="456"/>
      <c r="C627" s="451"/>
      <c r="D627" s="376"/>
      <c r="E627" s="376"/>
      <c r="F627" s="457"/>
      <c r="G627" s="422"/>
      <c r="H627" s="458"/>
    </row>
    <row r="628" spans="1:8" ht="15.75" x14ac:dyDescent="0.2">
      <c r="A628" s="371"/>
      <c r="B628" s="456"/>
      <c r="C628" s="451"/>
      <c r="D628" s="376"/>
      <c r="E628" s="376"/>
      <c r="F628" s="457"/>
      <c r="G628" s="422"/>
      <c r="H628" s="458"/>
    </row>
    <row r="629" spans="1:8" ht="15.75" x14ac:dyDescent="0.2">
      <c r="A629" s="371"/>
      <c r="B629" s="456"/>
      <c r="C629" s="451"/>
      <c r="D629" s="376"/>
      <c r="E629" s="376"/>
      <c r="F629" s="457"/>
      <c r="G629" s="422"/>
      <c r="H629" s="458"/>
    </row>
    <row r="630" spans="1:8" ht="15.75" x14ac:dyDescent="0.2">
      <c r="A630" s="371"/>
      <c r="B630" s="456"/>
      <c r="C630" s="451"/>
      <c r="D630" s="376"/>
      <c r="E630" s="376"/>
      <c r="F630" s="457"/>
      <c r="G630" s="422"/>
      <c r="H630" s="458"/>
    </row>
    <row r="631" spans="1:8" ht="15.75" x14ac:dyDescent="0.2">
      <c r="A631" s="371"/>
      <c r="B631" s="456"/>
      <c r="C631" s="451"/>
      <c r="D631" s="376"/>
      <c r="E631" s="376"/>
      <c r="F631" s="457"/>
      <c r="G631" s="422"/>
      <c r="H631" s="458"/>
    </row>
    <row r="632" spans="1:8" ht="15.75" x14ac:dyDescent="0.2">
      <c r="A632" s="450"/>
      <c r="B632" s="321" t="s">
        <v>1019</v>
      </c>
      <c r="C632" s="1074" t="s">
        <v>98</v>
      </c>
      <c r="D632" s="1074"/>
      <c r="E632" s="1074"/>
      <c r="F632" s="323">
        <f>SUM(F601:F613)</f>
        <v>18085168</v>
      </c>
      <c r="G632" s="324" t="s">
        <v>1020</v>
      </c>
      <c r="H632" s="459"/>
    </row>
    <row r="633" spans="1:8" x14ac:dyDescent="0.2">
      <c r="H633" s="461"/>
    </row>
    <row r="634" spans="1:8" x14ac:dyDescent="0.2">
      <c r="G634" s="461"/>
      <c r="H634" s="304"/>
    </row>
    <row r="635" spans="1:8" x14ac:dyDescent="0.2">
      <c r="H635" s="461"/>
    </row>
    <row r="636" spans="1:8" x14ac:dyDescent="0.2">
      <c r="H636" s="461"/>
    </row>
    <row r="637" spans="1:8" x14ac:dyDescent="0.2">
      <c r="H637" s="461"/>
    </row>
    <row r="638" spans="1:8" x14ac:dyDescent="0.2">
      <c r="H638" s="461"/>
    </row>
    <row r="639" spans="1:8" x14ac:dyDescent="0.2">
      <c r="H639" s="461"/>
    </row>
    <row r="640" spans="1:8" x14ac:dyDescent="0.2">
      <c r="H640" s="461"/>
    </row>
    <row r="641" spans="1:8" x14ac:dyDescent="0.2">
      <c r="H641" s="461"/>
    </row>
    <row r="642" spans="1:8" x14ac:dyDescent="0.2">
      <c r="H642" s="461"/>
    </row>
    <row r="643" spans="1:8" x14ac:dyDescent="0.2">
      <c r="H643" s="461"/>
    </row>
    <row r="644" spans="1:8" x14ac:dyDescent="0.2">
      <c r="H644" s="461"/>
    </row>
    <row r="645" spans="1:8" x14ac:dyDescent="0.2">
      <c r="A645" s="264"/>
      <c r="B645" s="326"/>
      <c r="C645" s="264"/>
      <c r="D645" s="463"/>
      <c r="E645" s="463"/>
      <c r="H645" s="461"/>
    </row>
    <row r="646" spans="1:8" x14ac:dyDescent="0.2">
      <c r="H646" s="461"/>
    </row>
    <row r="647" spans="1:8" x14ac:dyDescent="0.2">
      <c r="H647" s="461"/>
    </row>
    <row r="648" spans="1:8" x14ac:dyDescent="0.2">
      <c r="A648" s="264"/>
      <c r="B648" s="464"/>
      <c r="C648" s="465"/>
      <c r="D648" s="466"/>
      <c r="E648" s="466"/>
      <c r="H648" s="461"/>
    </row>
    <row r="649" spans="1:8" x14ac:dyDescent="0.2">
      <c r="A649" s="264"/>
      <c r="B649" s="464"/>
      <c r="C649" s="465"/>
      <c r="D649" s="466"/>
      <c r="E649" s="466"/>
      <c r="H649" s="461"/>
    </row>
    <row r="650" spans="1:8" x14ac:dyDescent="0.2">
      <c r="A650" s="264"/>
      <c r="B650" s="464"/>
      <c r="C650" s="465"/>
      <c r="D650" s="466"/>
      <c r="E650" s="466"/>
      <c r="H650" s="461"/>
    </row>
    <row r="651" spans="1:8" x14ac:dyDescent="0.2">
      <c r="A651" s="264"/>
      <c r="B651" s="464"/>
      <c r="C651" s="465"/>
      <c r="D651" s="466"/>
      <c r="E651" s="466"/>
      <c r="H651" s="461"/>
    </row>
    <row r="652" spans="1:8" x14ac:dyDescent="0.2">
      <c r="A652" s="264"/>
      <c r="B652" s="464"/>
      <c r="C652" s="465"/>
      <c r="D652" s="466"/>
      <c r="E652" s="466"/>
      <c r="H652" s="461"/>
    </row>
    <row r="653" spans="1:8" x14ac:dyDescent="0.2">
      <c r="A653" s="264"/>
      <c r="B653" s="464"/>
      <c r="C653" s="465"/>
      <c r="D653" s="466"/>
      <c r="E653" s="466"/>
      <c r="H653" s="461"/>
    </row>
    <row r="654" spans="1:8" x14ac:dyDescent="0.2">
      <c r="A654" s="264"/>
      <c r="B654" s="464"/>
      <c r="C654" s="465"/>
      <c r="D654" s="466"/>
      <c r="E654" s="466"/>
      <c r="H654" s="461"/>
    </row>
    <row r="655" spans="1:8" x14ac:dyDescent="0.2">
      <c r="A655" s="264"/>
      <c r="B655" s="464"/>
      <c r="C655" s="465"/>
      <c r="D655" s="466"/>
      <c r="E655" s="466"/>
      <c r="H655" s="461"/>
    </row>
    <row r="656" spans="1:8" x14ac:dyDescent="0.2">
      <c r="A656" s="264"/>
      <c r="B656" s="464"/>
      <c r="C656" s="465"/>
      <c r="D656" s="466"/>
      <c r="E656" s="466"/>
      <c r="H656" s="461"/>
    </row>
    <row r="657" spans="1:8" x14ac:dyDescent="0.2">
      <c r="A657" s="264"/>
      <c r="B657" s="464"/>
      <c r="C657" s="465"/>
      <c r="D657" s="466"/>
      <c r="E657" s="466"/>
      <c r="H657" s="461"/>
    </row>
    <row r="658" spans="1:8" x14ac:dyDescent="0.2">
      <c r="A658" s="264"/>
      <c r="B658" s="464"/>
      <c r="C658" s="465"/>
      <c r="D658" s="466"/>
      <c r="E658" s="466"/>
      <c r="H658" s="461"/>
    </row>
    <row r="659" spans="1:8" x14ac:dyDescent="0.2">
      <c r="A659" s="264"/>
      <c r="B659" s="464"/>
      <c r="C659" s="465"/>
      <c r="D659" s="466"/>
      <c r="E659" s="466"/>
      <c r="H659" s="461"/>
    </row>
    <row r="660" spans="1:8" x14ac:dyDescent="0.2">
      <c r="A660" s="264"/>
      <c r="B660" s="464"/>
      <c r="C660" s="465"/>
      <c r="D660" s="466"/>
      <c r="E660" s="466"/>
      <c r="H660" s="461"/>
    </row>
    <row r="661" spans="1:8" x14ac:dyDescent="0.2">
      <c r="A661" s="264"/>
      <c r="B661" s="464"/>
      <c r="C661" s="465"/>
      <c r="D661" s="466"/>
      <c r="E661" s="466"/>
      <c r="H661" s="461"/>
    </row>
    <row r="662" spans="1:8" x14ac:dyDescent="0.2">
      <c r="A662" s="264"/>
      <c r="B662" s="464"/>
      <c r="C662" s="465"/>
      <c r="D662" s="466"/>
      <c r="E662" s="466"/>
      <c r="H662" s="461"/>
    </row>
    <row r="663" spans="1:8" x14ac:dyDescent="0.2">
      <c r="A663" s="264"/>
      <c r="B663" s="464"/>
      <c r="C663" s="465"/>
      <c r="D663" s="466"/>
      <c r="E663" s="466"/>
    </row>
    <row r="664" spans="1:8" x14ac:dyDescent="0.2">
      <c r="A664" s="264"/>
      <c r="B664" s="464"/>
      <c r="C664" s="465"/>
      <c r="D664" s="466"/>
      <c r="E664" s="466"/>
    </row>
    <row r="665" spans="1:8" x14ac:dyDescent="0.2">
      <c r="A665" s="264"/>
      <c r="B665" s="464"/>
      <c r="C665" s="465"/>
      <c r="D665" s="466"/>
      <c r="E665" s="466"/>
    </row>
    <row r="666" spans="1:8" x14ac:dyDescent="0.2">
      <c r="A666" s="264"/>
      <c r="B666" s="464"/>
      <c r="C666" s="465"/>
      <c r="D666" s="466"/>
      <c r="E666" s="466"/>
    </row>
    <row r="667" spans="1:8" x14ac:dyDescent="0.2">
      <c r="A667" s="264"/>
      <c r="B667" s="464"/>
      <c r="C667" s="465"/>
      <c r="D667" s="466"/>
      <c r="E667" s="466"/>
    </row>
    <row r="668" spans="1:8" x14ac:dyDescent="0.2">
      <c r="A668" s="264"/>
      <c r="B668" s="464"/>
      <c r="C668" s="465"/>
      <c r="D668" s="466"/>
      <c r="E668" s="466"/>
    </row>
    <row r="669" spans="1:8" x14ac:dyDescent="0.2">
      <c r="A669" s="264"/>
      <c r="B669" s="464"/>
      <c r="C669" s="465"/>
      <c r="D669" s="466"/>
      <c r="E669" s="466"/>
    </row>
    <row r="670" spans="1:8" x14ac:dyDescent="0.2">
      <c r="A670" s="264"/>
      <c r="B670" s="464"/>
      <c r="C670" s="465"/>
      <c r="D670" s="466"/>
      <c r="E670" s="466"/>
    </row>
    <row r="671" spans="1:8" x14ac:dyDescent="0.2">
      <c r="A671" s="264"/>
      <c r="B671" s="464"/>
      <c r="C671" s="465"/>
      <c r="D671" s="466"/>
      <c r="E671" s="466"/>
    </row>
    <row r="672" spans="1:8" x14ac:dyDescent="0.2">
      <c r="A672" s="264"/>
      <c r="C672" s="465"/>
    </row>
    <row r="673" spans="1:5" x14ac:dyDescent="0.2">
      <c r="A673" s="264"/>
      <c r="B673" s="264"/>
      <c r="C673" s="465"/>
      <c r="D673" s="303"/>
      <c r="E673" s="303"/>
    </row>
    <row r="674" spans="1:5" x14ac:dyDescent="0.2">
      <c r="A674" s="264"/>
      <c r="B674" s="264"/>
      <c r="C674" s="465"/>
      <c r="D674" s="303"/>
      <c r="E674" s="303"/>
    </row>
    <row r="675" spans="1:5" x14ac:dyDescent="0.2">
      <c r="A675" s="264"/>
      <c r="B675" s="264"/>
      <c r="C675" s="465"/>
      <c r="D675" s="303"/>
      <c r="E675" s="303"/>
    </row>
  </sheetData>
  <autoFilter ref="E1:E675" xr:uid="{D4F22FAF-0BA8-4CE3-8B3B-5EA20CB70C1F}"/>
  <mergeCells count="37">
    <mergeCell ref="H4:H5"/>
    <mergeCell ref="A1:B1"/>
    <mergeCell ref="C1:F3"/>
    <mergeCell ref="A4:A5"/>
    <mergeCell ref="B4:B5"/>
    <mergeCell ref="G4:G5"/>
    <mergeCell ref="C210:E210"/>
    <mergeCell ref="A6:B6"/>
    <mergeCell ref="C6:F6"/>
    <mergeCell ref="G6:H6"/>
    <mergeCell ref="C52:E52"/>
    <mergeCell ref="A53:B53"/>
    <mergeCell ref="G53:H53"/>
    <mergeCell ref="C93:E93"/>
    <mergeCell ref="C124:E124"/>
    <mergeCell ref="C161:E161"/>
    <mergeCell ref="A162:B162"/>
    <mergeCell ref="G162:H162"/>
    <mergeCell ref="C411:E411"/>
    <mergeCell ref="A211:B211"/>
    <mergeCell ref="G211:H211"/>
    <mergeCell ref="B213:C213"/>
    <mergeCell ref="C258:E258"/>
    <mergeCell ref="A259:B259"/>
    <mergeCell ref="G259:H259"/>
    <mergeCell ref="B261:C261"/>
    <mergeCell ref="C308:E308"/>
    <mergeCell ref="A309:B309"/>
    <mergeCell ref="G309:H309"/>
    <mergeCell ref="C361:E361"/>
    <mergeCell ref="C632:E632"/>
    <mergeCell ref="A412:B412"/>
    <mergeCell ref="G412:H412"/>
    <mergeCell ref="C466:E466"/>
    <mergeCell ref="C521:E521"/>
    <mergeCell ref="C567:E567"/>
    <mergeCell ref="C598:E598"/>
  </mergeCells>
  <conditionalFormatting sqref="B63:B64">
    <cfRule type="expression" dxfId="19" priority="17" stopIfTrue="1">
      <formula>H63=1</formula>
    </cfRule>
    <cfRule type="containsText" dxfId="18" priority="18" operator="containsText" text="SUB-TOTAL">
      <formula>NOT(ISERROR(SEARCH("SUB-TOTAL",B63)))</formula>
    </cfRule>
    <cfRule type="containsText" dxfId="17" priority="19" operator="containsText" text="total estimated">
      <formula>NOT(ISERROR(SEARCH("total estimated",B63)))</formula>
    </cfRule>
    <cfRule type="containsText" dxfId="16" priority="20" operator="containsText" text="to be carried to">
      <formula>NOT(ISERROR(SEARCH("to be carried to",B63)))</formula>
    </cfRule>
  </conditionalFormatting>
  <conditionalFormatting sqref="B68:B92 B63:B64 G68:G92">
    <cfRule type="expression" dxfId="15" priority="13">
      <formula>RIGHT($A63,3)=".00"</formula>
    </cfRule>
  </conditionalFormatting>
  <conditionalFormatting sqref="B68:B92">
    <cfRule type="containsText" dxfId="14" priority="7" operator="containsText" text="to be carried to">
      <formula>NOT(ISERROR(SEARCH("to be carried to",B68)))</formula>
    </cfRule>
    <cfRule type="containsText" dxfId="13" priority="8" operator="containsText" text="total estimated">
      <formula>NOT(ISERROR(SEARCH("total estimated",B68)))</formula>
    </cfRule>
    <cfRule type="expression" dxfId="12" priority="9" stopIfTrue="1">
      <formula>#REF!=1</formula>
    </cfRule>
    <cfRule type="containsText" dxfId="11" priority="10" operator="containsText" text="SUB-TOTAL">
      <formula>NOT(ISERROR(SEARCH("SUB-TOTAL",B68)))</formula>
    </cfRule>
    <cfRule type="containsText" dxfId="10" priority="11" operator="containsText" text="total estimated">
      <formula>NOT(ISERROR(SEARCH("total estimated",B68)))</formula>
    </cfRule>
    <cfRule type="containsText" dxfId="9" priority="12" operator="containsText" text="to be carried to">
      <formula>NOT(ISERROR(SEARCH("to be carried to",B68)))</formula>
    </cfRule>
  </conditionalFormatting>
  <conditionalFormatting sqref="D59">
    <cfRule type="cellIs" dxfId="8" priority="23" operator="equal">
      <formula>"xxx"</formula>
    </cfRule>
    <cfRule type="expression" dxfId="7" priority="24">
      <formula>#REF!=1</formula>
    </cfRule>
  </conditionalFormatting>
  <conditionalFormatting sqref="D97">
    <cfRule type="cellIs" dxfId="6" priority="5" operator="equal">
      <formula>"xxx"</formula>
    </cfRule>
    <cfRule type="expression" dxfId="5" priority="6">
      <formula>#REF!=1</formula>
    </cfRule>
  </conditionalFormatting>
  <conditionalFormatting sqref="G64 G68:G92">
    <cfRule type="containsText" dxfId="4" priority="15" operator="containsText" text="total estimated">
      <formula>NOT(ISERROR(SEARCH("total estimated",G64)))</formula>
    </cfRule>
    <cfRule type="containsText" dxfId="3" priority="16" operator="containsText" text="SUB-TOTAL">
      <formula>NOT(ISERROR(SEARCH("SUB-TOTAL",G64)))</formula>
    </cfRule>
  </conditionalFormatting>
  <conditionalFormatting sqref="G68:G92">
    <cfRule type="containsText" dxfId="2" priority="14" operator="containsText" text="to be carried to">
      <formula>NOT(ISERROR(SEARCH("to be carried to",G68)))</formula>
    </cfRule>
  </conditionalFormatting>
  <conditionalFormatting sqref="G64">
    <cfRule type="expression" dxfId="1" priority="25" stopIfTrue="1">
      <formula>#REF!=1</formula>
    </cfRule>
    <cfRule type="expression" dxfId="0" priority="26">
      <formula>RIGHT($A64,3)=".00"</formula>
    </cfRule>
  </conditionalFormatting>
  <printOptions horizontalCentered="1"/>
  <pageMargins left="0.47244094488188998" right="0.57999999999999996" top="0.42" bottom="0.39370078740157499" header="0.27559055118110198" footer="0.196850393700787"/>
  <pageSetup scale="60" firstPageNumber="44" fitToHeight="0" orientation="landscape" r:id="rId1"/>
  <headerFooter alignWithMargins="0"/>
  <rowBreaks count="13" manualBreakCount="13">
    <brk id="52" max="7" man="1"/>
    <brk id="93" max="7" man="1"/>
    <brk id="124" max="7" man="1"/>
    <brk id="161" max="7" man="1"/>
    <brk id="210" max="7" man="1"/>
    <brk id="258" max="7" man="1"/>
    <brk id="308" max="7" man="1"/>
    <brk id="361" max="7" man="1"/>
    <brk id="411" max="7" man="1"/>
    <brk id="466" max="7" man="1"/>
    <brk id="521" max="7" man="1"/>
    <brk id="567" max="7" man="1"/>
    <brk id="598" max="7"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8177-C4A8-48CD-A270-FEF03CA18817}">
  <sheetPr>
    <tabColor rgb="FF00B050"/>
    <pageSetUpPr fitToPage="1"/>
  </sheetPr>
  <dimension ref="B1:R54"/>
  <sheetViews>
    <sheetView showGridLines="0" tabSelected="1" view="pageBreakPreview" zoomScale="85" zoomScaleNormal="100" zoomScaleSheetLayoutView="85" workbookViewId="0">
      <selection activeCell="J19" sqref="J19:Q19"/>
    </sheetView>
  </sheetViews>
  <sheetFormatPr defaultColWidth="10.7109375" defaultRowHeight="12.75" x14ac:dyDescent="0.2"/>
  <cols>
    <col min="1" max="1" width="10.7109375" style="717"/>
    <col min="2" max="3" width="10.7109375" style="716"/>
    <col min="4" max="7" width="10.7109375" style="717"/>
    <col min="8" max="8" width="10.7109375" style="718"/>
    <col min="9" max="9" width="10.7109375" style="719"/>
    <col min="10" max="16384" width="10.7109375" style="717"/>
  </cols>
  <sheetData>
    <row r="1" spans="2:18" x14ac:dyDescent="0.2">
      <c r="J1" s="716"/>
      <c r="K1" s="716"/>
      <c r="P1" s="718"/>
      <c r="Q1" s="719"/>
      <c r="R1" s="719"/>
    </row>
    <row r="2" spans="2:18" x14ac:dyDescent="0.2">
      <c r="B2" s="1112"/>
      <c r="C2" s="1112"/>
      <c r="D2" s="1112"/>
      <c r="E2" s="1112"/>
      <c r="F2" s="1112"/>
      <c r="G2" s="1112"/>
      <c r="H2" s="1112"/>
      <c r="I2" s="1112"/>
      <c r="J2" s="1112"/>
      <c r="K2" s="1112"/>
      <c r="L2" s="1112"/>
      <c r="M2" s="1112"/>
      <c r="N2" s="1112"/>
      <c r="O2" s="1112"/>
      <c r="P2" s="1112"/>
      <c r="Q2" s="1112"/>
      <c r="R2" s="1112"/>
    </row>
    <row r="3" spans="2:18" ht="15.75" x14ac:dyDescent="0.2">
      <c r="B3" s="720"/>
      <c r="C3" s="720"/>
      <c r="D3" s="720"/>
      <c r="E3" s="720"/>
      <c r="F3" s="720"/>
      <c r="G3" s="720"/>
      <c r="H3" s="720"/>
      <c r="I3" s="720"/>
      <c r="J3" s="721"/>
      <c r="N3" s="721"/>
      <c r="O3" s="721"/>
      <c r="P3" s="720"/>
      <c r="Q3" s="720"/>
      <c r="R3" s="720"/>
    </row>
    <row r="4" spans="2:18" ht="18" customHeight="1" x14ac:dyDescent="0.3">
      <c r="B4" s="1113" t="s">
        <v>2493</v>
      </c>
      <c r="C4" s="1113"/>
      <c r="D4" s="1113"/>
      <c r="E4" s="1113"/>
      <c r="F4" s="1113"/>
      <c r="G4" s="1113"/>
      <c r="H4" s="1113"/>
      <c r="I4" s="1113"/>
      <c r="J4" s="1109" t="s">
        <v>2494</v>
      </c>
      <c r="K4" s="1109"/>
      <c r="L4" s="1109"/>
      <c r="M4" s="1109"/>
      <c r="N4" s="1109"/>
      <c r="O4" s="1109"/>
      <c r="P4" s="1109"/>
      <c r="Q4" s="1109"/>
    </row>
    <row r="5" spans="2:18" ht="44.25" customHeight="1" x14ac:dyDescent="0.3">
      <c r="B5" s="1113" t="s">
        <v>2495</v>
      </c>
      <c r="C5" s="1113"/>
      <c r="D5" s="1113"/>
      <c r="E5" s="1113"/>
      <c r="F5" s="1113"/>
      <c r="G5" s="1113"/>
      <c r="H5" s="1113"/>
      <c r="I5" s="1113"/>
      <c r="J5" s="1114" t="s">
        <v>2496</v>
      </c>
      <c r="K5" s="1114"/>
      <c r="L5" s="1114"/>
      <c r="M5" s="1114"/>
      <c r="N5" s="1114"/>
      <c r="O5" s="1114"/>
      <c r="P5" s="1114"/>
      <c r="Q5" s="1114"/>
      <c r="R5" s="723"/>
    </row>
    <row r="6" spans="2:18" ht="18" x14ac:dyDescent="0.2">
      <c r="B6" s="724"/>
      <c r="C6" s="724"/>
      <c r="D6" s="724"/>
      <c r="E6" s="724"/>
      <c r="F6" s="724"/>
      <c r="G6" s="724"/>
      <c r="H6" s="724"/>
      <c r="I6" s="724"/>
      <c r="J6" s="724"/>
      <c r="K6" s="724"/>
      <c r="L6" s="724"/>
      <c r="M6" s="724"/>
      <c r="N6" s="724"/>
      <c r="O6" s="724"/>
      <c r="P6" s="724"/>
      <c r="Q6" s="724"/>
      <c r="R6" s="725"/>
    </row>
    <row r="7" spans="2:18" ht="18" x14ac:dyDescent="0.2">
      <c r="B7" s="724"/>
      <c r="C7" s="724"/>
      <c r="D7" s="724"/>
      <c r="E7" s="724"/>
      <c r="F7" s="724"/>
      <c r="G7" s="724"/>
      <c r="H7" s="724"/>
      <c r="I7" s="724"/>
      <c r="J7" s="724"/>
      <c r="K7" s="724"/>
      <c r="L7" s="724"/>
      <c r="M7" s="724"/>
      <c r="N7" s="724"/>
      <c r="O7" s="724"/>
      <c r="P7" s="724"/>
      <c r="Q7" s="724"/>
      <c r="R7" s="725"/>
    </row>
    <row r="8" spans="2:18" ht="18" x14ac:dyDescent="0.2">
      <c r="B8" s="724"/>
      <c r="C8" s="724"/>
      <c r="D8" s="724"/>
      <c r="E8" s="724"/>
      <c r="F8" s="724"/>
      <c r="G8" s="724"/>
      <c r="H8" s="724"/>
      <c r="I8" s="724"/>
      <c r="J8" s="724"/>
      <c r="K8" s="724"/>
      <c r="L8" s="724"/>
      <c r="M8" s="724"/>
      <c r="N8" s="724"/>
      <c r="O8" s="724"/>
      <c r="P8" s="724"/>
      <c r="Q8" s="724"/>
      <c r="R8" s="725"/>
    </row>
    <row r="9" spans="2:18" ht="18" x14ac:dyDescent="0.2">
      <c r="B9" s="724"/>
      <c r="C9" s="724"/>
      <c r="D9" s="724"/>
      <c r="E9" s="724"/>
      <c r="F9" s="724"/>
      <c r="G9" s="724"/>
      <c r="H9" s="724"/>
      <c r="I9" s="724"/>
      <c r="J9" s="724"/>
      <c r="K9" s="724"/>
      <c r="L9" s="724"/>
      <c r="M9" s="724"/>
      <c r="N9" s="724"/>
      <c r="O9" s="724"/>
      <c r="P9" s="724"/>
      <c r="Q9" s="724"/>
      <c r="R9" s="725"/>
    </row>
    <row r="10" spans="2:18" ht="20.25" x14ac:dyDescent="0.2">
      <c r="B10" s="1113"/>
      <c r="C10" s="1113"/>
      <c r="D10" s="1113"/>
      <c r="E10" s="1113"/>
      <c r="F10" s="1113"/>
      <c r="G10" s="1113"/>
      <c r="H10" s="1113"/>
      <c r="I10" s="1113"/>
      <c r="J10" s="724"/>
      <c r="K10" s="724"/>
      <c r="L10" s="724"/>
      <c r="M10" s="724"/>
      <c r="N10" s="724"/>
      <c r="O10" s="724"/>
      <c r="P10" s="724"/>
      <c r="Q10" s="724"/>
      <c r="R10" s="725"/>
    </row>
    <row r="11" spans="2:18" ht="28.5" customHeight="1" x14ac:dyDescent="0.2">
      <c r="B11" s="724"/>
      <c r="C11" s="724"/>
      <c r="D11" s="724"/>
      <c r="E11" s="724"/>
      <c r="F11" s="724"/>
      <c r="G11" s="724"/>
      <c r="H11" s="724"/>
      <c r="I11" s="724"/>
      <c r="J11" s="724"/>
      <c r="K11" s="724"/>
      <c r="L11" s="724"/>
      <c r="M11" s="724"/>
      <c r="N11" s="724"/>
      <c r="O11" s="724"/>
      <c r="P11" s="724"/>
      <c r="Q11" s="724"/>
      <c r="R11" s="725"/>
    </row>
    <row r="12" spans="2:18" ht="20.100000000000001" customHeight="1" x14ac:dyDescent="0.3">
      <c r="B12" s="1115" t="s">
        <v>2713</v>
      </c>
      <c r="C12" s="1115"/>
      <c r="D12" s="1115"/>
      <c r="E12" s="1115"/>
      <c r="F12" s="1115"/>
      <c r="G12" s="1115"/>
      <c r="H12" s="1115"/>
      <c r="I12" s="1115"/>
      <c r="J12" s="1105" t="s">
        <v>2714</v>
      </c>
      <c r="K12" s="1105"/>
      <c r="L12" s="1105"/>
      <c r="M12" s="1105"/>
      <c r="N12" s="1105"/>
      <c r="O12" s="1105"/>
      <c r="P12" s="1105"/>
      <c r="Q12" s="1105"/>
      <c r="R12" s="726"/>
    </row>
    <row r="13" spans="2:18" ht="15.75" customHeight="1" x14ac:dyDescent="0.25">
      <c r="B13" s="1116"/>
      <c r="C13" s="1116"/>
      <c r="D13" s="1116"/>
      <c r="E13" s="1116"/>
      <c r="F13" s="1116"/>
      <c r="G13" s="1116"/>
      <c r="H13" s="1116"/>
      <c r="I13" s="1116"/>
      <c r="J13" s="1117"/>
      <c r="K13" s="1117"/>
      <c r="L13" s="1117"/>
      <c r="M13" s="1117"/>
      <c r="N13" s="1117"/>
      <c r="O13" s="1117"/>
      <c r="P13" s="1117"/>
      <c r="Q13" s="1117"/>
      <c r="R13" s="727"/>
    </row>
    <row r="14" spans="2:18" ht="15.75" customHeight="1" x14ac:dyDescent="0.25">
      <c r="B14" s="1116"/>
      <c r="C14" s="1116"/>
      <c r="D14" s="1116"/>
      <c r="E14" s="1116"/>
      <c r="F14" s="1116"/>
      <c r="G14" s="1116"/>
      <c r="H14" s="1116"/>
      <c r="I14" s="1116"/>
      <c r="J14" s="1117"/>
      <c r="K14" s="1117"/>
      <c r="L14" s="1117"/>
      <c r="M14" s="1117"/>
      <c r="N14" s="1117"/>
      <c r="O14" s="1117"/>
      <c r="P14" s="1117"/>
      <c r="Q14" s="1117"/>
      <c r="R14" s="727"/>
    </row>
    <row r="15" spans="2:18" ht="15.75" customHeight="1" x14ac:dyDescent="0.3">
      <c r="B15" s="1139" t="str">
        <f>'General Summary '!D3</f>
        <v>اسم المشروع: تطوير شبكات البنية التحتية في المدينة الصناعية بالخرج</v>
      </c>
      <c r="C15" s="1139"/>
      <c r="D15" s="1139"/>
      <c r="E15" s="1139"/>
      <c r="F15" s="1139"/>
      <c r="G15" s="1139"/>
      <c r="H15" s="1139"/>
      <c r="I15" s="1139"/>
      <c r="J15" s="722"/>
      <c r="K15" s="722"/>
      <c r="L15" s="722"/>
      <c r="M15" s="722"/>
      <c r="N15" s="722" t="str">
        <f>'General Summary '!C3</f>
        <v>Development of Infrastructure in Kharj Industrial City</v>
      </c>
      <c r="O15" s="722"/>
      <c r="P15" s="722"/>
      <c r="Q15" s="722"/>
      <c r="R15" s="727"/>
    </row>
    <row r="16" spans="2:18" ht="33" customHeight="1" x14ac:dyDescent="0.3">
      <c r="B16" s="1109"/>
      <c r="C16" s="1109"/>
      <c r="D16" s="1109"/>
      <c r="E16" s="1109"/>
      <c r="F16" s="1109"/>
      <c r="G16" s="1109"/>
      <c r="H16" s="1109"/>
      <c r="I16" s="1109"/>
      <c r="J16" s="722"/>
      <c r="K16" s="722"/>
      <c r="L16" s="722"/>
      <c r="M16" s="722"/>
      <c r="N16" s="722"/>
      <c r="O16" s="722"/>
      <c r="P16" s="722"/>
      <c r="Q16" s="722"/>
      <c r="R16" s="727"/>
    </row>
    <row r="17" spans="2:18" ht="33" customHeight="1" x14ac:dyDescent="0.3">
      <c r="B17" s="722"/>
      <c r="C17" s="722"/>
      <c r="D17" s="722"/>
      <c r="E17" s="722"/>
      <c r="F17" s="722"/>
      <c r="G17" s="722"/>
      <c r="H17" s="722"/>
      <c r="I17" s="722"/>
      <c r="J17" s="722"/>
      <c r="K17" s="722"/>
      <c r="L17" s="722"/>
      <c r="M17" s="722"/>
      <c r="N17" s="722"/>
      <c r="O17" s="722"/>
      <c r="P17" s="722"/>
      <c r="Q17" s="722"/>
      <c r="R17" s="727"/>
    </row>
    <row r="18" spans="2:18" ht="33" customHeight="1" x14ac:dyDescent="0.3">
      <c r="B18" s="1110" t="s">
        <v>2715</v>
      </c>
      <c r="C18" s="1110"/>
      <c r="D18" s="1110"/>
      <c r="E18" s="1110"/>
      <c r="F18" s="1110"/>
      <c r="G18" s="1110"/>
      <c r="H18" s="1110"/>
      <c r="I18" s="1110"/>
      <c r="J18" s="1109" t="s">
        <v>2716</v>
      </c>
      <c r="K18" s="1109"/>
      <c r="L18" s="1109"/>
      <c r="M18" s="1109"/>
      <c r="N18" s="1109"/>
      <c r="O18" s="1109"/>
      <c r="P18" s="1109"/>
      <c r="Q18" s="1109"/>
      <c r="R18" s="728"/>
    </row>
    <row r="19" spans="2:18" ht="15.75" customHeight="1" x14ac:dyDescent="0.3">
      <c r="B19" s="1109"/>
      <c r="C19" s="1109"/>
      <c r="D19" s="1109"/>
      <c r="E19" s="1109"/>
      <c r="F19" s="1109"/>
      <c r="G19" s="1109"/>
      <c r="H19" s="1109"/>
      <c r="I19" s="1109"/>
      <c r="J19" s="1109"/>
      <c r="K19" s="1109"/>
      <c r="L19" s="1109"/>
      <c r="M19" s="1109"/>
      <c r="N19" s="1109"/>
      <c r="O19" s="1109"/>
      <c r="P19" s="1109"/>
      <c r="Q19" s="1109"/>
      <c r="R19" s="728"/>
    </row>
    <row r="20" spans="2:18" ht="18" x14ac:dyDescent="0.25">
      <c r="B20" s="729"/>
      <c r="C20" s="729"/>
      <c r="D20" s="729"/>
      <c r="E20" s="729"/>
      <c r="F20" s="729"/>
      <c r="G20" s="729"/>
      <c r="H20" s="729"/>
      <c r="I20" s="729"/>
      <c r="J20" s="729"/>
      <c r="K20" s="729"/>
      <c r="L20" s="729"/>
      <c r="M20" s="729"/>
      <c r="N20" s="729"/>
      <c r="O20" s="729"/>
      <c r="P20" s="729"/>
      <c r="Q20" s="729"/>
      <c r="R20" s="728"/>
    </row>
    <row r="21" spans="2:18" ht="18" x14ac:dyDescent="0.25">
      <c r="B21" s="729"/>
      <c r="C21" s="729"/>
      <c r="D21" s="729"/>
      <c r="E21" s="729"/>
      <c r="F21" s="729"/>
      <c r="G21" s="729"/>
      <c r="H21" s="729"/>
      <c r="I21" s="729"/>
      <c r="J21" s="729"/>
      <c r="K21" s="729"/>
      <c r="L21" s="729"/>
      <c r="M21" s="729"/>
      <c r="N21" s="729"/>
      <c r="O21" s="729"/>
      <c r="P21" s="729"/>
      <c r="Q21" s="729"/>
      <c r="R21" s="728"/>
    </row>
    <row r="22" spans="2:18" ht="18" x14ac:dyDescent="0.25">
      <c r="B22" s="729"/>
      <c r="C22" s="729"/>
      <c r="D22" s="729"/>
      <c r="E22" s="729"/>
      <c r="F22" s="729"/>
      <c r="G22" s="729"/>
      <c r="H22" s="729"/>
      <c r="I22" s="729"/>
      <c r="J22" s="729"/>
      <c r="K22" s="729"/>
      <c r="L22" s="729"/>
      <c r="M22" s="729"/>
      <c r="N22" s="729"/>
      <c r="O22" s="729"/>
      <c r="P22" s="729"/>
      <c r="Q22" s="729"/>
      <c r="R22" s="728"/>
    </row>
    <row r="23" spans="2:18" ht="18" x14ac:dyDescent="0.25">
      <c r="B23" s="1111" t="s">
        <v>26</v>
      </c>
      <c r="C23" s="1111"/>
      <c r="D23" s="1111"/>
      <c r="E23" s="1111"/>
      <c r="F23" s="1111"/>
      <c r="G23" s="1111"/>
      <c r="H23" s="1111"/>
      <c r="I23" s="1111"/>
      <c r="J23" s="1111" t="s">
        <v>2499</v>
      </c>
      <c r="K23" s="1111"/>
      <c r="L23" s="1111"/>
      <c r="M23" s="1111"/>
      <c r="N23" s="1111"/>
      <c r="O23" s="1111"/>
      <c r="P23" s="1111"/>
      <c r="Q23" s="1111"/>
      <c r="R23" s="731"/>
    </row>
    <row r="24" spans="2:18" ht="12.75" customHeight="1" x14ac:dyDescent="0.25">
      <c r="B24" s="730"/>
      <c r="C24" s="730"/>
      <c r="D24" s="730"/>
      <c r="E24" s="730"/>
      <c r="F24" s="730"/>
      <c r="G24" s="730"/>
      <c r="H24" s="730"/>
      <c r="I24" s="730"/>
      <c r="J24" s="730"/>
      <c r="K24" s="730"/>
      <c r="L24" s="730"/>
      <c r="M24" s="730"/>
      <c r="N24" s="730"/>
      <c r="O24" s="730"/>
      <c r="P24" s="730"/>
      <c r="Q24" s="730"/>
      <c r="R24" s="731"/>
    </row>
    <row r="25" spans="2:18" ht="12.75" customHeight="1" x14ac:dyDescent="0.25">
      <c r="B25" s="730"/>
      <c r="C25" s="730"/>
      <c r="D25" s="730"/>
      <c r="E25" s="730"/>
      <c r="F25" s="730"/>
      <c r="G25" s="730"/>
      <c r="H25" s="730"/>
      <c r="I25" s="730"/>
      <c r="J25" s="730"/>
      <c r="K25" s="730"/>
      <c r="L25" s="730"/>
      <c r="M25" s="730"/>
      <c r="N25" s="730"/>
      <c r="O25" s="730"/>
      <c r="P25" s="730"/>
      <c r="Q25" s="730"/>
      <c r="R25" s="731"/>
    </row>
    <row r="26" spans="2:18" ht="12.75" customHeight="1" x14ac:dyDescent="0.25">
      <c r="B26" s="730"/>
      <c r="C26" s="730"/>
      <c r="D26" s="730"/>
      <c r="E26" s="730"/>
      <c r="F26" s="730"/>
      <c r="G26" s="730"/>
      <c r="H26" s="730"/>
      <c r="I26" s="730"/>
      <c r="J26" s="730"/>
      <c r="K26" s="730"/>
      <c r="L26" s="730"/>
      <c r="M26" s="730"/>
      <c r="N26" s="730"/>
      <c r="O26" s="730"/>
      <c r="P26" s="730"/>
      <c r="Q26" s="730"/>
      <c r="R26" s="731"/>
    </row>
    <row r="27" spans="2:18" ht="18" x14ac:dyDescent="0.25">
      <c r="B27" s="730"/>
      <c r="C27" s="730"/>
      <c r="D27" s="730"/>
      <c r="E27" s="730"/>
      <c r="F27" s="730"/>
      <c r="G27" s="730"/>
      <c r="H27" s="730"/>
      <c r="I27" s="730"/>
      <c r="J27" s="730"/>
      <c r="K27" s="730"/>
      <c r="L27" s="730"/>
      <c r="M27" s="730"/>
      <c r="N27" s="730"/>
      <c r="O27" s="730"/>
      <c r="P27" s="730"/>
      <c r="Q27" s="730"/>
      <c r="R27" s="731"/>
    </row>
    <row r="28" spans="2:18" ht="20.25" x14ac:dyDescent="0.3">
      <c r="B28" s="1105" t="s">
        <v>2797</v>
      </c>
      <c r="C28" s="1105"/>
      <c r="D28" s="1105"/>
      <c r="E28" s="1105"/>
      <c r="F28" s="1105"/>
      <c r="G28" s="1105"/>
      <c r="H28" s="1105"/>
      <c r="I28" s="1105"/>
      <c r="J28" s="1106">
        <v>45972</v>
      </c>
      <c r="K28" s="1107"/>
      <c r="L28" s="1107"/>
      <c r="M28" s="1107"/>
      <c r="N28" s="1107"/>
      <c r="O28" s="1107"/>
      <c r="P28" s="1107"/>
      <c r="Q28" s="1107"/>
      <c r="R28" s="731"/>
    </row>
    <row r="29" spans="2:18" ht="12.75" customHeight="1" x14ac:dyDescent="0.25">
      <c r="B29" s="730"/>
      <c r="C29" s="730"/>
      <c r="D29" s="730"/>
      <c r="E29" s="730"/>
      <c r="F29" s="730"/>
      <c r="G29" s="730"/>
      <c r="H29" s="730"/>
      <c r="I29" s="730"/>
      <c r="J29" s="730"/>
      <c r="K29" s="730"/>
      <c r="L29" s="730"/>
      <c r="M29" s="730"/>
      <c r="N29" s="730"/>
      <c r="O29" s="730"/>
      <c r="P29" s="730"/>
      <c r="Q29" s="730"/>
      <c r="R29" s="731"/>
    </row>
    <row r="30" spans="2:18" ht="18" x14ac:dyDescent="0.25">
      <c r="B30" s="730"/>
      <c r="C30" s="730"/>
      <c r="D30" s="730"/>
      <c r="E30" s="730"/>
      <c r="F30" s="730"/>
      <c r="G30" s="730"/>
      <c r="H30" s="730"/>
      <c r="I30" s="730"/>
      <c r="J30" s="730"/>
      <c r="K30" s="730"/>
      <c r="L30" s="730"/>
      <c r="M30" s="730"/>
      <c r="N30" s="730"/>
      <c r="O30" s="730"/>
      <c r="P30" s="730"/>
      <c r="Q30" s="730"/>
      <c r="R30" s="731"/>
    </row>
    <row r="31" spans="2:18" ht="12.75" customHeight="1" x14ac:dyDescent="0.25">
      <c r="B31" s="730"/>
      <c r="C31" s="730"/>
      <c r="D31" s="730"/>
      <c r="E31" s="730"/>
      <c r="F31" s="730"/>
      <c r="G31" s="730"/>
      <c r="H31" s="730"/>
      <c r="I31" s="730"/>
      <c r="J31" s="730"/>
      <c r="K31" s="730"/>
      <c r="L31" s="730"/>
      <c r="M31" s="730"/>
      <c r="N31" s="730"/>
      <c r="O31" s="730"/>
      <c r="P31" s="730"/>
      <c r="Q31" s="730"/>
      <c r="R31" s="731"/>
    </row>
    <row r="32" spans="2:18" ht="18" customHeight="1" x14ac:dyDescent="0.25">
      <c r="B32" s="1108"/>
      <c r="C32" s="1108"/>
      <c r="D32" s="1108"/>
      <c r="E32" s="1108"/>
      <c r="F32" s="1108"/>
      <c r="G32" s="1108"/>
      <c r="H32" s="1108"/>
      <c r="I32" s="1108"/>
      <c r="J32" s="1108"/>
      <c r="K32" s="1108"/>
      <c r="L32" s="1108"/>
      <c r="M32" s="1108"/>
      <c r="N32" s="1108"/>
      <c r="O32" s="1108"/>
      <c r="P32" s="1108"/>
      <c r="Q32" s="1108"/>
      <c r="R32" s="731"/>
    </row>
    <row r="33" spans="2:18" ht="12.75" customHeight="1" x14ac:dyDescent="0.2">
      <c r="B33" s="1108"/>
      <c r="C33" s="1108"/>
      <c r="D33" s="1108"/>
      <c r="E33" s="1108"/>
      <c r="F33" s="1108"/>
      <c r="G33" s="1108"/>
      <c r="H33" s="1108"/>
      <c r="I33" s="1108"/>
      <c r="J33" s="1108"/>
      <c r="K33" s="1108"/>
      <c r="L33" s="1108"/>
      <c r="M33" s="1108"/>
      <c r="N33" s="1108"/>
      <c r="O33" s="1108"/>
      <c r="P33" s="1108"/>
      <c r="Q33" s="1108"/>
      <c r="R33" s="719"/>
    </row>
    <row r="34" spans="2:18" x14ac:dyDescent="0.2">
      <c r="B34" s="1108"/>
      <c r="C34" s="1108"/>
      <c r="D34" s="1108"/>
      <c r="E34" s="1108"/>
      <c r="F34" s="1108"/>
      <c r="G34" s="1108"/>
      <c r="H34" s="1108"/>
      <c r="I34" s="1108"/>
      <c r="J34" s="1108"/>
      <c r="K34" s="1108"/>
      <c r="L34" s="1108"/>
      <c r="M34" s="1108"/>
      <c r="N34" s="1108"/>
      <c r="O34" s="1108"/>
      <c r="P34" s="1108"/>
      <c r="Q34" s="1108"/>
      <c r="R34" s="719"/>
    </row>
    <row r="35" spans="2:18" ht="12.75" customHeight="1" x14ac:dyDescent="0.2">
      <c r="B35" s="1108"/>
      <c r="C35" s="1108"/>
      <c r="D35" s="1108"/>
      <c r="E35" s="1108"/>
      <c r="F35" s="1108"/>
      <c r="G35" s="1108"/>
      <c r="H35" s="1108"/>
      <c r="I35" s="1108"/>
      <c r="J35" s="1108"/>
      <c r="K35" s="1108"/>
      <c r="L35" s="1108"/>
      <c r="M35" s="1108"/>
      <c r="N35" s="1108"/>
      <c r="O35" s="1108"/>
      <c r="P35" s="1108"/>
      <c r="Q35" s="1108"/>
      <c r="R35" s="719"/>
    </row>
    <row r="36" spans="2:18" x14ac:dyDescent="0.2">
      <c r="B36" s="1108"/>
      <c r="C36" s="1108"/>
      <c r="D36" s="1108"/>
      <c r="E36" s="1108"/>
      <c r="F36" s="1108"/>
      <c r="G36" s="1108"/>
      <c r="H36" s="1108"/>
      <c r="I36" s="1108"/>
      <c r="J36" s="1108"/>
      <c r="K36" s="1108"/>
      <c r="L36" s="1108"/>
      <c r="M36" s="1108"/>
      <c r="N36" s="1108"/>
      <c r="O36" s="1108"/>
      <c r="P36" s="1108"/>
      <c r="Q36" s="1108"/>
      <c r="R36" s="719"/>
    </row>
    <row r="37" spans="2:18" ht="12.75" customHeight="1" x14ac:dyDescent="0.2">
      <c r="B37" s="1108"/>
      <c r="C37" s="1108"/>
      <c r="D37" s="1108"/>
      <c r="E37" s="1108"/>
      <c r="F37" s="1108"/>
      <c r="G37" s="1108"/>
      <c r="H37" s="1108"/>
      <c r="I37" s="1108"/>
      <c r="J37" s="1108"/>
      <c r="K37" s="1108"/>
      <c r="L37" s="1108"/>
      <c r="M37" s="1108"/>
      <c r="N37" s="1108"/>
      <c r="O37" s="1108"/>
      <c r="P37" s="1108"/>
      <c r="Q37" s="1108"/>
      <c r="R37" s="719"/>
    </row>
    <row r="38" spans="2:18" ht="12.75" customHeight="1" x14ac:dyDescent="0.2">
      <c r="B38" s="1108"/>
      <c r="C38" s="1108"/>
      <c r="D38" s="1108"/>
      <c r="E38" s="1108"/>
      <c r="F38" s="1108"/>
      <c r="G38" s="1108"/>
      <c r="H38" s="1108"/>
      <c r="I38" s="1108"/>
      <c r="J38" s="1108"/>
      <c r="K38" s="1108"/>
      <c r="L38" s="1108"/>
      <c r="M38" s="1108"/>
      <c r="N38" s="1108"/>
      <c r="O38" s="1108"/>
      <c r="P38" s="1108"/>
      <c r="Q38" s="1108"/>
      <c r="R38" s="719"/>
    </row>
    <row r="39" spans="2:18" ht="12.75" customHeight="1" x14ac:dyDescent="0.2">
      <c r="B39" s="1108"/>
      <c r="C39" s="1108"/>
      <c r="D39" s="1108"/>
      <c r="E39" s="1108"/>
      <c r="F39" s="1108"/>
      <c r="G39" s="1108"/>
      <c r="H39" s="1108"/>
      <c r="I39" s="1108"/>
      <c r="J39" s="1108"/>
      <c r="K39" s="1108"/>
      <c r="L39" s="1108"/>
      <c r="M39" s="1108"/>
      <c r="N39" s="1108"/>
      <c r="O39" s="1108"/>
      <c r="P39" s="1108"/>
      <c r="Q39" s="1108"/>
    </row>
    <row r="40" spans="2:18" x14ac:dyDescent="0.2">
      <c r="B40" s="1108"/>
      <c r="C40" s="1108"/>
      <c r="D40" s="1108"/>
      <c r="E40" s="1108"/>
      <c r="F40" s="1108"/>
      <c r="G40" s="1108"/>
      <c r="H40" s="1108"/>
      <c r="I40" s="1108"/>
      <c r="J40" s="1108"/>
      <c r="K40" s="1108"/>
      <c r="L40" s="1108"/>
      <c r="M40" s="1108"/>
      <c r="N40" s="1108"/>
      <c r="O40" s="1108"/>
      <c r="P40" s="1108"/>
      <c r="Q40" s="1108"/>
    </row>
    <row r="41" spans="2:18" ht="12.75" customHeight="1" x14ac:dyDescent="0.2">
      <c r="B41" s="1108"/>
      <c r="C41" s="1108"/>
      <c r="D41" s="1108"/>
      <c r="E41" s="1108"/>
      <c r="F41" s="1108"/>
      <c r="G41" s="1108"/>
      <c r="H41" s="1108"/>
      <c r="I41" s="1108"/>
      <c r="J41" s="1108"/>
      <c r="K41" s="1108"/>
      <c r="L41" s="1108"/>
      <c r="M41" s="1108"/>
      <c r="N41" s="1108"/>
      <c r="O41" s="1108"/>
      <c r="P41" s="1108"/>
      <c r="Q41" s="1108"/>
    </row>
    <row r="43" spans="2:18" ht="12.75" customHeight="1" x14ac:dyDescent="0.2"/>
    <row r="44" spans="2:18" x14ac:dyDescent="0.2">
      <c r="R44" s="732"/>
    </row>
    <row r="45" spans="2:18" ht="12.75" customHeight="1" x14ac:dyDescent="0.2"/>
    <row r="50" spans="12:15" ht="15" x14ac:dyDescent="0.25">
      <c r="L50" s="468"/>
      <c r="M50" s="468"/>
      <c r="N50" s="468"/>
      <c r="O50" s="468"/>
    </row>
    <row r="51" spans="12:15" ht="15" x14ac:dyDescent="0.25">
      <c r="L51" s="468"/>
      <c r="M51" s="468"/>
      <c r="N51" s="468"/>
      <c r="O51" s="468"/>
    </row>
    <row r="52" spans="12:15" ht="15" x14ac:dyDescent="0.25">
      <c r="L52" s="468"/>
      <c r="M52" s="468"/>
      <c r="N52" s="468"/>
      <c r="O52" s="468"/>
    </row>
    <row r="53" spans="12:15" ht="15" x14ac:dyDescent="0.25">
      <c r="L53" s="468"/>
      <c r="M53" s="468"/>
      <c r="N53" s="468"/>
      <c r="O53" s="468"/>
    </row>
    <row r="54" spans="12:15" ht="15" x14ac:dyDescent="0.25">
      <c r="L54" s="468"/>
      <c r="M54" s="468"/>
      <c r="N54" s="468"/>
      <c r="O54" s="468"/>
    </row>
  </sheetData>
  <mergeCells count="22">
    <mergeCell ref="B15:I15"/>
    <mergeCell ref="B2:I2"/>
    <mergeCell ref="J2:R2"/>
    <mergeCell ref="B4:I4"/>
    <mergeCell ref="J4:Q4"/>
    <mergeCell ref="B5:I5"/>
    <mergeCell ref="J5:Q5"/>
    <mergeCell ref="B10:I10"/>
    <mergeCell ref="B12:I12"/>
    <mergeCell ref="J12:Q12"/>
    <mergeCell ref="B13:I14"/>
    <mergeCell ref="J13:Q14"/>
    <mergeCell ref="B28:I28"/>
    <mergeCell ref="J28:Q28"/>
    <mergeCell ref="B32:Q41"/>
    <mergeCell ref="B16:I16"/>
    <mergeCell ref="B18:I18"/>
    <mergeCell ref="J18:Q18"/>
    <mergeCell ref="B19:I19"/>
    <mergeCell ref="J19:Q19"/>
    <mergeCell ref="B23:I23"/>
    <mergeCell ref="J23:Q23"/>
  </mergeCells>
  <printOptions horizontalCentered="1"/>
  <pageMargins left="0.47244094488188998" right="0.57999999999999996" top="0.42" bottom="0.39370078740157499" header="0.27559055118110198" footer="0.196850393700787"/>
  <pageSetup paperSize="9" scale="71" firstPageNumber="58"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C03E-1D9A-44BF-B800-974B05A8B4BE}">
  <sheetPr>
    <tabColor rgb="FF00B050"/>
  </sheetPr>
  <dimension ref="A1:E93"/>
  <sheetViews>
    <sheetView view="pageBreakPreview" zoomScale="85" zoomScaleNormal="100" zoomScaleSheetLayoutView="85" workbookViewId="0">
      <pane ySplit="5" topLeftCell="A11" activePane="bottomLeft" state="frozen"/>
      <selection activeCell="J29" sqref="J29"/>
      <selection pane="bottomLeft" activeCell="A2" sqref="A2"/>
    </sheetView>
  </sheetViews>
  <sheetFormatPr defaultColWidth="9.140625" defaultRowHeight="12.75" x14ac:dyDescent="0.2"/>
  <cols>
    <col min="1" max="1" width="27.85546875" style="713" customWidth="1"/>
    <col min="2" max="2" width="82.28515625" style="788" customWidth="1"/>
    <col min="3" max="3" width="109.7109375" style="682" customWidth="1"/>
    <col min="4" max="4" width="42" style="715" customWidth="1"/>
    <col min="5" max="16384" width="9.140625" style="683"/>
  </cols>
  <sheetData>
    <row r="1" spans="1:5" s="735" customFormat="1" ht="54" x14ac:dyDescent="0.25">
      <c r="A1" s="758" t="s">
        <v>2791</v>
      </c>
      <c r="B1" s="759"/>
      <c r="C1" s="733"/>
      <c r="D1" s="757" t="str">
        <f>'General Summary '!C3</f>
        <v>Development of Infrastructure in Kharj Industrial City</v>
      </c>
      <c r="E1" s="734"/>
    </row>
    <row r="2" spans="1:5" s="735" customFormat="1" ht="18" x14ac:dyDescent="0.25">
      <c r="A2" s="736" t="s">
        <v>26</v>
      </c>
      <c r="B2" s="737"/>
      <c r="C2" s="737"/>
      <c r="D2" s="738" t="s">
        <v>27</v>
      </c>
      <c r="E2" s="734"/>
    </row>
    <row r="3" spans="1:5" s="670" customFormat="1" ht="18" x14ac:dyDescent="0.25">
      <c r="A3" s="739"/>
      <c r="B3" s="737"/>
      <c r="C3" s="737"/>
      <c r="D3" s="738"/>
      <c r="E3" s="669"/>
    </row>
    <row r="4" spans="1:5" s="670" customFormat="1" ht="18" x14ac:dyDescent="0.25">
      <c r="A4" s="739"/>
      <c r="B4" s="737"/>
      <c r="C4" s="737"/>
      <c r="D4" s="738"/>
      <c r="E4" s="669"/>
    </row>
    <row r="5" spans="1:5" s="670" customFormat="1" ht="18.75" thickBot="1" x14ac:dyDescent="0.3">
      <c r="A5" s="739"/>
      <c r="B5" s="740" t="s">
        <v>2500</v>
      </c>
      <c r="C5" s="740" t="s">
        <v>2501</v>
      </c>
      <c r="D5" s="738"/>
      <c r="E5" s="669"/>
    </row>
    <row r="6" spans="1:5" s="677" customFormat="1" ht="36" customHeight="1" x14ac:dyDescent="0.2">
      <c r="A6" s="741"/>
      <c r="B6" s="760" t="s">
        <v>2502</v>
      </c>
      <c r="C6" s="761" t="s">
        <v>2503</v>
      </c>
      <c r="D6" s="742"/>
      <c r="E6" s="676"/>
    </row>
    <row r="7" spans="1:5" ht="84" customHeight="1" x14ac:dyDescent="0.2">
      <c r="A7" s="743">
        <v>1.1000000000000001</v>
      </c>
      <c r="B7" s="762" t="s">
        <v>2504</v>
      </c>
      <c r="C7" s="763" t="s">
        <v>2505</v>
      </c>
      <c r="D7" s="744">
        <v>1.1000000000000001</v>
      </c>
      <c r="E7" s="682"/>
    </row>
    <row r="8" spans="1:5" ht="141.75" customHeight="1" x14ac:dyDescent="0.2">
      <c r="A8" s="743">
        <v>1.2</v>
      </c>
      <c r="B8" s="764" t="s">
        <v>2506</v>
      </c>
      <c r="C8" s="763" t="s">
        <v>2507</v>
      </c>
      <c r="D8" s="744">
        <v>1.2</v>
      </c>
      <c r="E8" s="682"/>
    </row>
    <row r="9" spans="1:5" ht="50.25" customHeight="1" x14ac:dyDescent="0.2">
      <c r="A9" s="743">
        <v>1.3</v>
      </c>
      <c r="B9" s="764" t="s">
        <v>2508</v>
      </c>
      <c r="C9" s="763" t="s">
        <v>2509</v>
      </c>
      <c r="D9" s="744">
        <v>1.3</v>
      </c>
      <c r="E9" s="682"/>
    </row>
    <row r="10" spans="1:5" ht="120" x14ac:dyDescent="0.2">
      <c r="A10" s="743">
        <v>1.4</v>
      </c>
      <c r="B10" s="764" t="s">
        <v>2510</v>
      </c>
      <c r="C10" s="765" t="s">
        <v>2511</v>
      </c>
      <c r="D10" s="744">
        <v>1.4</v>
      </c>
      <c r="E10" s="682"/>
    </row>
    <row r="11" spans="1:5" ht="48.75" customHeight="1" x14ac:dyDescent="0.2">
      <c r="A11" s="743">
        <v>1.5</v>
      </c>
      <c r="B11" s="764" t="s">
        <v>2512</v>
      </c>
      <c r="C11" s="763" t="s">
        <v>2513</v>
      </c>
      <c r="D11" s="744">
        <v>1.5</v>
      </c>
      <c r="E11" s="682"/>
    </row>
    <row r="12" spans="1:5" ht="56.25" customHeight="1" x14ac:dyDescent="0.2">
      <c r="A12" s="743">
        <v>1.6</v>
      </c>
      <c r="B12" s="764" t="s">
        <v>2514</v>
      </c>
      <c r="C12" s="763" t="s">
        <v>2515</v>
      </c>
      <c r="D12" s="744">
        <v>1.6</v>
      </c>
      <c r="E12" s="682"/>
    </row>
    <row r="13" spans="1:5" ht="36.75" customHeight="1" x14ac:dyDescent="0.2">
      <c r="A13" s="743">
        <v>1.7</v>
      </c>
      <c r="B13" s="764" t="s">
        <v>2516</v>
      </c>
      <c r="C13" s="763" t="s">
        <v>2517</v>
      </c>
      <c r="D13" s="744">
        <v>1.7</v>
      </c>
      <c r="E13" s="682"/>
    </row>
    <row r="14" spans="1:5" ht="33.75" customHeight="1" x14ac:dyDescent="0.2">
      <c r="A14" s="743">
        <v>1.8</v>
      </c>
      <c r="B14" s="764" t="s">
        <v>2518</v>
      </c>
      <c r="C14" s="763" t="s">
        <v>2519</v>
      </c>
      <c r="D14" s="744">
        <v>1.8</v>
      </c>
      <c r="E14" s="682"/>
    </row>
    <row r="15" spans="1:5" ht="25.5" customHeight="1" x14ac:dyDescent="0.2">
      <c r="A15" s="743" t="s">
        <v>2520</v>
      </c>
      <c r="B15" s="764" t="s">
        <v>2521</v>
      </c>
      <c r="C15" s="763" t="s">
        <v>2522</v>
      </c>
      <c r="D15" s="744" t="s">
        <v>2520</v>
      </c>
      <c r="E15" s="682"/>
    </row>
    <row r="16" spans="1:5" ht="99" customHeight="1" x14ac:dyDescent="0.2">
      <c r="A16" s="743" t="s">
        <v>2523</v>
      </c>
      <c r="B16" s="764" t="s">
        <v>2524</v>
      </c>
      <c r="C16" s="763" t="s">
        <v>2525</v>
      </c>
      <c r="D16" s="744" t="s">
        <v>2523</v>
      </c>
      <c r="E16" s="682"/>
    </row>
    <row r="17" spans="1:5" ht="38.25" customHeight="1" x14ac:dyDescent="0.2">
      <c r="A17" s="743" t="s">
        <v>2526</v>
      </c>
      <c r="B17" s="764" t="s">
        <v>2527</v>
      </c>
      <c r="C17" s="763" t="s">
        <v>2717</v>
      </c>
      <c r="D17" s="744" t="s">
        <v>2526</v>
      </c>
      <c r="E17" s="682"/>
    </row>
    <row r="18" spans="1:5" ht="30" customHeight="1" x14ac:dyDescent="0.2">
      <c r="A18" s="745"/>
      <c r="B18" s="766" t="s">
        <v>2529</v>
      </c>
      <c r="C18" s="767" t="s">
        <v>2530</v>
      </c>
      <c r="D18" s="746"/>
      <c r="E18" s="682"/>
    </row>
    <row r="19" spans="1:5" ht="60" customHeight="1" x14ac:dyDescent="0.2">
      <c r="A19" s="743">
        <v>2.1</v>
      </c>
      <c r="B19" s="764" t="s">
        <v>2531</v>
      </c>
      <c r="C19" s="765" t="s">
        <v>2532</v>
      </c>
      <c r="D19" s="744">
        <v>2.1</v>
      </c>
      <c r="E19" s="682"/>
    </row>
    <row r="20" spans="1:5" ht="43.5" customHeight="1" x14ac:dyDescent="0.2">
      <c r="A20" s="743">
        <v>2.2000000000000002</v>
      </c>
      <c r="B20" s="764" t="s">
        <v>2533</v>
      </c>
      <c r="C20" s="765" t="s">
        <v>2534</v>
      </c>
      <c r="D20" s="744">
        <v>2.2000000000000002</v>
      </c>
      <c r="E20" s="682"/>
    </row>
    <row r="21" spans="1:5" ht="36.75" customHeight="1" x14ac:dyDescent="0.2">
      <c r="A21" s="743">
        <v>2.2999999999999998</v>
      </c>
      <c r="B21" s="764" t="s">
        <v>2535</v>
      </c>
      <c r="C21" s="765" t="s">
        <v>2536</v>
      </c>
      <c r="D21" s="744">
        <v>2.2999999999999998</v>
      </c>
      <c r="E21" s="682"/>
    </row>
    <row r="22" spans="1:5" ht="64.5" customHeight="1" x14ac:dyDescent="0.2">
      <c r="A22" s="743">
        <v>2.4</v>
      </c>
      <c r="B22" s="768" t="s">
        <v>2537</v>
      </c>
      <c r="C22" s="769" t="s">
        <v>2538</v>
      </c>
      <c r="D22" s="744">
        <v>2.4</v>
      </c>
      <c r="E22" s="682"/>
    </row>
    <row r="23" spans="1:5" ht="45" x14ac:dyDescent="0.2">
      <c r="A23" s="743">
        <v>2.5</v>
      </c>
      <c r="B23" s="764" t="s">
        <v>2539</v>
      </c>
      <c r="C23" s="770" t="s">
        <v>2540</v>
      </c>
      <c r="D23" s="744">
        <v>2.5</v>
      </c>
      <c r="E23" s="682"/>
    </row>
    <row r="24" spans="1:5" ht="63" customHeight="1" x14ac:dyDescent="0.2">
      <c r="A24" s="743">
        <v>2.6</v>
      </c>
      <c r="B24" s="764" t="s">
        <v>2541</v>
      </c>
      <c r="C24" s="765" t="s">
        <v>2542</v>
      </c>
      <c r="D24" s="744">
        <v>2.6</v>
      </c>
      <c r="E24" s="682"/>
    </row>
    <row r="25" spans="1:5" ht="47.25" customHeight="1" x14ac:dyDescent="0.2">
      <c r="A25" s="743">
        <v>2.7</v>
      </c>
      <c r="B25" s="764" t="s">
        <v>2543</v>
      </c>
      <c r="C25" s="765" t="s">
        <v>2544</v>
      </c>
      <c r="D25" s="744">
        <v>2.7</v>
      </c>
      <c r="E25" s="682"/>
    </row>
    <row r="26" spans="1:5" ht="61.5" customHeight="1" x14ac:dyDescent="0.2">
      <c r="A26" s="743">
        <v>2.8</v>
      </c>
      <c r="B26" s="764" t="s">
        <v>2545</v>
      </c>
      <c r="C26" s="765" t="s">
        <v>2718</v>
      </c>
      <c r="D26" s="744">
        <v>2.8</v>
      </c>
      <c r="E26" s="682"/>
    </row>
    <row r="27" spans="1:5" ht="81" customHeight="1" x14ac:dyDescent="0.2">
      <c r="A27" s="743">
        <v>2.9</v>
      </c>
      <c r="B27" s="764" t="s">
        <v>2547</v>
      </c>
      <c r="C27" s="765" t="s">
        <v>2548</v>
      </c>
      <c r="D27" s="744">
        <v>2.9</v>
      </c>
      <c r="E27" s="682"/>
    </row>
    <row r="28" spans="1:5" ht="60" customHeight="1" x14ac:dyDescent="0.2">
      <c r="A28" s="743" t="s">
        <v>2549</v>
      </c>
      <c r="B28" s="764" t="s">
        <v>2550</v>
      </c>
      <c r="C28" s="765" t="s">
        <v>2551</v>
      </c>
      <c r="D28" s="744" t="s">
        <v>2549</v>
      </c>
      <c r="E28" s="682"/>
    </row>
    <row r="29" spans="1:5" ht="60" customHeight="1" x14ac:dyDescent="0.2">
      <c r="A29" s="743">
        <v>2.11</v>
      </c>
      <c r="B29" s="764" t="s">
        <v>2552</v>
      </c>
      <c r="C29" s="765" t="s">
        <v>2553</v>
      </c>
      <c r="D29" s="744">
        <v>2.11</v>
      </c>
      <c r="E29" s="682"/>
    </row>
    <row r="30" spans="1:5" ht="31.5" customHeight="1" x14ac:dyDescent="0.2">
      <c r="A30" s="743" t="s">
        <v>2554</v>
      </c>
      <c r="B30" s="764" t="s">
        <v>2555</v>
      </c>
      <c r="C30" s="765" t="s">
        <v>2556</v>
      </c>
      <c r="D30" s="744" t="s">
        <v>2554</v>
      </c>
      <c r="E30" s="682"/>
    </row>
    <row r="31" spans="1:5" ht="30" customHeight="1" x14ac:dyDescent="0.2">
      <c r="A31" s="745"/>
      <c r="B31" s="766" t="s">
        <v>2557</v>
      </c>
      <c r="C31" s="767" t="s">
        <v>2558</v>
      </c>
      <c r="D31" s="746"/>
      <c r="E31" s="682"/>
    </row>
    <row r="32" spans="1:5" ht="15.75" x14ac:dyDescent="0.2">
      <c r="A32" s="1118" t="s">
        <v>2559</v>
      </c>
      <c r="B32" s="771" t="s">
        <v>2560</v>
      </c>
      <c r="C32" s="772" t="s">
        <v>2561</v>
      </c>
      <c r="D32" s="1119" t="s">
        <v>2559</v>
      </c>
      <c r="E32" s="682"/>
    </row>
    <row r="33" spans="1:5" ht="218.25" customHeight="1" x14ac:dyDescent="0.2">
      <c r="A33" s="1118"/>
      <c r="B33" s="773" t="s">
        <v>2562</v>
      </c>
      <c r="C33" s="774" t="s">
        <v>2563</v>
      </c>
      <c r="D33" s="1119"/>
      <c r="E33" s="682"/>
    </row>
    <row r="34" spans="1:5" ht="36.75" customHeight="1" x14ac:dyDescent="0.2">
      <c r="A34" s="1118" t="s">
        <v>2564</v>
      </c>
      <c r="B34" s="771" t="s">
        <v>2565</v>
      </c>
      <c r="C34" s="772" t="s">
        <v>2566</v>
      </c>
      <c r="D34" s="744" t="s">
        <v>2564</v>
      </c>
      <c r="E34" s="682"/>
    </row>
    <row r="35" spans="1:5" ht="225" x14ac:dyDescent="0.2">
      <c r="A35" s="1118"/>
      <c r="B35" s="773" t="s">
        <v>2567</v>
      </c>
      <c r="C35" s="765" t="s">
        <v>2568</v>
      </c>
      <c r="D35" s="744"/>
      <c r="E35" s="682"/>
    </row>
    <row r="36" spans="1:5" ht="15.75" x14ac:dyDescent="0.2">
      <c r="A36" s="1118" t="s">
        <v>2569</v>
      </c>
      <c r="B36" s="771" t="s">
        <v>2570</v>
      </c>
      <c r="C36" s="772" t="s">
        <v>2571</v>
      </c>
      <c r="D36" s="1119" t="s">
        <v>2569</v>
      </c>
      <c r="E36" s="682"/>
    </row>
    <row r="37" spans="1:5" ht="135" x14ac:dyDescent="0.2">
      <c r="A37" s="1118"/>
      <c r="B37" s="773" t="s">
        <v>2572</v>
      </c>
      <c r="C37" s="763" t="s">
        <v>2573</v>
      </c>
      <c r="D37" s="1119"/>
      <c r="E37" s="682"/>
    </row>
    <row r="38" spans="1:5" ht="34.5" customHeight="1" x14ac:dyDescent="0.2">
      <c r="A38" s="1118" t="s">
        <v>2574</v>
      </c>
      <c r="B38" s="771" t="s">
        <v>2575</v>
      </c>
      <c r="C38" s="772" t="s">
        <v>1904</v>
      </c>
      <c r="D38" s="1119" t="s">
        <v>2574</v>
      </c>
      <c r="E38" s="682"/>
    </row>
    <row r="39" spans="1:5" ht="135" x14ac:dyDescent="0.2">
      <c r="A39" s="1118"/>
      <c r="B39" s="773" t="s">
        <v>2576</v>
      </c>
      <c r="C39" s="765" t="s">
        <v>2577</v>
      </c>
      <c r="D39" s="1119"/>
      <c r="E39" s="682"/>
    </row>
    <row r="40" spans="1:5" ht="45" customHeight="1" x14ac:dyDescent="0.2">
      <c r="A40" s="743" t="s">
        <v>2578</v>
      </c>
      <c r="B40" s="768" t="s">
        <v>2579</v>
      </c>
      <c r="C40" s="775" t="s">
        <v>2580</v>
      </c>
      <c r="D40" s="744" t="s">
        <v>2578</v>
      </c>
      <c r="E40" s="682"/>
    </row>
    <row r="41" spans="1:5" ht="39.75" customHeight="1" x14ac:dyDescent="0.2">
      <c r="A41" s="743" t="s">
        <v>2581</v>
      </c>
      <c r="B41" s="776" t="s">
        <v>2582</v>
      </c>
      <c r="C41" s="777" t="s">
        <v>2583</v>
      </c>
      <c r="D41" s="744" t="s">
        <v>2581</v>
      </c>
      <c r="E41" s="682"/>
    </row>
    <row r="42" spans="1:5" ht="49.5" customHeight="1" x14ac:dyDescent="0.2">
      <c r="A42" s="743" t="s">
        <v>2584</v>
      </c>
      <c r="B42" s="764" t="s">
        <v>2585</v>
      </c>
      <c r="C42" s="763" t="s">
        <v>2586</v>
      </c>
      <c r="D42" s="744" t="s">
        <v>2584</v>
      </c>
      <c r="E42" s="682"/>
    </row>
    <row r="43" spans="1:5" ht="44.25" customHeight="1" x14ac:dyDescent="0.2">
      <c r="A43" s="743" t="s">
        <v>2587</v>
      </c>
      <c r="B43" s="764" t="s">
        <v>2585</v>
      </c>
      <c r="C43" s="763" t="s">
        <v>2586</v>
      </c>
      <c r="D43" s="744" t="s">
        <v>2587</v>
      </c>
      <c r="E43" s="682"/>
    </row>
    <row r="44" spans="1:5" ht="45.75" customHeight="1" x14ac:dyDescent="0.2">
      <c r="A44" s="743"/>
      <c r="B44" s="766" t="s">
        <v>2588</v>
      </c>
      <c r="C44" s="767" t="s">
        <v>2589</v>
      </c>
      <c r="D44" s="744"/>
      <c r="E44" s="682"/>
    </row>
    <row r="45" spans="1:5" ht="42" customHeight="1" x14ac:dyDescent="0.2">
      <c r="A45" s="743" t="s">
        <v>2590</v>
      </c>
      <c r="B45" s="764" t="s">
        <v>2591</v>
      </c>
      <c r="C45" s="763" t="s">
        <v>2592</v>
      </c>
      <c r="D45" s="744" t="s">
        <v>2590</v>
      </c>
      <c r="E45" s="682"/>
    </row>
    <row r="46" spans="1:5" s="701" customFormat="1" ht="20.25" customHeight="1" x14ac:dyDescent="0.2">
      <c r="A46" s="743"/>
      <c r="B46" s="766" t="s">
        <v>134</v>
      </c>
      <c r="C46" s="778" t="s">
        <v>135</v>
      </c>
      <c r="D46" s="744"/>
    </row>
    <row r="47" spans="1:5" s="702" customFormat="1" ht="30" customHeight="1" x14ac:dyDescent="0.2">
      <c r="A47" s="747"/>
      <c r="B47" s="779" t="s">
        <v>2593</v>
      </c>
      <c r="C47" s="780" t="s">
        <v>2594</v>
      </c>
      <c r="D47" s="748"/>
    </row>
    <row r="48" spans="1:5" s="702" customFormat="1" ht="15" hidden="1" customHeight="1" x14ac:dyDescent="0.2">
      <c r="A48" s="743" t="s">
        <v>2595</v>
      </c>
      <c r="B48" s="764" t="s">
        <v>2596</v>
      </c>
      <c r="C48" s="763" t="s">
        <v>2597</v>
      </c>
      <c r="D48" s="744" t="s">
        <v>2595</v>
      </c>
    </row>
    <row r="49" spans="1:5" s="702" customFormat="1" ht="64.5" customHeight="1" x14ac:dyDescent="0.2">
      <c r="A49" s="743" t="s">
        <v>2595</v>
      </c>
      <c r="B49" s="764" t="s">
        <v>2596</v>
      </c>
      <c r="C49" s="765" t="s">
        <v>2597</v>
      </c>
      <c r="D49" s="744" t="s">
        <v>2595</v>
      </c>
    </row>
    <row r="50" spans="1:5" s="702" customFormat="1" ht="51" customHeight="1" x14ac:dyDescent="0.2">
      <c r="A50" s="743" t="s">
        <v>2598</v>
      </c>
      <c r="B50" s="764" t="s">
        <v>2599</v>
      </c>
      <c r="C50" s="765" t="s">
        <v>2600</v>
      </c>
      <c r="D50" s="744" t="s">
        <v>2598</v>
      </c>
    </row>
    <row r="51" spans="1:5" s="702" customFormat="1" ht="45.75" x14ac:dyDescent="0.2">
      <c r="A51" s="743" t="s">
        <v>2601</v>
      </c>
      <c r="B51" s="764" t="s">
        <v>2602</v>
      </c>
      <c r="C51" s="763" t="s">
        <v>2603</v>
      </c>
      <c r="D51" s="744" t="s">
        <v>2601</v>
      </c>
    </row>
    <row r="52" spans="1:5" s="702" customFormat="1" ht="45.75" x14ac:dyDescent="0.2">
      <c r="A52" s="743" t="s">
        <v>2604</v>
      </c>
      <c r="B52" s="764" t="s">
        <v>2605</v>
      </c>
      <c r="C52" s="763" t="s">
        <v>2606</v>
      </c>
      <c r="D52" s="744" t="s">
        <v>2604</v>
      </c>
    </row>
    <row r="53" spans="1:5" ht="45.75" x14ac:dyDescent="0.2">
      <c r="A53" s="743" t="s">
        <v>2607</v>
      </c>
      <c r="B53" s="764" t="s">
        <v>2608</v>
      </c>
      <c r="C53" s="763" t="s">
        <v>2609</v>
      </c>
      <c r="D53" s="744" t="s">
        <v>2607</v>
      </c>
      <c r="E53" s="682"/>
    </row>
    <row r="54" spans="1:5" s="677" customFormat="1" ht="51.75" customHeight="1" x14ac:dyDescent="0.2">
      <c r="A54" s="743" t="s">
        <v>2610</v>
      </c>
      <c r="B54" s="764" t="s">
        <v>2611</v>
      </c>
      <c r="C54" s="763" t="s">
        <v>2612</v>
      </c>
      <c r="D54" s="744" t="s">
        <v>2610</v>
      </c>
      <c r="E54" s="676"/>
    </row>
    <row r="55" spans="1:5" ht="57.75" customHeight="1" x14ac:dyDescent="0.2">
      <c r="A55" s="743" t="s">
        <v>2613</v>
      </c>
      <c r="B55" s="764" t="s">
        <v>2614</v>
      </c>
      <c r="C55" s="763" t="s">
        <v>2615</v>
      </c>
      <c r="D55" s="744" t="s">
        <v>2613</v>
      </c>
      <c r="E55" s="682"/>
    </row>
    <row r="56" spans="1:5" ht="60.75" x14ac:dyDescent="0.2">
      <c r="A56" s="743" t="s">
        <v>2616</v>
      </c>
      <c r="B56" s="768" t="s">
        <v>2617</v>
      </c>
      <c r="C56" s="781" t="s">
        <v>2618</v>
      </c>
      <c r="D56" s="744" t="s">
        <v>2616</v>
      </c>
      <c r="E56" s="682"/>
    </row>
    <row r="57" spans="1:5" ht="106.5" customHeight="1" x14ac:dyDescent="0.2">
      <c r="A57" s="743" t="s">
        <v>2619</v>
      </c>
      <c r="B57" s="764" t="s">
        <v>2620</v>
      </c>
      <c r="C57" s="763" t="s">
        <v>2621</v>
      </c>
      <c r="D57" s="744" t="s">
        <v>2619</v>
      </c>
      <c r="E57" s="682"/>
    </row>
    <row r="58" spans="1:5" ht="45.75" x14ac:dyDescent="0.2">
      <c r="A58" s="743" t="s">
        <v>2622</v>
      </c>
      <c r="B58" s="764" t="s">
        <v>2623</v>
      </c>
      <c r="C58" s="763" t="s">
        <v>2624</v>
      </c>
      <c r="D58" s="744" t="s">
        <v>2622</v>
      </c>
      <c r="E58" s="682"/>
    </row>
    <row r="59" spans="1:5" ht="57" customHeight="1" x14ac:dyDescent="0.2">
      <c r="A59" s="743" t="s">
        <v>2625</v>
      </c>
      <c r="B59" s="764" t="s">
        <v>2626</v>
      </c>
      <c r="C59" s="763" t="s">
        <v>2627</v>
      </c>
      <c r="D59" s="744" t="s">
        <v>2625</v>
      </c>
      <c r="E59" s="682"/>
    </row>
    <row r="60" spans="1:5" ht="55.5" customHeight="1" x14ac:dyDescent="0.2">
      <c r="A60" s="743" t="s">
        <v>2628</v>
      </c>
      <c r="B60" s="764" t="s">
        <v>2629</v>
      </c>
      <c r="C60" s="763" t="s">
        <v>2630</v>
      </c>
      <c r="D60" s="744" t="s">
        <v>2628</v>
      </c>
      <c r="E60" s="682"/>
    </row>
    <row r="61" spans="1:5" ht="69" customHeight="1" x14ac:dyDescent="0.2">
      <c r="A61" s="743" t="s">
        <v>2631</v>
      </c>
      <c r="B61" s="764" t="s">
        <v>2632</v>
      </c>
      <c r="C61" s="763" t="s">
        <v>2633</v>
      </c>
      <c r="D61" s="744" t="s">
        <v>2631</v>
      </c>
      <c r="E61" s="682"/>
    </row>
    <row r="62" spans="1:5" ht="51" customHeight="1" x14ac:dyDescent="0.2">
      <c r="A62" s="743" t="s">
        <v>2634</v>
      </c>
      <c r="B62" s="764" t="s">
        <v>2635</v>
      </c>
      <c r="C62" s="763" t="s">
        <v>2636</v>
      </c>
      <c r="D62" s="744" t="s">
        <v>2634</v>
      </c>
      <c r="E62" s="682"/>
    </row>
    <row r="63" spans="1:5" ht="30" x14ac:dyDescent="0.2">
      <c r="A63" s="743" t="s">
        <v>2637</v>
      </c>
      <c r="B63" s="764" t="s">
        <v>2638</v>
      </c>
      <c r="C63" s="763" t="s">
        <v>2639</v>
      </c>
      <c r="D63" s="744" t="s">
        <v>2637</v>
      </c>
      <c r="E63" s="682"/>
    </row>
    <row r="64" spans="1:5" ht="33" customHeight="1" x14ac:dyDescent="0.2">
      <c r="A64" s="747"/>
      <c r="B64" s="779" t="s">
        <v>279</v>
      </c>
      <c r="C64" s="780" t="s">
        <v>2640</v>
      </c>
      <c r="D64" s="748"/>
      <c r="E64" s="682"/>
    </row>
    <row r="65" spans="1:5" ht="15.75" x14ac:dyDescent="0.2">
      <c r="A65" s="747"/>
      <c r="B65" s="782" t="s">
        <v>289</v>
      </c>
      <c r="C65" s="783" t="s">
        <v>2641</v>
      </c>
      <c r="D65" s="748"/>
      <c r="E65" s="682"/>
    </row>
    <row r="66" spans="1:5" ht="30.75" customHeight="1" x14ac:dyDescent="0.2">
      <c r="A66" s="743" t="s">
        <v>2642</v>
      </c>
      <c r="B66" s="764" t="s">
        <v>2643</v>
      </c>
      <c r="C66" s="763" t="s">
        <v>2644</v>
      </c>
      <c r="D66" s="744" t="s">
        <v>2642</v>
      </c>
      <c r="E66" s="682"/>
    </row>
    <row r="67" spans="1:5" ht="15.75" x14ac:dyDescent="0.2">
      <c r="A67" s="743"/>
      <c r="B67" s="784" t="s">
        <v>2645</v>
      </c>
      <c r="C67" s="785" t="s">
        <v>458</v>
      </c>
      <c r="D67" s="744"/>
      <c r="E67" s="682"/>
    </row>
    <row r="68" spans="1:5" ht="45.75" thickBot="1" x14ac:dyDescent="0.25">
      <c r="A68" s="749" t="s">
        <v>2646</v>
      </c>
      <c r="B68" s="786" t="s">
        <v>2647</v>
      </c>
      <c r="C68" s="787" t="s">
        <v>2719</v>
      </c>
      <c r="D68" s="750" t="s">
        <v>2646</v>
      </c>
      <c r="E68" s="682"/>
    </row>
    <row r="69" spans="1:5" s="701" customFormat="1" ht="20.25" customHeight="1" x14ac:dyDescent="0.2">
      <c r="A69" s="743"/>
      <c r="B69" s="766" t="s">
        <v>2649</v>
      </c>
      <c r="C69" s="778" t="s">
        <v>2650</v>
      </c>
      <c r="D69" s="744"/>
    </row>
    <row r="70" spans="1:5" ht="81.75" customHeight="1" x14ac:dyDescent="0.2">
      <c r="A70" s="743" t="s">
        <v>2651</v>
      </c>
      <c r="B70" s="764" t="s">
        <v>2652</v>
      </c>
      <c r="C70" s="763" t="s">
        <v>2653</v>
      </c>
      <c r="D70" s="744" t="s">
        <v>2651</v>
      </c>
      <c r="E70" s="682"/>
    </row>
    <row r="71" spans="1:5" ht="75" x14ac:dyDescent="0.2">
      <c r="A71" s="743" t="s">
        <v>2654</v>
      </c>
      <c r="B71" s="764" t="s">
        <v>2655</v>
      </c>
      <c r="C71" s="763" t="s">
        <v>2656</v>
      </c>
      <c r="D71" s="744" t="s">
        <v>2654</v>
      </c>
      <c r="E71" s="682"/>
    </row>
    <row r="72" spans="1:5" ht="120" x14ac:dyDescent="0.2">
      <c r="A72" s="743" t="s">
        <v>2657</v>
      </c>
      <c r="B72" s="764" t="s">
        <v>2658</v>
      </c>
      <c r="C72" s="763" t="s">
        <v>2659</v>
      </c>
      <c r="D72" s="744" t="s">
        <v>2657</v>
      </c>
      <c r="E72" s="682"/>
    </row>
    <row r="73" spans="1:5" ht="45" x14ac:dyDescent="0.2">
      <c r="A73" s="743" t="s">
        <v>2660</v>
      </c>
      <c r="B73" s="764" t="s">
        <v>2508</v>
      </c>
      <c r="C73" s="763" t="s">
        <v>2509</v>
      </c>
      <c r="D73" s="744" t="s">
        <v>2660</v>
      </c>
      <c r="E73" s="682"/>
    </row>
    <row r="74" spans="1:5" ht="105" x14ac:dyDescent="0.2">
      <c r="A74" s="743" t="s">
        <v>2661</v>
      </c>
      <c r="B74" s="764" t="s">
        <v>2662</v>
      </c>
      <c r="C74" s="763" t="s">
        <v>2663</v>
      </c>
      <c r="D74" s="744" t="s">
        <v>2661</v>
      </c>
      <c r="E74" s="682"/>
    </row>
    <row r="75" spans="1:5" ht="30" x14ac:dyDescent="0.2">
      <c r="A75" s="743" t="s">
        <v>2664</v>
      </c>
      <c r="B75" s="764" t="s">
        <v>2665</v>
      </c>
      <c r="C75" s="763" t="s">
        <v>2513</v>
      </c>
      <c r="D75" s="744" t="s">
        <v>2664</v>
      </c>
      <c r="E75" s="682"/>
    </row>
    <row r="76" spans="1:5" ht="55.5" customHeight="1" x14ac:dyDescent="0.2">
      <c r="A76" s="743" t="s">
        <v>2666</v>
      </c>
      <c r="B76" s="764" t="s">
        <v>2514</v>
      </c>
      <c r="C76" s="763" t="s">
        <v>2515</v>
      </c>
      <c r="D76" s="744" t="s">
        <v>2666</v>
      </c>
      <c r="E76" s="682"/>
    </row>
    <row r="77" spans="1:5" ht="55.5" customHeight="1" x14ac:dyDescent="0.2">
      <c r="A77" s="743" t="s">
        <v>2667</v>
      </c>
      <c r="B77" s="764" t="s">
        <v>2516</v>
      </c>
      <c r="C77" s="763" t="s">
        <v>2517</v>
      </c>
      <c r="D77" s="744" t="s">
        <v>2667</v>
      </c>
      <c r="E77" s="682"/>
    </row>
    <row r="78" spans="1:5" ht="30" x14ac:dyDescent="0.2">
      <c r="A78" s="743" t="s">
        <v>2668</v>
      </c>
      <c r="B78" s="764" t="s">
        <v>2518</v>
      </c>
      <c r="C78" s="763" t="s">
        <v>2519</v>
      </c>
      <c r="D78" s="744" t="s">
        <v>2668</v>
      </c>
      <c r="E78" s="682"/>
    </row>
    <row r="79" spans="1:5" ht="15" x14ac:dyDescent="0.2">
      <c r="A79" s="743" t="s">
        <v>2669</v>
      </c>
      <c r="B79" s="764" t="s">
        <v>2521</v>
      </c>
      <c r="C79" s="763" t="s">
        <v>2522</v>
      </c>
      <c r="D79" s="744" t="s">
        <v>2669</v>
      </c>
      <c r="E79" s="682"/>
    </row>
    <row r="80" spans="1:5" ht="90" x14ac:dyDescent="0.2">
      <c r="A80" s="743" t="s">
        <v>2670</v>
      </c>
      <c r="B80" s="764" t="s">
        <v>2524</v>
      </c>
      <c r="C80" s="763" t="s">
        <v>2525</v>
      </c>
      <c r="D80" s="744" t="s">
        <v>2670</v>
      </c>
      <c r="E80" s="682"/>
    </row>
    <row r="81" spans="1:5" ht="55.5" customHeight="1" x14ac:dyDescent="0.2">
      <c r="A81" s="743" t="s">
        <v>2671</v>
      </c>
      <c r="B81" s="764" t="s">
        <v>2527</v>
      </c>
      <c r="C81" s="763" t="s">
        <v>2717</v>
      </c>
      <c r="D81" s="744" t="s">
        <v>2671</v>
      </c>
      <c r="E81" s="682"/>
    </row>
    <row r="82" spans="1:5" s="701" customFormat="1" ht="40.5" customHeight="1" x14ac:dyDescent="0.2">
      <c r="A82" s="743"/>
      <c r="B82" s="766" t="s">
        <v>2676</v>
      </c>
      <c r="C82" s="778" t="s">
        <v>2677</v>
      </c>
      <c r="D82" s="744"/>
    </row>
    <row r="83" spans="1:5" ht="75" x14ac:dyDescent="0.2">
      <c r="A83" s="743" t="s">
        <v>2678</v>
      </c>
      <c r="B83" s="764" t="s">
        <v>2679</v>
      </c>
      <c r="C83" s="763" t="s">
        <v>2680</v>
      </c>
      <c r="D83" s="744" t="s">
        <v>2678</v>
      </c>
      <c r="E83" s="682"/>
    </row>
    <row r="84" spans="1:5" ht="45" x14ac:dyDescent="0.2">
      <c r="A84" s="743" t="s">
        <v>2681</v>
      </c>
      <c r="B84" s="764" t="s">
        <v>2682</v>
      </c>
      <c r="C84" s="763" t="s">
        <v>2683</v>
      </c>
      <c r="D84" s="744" t="s">
        <v>2681</v>
      </c>
      <c r="E84" s="682"/>
    </row>
    <row r="85" spans="1:5" ht="30" x14ac:dyDescent="0.2">
      <c r="A85" s="743" t="s">
        <v>2684</v>
      </c>
      <c r="B85" s="764" t="s">
        <v>2685</v>
      </c>
      <c r="C85" s="763" t="s">
        <v>2686</v>
      </c>
      <c r="D85" s="744" t="s">
        <v>2684</v>
      </c>
      <c r="E85" s="682"/>
    </row>
    <row r="86" spans="1:5" ht="75" x14ac:dyDescent="0.2">
      <c r="A86" s="743" t="s">
        <v>2687</v>
      </c>
      <c r="B86" s="764" t="s">
        <v>2688</v>
      </c>
      <c r="C86" s="763" t="s">
        <v>2689</v>
      </c>
      <c r="D86" s="744" t="s">
        <v>2687</v>
      </c>
      <c r="E86" s="682"/>
    </row>
    <row r="87" spans="1:5" ht="45" x14ac:dyDescent="0.2">
      <c r="A87" s="743" t="s">
        <v>2690</v>
      </c>
      <c r="B87" s="764" t="s">
        <v>2691</v>
      </c>
      <c r="C87" s="763" t="s">
        <v>2692</v>
      </c>
      <c r="D87" s="744" t="s">
        <v>2690</v>
      </c>
      <c r="E87" s="682"/>
    </row>
    <row r="88" spans="1:5" ht="30" x14ac:dyDescent="0.2">
      <c r="A88" s="743" t="s">
        <v>2693</v>
      </c>
      <c r="B88" s="764" t="s">
        <v>2694</v>
      </c>
      <c r="C88" s="763" t="s">
        <v>2695</v>
      </c>
      <c r="D88" s="744" t="s">
        <v>2693</v>
      </c>
      <c r="E88" s="682"/>
    </row>
    <row r="89" spans="1:5" ht="30" x14ac:dyDescent="0.2">
      <c r="A89" s="743" t="s">
        <v>2696</v>
      </c>
      <c r="B89" s="764" t="s">
        <v>2697</v>
      </c>
      <c r="C89" s="763" t="s">
        <v>2698</v>
      </c>
      <c r="D89" s="744" t="s">
        <v>2696</v>
      </c>
      <c r="E89" s="682"/>
    </row>
    <row r="90" spans="1:5" ht="60" x14ac:dyDescent="0.2">
      <c r="A90" s="743" t="s">
        <v>2699</v>
      </c>
      <c r="B90" s="764" t="s">
        <v>2700</v>
      </c>
      <c r="C90" s="763" t="s">
        <v>2701</v>
      </c>
      <c r="D90" s="744" t="s">
        <v>2699</v>
      </c>
      <c r="E90" s="682"/>
    </row>
    <row r="91" spans="1:5" ht="45" x14ac:dyDescent="0.2">
      <c r="A91" s="743" t="s">
        <v>2702</v>
      </c>
      <c r="B91" s="764" t="s">
        <v>2703</v>
      </c>
      <c r="C91" s="763" t="s">
        <v>2704</v>
      </c>
      <c r="D91" s="744" t="s">
        <v>2702</v>
      </c>
      <c r="E91" s="682"/>
    </row>
    <row r="92" spans="1:5" ht="45" x14ac:dyDescent="0.2">
      <c r="A92" s="743" t="s">
        <v>2705</v>
      </c>
      <c r="B92" s="764" t="s">
        <v>2706</v>
      </c>
      <c r="C92" s="763" t="s">
        <v>2707</v>
      </c>
      <c r="D92" s="744" t="s">
        <v>2705</v>
      </c>
      <c r="E92" s="682"/>
    </row>
    <row r="93" spans="1:5" ht="45" x14ac:dyDescent="0.2">
      <c r="A93" s="743" t="s">
        <v>2708</v>
      </c>
      <c r="B93" s="764" t="s">
        <v>2709</v>
      </c>
      <c r="C93" s="763" t="s">
        <v>2710</v>
      </c>
      <c r="D93" s="744" t="s">
        <v>2708</v>
      </c>
      <c r="E93" s="682"/>
    </row>
  </sheetData>
  <mergeCells count="7">
    <mergeCell ref="A38:A39"/>
    <mergeCell ref="D38:D39"/>
    <mergeCell ref="A32:A33"/>
    <mergeCell ref="D32:D33"/>
    <mergeCell ref="A34:A35"/>
    <mergeCell ref="A36:A37"/>
    <mergeCell ref="D36:D37"/>
  </mergeCells>
  <pageMargins left="0.70866141732283505" right="0.70866141732283505" top="0.74803149606299202" bottom="0.74803149606299202" header="0.31496062992126" footer="0.31496062992126"/>
  <pageSetup paperSize="9" scale="45" firstPageNumber="59" fitToHeight="8" orientation="landscape" r:id="rId1"/>
  <rowBreaks count="5" manualBreakCount="5">
    <brk id="17" max="3" man="1"/>
    <brk id="30" max="3" man="1"/>
    <brk id="45" max="3" man="1"/>
    <brk id="63" max="3" man="1"/>
    <brk id="81" max="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DE98F-F599-4233-9FFC-45FDDE18761C}">
  <sheetPr>
    <tabColor rgb="FF00B050"/>
  </sheetPr>
  <dimension ref="A1:I2143"/>
  <sheetViews>
    <sheetView showGridLines="0" view="pageBreakPreview" zoomScale="85" zoomScaleNormal="100" zoomScaleSheetLayoutView="85" workbookViewId="0">
      <pane ySplit="4" topLeftCell="A5" activePane="bottomLeft" state="frozen"/>
      <selection pane="bottomLeft" activeCell="D8" sqref="D8:D9"/>
    </sheetView>
  </sheetViews>
  <sheetFormatPr defaultColWidth="9.140625" defaultRowHeight="12.75" x14ac:dyDescent="0.2"/>
  <cols>
    <col min="1" max="1" width="13.140625" style="640" customWidth="1"/>
    <col min="2" max="2" width="0.5703125" style="480" customWidth="1"/>
    <col min="3" max="3" width="50.140625" style="600" customWidth="1"/>
    <col min="4" max="4" width="61.28515625" style="600" customWidth="1"/>
    <col min="5" max="5" width="1.5703125" style="600" customWidth="1"/>
    <col min="6" max="6" width="7" style="480" customWidth="1"/>
    <col min="7" max="7" width="9.42578125" style="507" customWidth="1"/>
    <col min="8" max="8" width="12.5703125" style="992" customWidth="1"/>
    <col min="9" max="9" width="30.5703125" style="993" customWidth="1"/>
    <col min="10" max="16384" width="9.140625" style="467"/>
  </cols>
  <sheetData>
    <row r="1" spans="1:9" ht="28.5" customHeight="1" x14ac:dyDescent="0.2"/>
    <row r="3" spans="1:9" ht="12.75" customHeight="1" x14ac:dyDescent="0.2">
      <c r="A3" s="1012"/>
      <c r="B3" s="1012"/>
      <c r="C3" s="1012"/>
      <c r="D3" s="1012"/>
      <c r="E3" s="1012"/>
      <c r="F3" s="1012"/>
      <c r="G3" s="1012"/>
      <c r="H3" s="1012"/>
      <c r="I3" s="1012"/>
    </row>
    <row r="4" spans="1:9" x14ac:dyDescent="0.2">
      <c r="A4" s="469" t="s">
        <v>3</v>
      </c>
      <c r="B4" s="1"/>
      <c r="C4" s="1" t="s">
        <v>11</v>
      </c>
      <c r="D4" s="470" t="s">
        <v>1269</v>
      </c>
      <c r="E4" s="470"/>
      <c r="F4" s="1120"/>
      <c r="G4" s="1121"/>
      <c r="H4" s="1121"/>
      <c r="I4" s="1122"/>
    </row>
    <row r="5" spans="1:9" x14ac:dyDescent="0.2">
      <c r="A5" s="471" t="s">
        <v>5</v>
      </c>
      <c r="B5" s="2"/>
      <c r="C5" s="2" t="s">
        <v>2792</v>
      </c>
      <c r="D5" s="472" t="s">
        <v>2791</v>
      </c>
      <c r="E5" s="472"/>
      <c r="F5" s="1123"/>
      <c r="G5" s="1124"/>
      <c r="H5" s="1124"/>
      <c r="I5" s="1125"/>
    </row>
    <row r="6" spans="1:9" x14ac:dyDescent="0.2">
      <c r="A6" s="471" t="s">
        <v>6</v>
      </c>
      <c r="B6" s="2"/>
      <c r="C6" s="473" t="s">
        <v>1270</v>
      </c>
      <c r="D6" s="472" t="s">
        <v>1271</v>
      </c>
      <c r="E6" s="472"/>
      <c r="F6" s="1123"/>
      <c r="G6" s="1124"/>
      <c r="H6" s="1124"/>
      <c r="I6" s="1125"/>
    </row>
    <row r="7" spans="1:9" x14ac:dyDescent="0.2">
      <c r="A7" s="474" t="s">
        <v>7</v>
      </c>
      <c r="B7" s="3"/>
      <c r="C7" s="475" t="s">
        <v>2794</v>
      </c>
      <c r="D7" s="476" t="s">
        <v>2796</v>
      </c>
      <c r="E7" s="476"/>
      <c r="F7" s="1126"/>
      <c r="G7" s="1127"/>
      <c r="H7" s="1127"/>
      <c r="I7" s="1128"/>
    </row>
    <row r="8" spans="1:9" s="480" customFormat="1" x14ac:dyDescent="0.2">
      <c r="A8" s="1129" t="s">
        <v>2</v>
      </c>
      <c r="B8" s="477"/>
      <c r="C8" s="1130" t="s">
        <v>0</v>
      </c>
      <c r="D8" s="1132" t="s">
        <v>8</v>
      </c>
      <c r="E8" s="478"/>
      <c r="F8" s="1134" t="s">
        <v>35</v>
      </c>
      <c r="G8" s="1136" t="s">
        <v>1272</v>
      </c>
      <c r="H8" s="1137" t="s">
        <v>1273</v>
      </c>
      <c r="I8" s="1138" t="s">
        <v>1</v>
      </c>
    </row>
    <row r="9" spans="1:9" s="480" customFormat="1" x14ac:dyDescent="0.2">
      <c r="A9" s="1129"/>
      <c r="B9" s="481"/>
      <c r="C9" s="1131"/>
      <c r="D9" s="1133"/>
      <c r="E9" s="482"/>
      <c r="F9" s="1135"/>
      <c r="G9" s="1136"/>
      <c r="H9" s="1137"/>
      <c r="I9" s="1138"/>
    </row>
    <row r="10" spans="1:9" s="480" customFormat="1" x14ac:dyDescent="0.2">
      <c r="A10" s="484"/>
      <c r="B10" s="485"/>
      <c r="C10" s="486"/>
      <c r="D10" s="487"/>
      <c r="E10" s="488"/>
      <c r="F10" s="484"/>
      <c r="G10" s="489"/>
      <c r="H10" s="490"/>
      <c r="I10" s="491"/>
    </row>
    <row r="11" spans="1:9" x14ac:dyDescent="0.2">
      <c r="A11" s="492">
        <v>2</v>
      </c>
      <c r="B11" s="485"/>
      <c r="C11" s="493" t="s">
        <v>1274</v>
      </c>
      <c r="D11" s="494" t="s">
        <v>1275</v>
      </c>
      <c r="E11" s="495"/>
      <c r="F11" s="484"/>
      <c r="G11" s="496"/>
      <c r="H11" s="535"/>
      <c r="I11" s="612"/>
    </row>
    <row r="12" spans="1:9" ht="6.75" customHeight="1" x14ac:dyDescent="0.2">
      <c r="A12" s="484"/>
      <c r="B12" s="485"/>
      <c r="C12" s="497"/>
      <c r="D12" s="498"/>
      <c r="E12" s="497"/>
      <c r="F12" s="484"/>
      <c r="G12" s="499"/>
      <c r="H12" s="535"/>
      <c r="I12" s="585"/>
    </row>
    <row r="13" spans="1:9" x14ac:dyDescent="0.2">
      <c r="A13" s="484">
        <v>2.1</v>
      </c>
      <c r="B13" s="485"/>
      <c r="C13" s="500" t="s">
        <v>1276</v>
      </c>
      <c r="D13" s="501" t="s">
        <v>1277</v>
      </c>
      <c r="E13" s="500"/>
      <c r="F13" s="484"/>
      <c r="G13" s="499"/>
      <c r="H13" s="535"/>
      <c r="I13" s="585"/>
    </row>
    <row r="14" spans="1:9" x14ac:dyDescent="0.2">
      <c r="A14" s="484"/>
      <c r="B14" s="485"/>
      <c r="C14" s="500"/>
      <c r="D14" s="501"/>
      <c r="E14" s="500"/>
      <c r="F14" s="484"/>
      <c r="G14" s="499"/>
      <c r="H14" s="535"/>
      <c r="I14" s="585"/>
    </row>
    <row r="15" spans="1:9" s="507" customFormat="1" ht="38.25" x14ac:dyDescent="0.2">
      <c r="A15" s="484" t="s">
        <v>1278</v>
      </c>
      <c r="B15" s="485"/>
      <c r="C15" s="502" t="s">
        <v>1279</v>
      </c>
      <c r="D15" s="503" t="s">
        <v>1280</v>
      </c>
      <c r="E15" s="502"/>
      <c r="F15" s="484" t="s">
        <v>1281</v>
      </c>
      <c r="G15" s="504">
        <v>146522</v>
      </c>
      <c r="H15" s="505">
        <v>14</v>
      </c>
      <c r="I15" s="506">
        <f>H15*G15</f>
        <v>2051308</v>
      </c>
    </row>
    <row r="16" spans="1:9" ht="12" customHeight="1" x14ac:dyDescent="0.2">
      <c r="A16" s="484"/>
      <c r="B16" s="485"/>
      <c r="C16" s="502"/>
      <c r="D16" s="503"/>
      <c r="E16" s="502"/>
      <c r="F16" s="484"/>
      <c r="G16" s="504"/>
      <c r="H16" s="505"/>
      <c r="I16" s="508"/>
    </row>
    <row r="17" spans="1:9" x14ac:dyDescent="0.2">
      <c r="A17" s="484"/>
      <c r="B17" s="485"/>
      <c r="C17" s="500"/>
      <c r="D17" s="501"/>
      <c r="E17" s="500"/>
      <c r="F17" s="484"/>
      <c r="G17" s="504"/>
      <c r="H17" s="505"/>
      <c r="I17" s="508"/>
    </row>
    <row r="18" spans="1:9" s="507" customFormat="1" ht="76.5" x14ac:dyDescent="0.2">
      <c r="A18" s="484" t="s">
        <v>1282</v>
      </c>
      <c r="B18" s="485"/>
      <c r="C18" s="502" t="s">
        <v>1283</v>
      </c>
      <c r="D18" s="503" t="s">
        <v>1284</v>
      </c>
      <c r="E18" s="502"/>
      <c r="F18" s="484" t="s">
        <v>1281</v>
      </c>
      <c r="G18" s="504">
        <v>155000</v>
      </c>
      <c r="H18" s="505">
        <v>14</v>
      </c>
      <c r="I18" s="506">
        <f>H18*G18</f>
        <v>2170000</v>
      </c>
    </row>
    <row r="19" spans="1:9" x14ac:dyDescent="0.2">
      <c r="A19" s="484"/>
      <c r="B19" s="485"/>
      <c r="C19" s="497"/>
      <c r="D19" s="498"/>
      <c r="E19" s="497"/>
      <c r="F19" s="484"/>
      <c r="G19" s="504"/>
      <c r="H19" s="535"/>
      <c r="I19" s="585"/>
    </row>
    <row r="20" spans="1:9" ht="10.5" customHeight="1" x14ac:dyDescent="0.2">
      <c r="A20" s="484"/>
      <c r="B20" s="485"/>
      <c r="C20" s="497"/>
      <c r="D20" s="498"/>
      <c r="E20" s="497"/>
      <c r="F20" s="484"/>
      <c r="G20" s="504"/>
      <c r="H20" s="535"/>
      <c r="I20" s="504"/>
    </row>
    <row r="21" spans="1:9" ht="10.5" customHeight="1" x14ac:dyDescent="0.2">
      <c r="A21" s="484"/>
      <c r="B21" s="485"/>
      <c r="C21" s="497"/>
      <c r="D21" s="498"/>
      <c r="E21" s="497"/>
      <c r="F21" s="484"/>
      <c r="G21" s="504"/>
      <c r="H21" s="535"/>
      <c r="I21" s="504"/>
    </row>
    <row r="22" spans="1:9" ht="10.5" customHeight="1" x14ac:dyDescent="0.2">
      <c r="A22" s="484"/>
      <c r="B22" s="485"/>
      <c r="C22" s="497"/>
      <c r="D22" s="498"/>
      <c r="E22" s="497"/>
      <c r="F22" s="484"/>
      <c r="G22" s="504"/>
      <c r="H22" s="535"/>
      <c r="I22" s="504"/>
    </row>
    <row r="23" spans="1:9" ht="10.5" customHeight="1" x14ac:dyDescent="0.2">
      <c r="A23" s="484"/>
      <c r="B23" s="485"/>
      <c r="C23" s="497"/>
      <c r="D23" s="498"/>
      <c r="E23" s="497"/>
      <c r="F23" s="484"/>
      <c r="G23" s="504"/>
      <c r="H23" s="535"/>
      <c r="I23" s="504"/>
    </row>
    <row r="24" spans="1:9" ht="10.5" customHeight="1" x14ac:dyDescent="0.2">
      <c r="A24" s="484"/>
      <c r="B24" s="485"/>
      <c r="C24" s="497"/>
      <c r="D24" s="498"/>
      <c r="E24" s="497"/>
      <c r="F24" s="484"/>
      <c r="G24" s="504"/>
      <c r="H24" s="535"/>
      <c r="I24" s="504"/>
    </row>
    <row r="25" spans="1:9" x14ac:dyDescent="0.2">
      <c r="A25" s="483"/>
      <c r="B25" s="485"/>
      <c r="C25" s="497"/>
      <c r="D25" s="498"/>
      <c r="E25" s="497"/>
      <c r="F25" s="483"/>
      <c r="G25" s="509"/>
      <c r="H25" s="535"/>
      <c r="I25" s="504"/>
    </row>
    <row r="26" spans="1:9" s="516" customFormat="1" x14ac:dyDescent="0.2">
      <c r="A26" s="510"/>
      <c r="B26" s="511"/>
      <c r="C26" s="512"/>
      <c r="D26" s="513"/>
      <c r="E26" s="512"/>
      <c r="F26" s="514"/>
      <c r="G26" s="515"/>
      <c r="H26" s="994"/>
      <c r="I26" s="994"/>
    </row>
    <row r="27" spans="1:9" s="516" customFormat="1" x14ac:dyDescent="0.2">
      <c r="A27" s="517"/>
      <c r="B27" s="518"/>
      <c r="C27" s="519" t="s">
        <v>1285</v>
      </c>
      <c r="D27" s="520" t="s">
        <v>1286</v>
      </c>
      <c r="E27" s="519"/>
      <c r="F27" s="521"/>
      <c r="G27" s="522"/>
      <c r="H27" s="505"/>
      <c r="I27" s="508">
        <f>SUM(I15:I19)</f>
        <v>4221308</v>
      </c>
    </row>
    <row r="28" spans="1:9" s="516" customFormat="1" x14ac:dyDescent="0.2">
      <c r="A28" s="523"/>
      <c r="B28" s="524"/>
      <c r="C28" s="525"/>
      <c r="D28" s="526"/>
      <c r="E28" s="525"/>
      <c r="F28" s="527"/>
      <c r="G28" s="528"/>
      <c r="H28" s="995"/>
      <c r="I28" s="996"/>
    </row>
    <row r="29" spans="1:9" s="516" customFormat="1" x14ac:dyDescent="0.2">
      <c r="A29" s="529"/>
      <c r="B29" s="518"/>
      <c r="C29" s="530"/>
      <c r="D29" s="531"/>
      <c r="E29" s="530"/>
      <c r="F29" s="514"/>
      <c r="G29" s="532"/>
      <c r="H29" s="505"/>
      <c r="I29" s="997"/>
    </row>
    <row r="30" spans="1:9" x14ac:dyDescent="0.2">
      <c r="A30" s="492">
        <v>2.2000000000000002</v>
      </c>
      <c r="B30" s="485"/>
      <c r="C30" s="533" t="s">
        <v>1287</v>
      </c>
      <c r="D30" s="534" t="s">
        <v>1288</v>
      </c>
      <c r="E30" s="533"/>
      <c r="F30" s="484"/>
      <c r="G30" s="509"/>
      <c r="H30" s="535"/>
      <c r="I30" s="504"/>
    </row>
    <row r="31" spans="1:9" x14ac:dyDescent="0.2">
      <c r="A31" s="484"/>
      <c r="B31" s="485"/>
      <c r="C31" s="497"/>
      <c r="D31" s="498"/>
      <c r="E31" s="497"/>
      <c r="F31" s="484"/>
      <c r="G31" s="509"/>
      <c r="H31" s="535"/>
      <c r="I31" s="504"/>
    </row>
    <row r="32" spans="1:9" s="507" customFormat="1" ht="63.75" x14ac:dyDescent="0.2">
      <c r="A32" s="484" t="s">
        <v>1289</v>
      </c>
      <c r="B32" s="485"/>
      <c r="C32" s="502" t="s">
        <v>1290</v>
      </c>
      <c r="D32" s="503" t="s">
        <v>1291</v>
      </c>
      <c r="E32" s="502"/>
      <c r="F32" s="484" t="s">
        <v>1292</v>
      </c>
      <c r="G32" s="504">
        <f>1193+700</f>
        <v>1893</v>
      </c>
      <c r="H32" s="505">
        <v>69</v>
      </c>
      <c r="I32" s="536">
        <f>H32*G32</f>
        <v>130617</v>
      </c>
    </row>
    <row r="33" spans="1:9" x14ac:dyDescent="0.2">
      <c r="A33" s="484"/>
      <c r="B33" s="485"/>
      <c r="C33" s="497"/>
      <c r="D33" s="498"/>
      <c r="E33" s="497"/>
      <c r="F33" s="484"/>
      <c r="G33" s="509"/>
      <c r="H33" s="535"/>
      <c r="I33" s="504"/>
    </row>
    <row r="34" spans="1:9" s="507" customFormat="1" ht="38.25" x14ac:dyDescent="0.2">
      <c r="A34" s="484" t="s">
        <v>1293</v>
      </c>
      <c r="B34" s="485"/>
      <c r="C34" s="502" t="s">
        <v>1294</v>
      </c>
      <c r="D34" s="503" t="s">
        <v>1295</v>
      </c>
      <c r="E34" s="502"/>
      <c r="F34" s="484"/>
      <c r="G34" s="504"/>
      <c r="H34" s="535"/>
      <c r="I34" s="536"/>
    </row>
    <row r="35" spans="1:9" ht="12.75" customHeight="1" x14ac:dyDescent="0.2">
      <c r="A35" s="484"/>
      <c r="B35" s="485"/>
      <c r="C35" s="537"/>
      <c r="D35" s="538"/>
      <c r="E35" s="537"/>
      <c r="F35" s="484"/>
      <c r="G35" s="509"/>
      <c r="H35" s="535"/>
      <c r="I35" s="504"/>
    </row>
    <row r="36" spans="1:9" s="507" customFormat="1" ht="25.5" x14ac:dyDescent="0.2">
      <c r="A36" s="484" t="s">
        <v>1296</v>
      </c>
      <c r="B36" s="485"/>
      <c r="C36" s="502" t="s">
        <v>1297</v>
      </c>
      <c r="D36" s="539" t="s">
        <v>1298</v>
      </c>
      <c r="E36" s="540"/>
      <c r="F36" s="484" t="s">
        <v>1299</v>
      </c>
      <c r="G36" s="504">
        <v>7100</v>
      </c>
      <c r="H36" s="505">
        <v>77</v>
      </c>
      <c r="I36" s="536">
        <f t="shared" ref="I36:I42" si="0">H36*G36</f>
        <v>546700</v>
      </c>
    </row>
    <row r="37" spans="1:9" x14ac:dyDescent="0.2">
      <c r="A37" s="484"/>
      <c r="B37" s="485"/>
      <c r="C37" s="497"/>
      <c r="D37" s="541"/>
      <c r="E37" s="542"/>
      <c r="F37" s="484"/>
      <c r="G37" s="504"/>
      <c r="H37" s="535"/>
      <c r="I37" s="536"/>
    </row>
    <row r="38" spans="1:9" s="507" customFormat="1" ht="25.5" x14ac:dyDescent="0.2">
      <c r="A38" s="484" t="s">
        <v>1300</v>
      </c>
      <c r="B38" s="485"/>
      <c r="C38" s="502" t="s">
        <v>1301</v>
      </c>
      <c r="D38" s="539" t="s">
        <v>1302</v>
      </c>
      <c r="E38" s="540"/>
      <c r="F38" s="484" t="s">
        <v>1299</v>
      </c>
      <c r="G38" s="504">
        <v>800</v>
      </c>
      <c r="H38" s="505">
        <v>72</v>
      </c>
      <c r="I38" s="536">
        <f t="shared" si="0"/>
        <v>57600</v>
      </c>
    </row>
    <row r="39" spans="1:9" x14ac:dyDescent="0.2">
      <c r="A39" s="484"/>
      <c r="B39" s="485"/>
      <c r="C39" s="497"/>
      <c r="D39" s="541"/>
      <c r="E39" s="542"/>
      <c r="F39" s="484"/>
      <c r="G39" s="499"/>
      <c r="H39" s="535"/>
      <c r="I39" s="536"/>
    </row>
    <row r="40" spans="1:9" s="507" customFormat="1" ht="25.5" x14ac:dyDescent="0.2">
      <c r="A40" s="484" t="s">
        <v>1303</v>
      </c>
      <c r="B40" s="485"/>
      <c r="C40" s="543" t="s">
        <v>1304</v>
      </c>
      <c r="D40" s="544" t="s">
        <v>1305</v>
      </c>
      <c r="E40" s="543"/>
      <c r="F40" s="484" t="s">
        <v>1292</v>
      </c>
      <c r="G40" s="499">
        <v>900</v>
      </c>
      <c r="H40" s="505">
        <v>24</v>
      </c>
      <c r="I40" s="536">
        <f t="shared" si="0"/>
        <v>21600</v>
      </c>
    </row>
    <row r="41" spans="1:9" x14ac:dyDescent="0.2">
      <c r="A41" s="484"/>
      <c r="B41" s="485"/>
      <c r="C41" s="497"/>
      <c r="D41" s="541"/>
      <c r="E41" s="542"/>
      <c r="F41" s="484"/>
      <c r="G41" s="499"/>
      <c r="H41" s="535"/>
      <c r="I41" s="536"/>
    </row>
    <row r="42" spans="1:9" s="507" customFormat="1" ht="29.25" customHeight="1" x14ac:dyDescent="0.2">
      <c r="A42" s="484" t="s">
        <v>1306</v>
      </c>
      <c r="B42" s="485"/>
      <c r="C42" s="543" t="s">
        <v>1307</v>
      </c>
      <c r="D42" s="544" t="s">
        <v>1308</v>
      </c>
      <c r="E42" s="543"/>
      <c r="F42" s="484" t="s">
        <v>1292</v>
      </c>
      <c r="G42" s="499">
        <v>1200</v>
      </c>
      <c r="H42" s="505">
        <v>59</v>
      </c>
      <c r="I42" s="536">
        <f t="shared" si="0"/>
        <v>70800</v>
      </c>
    </row>
    <row r="43" spans="1:9" x14ac:dyDescent="0.2">
      <c r="A43" s="484"/>
      <c r="B43" s="485"/>
      <c r="C43" s="497"/>
      <c r="D43" s="541"/>
      <c r="E43" s="542"/>
      <c r="F43" s="484"/>
      <c r="G43" s="499"/>
      <c r="H43" s="535"/>
      <c r="I43" s="504"/>
    </row>
    <row r="44" spans="1:9" x14ac:dyDescent="0.2">
      <c r="A44" s="483"/>
      <c r="B44" s="485"/>
      <c r="C44" s="497"/>
      <c r="D44" s="498"/>
      <c r="E44" s="497"/>
      <c r="F44" s="483"/>
      <c r="G44" s="499"/>
      <c r="H44" s="535"/>
      <c r="I44" s="504"/>
    </row>
    <row r="45" spans="1:9" s="516" customFormat="1" x14ac:dyDescent="0.2">
      <c r="A45" s="510"/>
      <c r="B45" s="511"/>
      <c r="C45" s="512"/>
      <c r="D45" s="513"/>
      <c r="E45" s="512"/>
      <c r="F45" s="514"/>
      <c r="G45" s="545"/>
      <c r="H45" s="994"/>
      <c r="I45" s="994"/>
    </row>
    <row r="46" spans="1:9" s="516" customFormat="1" x14ac:dyDescent="0.2">
      <c r="A46" s="517"/>
      <c r="B46" s="518"/>
      <c r="C46" s="519" t="s">
        <v>1285</v>
      </c>
      <c r="D46" s="520" t="s">
        <v>1286</v>
      </c>
      <c r="E46" s="519"/>
      <c r="F46" s="521"/>
      <c r="G46" s="546"/>
      <c r="H46" s="505"/>
      <c r="I46" s="508">
        <f>SUM(I32:I42)</f>
        <v>827317</v>
      </c>
    </row>
    <row r="47" spans="1:9" s="516" customFormat="1" x14ac:dyDescent="0.2">
      <c r="A47" s="523"/>
      <c r="B47" s="524"/>
      <c r="C47" s="525"/>
      <c r="D47" s="526"/>
      <c r="E47" s="525"/>
      <c r="F47" s="527"/>
      <c r="G47" s="523"/>
      <c r="H47" s="995"/>
      <c r="I47" s="996"/>
    </row>
    <row r="48" spans="1:9" s="516" customFormat="1" x14ac:dyDescent="0.2">
      <c r="A48" s="529"/>
      <c r="B48" s="518"/>
      <c r="C48" s="530"/>
      <c r="D48" s="531"/>
      <c r="E48" s="530"/>
      <c r="F48" s="514"/>
      <c r="G48" s="532"/>
      <c r="H48" s="505"/>
      <c r="I48" s="997"/>
    </row>
    <row r="49" spans="1:9" ht="26.25" x14ac:dyDescent="0.2">
      <c r="A49" s="492">
        <v>2.2000000000000002</v>
      </c>
      <c r="B49" s="485"/>
      <c r="C49" s="533" t="s">
        <v>1309</v>
      </c>
      <c r="D49" s="534" t="s">
        <v>1310</v>
      </c>
      <c r="E49" s="533"/>
      <c r="F49" s="484"/>
      <c r="G49" s="509"/>
      <c r="H49" s="535"/>
      <c r="I49" s="998"/>
    </row>
    <row r="50" spans="1:9" s="507" customFormat="1" ht="38.25" x14ac:dyDescent="0.2">
      <c r="A50" s="484" t="s">
        <v>1311</v>
      </c>
      <c r="B50" s="485"/>
      <c r="C50" s="502" t="s">
        <v>1312</v>
      </c>
      <c r="D50" s="503" t="s">
        <v>1313</v>
      </c>
      <c r="E50" s="502"/>
      <c r="F50" s="484" t="s">
        <v>1281</v>
      </c>
      <c r="G50" s="504">
        <v>4903</v>
      </c>
      <c r="H50" s="505">
        <v>642</v>
      </c>
      <c r="I50" s="504">
        <f>H50*G50</f>
        <v>3147726</v>
      </c>
    </row>
    <row r="51" spans="1:9" s="507" customFormat="1" x14ac:dyDescent="0.2">
      <c r="A51" s="484"/>
      <c r="B51" s="485"/>
      <c r="C51" s="502"/>
      <c r="D51" s="503"/>
      <c r="E51" s="502"/>
      <c r="F51" s="484"/>
      <c r="G51" s="509"/>
      <c r="H51" s="535"/>
      <c r="I51" s="504"/>
    </row>
    <row r="52" spans="1:9" s="507" customFormat="1" ht="38.25" x14ac:dyDescent="0.2">
      <c r="A52" s="484" t="s">
        <v>1314</v>
      </c>
      <c r="B52" s="485"/>
      <c r="C52" s="502" t="s">
        <v>1315</v>
      </c>
      <c r="D52" s="503" t="s">
        <v>1316</v>
      </c>
      <c r="E52" s="502"/>
      <c r="F52" s="484" t="s">
        <v>1281</v>
      </c>
      <c r="G52" s="504">
        <v>6935</v>
      </c>
      <c r="H52" s="505">
        <v>648</v>
      </c>
      <c r="I52" s="504">
        <f t="shared" ref="I52:I62" si="1">H52*G52</f>
        <v>4493880</v>
      </c>
    </row>
    <row r="53" spans="1:9" s="507" customFormat="1" ht="12.75" customHeight="1" x14ac:dyDescent="0.2">
      <c r="A53" s="484"/>
      <c r="B53" s="485"/>
      <c r="C53" s="547"/>
      <c r="D53" s="548"/>
      <c r="E53" s="547"/>
      <c r="F53" s="484"/>
      <c r="G53" s="509"/>
      <c r="H53" s="535"/>
      <c r="I53" s="504"/>
    </row>
    <row r="54" spans="1:9" s="507" customFormat="1" ht="25.5" x14ac:dyDescent="0.2">
      <c r="A54" s="484" t="s">
        <v>1317</v>
      </c>
      <c r="B54" s="485"/>
      <c r="C54" s="502" t="s">
        <v>1318</v>
      </c>
      <c r="D54" s="539" t="s">
        <v>1319</v>
      </c>
      <c r="E54" s="540"/>
      <c r="F54" s="484" t="s">
        <v>1281</v>
      </c>
      <c r="G54" s="504">
        <v>20063</v>
      </c>
      <c r="H54" s="505">
        <v>65</v>
      </c>
      <c r="I54" s="504">
        <f t="shared" si="1"/>
        <v>1304095</v>
      </c>
    </row>
    <row r="55" spans="1:9" s="507" customFormat="1" x14ac:dyDescent="0.2">
      <c r="A55" s="484"/>
      <c r="B55" s="485"/>
      <c r="C55" s="502"/>
      <c r="D55" s="539"/>
      <c r="E55" s="540"/>
      <c r="F55" s="484"/>
      <c r="G55" s="504"/>
      <c r="H55" s="535"/>
      <c r="I55" s="504"/>
    </row>
    <row r="56" spans="1:9" s="507" customFormat="1" ht="25.5" x14ac:dyDescent="0.2">
      <c r="A56" s="484" t="s">
        <v>1320</v>
      </c>
      <c r="B56" s="485"/>
      <c r="C56" s="502" t="s">
        <v>1321</v>
      </c>
      <c r="D56" s="539" t="s">
        <v>1322</v>
      </c>
      <c r="E56" s="540"/>
      <c r="F56" s="484" t="s">
        <v>1281</v>
      </c>
      <c r="G56" s="504">
        <v>23904</v>
      </c>
      <c r="H56" s="505">
        <v>18</v>
      </c>
      <c r="I56" s="504">
        <f t="shared" si="1"/>
        <v>430272</v>
      </c>
    </row>
    <row r="57" spans="1:9" s="507" customFormat="1" x14ac:dyDescent="0.2">
      <c r="A57" s="484"/>
      <c r="B57" s="485"/>
      <c r="C57" s="502"/>
      <c r="D57" s="539"/>
      <c r="E57" s="540"/>
      <c r="F57" s="484"/>
      <c r="G57" s="499"/>
      <c r="H57" s="535"/>
      <c r="I57" s="504"/>
    </row>
    <row r="58" spans="1:9" s="507" customFormat="1" ht="29.25" customHeight="1" x14ac:dyDescent="0.2">
      <c r="A58" s="484" t="s">
        <v>1323</v>
      </c>
      <c r="B58" s="485"/>
      <c r="C58" s="543" t="s">
        <v>1324</v>
      </c>
      <c r="D58" s="544" t="s">
        <v>1325</v>
      </c>
      <c r="E58" s="543"/>
      <c r="F58" s="484" t="s">
        <v>1292</v>
      </c>
      <c r="G58" s="499">
        <v>290</v>
      </c>
      <c r="H58" s="505">
        <v>24</v>
      </c>
      <c r="I58" s="504">
        <f t="shared" si="1"/>
        <v>6960</v>
      </c>
    </row>
    <row r="59" spans="1:9" s="507" customFormat="1" x14ac:dyDescent="0.2">
      <c r="A59" s="484"/>
      <c r="B59" s="485"/>
      <c r="C59" s="543"/>
      <c r="D59" s="544"/>
      <c r="E59" s="543"/>
      <c r="F59" s="484"/>
      <c r="G59" s="499"/>
      <c r="H59" s="535"/>
      <c r="I59" s="504"/>
    </row>
    <row r="60" spans="1:9" s="507" customFormat="1" ht="25.5" x14ac:dyDescent="0.2">
      <c r="A60" s="484" t="s">
        <v>1326</v>
      </c>
      <c r="B60" s="485"/>
      <c r="C60" s="502" t="s">
        <v>1327</v>
      </c>
      <c r="D60" s="539" t="s">
        <v>1328</v>
      </c>
      <c r="E60" s="540"/>
      <c r="F60" s="549" t="s">
        <v>1329</v>
      </c>
      <c r="G60" s="499">
        <v>140</v>
      </c>
      <c r="H60" s="505">
        <v>142</v>
      </c>
      <c r="I60" s="504">
        <f t="shared" si="1"/>
        <v>19880</v>
      </c>
    </row>
    <row r="61" spans="1:9" s="507" customFormat="1" x14ac:dyDescent="0.2">
      <c r="A61" s="484"/>
      <c r="B61" s="485"/>
      <c r="C61" s="502"/>
      <c r="D61" s="539"/>
      <c r="E61" s="540"/>
      <c r="F61" s="484"/>
      <c r="G61" s="499"/>
      <c r="H61" s="535"/>
      <c r="I61" s="504"/>
    </row>
    <row r="62" spans="1:9" s="507" customFormat="1" ht="38.25" x14ac:dyDescent="0.2">
      <c r="A62" s="484" t="s">
        <v>1330</v>
      </c>
      <c r="B62" s="485"/>
      <c r="C62" s="502" t="s">
        <v>1331</v>
      </c>
      <c r="D62" s="539" t="s">
        <v>1332</v>
      </c>
      <c r="E62" s="540"/>
      <c r="F62" s="484" t="s">
        <v>1329</v>
      </c>
      <c r="G62" s="499">
        <v>4</v>
      </c>
      <c r="H62" s="505">
        <v>8871</v>
      </c>
      <c r="I62" s="504">
        <f t="shared" si="1"/>
        <v>35484</v>
      </c>
    </row>
    <row r="63" spans="1:9" x14ac:dyDescent="0.2">
      <c r="A63" s="484"/>
      <c r="B63" s="485"/>
      <c r="C63" s="497"/>
      <c r="D63" s="541"/>
      <c r="E63" s="542"/>
      <c r="F63" s="484"/>
      <c r="G63" s="499"/>
      <c r="H63" s="535"/>
      <c r="I63" s="504"/>
    </row>
    <row r="64" spans="1:9" x14ac:dyDescent="0.2">
      <c r="A64" s="483"/>
      <c r="B64" s="485"/>
      <c r="C64" s="497"/>
      <c r="D64" s="498"/>
      <c r="E64" s="497"/>
      <c r="F64" s="483"/>
      <c r="G64" s="499"/>
      <c r="H64" s="535"/>
      <c r="I64" s="504"/>
    </row>
    <row r="65" spans="1:9" s="516" customFormat="1" x14ac:dyDescent="0.2">
      <c r="A65" s="510"/>
      <c r="B65" s="511"/>
      <c r="C65" s="512"/>
      <c r="D65" s="513"/>
      <c r="E65" s="512"/>
      <c r="F65" s="514"/>
      <c r="G65" s="545"/>
      <c r="H65" s="994"/>
      <c r="I65" s="994"/>
    </row>
    <row r="66" spans="1:9" s="516" customFormat="1" x14ac:dyDescent="0.2">
      <c r="A66" s="517"/>
      <c r="B66" s="518"/>
      <c r="C66" s="519" t="s">
        <v>1285</v>
      </c>
      <c r="D66" s="520" t="s">
        <v>1286</v>
      </c>
      <c r="E66" s="519"/>
      <c r="F66" s="521"/>
      <c r="G66" s="546"/>
      <c r="H66" s="505"/>
      <c r="I66" s="508">
        <f>SUM(I50:I62)</f>
        <v>9438297</v>
      </c>
    </row>
    <row r="67" spans="1:9" s="516" customFormat="1" x14ac:dyDescent="0.2">
      <c r="A67" s="523"/>
      <c r="B67" s="524"/>
      <c r="C67" s="525"/>
      <c r="D67" s="526"/>
      <c r="E67" s="525"/>
      <c r="F67" s="527"/>
      <c r="G67" s="523"/>
      <c r="H67" s="995"/>
      <c r="I67" s="996"/>
    </row>
    <row r="68" spans="1:9" s="516" customFormat="1" x14ac:dyDescent="0.2">
      <c r="A68" s="550"/>
      <c r="B68" s="518"/>
      <c r="C68" s="530"/>
      <c r="D68" s="531"/>
      <c r="E68" s="530"/>
      <c r="F68" s="521"/>
      <c r="G68" s="550"/>
      <c r="H68" s="505"/>
      <c r="I68" s="997"/>
    </row>
    <row r="69" spans="1:9" x14ac:dyDescent="0.2">
      <c r="A69" s="492">
        <v>2.2999999999999998</v>
      </c>
      <c r="B69" s="485"/>
      <c r="C69" s="533" t="s">
        <v>1333</v>
      </c>
      <c r="D69" s="534" t="s">
        <v>1334</v>
      </c>
      <c r="E69" s="533"/>
      <c r="F69" s="484"/>
      <c r="G69" s="499"/>
      <c r="H69" s="535"/>
      <c r="I69" s="504"/>
    </row>
    <row r="70" spans="1:9" x14ac:dyDescent="0.2">
      <c r="A70" s="484"/>
      <c r="B70" s="485"/>
      <c r="C70" s="533" t="s">
        <v>1335</v>
      </c>
      <c r="D70" s="534" t="s">
        <v>1336</v>
      </c>
      <c r="E70" s="533"/>
      <c r="F70" s="484"/>
      <c r="G70" s="499"/>
      <c r="H70" s="535"/>
      <c r="I70" s="504"/>
    </row>
    <row r="71" spans="1:9" x14ac:dyDescent="0.2">
      <c r="A71" s="484"/>
      <c r="B71" s="485"/>
      <c r="C71" s="497"/>
      <c r="D71" s="498"/>
      <c r="E71" s="497"/>
      <c r="F71" s="484"/>
      <c r="G71" s="499"/>
      <c r="H71" s="535"/>
      <c r="I71" s="504"/>
    </row>
    <row r="72" spans="1:9" ht="39" customHeight="1" x14ac:dyDescent="0.2">
      <c r="A72" s="484"/>
      <c r="B72" s="485"/>
      <c r="C72" s="551" t="s">
        <v>1337</v>
      </c>
      <c r="D72" s="552" t="s">
        <v>1338</v>
      </c>
      <c r="E72" s="553"/>
      <c r="F72" s="549"/>
      <c r="G72" s="499"/>
      <c r="H72" s="535"/>
      <c r="I72" s="504"/>
    </row>
    <row r="73" spans="1:9" ht="9.75" customHeight="1" x14ac:dyDescent="0.2">
      <c r="A73" s="484"/>
      <c r="B73" s="485"/>
      <c r="C73" s="551"/>
      <c r="D73" s="552"/>
      <c r="E73" s="553"/>
      <c r="F73" s="549"/>
      <c r="G73" s="499"/>
      <c r="H73" s="535"/>
      <c r="I73" s="504"/>
    </row>
    <row r="74" spans="1:9" ht="94.5" customHeight="1" x14ac:dyDescent="0.2">
      <c r="A74" s="484"/>
      <c r="B74" s="485"/>
      <c r="C74" s="551" t="s">
        <v>1339</v>
      </c>
      <c r="D74" s="554" t="s">
        <v>1340</v>
      </c>
      <c r="E74" s="551"/>
      <c r="F74" s="549"/>
      <c r="G74" s="499"/>
      <c r="H74" s="535"/>
      <c r="I74" s="504"/>
    </row>
    <row r="75" spans="1:9" ht="17.25" customHeight="1" x14ac:dyDescent="0.2">
      <c r="A75" s="484"/>
      <c r="B75" s="485"/>
      <c r="C75" s="555" t="s">
        <v>1341</v>
      </c>
      <c r="D75" s="556" t="s">
        <v>1342</v>
      </c>
      <c r="E75" s="557"/>
      <c r="F75" s="549"/>
      <c r="G75" s="499"/>
      <c r="H75" s="535"/>
      <c r="I75" s="504"/>
    </row>
    <row r="76" spans="1:9" ht="15" customHeight="1" x14ac:dyDescent="0.2">
      <c r="A76" s="484"/>
      <c r="B76" s="485"/>
      <c r="C76" s="551" t="s">
        <v>1343</v>
      </c>
      <c r="D76" s="558" t="s">
        <v>1344</v>
      </c>
      <c r="E76" s="559"/>
      <c r="F76" s="549"/>
      <c r="G76" s="499"/>
      <c r="H76" s="535"/>
      <c r="I76" s="504"/>
    </row>
    <row r="77" spans="1:9" ht="15" customHeight="1" x14ac:dyDescent="0.2">
      <c r="A77" s="484"/>
      <c r="B77" s="485"/>
      <c r="C77" s="551" t="s">
        <v>1345</v>
      </c>
      <c r="D77" s="558" t="s">
        <v>1346</v>
      </c>
      <c r="E77" s="559"/>
      <c r="F77" s="549"/>
      <c r="G77" s="499"/>
      <c r="H77" s="535"/>
      <c r="I77" s="504"/>
    </row>
    <row r="78" spans="1:9" ht="15.75" customHeight="1" x14ac:dyDescent="0.2">
      <c r="A78" s="484"/>
      <c r="B78" s="485"/>
      <c r="C78" s="551" t="s">
        <v>1347</v>
      </c>
      <c r="D78" s="558" t="s">
        <v>1348</v>
      </c>
      <c r="E78" s="559"/>
      <c r="F78" s="549"/>
      <c r="G78" s="499"/>
      <c r="H78" s="535"/>
      <c r="I78" s="504"/>
    </row>
    <row r="79" spans="1:9" ht="14.25" customHeight="1" x14ac:dyDescent="0.2">
      <c r="A79" s="484"/>
      <c r="B79" s="485"/>
      <c r="C79" s="551" t="s">
        <v>1349</v>
      </c>
      <c r="D79" s="558" t="s">
        <v>1350</v>
      </c>
      <c r="E79" s="559"/>
      <c r="F79" s="549"/>
      <c r="G79" s="499"/>
      <c r="H79" s="535"/>
      <c r="I79" s="504"/>
    </row>
    <row r="80" spans="1:9" ht="12.75" customHeight="1" x14ac:dyDescent="0.2">
      <c r="A80" s="484"/>
      <c r="B80" s="485"/>
      <c r="C80" s="551" t="s">
        <v>1351</v>
      </c>
      <c r="D80" s="558" t="s">
        <v>1352</v>
      </c>
      <c r="E80" s="559"/>
      <c r="F80" s="549"/>
      <c r="G80" s="499"/>
      <c r="H80" s="535"/>
      <c r="I80" s="504"/>
    </row>
    <row r="81" spans="1:9" ht="13.5" customHeight="1" x14ac:dyDescent="0.2">
      <c r="A81" s="484"/>
      <c r="B81" s="485"/>
      <c r="C81" s="551" t="s">
        <v>1353</v>
      </c>
      <c r="D81" s="554" t="s">
        <v>1354</v>
      </c>
      <c r="E81" s="551"/>
      <c r="F81" s="549"/>
      <c r="G81" s="499"/>
      <c r="H81" s="535"/>
      <c r="I81" s="504"/>
    </row>
    <row r="82" spans="1:9" ht="13.5" customHeight="1" x14ac:dyDescent="0.2">
      <c r="A82" s="484"/>
      <c r="B82" s="485"/>
      <c r="C82" s="551"/>
      <c r="D82" s="554"/>
      <c r="E82" s="551"/>
      <c r="F82" s="549"/>
      <c r="G82" s="499"/>
      <c r="H82" s="535"/>
      <c r="I82" s="504"/>
    </row>
    <row r="83" spans="1:9" ht="15.75" customHeight="1" x14ac:dyDescent="0.2">
      <c r="A83" s="484" t="s">
        <v>1355</v>
      </c>
      <c r="B83" s="485"/>
      <c r="C83" s="533" t="s">
        <v>1356</v>
      </c>
      <c r="D83" s="560" t="s">
        <v>1357</v>
      </c>
      <c r="E83" s="561"/>
      <c r="F83" s="549"/>
      <c r="G83" s="499"/>
      <c r="H83" s="535"/>
      <c r="I83" s="504"/>
    </row>
    <row r="84" spans="1:9" x14ac:dyDescent="0.2">
      <c r="A84" s="484" t="s">
        <v>1358</v>
      </c>
      <c r="B84" s="485"/>
      <c r="C84" s="562" t="s">
        <v>1359</v>
      </c>
      <c r="D84" s="563" t="s">
        <v>1360</v>
      </c>
      <c r="E84" s="564"/>
      <c r="F84" s="549" t="s">
        <v>1329</v>
      </c>
      <c r="G84" s="499">
        <v>175</v>
      </c>
      <c r="H84" s="505">
        <v>769</v>
      </c>
      <c r="I84" s="504">
        <f>H84*G84</f>
        <v>134575</v>
      </c>
    </row>
    <row r="85" spans="1:9" x14ac:dyDescent="0.2">
      <c r="A85" s="484"/>
      <c r="B85" s="485"/>
      <c r="C85" s="562"/>
      <c r="D85" s="563"/>
      <c r="E85" s="564"/>
      <c r="F85" s="549"/>
      <c r="G85" s="499"/>
      <c r="H85" s="535"/>
      <c r="I85" s="504"/>
    </row>
    <row r="86" spans="1:9" x14ac:dyDescent="0.2">
      <c r="A86" s="484" t="s">
        <v>1361</v>
      </c>
      <c r="B86" s="485"/>
      <c r="C86" s="562" t="s">
        <v>1362</v>
      </c>
      <c r="D86" s="563" t="s">
        <v>1363</v>
      </c>
      <c r="E86" s="564"/>
      <c r="F86" s="549" t="s">
        <v>1329</v>
      </c>
      <c r="G86" s="499">
        <v>30</v>
      </c>
      <c r="H86" s="505">
        <v>887</v>
      </c>
      <c r="I86" s="504">
        <f t="shared" ref="I86:I93" si="2">H86*G86</f>
        <v>26610</v>
      </c>
    </row>
    <row r="87" spans="1:9" ht="12" customHeight="1" x14ac:dyDescent="0.2">
      <c r="A87" s="484"/>
      <c r="B87" s="485"/>
      <c r="C87" s="562"/>
      <c r="D87" s="565"/>
      <c r="E87" s="562"/>
      <c r="F87" s="549"/>
      <c r="G87" s="499"/>
      <c r="H87" s="535"/>
      <c r="I87" s="504"/>
    </row>
    <row r="88" spans="1:9" ht="18" customHeight="1" x14ac:dyDescent="0.2">
      <c r="A88" s="484" t="s">
        <v>1364</v>
      </c>
      <c r="B88" s="485"/>
      <c r="C88" s="533" t="s">
        <v>1365</v>
      </c>
      <c r="D88" s="566" t="s">
        <v>1366</v>
      </c>
      <c r="E88" s="567"/>
      <c r="F88" s="549"/>
      <c r="G88" s="499"/>
      <c r="H88" s="535"/>
      <c r="I88" s="504"/>
    </row>
    <row r="89" spans="1:9" x14ac:dyDescent="0.2">
      <c r="A89" s="484" t="s">
        <v>1367</v>
      </c>
      <c r="B89" s="485"/>
      <c r="C89" s="562" t="s">
        <v>1368</v>
      </c>
      <c r="D89" s="565" t="s">
        <v>1369</v>
      </c>
      <c r="E89" s="562"/>
      <c r="F89" s="549" t="s">
        <v>1329</v>
      </c>
      <c r="G89" s="504">
        <v>286</v>
      </c>
      <c r="H89" s="505">
        <v>30</v>
      </c>
      <c r="I89" s="504">
        <f t="shared" si="2"/>
        <v>8580</v>
      </c>
    </row>
    <row r="90" spans="1:9" ht="9.75" customHeight="1" x14ac:dyDescent="0.2">
      <c r="A90" s="484"/>
      <c r="B90" s="485"/>
      <c r="C90" s="562"/>
      <c r="D90" s="565"/>
      <c r="E90" s="562"/>
      <c r="F90" s="549"/>
      <c r="G90" s="504"/>
      <c r="H90" s="535"/>
      <c r="I90" s="504"/>
    </row>
    <row r="91" spans="1:9" x14ac:dyDescent="0.2">
      <c r="A91" s="484" t="s">
        <v>1370</v>
      </c>
      <c r="B91" s="485"/>
      <c r="C91" s="562" t="s">
        <v>1371</v>
      </c>
      <c r="D91" s="558" t="s">
        <v>1372</v>
      </c>
      <c r="E91" s="559"/>
      <c r="F91" s="549" t="s">
        <v>1329</v>
      </c>
      <c r="G91" s="504">
        <v>120</v>
      </c>
      <c r="H91" s="505">
        <v>30</v>
      </c>
      <c r="I91" s="504">
        <f t="shared" si="2"/>
        <v>3600</v>
      </c>
    </row>
    <row r="92" spans="1:9" ht="12" customHeight="1" x14ac:dyDescent="0.2">
      <c r="A92" s="484"/>
      <c r="B92" s="485"/>
      <c r="C92" s="562"/>
      <c r="D92" s="565"/>
      <c r="E92" s="562"/>
      <c r="F92" s="549"/>
      <c r="G92" s="504"/>
      <c r="H92" s="535"/>
      <c r="I92" s="504"/>
    </row>
    <row r="93" spans="1:9" ht="18" customHeight="1" x14ac:dyDescent="0.2">
      <c r="A93" s="483" t="s">
        <v>1373</v>
      </c>
      <c r="B93" s="485"/>
      <c r="C93" s="562" t="s">
        <v>1374</v>
      </c>
      <c r="D93" s="565" t="s">
        <v>1375</v>
      </c>
      <c r="E93" s="562"/>
      <c r="F93" s="568" t="s">
        <v>1329</v>
      </c>
      <c r="G93" s="504">
        <v>25</v>
      </c>
      <c r="H93" s="505">
        <v>30</v>
      </c>
      <c r="I93" s="504">
        <f t="shared" si="2"/>
        <v>750</v>
      </c>
    </row>
    <row r="94" spans="1:9" s="516" customFormat="1" x14ac:dyDescent="0.2">
      <c r="A94" s="510"/>
      <c r="B94" s="511"/>
      <c r="C94" s="512"/>
      <c r="D94" s="513"/>
      <c r="E94" s="512"/>
      <c r="F94" s="514"/>
      <c r="G94" s="545"/>
      <c r="H94" s="994"/>
      <c r="I94" s="994"/>
    </row>
    <row r="95" spans="1:9" s="516" customFormat="1" x14ac:dyDescent="0.2">
      <c r="A95" s="517"/>
      <c r="B95" s="518"/>
      <c r="C95" s="519" t="s">
        <v>1285</v>
      </c>
      <c r="D95" s="520" t="s">
        <v>1286</v>
      </c>
      <c r="E95" s="519"/>
      <c r="F95" s="521"/>
      <c r="G95" s="546"/>
      <c r="H95" s="505"/>
      <c r="I95" s="508">
        <f>SUM(I84:I93)</f>
        <v>174115</v>
      </c>
    </row>
    <row r="96" spans="1:9" s="516" customFormat="1" x14ac:dyDescent="0.2">
      <c r="A96" s="523"/>
      <c r="B96" s="524"/>
      <c r="C96" s="525"/>
      <c r="D96" s="526"/>
      <c r="E96" s="525"/>
      <c r="F96" s="527"/>
      <c r="G96" s="523"/>
      <c r="H96" s="995"/>
      <c r="I96" s="996"/>
    </row>
    <row r="97" spans="1:9" x14ac:dyDescent="0.2">
      <c r="A97" s="479"/>
      <c r="B97" s="485"/>
      <c r="C97" s="497"/>
      <c r="D97" s="569"/>
      <c r="E97" s="497"/>
      <c r="F97" s="484"/>
      <c r="G97" s="504"/>
      <c r="H97" s="535"/>
      <c r="I97" s="504"/>
    </row>
    <row r="98" spans="1:9" s="570" customFormat="1" x14ac:dyDescent="0.2">
      <c r="A98" s="492">
        <v>3</v>
      </c>
      <c r="B98" s="487"/>
      <c r="C98" s="533" t="s">
        <v>1376</v>
      </c>
      <c r="D98" s="534" t="s">
        <v>1377</v>
      </c>
      <c r="E98" s="500"/>
      <c r="F98" s="492"/>
      <c r="G98" s="508"/>
      <c r="H98" s="505"/>
      <c r="I98" s="508"/>
    </row>
    <row r="99" spans="1:9" x14ac:dyDescent="0.2">
      <c r="A99" s="484"/>
      <c r="B99" s="485"/>
      <c r="C99" s="497"/>
      <c r="D99" s="498"/>
      <c r="E99" s="497"/>
      <c r="F99" s="484"/>
      <c r="G99" s="504"/>
      <c r="H99" s="535"/>
      <c r="I99" s="504"/>
    </row>
    <row r="100" spans="1:9" ht="63.75" x14ac:dyDescent="0.2">
      <c r="A100" s="484">
        <v>3.1</v>
      </c>
      <c r="B100" s="485"/>
      <c r="C100" s="502" t="s">
        <v>1378</v>
      </c>
      <c r="D100" s="498" t="s">
        <v>1379</v>
      </c>
      <c r="E100" s="497"/>
      <c r="F100" s="484"/>
      <c r="G100" s="504"/>
      <c r="H100" s="535"/>
      <c r="I100" s="504"/>
    </row>
    <row r="101" spans="1:9" x14ac:dyDescent="0.2">
      <c r="A101" s="484"/>
      <c r="B101" s="485"/>
      <c r="C101" s="497"/>
      <c r="D101" s="498"/>
      <c r="E101" s="497"/>
      <c r="F101" s="484"/>
      <c r="G101" s="504"/>
      <c r="H101" s="535"/>
      <c r="I101" s="504"/>
    </row>
    <row r="102" spans="1:9" s="507" customFormat="1" x14ac:dyDescent="0.2">
      <c r="A102" s="484" t="s">
        <v>1380</v>
      </c>
      <c r="B102" s="485"/>
      <c r="C102" s="502" t="s">
        <v>1381</v>
      </c>
      <c r="D102" s="503" t="s">
        <v>1382</v>
      </c>
      <c r="E102" s="502"/>
      <c r="F102" s="484" t="s">
        <v>140</v>
      </c>
      <c r="G102" s="504">
        <v>53</v>
      </c>
      <c r="H102" s="505">
        <v>494</v>
      </c>
      <c r="I102" s="504">
        <f>H102*G102</f>
        <v>26182</v>
      </c>
    </row>
    <row r="103" spans="1:9" x14ac:dyDescent="0.2">
      <c r="A103" s="484"/>
      <c r="B103" s="485"/>
      <c r="C103" s="497"/>
      <c r="D103" s="498"/>
      <c r="E103" s="497"/>
      <c r="F103" s="484"/>
      <c r="G103" s="504"/>
      <c r="H103" s="535"/>
      <c r="I103" s="504"/>
    </row>
    <row r="104" spans="1:9" ht="63.75" x14ac:dyDescent="0.2">
      <c r="A104" s="484">
        <v>3.2</v>
      </c>
      <c r="B104" s="485"/>
      <c r="C104" s="497" t="s">
        <v>1383</v>
      </c>
      <c r="D104" s="498" t="s">
        <v>1384</v>
      </c>
      <c r="E104" s="497"/>
      <c r="F104" s="484"/>
      <c r="G104" s="504"/>
      <c r="H104" s="535"/>
      <c r="I104" s="504"/>
    </row>
    <row r="105" spans="1:9" s="507" customFormat="1" x14ac:dyDescent="0.2">
      <c r="A105" s="484" t="s">
        <v>1385</v>
      </c>
      <c r="B105" s="485"/>
      <c r="C105" s="502" t="s">
        <v>1386</v>
      </c>
      <c r="D105" s="503" t="s">
        <v>1387</v>
      </c>
      <c r="E105" s="502"/>
      <c r="F105" s="484" t="s">
        <v>140</v>
      </c>
      <c r="G105" s="504">
        <v>140</v>
      </c>
      <c r="H105" s="505">
        <v>909</v>
      </c>
      <c r="I105" s="504">
        <f t="shared" ref="I105:I114" si="3">H105*G105</f>
        <v>127260</v>
      </c>
    </row>
    <row r="106" spans="1:9" s="507" customFormat="1" x14ac:dyDescent="0.2">
      <c r="A106" s="484" t="s">
        <v>1388</v>
      </c>
      <c r="B106" s="485"/>
      <c r="C106" s="502" t="s">
        <v>1389</v>
      </c>
      <c r="D106" s="503" t="s">
        <v>1390</v>
      </c>
      <c r="E106" s="502"/>
      <c r="F106" s="484" t="s">
        <v>140</v>
      </c>
      <c r="G106" s="504">
        <v>5</v>
      </c>
      <c r="H106" s="505">
        <v>909</v>
      </c>
      <c r="I106" s="504">
        <f t="shared" si="3"/>
        <v>4545</v>
      </c>
    </row>
    <row r="107" spans="1:9" s="507" customFormat="1" x14ac:dyDescent="0.2">
      <c r="A107" s="484" t="s">
        <v>1391</v>
      </c>
      <c r="B107" s="485"/>
      <c r="C107" s="502" t="s">
        <v>1392</v>
      </c>
      <c r="D107" s="503" t="s">
        <v>1393</v>
      </c>
      <c r="E107" s="502"/>
      <c r="F107" s="484" t="s">
        <v>140</v>
      </c>
      <c r="G107" s="504">
        <f>35+12+1</f>
        <v>48</v>
      </c>
      <c r="H107" s="505">
        <v>909</v>
      </c>
      <c r="I107" s="504">
        <f t="shared" si="3"/>
        <v>43632</v>
      </c>
    </row>
    <row r="108" spans="1:9" s="507" customFormat="1" x14ac:dyDescent="0.2">
      <c r="A108" s="484" t="s">
        <v>1394</v>
      </c>
      <c r="B108" s="485"/>
      <c r="C108" s="502" t="s">
        <v>1395</v>
      </c>
      <c r="D108" s="503" t="s">
        <v>1396</v>
      </c>
      <c r="E108" s="502"/>
      <c r="F108" s="484" t="s">
        <v>140</v>
      </c>
      <c r="G108" s="504">
        <f>12+11+1</f>
        <v>24</v>
      </c>
      <c r="H108" s="505">
        <v>1061</v>
      </c>
      <c r="I108" s="504">
        <f t="shared" si="3"/>
        <v>25464</v>
      </c>
    </row>
    <row r="109" spans="1:9" s="507" customFormat="1" x14ac:dyDescent="0.2">
      <c r="A109" s="484" t="s">
        <v>1397</v>
      </c>
      <c r="B109" s="485"/>
      <c r="C109" s="502" t="s">
        <v>1398</v>
      </c>
      <c r="D109" s="503" t="s">
        <v>1399</v>
      </c>
      <c r="E109" s="502"/>
      <c r="F109" s="484" t="s">
        <v>140</v>
      </c>
      <c r="G109" s="504">
        <v>23</v>
      </c>
      <c r="H109" s="505">
        <v>1129</v>
      </c>
      <c r="I109" s="504">
        <f t="shared" si="3"/>
        <v>25967</v>
      </c>
    </row>
    <row r="110" spans="1:9" s="507" customFormat="1" x14ac:dyDescent="0.2">
      <c r="A110" s="484" t="s">
        <v>1400</v>
      </c>
      <c r="B110" s="485"/>
      <c r="C110" s="502" t="s">
        <v>1401</v>
      </c>
      <c r="D110" s="503" t="s">
        <v>1402</v>
      </c>
      <c r="E110" s="502"/>
      <c r="F110" s="484" t="s">
        <v>140</v>
      </c>
      <c r="G110" s="504">
        <v>11</v>
      </c>
      <c r="H110" s="505">
        <v>1129</v>
      </c>
      <c r="I110" s="504">
        <f t="shared" si="3"/>
        <v>12419</v>
      </c>
    </row>
    <row r="111" spans="1:9" s="507" customFormat="1" x14ac:dyDescent="0.2">
      <c r="A111" s="484"/>
      <c r="B111" s="485"/>
      <c r="C111" s="502"/>
      <c r="D111" s="503"/>
      <c r="E111" s="502"/>
      <c r="F111" s="484"/>
      <c r="G111" s="504"/>
      <c r="H111" s="535"/>
      <c r="I111" s="504"/>
    </row>
    <row r="112" spans="1:9" ht="38.25" x14ac:dyDescent="0.2">
      <c r="A112" s="484">
        <v>3.3</v>
      </c>
      <c r="B112" s="485"/>
      <c r="C112" s="497" t="s">
        <v>1403</v>
      </c>
      <c r="D112" s="498" t="s">
        <v>1404</v>
      </c>
      <c r="E112" s="497"/>
      <c r="F112" s="571" t="s">
        <v>140</v>
      </c>
      <c r="G112" s="504">
        <v>60</v>
      </c>
      <c r="H112" s="505">
        <v>1361</v>
      </c>
      <c r="I112" s="504">
        <f t="shared" si="3"/>
        <v>81660</v>
      </c>
    </row>
    <row r="113" spans="1:9" s="507" customFormat="1" x14ac:dyDescent="0.2">
      <c r="A113" s="484"/>
      <c r="B113" s="485"/>
      <c r="C113" s="502"/>
      <c r="D113" s="503"/>
      <c r="E113" s="502"/>
      <c r="F113" s="484"/>
      <c r="G113" s="504"/>
      <c r="H113" s="535"/>
      <c r="I113" s="504"/>
    </row>
    <row r="114" spans="1:9" s="507" customFormat="1" ht="63.75" x14ac:dyDescent="0.2">
      <c r="A114" s="484">
        <v>3.4</v>
      </c>
      <c r="B114" s="485"/>
      <c r="C114" s="502" t="s">
        <v>1405</v>
      </c>
      <c r="D114" s="503" t="s">
        <v>1406</v>
      </c>
      <c r="E114" s="502"/>
      <c r="F114" s="484" t="s">
        <v>140</v>
      </c>
      <c r="G114" s="504">
        <f>74+10+1</f>
        <v>85</v>
      </c>
      <c r="H114" s="505">
        <v>1136</v>
      </c>
      <c r="I114" s="504">
        <f t="shared" si="3"/>
        <v>96560</v>
      </c>
    </row>
    <row r="115" spans="1:9" s="507" customFormat="1" x14ac:dyDescent="0.2">
      <c r="A115" s="483"/>
      <c r="B115" s="485"/>
      <c r="C115" s="502"/>
      <c r="D115" s="572"/>
      <c r="E115" s="573"/>
      <c r="F115" s="483"/>
      <c r="G115" s="504"/>
      <c r="H115" s="535"/>
      <c r="I115" s="504"/>
    </row>
    <row r="116" spans="1:9" s="516" customFormat="1" x14ac:dyDescent="0.2">
      <c r="A116" s="510"/>
      <c r="B116" s="511"/>
      <c r="C116" s="512"/>
      <c r="D116" s="513"/>
      <c r="E116" s="512"/>
      <c r="F116" s="514"/>
      <c r="G116" s="545"/>
      <c r="H116" s="994"/>
      <c r="I116" s="994"/>
    </row>
    <row r="117" spans="1:9" s="516" customFormat="1" x14ac:dyDescent="0.2">
      <c r="A117" s="517"/>
      <c r="B117" s="518"/>
      <c r="C117" s="519" t="s">
        <v>1285</v>
      </c>
      <c r="D117" s="520" t="s">
        <v>1286</v>
      </c>
      <c r="E117" s="519"/>
      <c r="F117" s="521"/>
      <c r="G117" s="546"/>
      <c r="H117" s="505"/>
      <c r="I117" s="508">
        <f>SUM(I101:I114)</f>
        <v>443689</v>
      </c>
    </row>
    <row r="118" spans="1:9" s="516" customFormat="1" x14ac:dyDescent="0.2">
      <c r="A118" s="523"/>
      <c r="B118" s="524"/>
      <c r="C118" s="525"/>
      <c r="D118" s="526"/>
      <c r="E118" s="525"/>
      <c r="F118" s="527"/>
      <c r="G118" s="523"/>
      <c r="H118" s="995"/>
      <c r="I118" s="996"/>
    </row>
    <row r="119" spans="1:9" x14ac:dyDescent="0.2">
      <c r="A119" s="484"/>
      <c r="B119" s="485"/>
      <c r="C119" s="497"/>
      <c r="D119" s="498"/>
      <c r="E119" s="497"/>
      <c r="F119" s="484"/>
      <c r="G119" s="504"/>
      <c r="H119" s="535"/>
      <c r="I119" s="504"/>
    </row>
    <row r="120" spans="1:9" x14ac:dyDescent="0.2">
      <c r="A120" s="484"/>
      <c r="B120" s="485"/>
      <c r="C120" s="497"/>
      <c r="D120" s="498"/>
      <c r="E120" s="497"/>
      <c r="F120" s="484"/>
      <c r="G120" s="504"/>
      <c r="H120" s="535"/>
      <c r="I120" s="504"/>
    </row>
    <row r="121" spans="1:9" x14ac:dyDescent="0.2">
      <c r="A121" s="492">
        <v>3</v>
      </c>
      <c r="B121" s="485"/>
      <c r="C121" s="533" t="s">
        <v>1407</v>
      </c>
      <c r="D121" s="534" t="s">
        <v>1408</v>
      </c>
      <c r="E121" s="497"/>
      <c r="F121" s="484"/>
      <c r="G121" s="504"/>
      <c r="H121" s="535"/>
      <c r="I121" s="504"/>
    </row>
    <row r="122" spans="1:9" x14ac:dyDescent="0.2">
      <c r="A122" s="484"/>
      <c r="B122" s="485"/>
      <c r="C122" s="497"/>
      <c r="D122" s="498"/>
      <c r="E122" s="497"/>
      <c r="F122" s="484"/>
      <c r="G122" s="504"/>
      <c r="H122" s="535"/>
      <c r="I122" s="504"/>
    </row>
    <row r="123" spans="1:9" ht="63.75" x14ac:dyDescent="0.2">
      <c r="A123" s="484">
        <v>3.5</v>
      </c>
      <c r="B123" s="485"/>
      <c r="C123" s="497" t="s">
        <v>1409</v>
      </c>
      <c r="D123" s="498" t="s">
        <v>1410</v>
      </c>
      <c r="E123" s="497"/>
      <c r="F123" s="484"/>
      <c r="G123" s="504"/>
      <c r="H123" s="535"/>
      <c r="I123" s="504"/>
    </row>
    <row r="124" spans="1:9" x14ac:dyDescent="0.2">
      <c r="A124" s="484"/>
      <c r="B124" s="485"/>
      <c r="C124" s="497"/>
      <c r="D124" s="498"/>
      <c r="E124" s="497"/>
      <c r="F124" s="484"/>
      <c r="G124" s="504"/>
      <c r="H124" s="535"/>
      <c r="I124" s="504"/>
    </row>
    <row r="125" spans="1:9" x14ac:dyDescent="0.2">
      <c r="A125" s="484" t="s">
        <v>1411</v>
      </c>
      <c r="B125" s="485"/>
      <c r="C125" s="497" t="s">
        <v>1412</v>
      </c>
      <c r="D125" s="498" t="s">
        <v>1413</v>
      </c>
      <c r="E125" s="497"/>
      <c r="F125" s="484" t="s">
        <v>140</v>
      </c>
      <c r="G125" s="504">
        <f>51+5+10</f>
        <v>66</v>
      </c>
      <c r="H125" s="505">
        <v>1061</v>
      </c>
      <c r="I125" s="504">
        <f>H125*G125</f>
        <v>70026</v>
      </c>
    </row>
    <row r="126" spans="1:9" x14ac:dyDescent="0.2">
      <c r="A126" s="484" t="s">
        <v>1414</v>
      </c>
      <c r="B126" s="485"/>
      <c r="C126" s="574" t="s">
        <v>1415</v>
      </c>
      <c r="D126" s="498" t="s">
        <v>1416</v>
      </c>
      <c r="E126" s="497"/>
      <c r="F126" s="484" t="s">
        <v>140</v>
      </c>
      <c r="G126" s="504">
        <f>57+13+2</f>
        <v>72</v>
      </c>
      <c r="H126" s="505">
        <v>1164</v>
      </c>
      <c r="I126" s="504">
        <f t="shared" ref="I126:I128" si="4">H126*G126</f>
        <v>83808</v>
      </c>
    </row>
    <row r="127" spans="1:9" x14ac:dyDescent="0.2">
      <c r="A127" s="484" t="s">
        <v>1417</v>
      </c>
      <c r="B127" s="485"/>
      <c r="C127" s="497" t="s">
        <v>1418</v>
      </c>
      <c r="D127" s="498" t="s">
        <v>1419</v>
      </c>
      <c r="E127" s="497"/>
      <c r="F127" s="484" t="s">
        <v>140</v>
      </c>
      <c r="G127" s="504">
        <f>8+1+6</f>
        <v>15</v>
      </c>
      <c r="H127" s="505">
        <v>1164</v>
      </c>
      <c r="I127" s="504">
        <f t="shared" si="4"/>
        <v>17460</v>
      </c>
    </row>
    <row r="128" spans="1:9" x14ac:dyDescent="0.2">
      <c r="A128" s="484" t="s">
        <v>1420</v>
      </c>
      <c r="B128" s="485"/>
      <c r="C128" s="497" t="s">
        <v>1421</v>
      </c>
      <c r="D128" s="498" t="s">
        <v>1422</v>
      </c>
      <c r="E128" s="497"/>
      <c r="F128" s="484" t="s">
        <v>140</v>
      </c>
      <c r="G128" s="504">
        <f>97+13+1</f>
        <v>111</v>
      </c>
      <c r="H128" s="505">
        <v>1164</v>
      </c>
      <c r="I128" s="504">
        <f t="shared" si="4"/>
        <v>129204</v>
      </c>
    </row>
    <row r="129" spans="1:9" x14ac:dyDescent="0.2">
      <c r="A129" s="483"/>
      <c r="B129" s="485"/>
      <c r="C129" s="497"/>
      <c r="D129" s="575"/>
      <c r="E129" s="576"/>
      <c r="F129" s="483"/>
      <c r="G129" s="504"/>
      <c r="H129" s="535"/>
      <c r="I129" s="504"/>
    </row>
    <row r="130" spans="1:9" s="516" customFormat="1" x14ac:dyDescent="0.2">
      <c r="A130" s="510"/>
      <c r="B130" s="511"/>
      <c r="C130" s="512"/>
      <c r="D130" s="513"/>
      <c r="E130" s="512"/>
      <c r="F130" s="514"/>
      <c r="G130" s="545"/>
      <c r="H130" s="994"/>
      <c r="I130" s="994"/>
    </row>
    <row r="131" spans="1:9" s="516" customFormat="1" x14ac:dyDescent="0.2">
      <c r="A131" s="517"/>
      <c r="B131" s="518"/>
      <c r="C131" s="530" t="s">
        <v>1285</v>
      </c>
      <c r="D131" s="531" t="s">
        <v>1286</v>
      </c>
      <c r="E131" s="530"/>
      <c r="F131" s="521"/>
      <c r="G131" s="546"/>
      <c r="H131" s="505"/>
      <c r="I131" s="508">
        <f>SUM(I124:I129)</f>
        <v>300498</v>
      </c>
    </row>
    <row r="132" spans="1:9" s="516" customFormat="1" x14ac:dyDescent="0.2">
      <c r="A132" s="523"/>
      <c r="B132" s="524"/>
      <c r="C132" s="577"/>
      <c r="D132" s="578"/>
      <c r="E132" s="577"/>
      <c r="F132" s="527"/>
      <c r="G132" s="523"/>
      <c r="H132" s="995"/>
      <c r="I132" s="996"/>
    </row>
    <row r="133" spans="1:9" x14ac:dyDescent="0.2">
      <c r="A133" s="484"/>
      <c r="B133" s="485"/>
      <c r="C133" s="497"/>
      <c r="D133" s="498"/>
      <c r="E133" s="497"/>
      <c r="F133" s="484"/>
      <c r="G133" s="504"/>
      <c r="H133" s="535"/>
      <c r="I133" s="504"/>
    </row>
    <row r="134" spans="1:9" x14ac:dyDescent="0.2">
      <c r="A134" s="484"/>
      <c r="B134" s="485"/>
      <c r="C134" s="497"/>
      <c r="D134" s="498"/>
      <c r="E134" s="497"/>
      <c r="F134" s="484"/>
      <c r="G134" s="504"/>
      <c r="H134" s="535"/>
      <c r="I134" s="504"/>
    </row>
    <row r="135" spans="1:9" x14ac:dyDescent="0.2">
      <c r="A135" s="492">
        <v>4</v>
      </c>
      <c r="B135" s="485"/>
      <c r="C135" s="533" t="s">
        <v>1423</v>
      </c>
      <c r="D135" s="534" t="s">
        <v>1424</v>
      </c>
      <c r="E135" s="497"/>
      <c r="F135" s="484"/>
      <c r="G135" s="504"/>
      <c r="H135" s="535"/>
      <c r="I135" s="504"/>
    </row>
    <row r="136" spans="1:9" x14ac:dyDescent="0.2">
      <c r="A136" s="484"/>
      <c r="B136" s="485"/>
      <c r="C136" s="497"/>
      <c r="D136" s="498"/>
      <c r="E136" s="497"/>
      <c r="F136" s="484"/>
      <c r="G136" s="504"/>
      <c r="H136" s="535"/>
      <c r="I136" s="999"/>
    </row>
    <row r="137" spans="1:9" ht="114.75" x14ac:dyDescent="0.2">
      <c r="A137" s="484">
        <v>4.0999999999999996</v>
      </c>
      <c r="B137" s="485"/>
      <c r="C137" s="497" t="s">
        <v>1425</v>
      </c>
      <c r="D137" s="498" t="s">
        <v>1426</v>
      </c>
      <c r="E137" s="497"/>
      <c r="F137" s="484"/>
      <c r="G137" s="504"/>
      <c r="H137" s="535"/>
      <c r="I137" s="999"/>
    </row>
    <row r="138" spans="1:9" x14ac:dyDescent="0.2">
      <c r="A138" s="484"/>
      <c r="B138" s="485"/>
      <c r="C138" s="497"/>
      <c r="D138" s="498"/>
      <c r="E138" s="497"/>
      <c r="F138" s="484"/>
      <c r="G138" s="504"/>
      <c r="H138" s="535"/>
      <c r="I138" s="999"/>
    </row>
    <row r="139" spans="1:9" x14ac:dyDescent="0.2">
      <c r="A139" s="484" t="s">
        <v>1427</v>
      </c>
      <c r="B139" s="485"/>
      <c r="C139" s="497" t="s">
        <v>1428</v>
      </c>
      <c r="D139" s="498" t="s">
        <v>1429</v>
      </c>
      <c r="E139" s="497"/>
      <c r="F139" s="484" t="s">
        <v>107</v>
      </c>
      <c r="G139" s="504">
        <v>1134</v>
      </c>
      <c r="H139" s="505">
        <v>142</v>
      </c>
      <c r="I139" s="1000">
        <f>H139*G139</f>
        <v>161028</v>
      </c>
    </row>
    <row r="140" spans="1:9" x14ac:dyDescent="0.2">
      <c r="A140" s="484" t="s">
        <v>1430</v>
      </c>
      <c r="B140" s="485"/>
      <c r="C140" s="497" t="s">
        <v>1431</v>
      </c>
      <c r="D140" s="498" t="s">
        <v>1432</v>
      </c>
      <c r="E140" s="497"/>
      <c r="F140" s="484" t="s">
        <v>107</v>
      </c>
      <c r="G140" s="504">
        <v>247</v>
      </c>
      <c r="H140" s="505">
        <v>172</v>
      </c>
      <c r="I140" s="1000">
        <f t="shared" ref="I140:I141" si="5">H140*G140</f>
        <v>42484</v>
      </c>
    </row>
    <row r="141" spans="1:9" x14ac:dyDescent="0.2">
      <c r="A141" s="484" t="s">
        <v>1433</v>
      </c>
      <c r="B141" s="485"/>
      <c r="C141" s="497" t="s">
        <v>1434</v>
      </c>
      <c r="D141" s="498" t="s">
        <v>1435</v>
      </c>
      <c r="E141" s="497"/>
      <c r="F141" s="484" t="s">
        <v>107</v>
      </c>
      <c r="G141" s="504">
        <v>85</v>
      </c>
      <c r="H141" s="505">
        <v>118</v>
      </c>
      <c r="I141" s="1000">
        <f t="shared" si="5"/>
        <v>10030</v>
      </c>
    </row>
    <row r="142" spans="1:9" x14ac:dyDescent="0.2">
      <c r="A142" s="484"/>
      <c r="B142" s="485"/>
      <c r="C142" s="497"/>
      <c r="D142" s="498"/>
      <c r="E142" s="497"/>
      <c r="F142" s="484"/>
      <c r="G142" s="504"/>
      <c r="H142" s="535"/>
      <c r="I142" s="999"/>
    </row>
    <row r="143" spans="1:9" x14ac:dyDescent="0.2">
      <c r="A143" s="484"/>
      <c r="B143" s="485"/>
      <c r="C143" s="497"/>
      <c r="D143" s="498"/>
      <c r="E143" s="497"/>
      <c r="F143" s="484"/>
      <c r="G143" s="504"/>
      <c r="H143" s="535"/>
      <c r="I143" s="999"/>
    </row>
    <row r="144" spans="1:9" x14ac:dyDescent="0.2">
      <c r="A144" s="484"/>
      <c r="B144" s="485"/>
      <c r="C144" s="497"/>
      <c r="D144" s="498"/>
      <c r="E144" s="497"/>
      <c r="F144" s="484"/>
      <c r="G144" s="504"/>
      <c r="H144" s="1001"/>
      <c r="I144" s="999"/>
    </row>
    <row r="145" spans="1:9" s="516" customFormat="1" x14ac:dyDescent="0.2">
      <c r="A145" s="510"/>
      <c r="B145" s="511"/>
      <c r="C145" s="512"/>
      <c r="D145" s="513"/>
      <c r="E145" s="512"/>
      <c r="F145" s="514"/>
      <c r="G145" s="545"/>
      <c r="H145" s="994"/>
      <c r="I145" s="994"/>
    </row>
    <row r="146" spans="1:9" s="516" customFormat="1" x14ac:dyDescent="0.2">
      <c r="A146" s="517"/>
      <c r="B146" s="518"/>
      <c r="C146" s="519" t="s">
        <v>1285</v>
      </c>
      <c r="D146" s="520" t="s">
        <v>1286</v>
      </c>
      <c r="E146" s="519"/>
      <c r="F146" s="521"/>
      <c r="G146" s="546"/>
      <c r="H146" s="505"/>
      <c r="I146" s="508">
        <f>SUM(I138:I143)</f>
        <v>213542</v>
      </c>
    </row>
    <row r="147" spans="1:9" s="516" customFormat="1" x14ac:dyDescent="0.2">
      <c r="A147" s="523"/>
      <c r="B147" s="524"/>
      <c r="C147" s="525"/>
      <c r="D147" s="526"/>
      <c r="E147" s="525"/>
      <c r="F147" s="527"/>
      <c r="G147" s="523"/>
      <c r="H147" s="995"/>
      <c r="I147" s="996"/>
    </row>
    <row r="148" spans="1:9" x14ac:dyDescent="0.2">
      <c r="A148" s="484"/>
      <c r="B148" s="485"/>
      <c r="C148" s="497"/>
      <c r="D148" s="498"/>
      <c r="E148" s="497"/>
      <c r="F148" s="484"/>
      <c r="G148" s="504"/>
      <c r="H148" s="535"/>
      <c r="I148" s="504"/>
    </row>
    <row r="149" spans="1:9" x14ac:dyDescent="0.2">
      <c r="A149" s="492">
        <v>4</v>
      </c>
      <c r="B149" s="485"/>
      <c r="C149" s="533" t="s">
        <v>1436</v>
      </c>
      <c r="D149" s="534" t="s">
        <v>1437</v>
      </c>
      <c r="E149" s="497"/>
      <c r="F149" s="484"/>
      <c r="G149" s="504"/>
      <c r="H149" s="535"/>
      <c r="I149" s="504"/>
    </row>
    <row r="150" spans="1:9" x14ac:dyDescent="0.2">
      <c r="A150" s="484"/>
      <c r="B150" s="485"/>
      <c r="C150" s="497"/>
      <c r="D150" s="498"/>
      <c r="E150" s="497"/>
      <c r="F150" s="484"/>
      <c r="G150" s="504"/>
      <c r="H150" s="535"/>
      <c r="I150" s="504"/>
    </row>
    <row r="151" spans="1:9" ht="114.75" x14ac:dyDescent="0.2">
      <c r="A151" s="484">
        <v>4.2</v>
      </c>
      <c r="B151" s="485"/>
      <c r="C151" s="497" t="s">
        <v>1438</v>
      </c>
      <c r="D151" s="498" t="s">
        <v>1439</v>
      </c>
      <c r="E151" s="497"/>
      <c r="F151" s="484"/>
      <c r="G151" s="504"/>
      <c r="H151" s="535"/>
      <c r="I151" s="504"/>
    </row>
    <row r="152" spans="1:9" x14ac:dyDescent="0.2">
      <c r="A152" s="484"/>
      <c r="B152" s="485"/>
      <c r="C152" s="497"/>
      <c r="D152" s="498"/>
      <c r="E152" s="497"/>
      <c r="F152" s="484"/>
      <c r="G152" s="504"/>
      <c r="H152" s="535"/>
      <c r="I152" s="504"/>
    </row>
    <row r="153" spans="1:9" x14ac:dyDescent="0.2">
      <c r="A153" s="484" t="s">
        <v>1440</v>
      </c>
      <c r="B153" s="485"/>
      <c r="C153" s="497" t="s">
        <v>1441</v>
      </c>
      <c r="D153" s="498" t="s">
        <v>1442</v>
      </c>
      <c r="E153" s="497"/>
      <c r="F153" s="484" t="s">
        <v>107</v>
      </c>
      <c r="G153" s="504">
        <f>39+57</f>
        <v>96</v>
      </c>
      <c r="H153" s="505">
        <v>118</v>
      </c>
      <c r="I153" s="504">
        <f>H153*G153</f>
        <v>11328</v>
      </c>
    </row>
    <row r="154" spans="1:9" x14ac:dyDescent="0.2">
      <c r="A154" s="484"/>
      <c r="B154" s="485"/>
      <c r="C154" s="497"/>
      <c r="D154" s="498"/>
      <c r="E154" s="497"/>
      <c r="F154" s="484"/>
      <c r="G154" s="504"/>
      <c r="H154" s="535"/>
      <c r="I154" s="504"/>
    </row>
    <row r="155" spans="1:9" x14ac:dyDescent="0.2">
      <c r="A155" s="484" t="s">
        <v>1443</v>
      </c>
      <c r="B155" s="485"/>
      <c r="C155" s="497" t="s">
        <v>1428</v>
      </c>
      <c r="D155" s="498" t="s">
        <v>1429</v>
      </c>
      <c r="E155" s="497"/>
      <c r="F155" s="484" t="s">
        <v>107</v>
      </c>
      <c r="G155" s="504">
        <f>341+76</f>
        <v>417</v>
      </c>
      <c r="H155" s="505">
        <v>142</v>
      </c>
      <c r="I155" s="504">
        <f>H155*G155</f>
        <v>59214</v>
      </c>
    </row>
    <row r="156" spans="1:9" x14ac:dyDescent="0.2">
      <c r="A156" s="484"/>
      <c r="B156" s="485"/>
      <c r="C156" s="497"/>
      <c r="D156" s="498"/>
      <c r="E156" s="497"/>
      <c r="F156" s="484"/>
      <c r="G156" s="504"/>
      <c r="H156" s="535"/>
      <c r="I156" s="504"/>
    </row>
    <row r="157" spans="1:9" x14ac:dyDescent="0.2">
      <c r="A157" s="484" t="s">
        <v>1444</v>
      </c>
      <c r="B157" s="485"/>
      <c r="C157" s="579" t="s">
        <v>1445</v>
      </c>
      <c r="D157" s="498" t="s">
        <v>1446</v>
      </c>
      <c r="E157" s="497"/>
      <c r="F157" s="484" t="s">
        <v>107</v>
      </c>
      <c r="G157" s="504">
        <v>35</v>
      </c>
      <c r="H157" s="505">
        <v>142</v>
      </c>
      <c r="I157" s="504">
        <f>H157*G157</f>
        <v>4970</v>
      </c>
    </row>
    <row r="158" spans="1:9" x14ac:dyDescent="0.2">
      <c r="A158" s="484"/>
      <c r="B158" s="485"/>
      <c r="C158" s="497"/>
      <c r="D158" s="498"/>
      <c r="E158" s="497"/>
      <c r="F158" s="484"/>
      <c r="G158" s="504"/>
      <c r="H158" s="535"/>
      <c r="I158" s="504"/>
    </row>
    <row r="159" spans="1:9" x14ac:dyDescent="0.2">
      <c r="A159" s="484"/>
      <c r="B159" s="485"/>
      <c r="C159" s="497"/>
      <c r="D159" s="498"/>
      <c r="E159" s="497"/>
      <c r="F159" s="484"/>
      <c r="G159" s="504"/>
      <c r="H159" s="535"/>
      <c r="I159" s="504"/>
    </row>
    <row r="160" spans="1:9" x14ac:dyDescent="0.2">
      <c r="A160" s="484"/>
      <c r="B160" s="485"/>
      <c r="C160" s="497"/>
      <c r="D160" s="498"/>
      <c r="E160" s="497"/>
      <c r="F160" s="484"/>
      <c r="G160" s="504"/>
      <c r="H160" s="535"/>
      <c r="I160" s="504"/>
    </row>
    <row r="161" spans="1:9" x14ac:dyDescent="0.2">
      <c r="A161" s="484"/>
      <c r="B161" s="485"/>
      <c r="C161" s="497"/>
      <c r="D161" s="498"/>
      <c r="E161" s="497"/>
      <c r="F161" s="484"/>
      <c r="G161" s="504"/>
      <c r="H161" s="535"/>
      <c r="I161" s="504"/>
    </row>
    <row r="162" spans="1:9" x14ac:dyDescent="0.2">
      <c r="A162" s="484"/>
      <c r="B162" s="485"/>
      <c r="C162" s="497"/>
      <c r="D162" s="498"/>
      <c r="E162" s="497"/>
      <c r="F162" s="484"/>
      <c r="G162" s="504"/>
      <c r="H162" s="535"/>
      <c r="I162" s="504"/>
    </row>
    <row r="163" spans="1:9" x14ac:dyDescent="0.2">
      <c r="A163" s="484"/>
      <c r="B163" s="485"/>
      <c r="C163" s="497"/>
      <c r="D163" s="498"/>
      <c r="E163" s="497"/>
      <c r="F163" s="484"/>
      <c r="G163" s="504"/>
      <c r="H163" s="535"/>
      <c r="I163" s="504"/>
    </row>
    <row r="164" spans="1:9" s="516" customFormat="1" x14ac:dyDescent="0.2">
      <c r="A164" s="510"/>
      <c r="B164" s="511"/>
      <c r="C164" s="512"/>
      <c r="D164" s="513"/>
      <c r="E164" s="512"/>
      <c r="F164" s="514"/>
      <c r="G164" s="545"/>
      <c r="H164" s="994"/>
      <c r="I164" s="994"/>
    </row>
    <row r="165" spans="1:9" s="516" customFormat="1" x14ac:dyDescent="0.2">
      <c r="A165" s="517"/>
      <c r="B165" s="518"/>
      <c r="C165" s="519" t="s">
        <v>1285</v>
      </c>
      <c r="D165" s="520" t="s">
        <v>1286</v>
      </c>
      <c r="E165" s="519"/>
      <c r="F165" s="521"/>
      <c r="G165" s="546"/>
      <c r="H165" s="505"/>
      <c r="I165" s="508">
        <f>SUM(I153:I158)</f>
        <v>75512</v>
      </c>
    </row>
    <row r="166" spans="1:9" s="516" customFormat="1" x14ac:dyDescent="0.2">
      <c r="A166" s="523"/>
      <c r="B166" s="524"/>
      <c r="C166" s="525"/>
      <c r="D166" s="526"/>
      <c r="E166" s="525"/>
      <c r="F166" s="527"/>
      <c r="G166" s="523"/>
      <c r="H166" s="995"/>
      <c r="I166" s="996"/>
    </row>
    <row r="167" spans="1:9" s="516" customFormat="1" x14ac:dyDescent="0.2">
      <c r="A167" s="529"/>
      <c r="B167" s="518"/>
      <c r="C167" s="530"/>
      <c r="D167" s="580"/>
      <c r="E167" s="581"/>
      <c r="F167" s="514"/>
      <c r="G167" s="550"/>
      <c r="H167" s="505"/>
      <c r="I167" s="997"/>
    </row>
    <row r="168" spans="1:9" x14ac:dyDescent="0.2">
      <c r="A168" s="492">
        <v>5</v>
      </c>
      <c r="B168" s="485"/>
      <c r="C168" s="533" t="s">
        <v>1447</v>
      </c>
      <c r="D168" s="534" t="s">
        <v>1448</v>
      </c>
      <c r="E168" s="497"/>
      <c r="F168" s="484"/>
      <c r="G168" s="504"/>
      <c r="H168" s="535"/>
      <c r="I168" s="504"/>
    </row>
    <row r="169" spans="1:9" x14ac:dyDescent="0.2">
      <c r="A169" s="484"/>
      <c r="B169" s="485"/>
      <c r="C169" s="497"/>
      <c r="D169" s="498"/>
      <c r="E169" s="497"/>
      <c r="F169" s="484"/>
      <c r="G169" s="504"/>
      <c r="H169" s="535"/>
      <c r="I169" s="504"/>
    </row>
    <row r="170" spans="1:9" ht="51" x14ac:dyDescent="0.2">
      <c r="A170" s="484">
        <v>5.0999999999999996</v>
      </c>
      <c r="B170" s="485"/>
      <c r="C170" s="497" t="s">
        <v>1449</v>
      </c>
      <c r="D170" s="498" t="s">
        <v>1450</v>
      </c>
      <c r="E170" s="497"/>
      <c r="F170" s="484" t="s">
        <v>1451</v>
      </c>
      <c r="G170" s="504">
        <v>11</v>
      </c>
      <c r="H170" s="505">
        <v>769</v>
      </c>
      <c r="I170" s="504">
        <f>H170*G170</f>
        <v>8459</v>
      </c>
    </row>
    <row r="171" spans="1:9" x14ac:dyDescent="0.2">
      <c r="A171" s="484"/>
      <c r="B171" s="485"/>
      <c r="C171" s="497"/>
      <c r="D171" s="498"/>
      <c r="E171" s="497"/>
      <c r="F171" s="484"/>
      <c r="G171" s="504"/>
      <c r="H171" s="535"/>
      <c r="I171" s="504"/>
    </row>
    <row r="172" spans="1:9" s="507" customFormat="1" ht="25.5" x14ac:dyDescent="0.2">
      <c r="A172" s="484">
        <v>5.2</v>
      </c>
      <c r="B172" s="485"/>
      <c r="C172" s="502" t="s">
        <v>1452</v>
      </c>
      <c r="D172" s="503" t="s">
        <v>1453</v>
      </c>
      <c r="E172" s="502"/>
      <c r="F172" s="484" t="s">
        <v>1454</v>
      </c>
      <c r="G172" s="504">
        <v>2</v>
      </c>
      <c r="H172" s="505">
        <v>11828</v>
      </c>
      <c r="I172" s="504">
        <f t="shared" ref="I172:I179" si="6">H172*G172</f>
        <v>23656</v>
      </c>
    </row>
    <row r="173" spans="1:9" x14ac:dyDescent="0.2">
      <c r="A173" s="484"/>
      <c r="B173" s="485"/>
      <c r="C173" s="497"/>
      <c r="D173" s="498"/>
      <c r="E173" s="497"/>
      <c r="F173" s="484"/>
      <c r="G173" s="504"/>
      <c r="H173" s="535"/>
      <c r="I173" s="504"/>
    </row>
    <row r="174" spans="1:9" x14ac:dyDescent="0.2">
      <c r="A174" s="484"/>
      <c r="B174" s="485"/>
      <c r="C174" s="497"/>
      <c r="D174" s="498"/>
      <c r="E174" s="497"/>
      <c r="F174" s="484"/>
      <c r="G174" s="504"/>
      <c r="H174" s="535"/>
      <c r="I174" s="504"/>
    </row>
    <row r="175" spans="1:9" ht="63.75" x14ac:dyDescent="0.2">
      <c r="A175" s="484">
        <v>5.3</v>
      </c>
      <c r="B175" s="485"/>
      <c r="C175" s="497" t="s">
        <v>1455</v>
      </c>
      <c r="D175" s="498" t="s">
        <v>1456</v>
      </c>
      <c r="E175" s="497"/>
      <c r="F175" s="484" t="s">
        <v>1457</v>
      </c>
      <c r="G175" s="504">
        <v>2</v>
      </c>
      <c r="H175" s="505">
        <v>1935</v>
      </c>
      <c r="I175" s="504">
        <f t="shared" si="6"/>
        <v>3870</v>
      </c>
    </row>
    <row r="176" spans="1:9" x14ac:dyDescent="0.2">
      <c r="A176" s="484"/>
      <c r="B176" s="485"/>
      <c r="C176" s="497"/>
      <c r="D176" s="498"/>
      <c r="E176" s="497"/>
      <c r="F176" s="484"/>
      <c r="G176" s="504"/>
      <c r="H176" s="535"/>
      <c r="I176" s="504"/>
    </row>
    <row r="177" spans="1:9" ht="38.25" x14ac:dyDescent="0.2">
      <c r="A177" s="484">
        <v>5.4</v>
      </c>
      <c r="B177" s="485"/>
      <c r="C177" s="497" t="s">
        <v>1458</v>
      </c>
      <c r="D177" s="498" t="s">
        <v>1459</v>
      </c>
      <c r="E177" s="497"/>
      <c r="F177" s="484" t="s">
        <v>1457</v>
      </c>
      <c r="G177" s="504">
        <v>1</v>
      </c>
      <c r="H177" s="505">
        <v>5323</v>
      </c>
      <c r="I177" s="504">
        <f t="shared" si="6"/>
        <v>5323</v>
      </c>
    </row>
    <row r="178" spans="1:9" x14ac:dyDescent="0.2">
      <c r="A178" s="484"/>
      <c r="B178" s="485"/>
      <c r="C178" s="497"/>
      <c r="D178" s="498"/>
      <c r="E178" s="497"/>
      <c r="F178" s="484"/>
      <c r="G178" s="504"/>
      <c r="H178" s="535"/>
      <c r="I178" s="504"/>
    </row>
    <row r="179" spans="1:9" ht="38.25" x14ac:dyDescent="0.2">
      <c r="A179" s="484">
        <v>5.5</v>
      </c>
      <c r="B179" s="485"/>
      <c r="C179" s="497" t="s">
        <v>1460</v>
      </c>
      <c r="D179" s="498" t="s">
        <v>1461</v>
      </c>
      <c r="E179" s="497"/>
      <c r="F179" s="484" t="s">
        <v>1457</v>
      </c>
      <c r="G179" s="504">
        <v>2</v>
      </c>
      <c r="H179" s="505">
        <v>1774</v>
      </c>
      <c r="I179" s="504">
        <f t="shared" si="6"/>
        <v>3548</v>
      </c>
    </row>
    <row r="180" spans="1:9" x14ac:dyDescent="0.2">
      <c r="A180" s="483"/>
      <c r="B180" s="485"/>
      <c r="C180" s="497"/>
      <c r="D180" s="575"/>
      <c r="E180" s="576"/>
      <c r="F180" s="483"/>
      <c r="G180" s="504"/>
      <c r="H180" s="535"/>
      <c r="I180" s="504"/>
    </row>
    <row r="181" spans="1:9" s="516" customFormat="1" x14ac:dyDescent="0.2">
      <c r="A181" s="510"/>
      <c r="B181" s="511"/>
      <c r="C181" s="512"/>
      <c r="D181" s="513"/>
      <c r="E181" s="512"/>
      <c r="F181" s="514"/>
      <c r="G181" s="545"/>
      <c r="H181" s="994"/>
      <c r="I181" s="994"/>
    </row>
    <row r="182" spans="1:9" s="516" customFormat="1" x14ac:dyDescent="0.2">
      <c r="A182" s="517"/>
      <c r="B182" s="518"/>
      <c r="C182" s="519" t="s">
        <v>1285</v>
      </c>
      <c r="D182" s="520" t="s">
        <v>1286</v>
      </c>
      <c r="E182" s="519"/>
      <c r="F182" s="521"/>
      <c r="G182" s="546"/>
      <c r="H182" s="505"/>
      <c r="I182" s="508">
        <f>SUM(I170:I180)</f>
        <v>44856</v>
      </c>
    </row>
    <row r="183" spans="1:9" s="516" customFormat="1" x14ac:dyDescent="0.2">
      <c r="A183" s="523"/>
      <c r="B183" s="524"/>
      <c r="C183" s="525"/>
      <c r="D183" s="526"/>
      <c r="E183" s="525"/>
      <c r="F183" s="527"/>
      <c r="G183" s="523"/>
      <c r="H183" s="995"/>
      <c r="I183" s="996"/>
    </row>
    <row r="184" spans="1:9" s="516" customFormat="1" x14ac:dyDescent="0.2">
      <c r="A184" s="529"/>
      <c r="B184" s="518"/>
      <c r="C184" s="530"/>
      <c r="D184" s="580"/>
      <c r="E184" s="581"/>
      <c r="F184" s="514"/>
      <c r="G184" s="550"/>
      <c r="H184" s="582"/>
      <c r="I184" s="583"/>
    </row>
    <row r="185" spans="1:9" x14ac:dyDescent="0.2">
      <c r="A185" s="492">
        <v>5</v>
      </c>
      <c r="B185" s="485"/>
      <c r="C185" s="533" t="s">
        <v>1462</v>
      </c>
      <c r="D185" s="534" t="s">
        <v>1463</v>
      </c>
      <c r="E185" s="497"/>
      <c r="F185" s="484"/>
      <c r="G185" s="504"/>
      <c r="H185" s="584"/>
      <c r="I185" s="585"/>
    </row>
    <row r="186" spans="1:9" x14ac:dyDescent="0.2">
      <c r="A186" s="484"/>
      <c r="B186" s="485"/>
      <c r="C186" s="497"/>
      <c r="D186" s="498"/>
      <c r="E186" s="497"/>
      <c r="F186" s="484"/>
      <c r="G186" s="504"/>
      <c r="H186" s="584"/>
      <c r="I186" s="585"/>
    </row>
    <row r="187" spans="1:9" ht="201.75" customHeight="1" x14ac:dyDescent="0.2">
      <c r="A187" s="484">
        <v>5.6</v>
      </c>
      <c r="B187" s="485"/>
      <c r="C187" s="502" t="s">
        <v>1464</v>
      </c>
      <c r="D187" s="503" t="s">
        <v>1465</v>
      </c>
      <c r="E187" s="497"/>
      <c r="F187" s="484" t="s">
        <v>1457</v>
      </c>
      <c r="G187" s="504">
        <v>1</v>
      </c>
      <c r="H187" s="505">
        <v>35485</v>
      </c>
      <c r="I187" s="584">
        <f>H187*G187</f>
        <v>35485</v>
      </c>
    </row>
    <row r="188" spans="1:9" x14ac:dyDescent="0.2">
      <c r="A188" s="484"/>
      <c r="B188" s="485"/>
      <c r="C188" s="497"/>
      <c r="D188" s="498"/>
      <c r="E188" s="497"/>
      <c r="F188" s="484"/>
      <c r="G188" s="504"/>
      <c r="H188" s="535"/>
      <c r="I188" s="504"/>
    </row>
    <row r="189" spans="1:9" ht="143.25" customHeight="1" x14ac:dyDescent="0.2">
      <c r="A189" s="484">
        <v>5.7</v>
      </c>
      <c r="B189" s="485"/>
      <c r="C189" s="502" t="s">
        <v>1466</v>
      </c>
      <c r="D189" s="503" t="s">
        <v>1467</v>
      </c>
      <c r="E189" s="497"/>
      <c r="F189" s="484" t="s">
        <v>52</v>
      </c>
      <c r="G189" s="504">
        <v>235</v>
      </c>
      <c r="H189" s="505">
        <v>296</v>
      </c>
      <c r="I189" s="584">
        <f>H189*G189</f>
        <v>69560</v>
      </c>
    </row>
    <row r="190" spans="1:9" x14ac:dyDescent="0.2">
      <c r="A190" s="484"/>
      <c r="B190" s="485"/>
      <c r="C190" s="497"/>
      <c r="D190" s="498"/>
      <c r="E190" s="497"/>
      <c r="F190" s="484"/>
      <c r="G190" s="504"/>
      <c r="H190" s="535"/>
      <c r="I190" s="504"/>
    </row>
    <row r="191" spans="1:9" x14ac:dyDescent="0.2">
      <c r="A191" s="484"/>
      <c r="B191" s="485"/>
      <c r="C191" s="497"/>
      <c r="D191" s="498"/>
      <c r="E191" s="497"/>
      <c r="F191" s="484"/>
      <c r="G191" s="504"/>
      <c r="H191" s="535"/>
      <c r="I191" s="504"/>
    </row>
    <row r="192" spans="1:9" s="516" customFormat="1" x14ac:dyDescent="0.2">
      <c r="A192" s="510"/>
      <c r="B192" s="511"/>
      <c r="C192" s="512"/>
      <c r="D192" s="513"/>
      <c r="E192" s="512"/>
      <c r="F192" s="514"/>
      <c r="G192" s="545"/>
      <c r="H192" s="994"/>
      <c r="I192" s="994"/>
    </row>
    <row r="193" spans="1:9" s="516" customFormat="1" x14ac:dyDescent="0.2">
      <c r="A193" s="517"/>
      <c r="B193" s="518"/>
      <c r="C193" s="519" t="s">
        <v>1285</v>
      </c>
      <c r="D193" s="520" t="s">
        <v>1286</v>
      </c>
      <c r="E193" s="519"/>
      <c r="F193" s="521"/>
      <c r="G193" s="546"/>
      <c r="H193" s="505"/>
      <c r="I193" s="508">
        <f>SUM(I187:I189)</f>
        <v>105045</v>
      </c>
    </row>
    <row r="194" spans="1:9" s="516" customFormat="1" x14ac:dyDescent="0.2">
      <c r="A194" s="523"/>
      <c r="B194" s="524"/>
      <c r="C194" s="525"/>
      <c r="D194" s="526"/>
      <c r="E194" s="525"/>
      <c r="F194" s="527"/>
      <c r="G194" s="523"/>
      <c r="H194" s="995"/>
      <c r="I194" s="996"/>
    </row>
    <row r="195" spans="1:9" x14ac:dyDescent="0.2">
      <c r="A195" s="484"/>
      <c r="B195" s="485"/>
      <c r="C195" s="497"/>
      <c r="D195" s="498"/>
      <c r="E195" s="497"/>
      <c r="F195" s="484"/>
      <c r="G195" s="504"/>
      <c r="H195" s="535"/>
      <c r="I195" s="504"/>
    </row>
    <row r="196" spans="1:9" x14ac:dyDescent="0.2">
      <c r="A196" s="492">
        <v>7</v>
      </c>
      <c r="B196" s="485"/>
      <c r="C196" s="533" t="s">
        <v>1468</v>
      </c>
      <c r="D196" s="534" t="s">
        <v>1469</v>
      </c>
      <c r="E196" s="497"/>
      <c r="F196" s="484"/>
      <c r="G196" s="504"/>
      <c r="H196" s="535"/>
      <c r="I196" s="504"/>
    </row>
    <row r="197" spans="1:9" x14ac:dyDescent="0.2">
      <c r="A197" s="484"/>
      <c r="B197" s="485"/>
      <c r="C197" s="497"/>
      <c r="D197" s="498"/>
      <c r="E197" s="497"/>
      <c r="F197" s="484"/>
      <c r="G197" s="504"/>
      <c r="H197" s="535"/>
      <c r="I197" s="504"/>
    </row>
    <row r="198" spans="1:9" s="507" customFormat="1" ht="38.25" x14ac:dyDescent="0.2">
      <c r="A198" s="484">
        <v>7.1</v>
      </c>
      <c r="B198" s="485"/>
      <c r="C198" s="502" t="s">
        <v>1470</v>
      </c>
      <c r="D198" s="503" t="s">
        <v>1471</v>
      </c>
      <c r="E198" s="502"/>
      <c r="F198" s="484" t="s">
        <v>107</v>
      </c>
      <c r="G198" s="504">
        <f>640+150+23+30+300+95</f>
        <v>1238</v>
      </c>
      <c r="H198" s="505">
        <v>15</v>
      </c>
      <c r="I198" s="504">
        <f>H198*G198</f>
        <v>18570</v>
      </c>
    </row>
    <row r="199" spans="1:9" s="507" customFormat="1" x14ac:dyDescent="0.2">
      <c r="A199" s="484"/>
      <c r="B199" s="485"/>
      <c r="C199" s="502"/>
      <c r="D199" s="503"/>
      <c r="E199" s="502"/>
      <c r="F199" s="484"/>
      <c r="G199" s="504"/>
      <c r="H199" s="535"/>
      <c r="I199" s="504"/>
    </row>
    <row r="200" spans="1:9" s="507" customFormat="1" ht="51" x14ac:dyDescent="0.2">
      <c r="A200" s="484">
        <v>7.2</v>
      </c>
      <c r="B200" s="485"/>
      <c r="C200" s="502" t="s">
        <v>1472</v>
      </c>
      <c r="D200" s="503" t="s">
        <v>1473</v>
      </c>
      <c r="E200" s="502"/>
      <c r="F200" s="484" t="s">
        <v>107</v>
      </c>
      <c r="G200" s="504">
        <v>130</v>
      </c>
      <c r="H200" s="505">
        <v>77</v>
      </c>
      <c r="I200" s="504">
        <f t="shared" ref="I200:I208" si="7">H200*G200</f>
        <v>10010</v>
      </c>
    </row>
    <row r="201" spans="1:9" x14ac:dyDescent="0.2">
      <c r="A201" s="484"/>
      <c r="B201" s="485"/>
      <c r="C201" s="497"/>
      <c r="D201" s="498"/>
      <c r="E201" s="497"/>
      <c r="F201" s="484"/>
      <c r="G201" s="504"/>
      <c r="H201" s="535"/>
      <c r="I201" s="504"/>
    </row>
    <row r="202" spans="1:9" ht="25.5" x14ac:dyDescent="0.2">
      <c r="A202" s="484">
        <v>7.3</v>
      </c>
      <c r="B202" s="485"/>
      <c r="C202" s="502" t="s">
        <v>1474</v>
      </c>
      <c r="D202" s="503" t="s">
        <v>1475</v>
      </c>
      <c r="E202" s="497"/>
      <c r="F202" s="484" t="s">
        <v>107</v>
      </c>
      <c r="G202" s="504">
        <v>170</v>
      </c>
      <c r="H202" s="505">
        <v>95</v>
      </c>
      <c r="I202" s="504">
        <f t="shared" si="7"/>
        <v>16150</v>
      </c>
    </row>
    <row r="203" spans="1:9" x14ac:dyDescent="0.2">
      <c r="A203" s="484"/>
      <c r="B203" s="485"/>
      <c r="C203" s="497"/>
      <c r="D203" s="498"/>
      <c r="E203" s="497"/>
      <c r="F203" s="484"/>
      <c r="G203" s="504"/>
      <c r="H203" s="535"/>
      <c r="I203" s="504"/>
    </row>
    <row r="204" spans="1:9" s="507" customFormat="1" ht="25.5" x14ac:dyDescent="0.2">
      <c r="A204" s="484">
        <v>7.4</v>
      </c>
      <c r="B204" s="485"/>
      <c r="C204" s="502" t="s">
        <v>1476</v>
      </c>
      <c r="D204" s="503" t="s">
        <v>1477</v>
      </c>
      <c r="E204" s="502"/>
      <c r="F204" s="484" t="s">
        <v>107</v>
      </c>
      <c r="G204" s="504">
        <v>650</v>
      </c>
      <c r="H204" s="505">
        <v>8</v>
      </c>
      <c r="I204" s="504">
        <f t="shared" si="7"/>
        <v>5200</v>
      </c>
    </row>
    <row r="205" spans="1:9" x14ac:dyDescent="0.2">
      <c r="A205" s="484"/>
      <c r="B205" s="485"/>
      <c r="C205" s="497"/>
      <c r="D205" s="498"/>
      <c r="E205" s="497"/>
      <c r="F205" s="484"/>
      <c r="G205" s="504"/>
      <c r="H205" s="535"/>
      <c r="I205" s="504"/>
    </row>
    <row r="206" spans="1:9" ht="38.25" x14ac:dyDescent="0.2">
      <c r="A206" s="484">
        <v>7.5</v>
      </c>
      <c r="B206" s="485"/>
      <c r="C206" s="497" t="s">
        <v>1478</v>
      </c>
      <c r="D206" s="498" t="s">
        <v>1479</v>
      </c>
      <c r="E206" s="497"/>
      <c r="F206" s="484" t="s">
        <v>107</v>
      </c>
      <c r="G206" s="504">
        <v>4</v>
      </c>
      <c r="H206" s="505">
        <v>16</v>
      </c>
      <c r="I206" s="504">
        <f t="shared" si="7"/>
        <v>64</v>
      </c>
    </row>
    <row r="207" spans="1:9" x14ac:dyDescent="0.2">
      <c r="A207" s="484"/>
      <c r="B207" s="485"/>
      <c r="C207" s="497"/>
      <c r="D207" s="498"/>
      <c r="E207" s="497"/>
      <c r="F207" s="484"/>
      <c r="G207" s="504"/>
      <c r="H207" s="535"/>
      <c r="I207" s="504"/>
    </row>
    <row r="208" spans="1:9" s="507" customFormat="1" ht="38.25" x14ac:dyDescent="0.2">
      <c r="A208" s="484">
        <v>7.6</v>
      </c>
      <c r="B208" s="485"/>
      <c r="C208" s="502" t="s">
        <v>1480</v>
      </c>
      <c r="D208" s="503" t="s">
        <v>1481</v>
      </c>
      <c r="E208" s="502"/>
      <c r="F208" s="484" t="s">
        <v>107</v>
      </c>
      <c r="G208" s="504">
        <f>650+75+20+40</f>
        <v>785</v>
      </c>
      <c r="H208" s="505">
        <v>6</v>
      </c>
      <c r="I208" s="504">
        <f t="shared" si="7"/>
        <v>4710</v>
      </c>
    </row>
    <row r="209" spans="1:9" x14ac:dyDescent="0.2">
      <c r="A209" s="484"/>
      <c r="B209" s="485"/>
      <c r="C209" s="497"/>
      <c r="D209" s="498"/>
      <c r="E209" s="497"/>
      <c r="F209" s="484"/>
      <c r="G209" s="504"/>
      <c r="H209" s="535"/>
      <c r="I209" s="504"/>
    </row>
    <row r="210" spans="1:9" x14ac:dyDescent="0.2">
      <c r="A210" s="484"/>
      <c r="B210" s="485"/>
      <c r="C210" s="497"/>
      <c r="D210" s="498"/>
      <c r="E210" s="497"/>
      <c r="F210" s="484"/>
      <c r="G210" s="504"/>
      <c r="H210" s="535"/>
      <c r="I210" s="504"/>
    </row>
    <row r="211" spans="1:9" x14ac:dyDescent="0.2">
      <c r="A211" s="484"/>
      <c r="B211" s="485"/>
      <c r="C211" s="497"/>
      <c r="D211" s="498"/>
      <c r="E211" s="497"/>
      <c r="F211" s="484"/>
      <c r="G211" s="504"/>
      <c r="H211" s="535"/>
      <c r="I211" s="504"/>
    </row>
    <row r="212" spans="1:9" s="516" customFormat="1" x14ac:dyDescent="0.2">
      <c r="A212" s="510"/>
      <c r="B212" s="511"/>
      <c r="C212" s="512"/>
      <c r="D212" s="513"/>
      <c r="E212" s="512"/>
      <c r="F212" s="514"/>
      <c r="G212" s="545"/>
      <c r="H212" s="994"/>
      <c r="I212" s="994"/>
    </row>
    <row r="213" spans="1:9" s="516" customFormat="1" x14ac:dyDescent="0.2">
      <c r="A213" s="517"/>
      <c r="B213" s="518"/>
      <c r="C213" s="519" t="s">
        <v>1285</v>
      </c>
      <c r="D213" s="520" t="s">
        <v>1286</v>
      </c>
      <c r="E213" s="519"/>
      <c r="F213" s="521"/>
      <c r="G213" s="546"/>
      <c r="H213" s="505"/>
      <c r="I213" s="508">
        <f>SUM(I198:I208)</f>
        <v>54704</v>
      </c>
    </row>
    <row r="214" spans="1:9" s="516" customFormat="1" x14ac:dyDescent="0.2">
      <c r="A214" s="523"/>
      <c r="B214" s="524"/>
      <c r="C214" s="525"/>
      <c r="D214" s="526"/>
      <c r="E214" s="525"/>
      <c r="F214" s="527"/>
      <c r="G214" s="523"/>
      <c r="H214" s="995"/>
      <c r="I214" s="996"/>
    </row>
    <row r="215" spans="1:9" s="516" customFormat="1" x14ac:dyDescent="0.2">
      <c r="A215" s="529"/>
      <c r="B215" s="518"/>
      <c r="C215" s="530"/>
      <c r="D215" s="580"/>
      <c r="E215" s="581"/>
      <c r="F215" s="514"/>
      <c r="G215" s="550"/>
      <c r="H215" s="505"/>
      <c r="I215" s="997"/>
    </row>
    <row r="216" spans="1:9" x14ac:dyDescent="0.2">
      <c r="A216" s="492">
        <v>7</v>
      </c>
      <c r="B216" s="485"/>
      <c r="C216" s="533" t="s">
        <v>1482</v>
      </c>
      <c r="D216" s="534" t="s">
        <v>1483</v>
      </c>
      <c r="E216" s="497"/>
      <c r="F216" s="484"/>
      <c r="G216" s="504"/>
      <c r="H216" s="535"/>
      <c r="I216" s="504"/>
    </row>
    <row r="217" spans="1:9" x14ac:dyDescent="0.2">
      <c r="A217" s="484"/>
      <c r="B217" s="485"/>
      <c r="C217" s="497"/>
      <c r="D217" s="498"/>
      <c r="E217" s="497"/>
      <c r="F217" s="484"/>
      <c r="G217" s="504"/>
      <c r="H217" s="535"/>
      <c r="I217" s="504"/>
    </row>
    <row r="218" spans="1:9" x14ac:dyDescent="0.2">
      <c r="A218" s="492">
        <v>7.6</v>
      </c>
      <c r="B218" s="485"/>
      <c r="C218" s="500" t="s">
        <v>1484</v>
      </c>
      <c r="D218" s="501" t="s">
        <v>1485</v>
      </c>
      <c r="E218" s="497"/>
      <c r="F218" s="484"/>
      <c r="G218" s="504"/>
      <c r="H218" s="535"/>
      <c r="I218" s="504"/>
    </row>
    <row r="219" spans="1:9" x14ac:dyDescent="0.2">
      <c r="A219" s="484"/>
      <c r="B219" s="485"/>
      <c r="C219" s="497"/>
      <c r="D219" s="498"/>
      <c r="E219" s="497"/>
      <c r="F219" s="484"/>
      <c r="G219" s="504"/>
      <c r="H219" s="535"/>
      <c r="I219" s="504"/>
    </row>
    <row r="220" spans="1:9" x14ac:dyDescent="0.2">
      <c r="A220" s="484" t="s">
        <v>1486</v>
      </c>
      <c r="B220" s="485"/>
      <c r="C220" s="497" t="s">
        <v>1487</v>
      </c>
      <c r="D220" s="498" t="s">
        <v>1488</v>
      </c>
      <c r="E220" s="497"/>
      <c r="F220" s="484"/>
      <c r="G220" s="504"/>
      <c r="H220" s="535"/>
      <c r="I220" s="504"/>
    </row>
    <row r="221" spans="1:9" x14ac:dyDescent="0.2">
      <c r="A221" s="484" t="s">
        <v>1489</v>
      </c>
      <c r="B221" s="485"/>
      <c r="C221" s="497" t="s">
        <v>1490</v>
      </c>
      <c r="D221" s="498" t="s">
        <v>1491</v>
      </c>
      <c r="E221" s="497"/>
      <c r="F221" s="484" t="s">
        <v>107</v>
      </c>
      <c r="G221" s="504">
        <f>33+66</f>
        <v>99</v>
      </c>
      <c r="H221" s="505">
        <v>77</v>
      </c>
      <c r="I221" s="504">
        <f>H221*G221</f>
        <v>7623</v>
      </c>
    </row>
    <row r="222" spans="1:9" x14ac:dyDescent="0.2">
      <c r="A222" s="484" t="s">
        <v>1492</v>
      </c>
      <c r="B222" s="485"/>
      <c r="C222" s="497" t="s">
        <v>1493</v>
      </c>
      <c r="D222" s="498" t="s">
        <v>1494</v>
      </c>
      <c r="E222" s="497"/>
      <c r="F222" s="484" t="s">
        <v>107</v>
      </c>
      <c r="G222" s="504">
        <f>600+65</f>
        <v>665</v>
      </c>
      <c r="H222" s="505">
        <v>77</v>
      </c>
      <c r="I222" s="504">
        <f t="shared" ref="I222:I236" si="8">H222*G222</f>
        <v>51205</v>
      </c>
    </row>
    <row r="223" spans="1:9" x14ac:dyDescent="0.2">
      <c r="A223" s="484"/>
      <c r="B223" s="485"/>
      <c r="C223" s="497"/>
      <c r="D223" s="498"/>
      <c r="E223" s="497"/>
      <c r="F223" s="484"/>
      <c r="G223" s="504"/>
      <c r="H223" s="535"/>
      <c r="I223" s="504"/>
    </row>
    <row r="224" spans="1:9" x14ac:dyDescent="0.2">
      <c r="A224" s="484" t="s">
        <v>1495</v>
      </c>
      <c r="B224" s="485"/>
      <c r="C224" s="497" t="s">
        <v>1496</v>
      </c>
      <c r="D224" s="498" t="s">
        <v>1497</v>
      </c>
      <c r="E224" s="497"/>
      <c r="F224" s="484"/>
      <c r="G224" s="504"/>
      <c r="H224" s="535"/>
      <c r="I224" s="504"/>
    </row>
    <row r="225" spans="1:9" x14ac:dyDescent="0.2">
      <c r="A225" s="484" t="s">
        <v>1498</v>
      </c>
      <c r="B225" s="485"/>
      <c r="C225" s="497" t="s">
        <v>1493</v>
      </c>
      <c r="D225" s="498" t="s">
        <v>1494</v>
      </c>
      <c r="E225" s="497"/>
      <c r="F225" s="484" t="s">
        <v>107</v>
      </c>
      <c r="G225" s="504">
        <f>600+66</f>
        <v>666</v>
      </c>
      <c r="H225" s="505">
        <v>77</v>
      </c>
      <c r="I225" s="504">
        <f t="shared" si="8"/>
        <v>51282</v>
      </c>
    </row>
    <row r="226" spans="1:9" x14ac:dyDescent="0.2">
      <c r="A226" s="484"/>
      <c r="B226" s="485"/>
      <c r="C226" s="497"/>
      <c r="D226" s="498"/>
      <c r="E226" s="497"/>
      <c r="F226" s="484"/>
      <c r="G226" s="504"/>
      <c r="H226" s="535"/>
      <c r="I226" s="504"/>
    </row>
    <row r="227" spans="1:9" x14ac:dyDescent="0.2">
      <c r="A227" s="484" t="s">
        <v>1499</v>
      </c>
      <c r="B227" s="485"/>
      <c r="C227" s="497" t="s">
        <v>1500</v>
      </c>
      <c r="D227" s="498" t="s">
        <v>1501</v>
      </c>
      <c r="E227" s="497"/>
      <c r="F227" s="484"/>
      <c r="G227" s="504"/>
      <c r="H227" s="535"/>
      <c r="I227" s="504"/>
    </row>
    <row r="228" spans="1:9" x14ac:dyDescent="0.2">
      <c r="A228" s="484" t="s">
        <v>1502</v>
      </c>
      <c r="B228" s="485"/>
      <c r="C228" s="497" t="s">
        <v>1493</v>
      </c>
      <c r="D228" s="498" t="s">
        <v>1494</v>
      </c>
      <c r="E228" s="497"/>
      <c r="F228" s="484" t="s">
        <v>107</v>
      </c>
      <c r="G228" s="504">
        <f>600+66</f>
        <v>666</v>
      </c>
      <c r="H228" s="505">
        <v>8</v>
      </c>
      <c r="I228" s="504">
        <f t="shared" si="8"/>
        <v>5328</v>
      </c>
    </row>
    <row r="229" spans="1:9" x14ac:dyDescent="0.2">
      <c r="A229" s="484"/>
      <c r="B229" s="485"/>
      <c r="C229" s="497"/>
      <c r="D229" s="498"/>
      <c r="E229" s="497"/>
      <c r="F229" s="484"/>
      <c r="G229" s="504"/>
      <c r="H229" s="535"/>
      <c r="I229" s="504"/>
    </row>
    <row r="230" spans="1:9" ht="25.5" x14ac:dyDescent="0.2">
      <c r="A230" s="484" t="s">
        <v>1503</v>
      </c>
      <c r="B230" s="485"/>
      <c r="C230" s="497" t="s">
        <v>1504</v>
      </c>
      <c r="D230" s="498" t="s">
        <v>1505</v>
      </c>
      <c r="E230" s="497"/>
      <c r="F230" s="484"/>
      <c r="G230" s="504"/>
      <c r="H230" s="535"/>
      <c r="I230" s="504"/>
    </row>
    <row r="231" spans="1:9" x14ac:dyDescent="0.2">
      <c r="A231" s="484" t="s">
        <v>1506</v>
      </c>
      <c r="B231" s="485"/>
      <c r="C231" s="497" t="s">
        <v>1493</v>
      </c>
      <c r="D231" s="498" t="s">
        <v>1494</v>
      </c>
      <c r="E231" s="497"/>
      <c r="F231" s="484" t="s">
        <v>1507</v>
      </c>
      <c r="G231" s="504">
        <f>200+42</f>
        <v>242</v>
      </c>
      <c r="H231" s="505">
        <v>30</v>
      </c>
      <c r="I231" s="504">
        <f t="shared" si="8"/>
        <v>7260</v>
      </c>
    </row>
    <row r="232" spans="1:9" x14ac:dyDescent="0.2">
      <c r="A232" s="484"/>
      <c r="B232" s="485"/>
      <c r="C232" s="497"/>
      <c r="D232" s="498"/>
      <c r="E232" s="497"/>
      <c r="F232" s="484"/>
      <c r="G232" s="504"/>
      <c r="H232" s="535"/>
      <c r="I232" s="504"/>
    </row>
    <row r="233" spans="1:9" x14ac:dyDescent="0.2">
      <c r="A233" s="484" t="s">
        <v>1508</v>
      </c>
      <c r="B233" s="485"/>
      <c r="C233" s="497" t="s">
        <v>1509</v>
      </c>
      <c r="D233" s="498" t="s">
        <v>1510</v>
      </c>
      <c r="E233" s="497"/>
      <c r="F233" s="484"/>
      <c r="G233" s="504"/>
      <c r="H233" s="535"/>
      <c r="I233" s="504"/>
    </row>
    <row r="234" spans="1:9" x14ac:dyDescent="0.2">
      <c r="A234" s="484" t="s">
        <v>1511</v>
      </c>
      <c r="B234" s="485"/>
      <c r="C234" s="497" t="s">
        <v>1493</v>
      </c>
      <c r="D234" s="498" t="s">
        <v>1494</v>
      </c>
      <c r="E234" s="497"/>
      <c r="F234" s="484" t="s">
        <v>107</v>
      </c>
      <c r="G234" s="504">
        <f>600+66</f>
        <v>666</v>
      </c>
      <c r="H234" s="505">
        <v>35</v>
      </c>
      <c r="I234" s="504">
        <f t="shared" si="8"/>
        <v>23310</v>
      </c>
    </row>
    <row r="235" spans="1:9" x14ac:dyDescent="0.2">
      <c r="A235" s="484"/>
      <c r="B235" s="485"/>
      <c r="C235" s="497"/>
      <c r="D235" s="498"/>
      <c r="E235" s="497"/>
      <c r="F235" s="484"/>
      <c r="G235" s="504"/>
      <c r="H235" s="535"/>
      <c r="I235" s="504"/>
    </row>
    <row r="236" spans="1:9" x14ac:dyDescent="0.2">
      <c r="A236" s="484" t="s">
        <v>1512</v>
      </c>
      <c r="B236" s="485"/>
      <c r="C236" s="497" t="s">
        <v>1513</v>
      </c>
      <c r="D236" s="498" t="s">
        <v>1514</v>
      </c>
      <c r="E236" s="497"/>
      <c r="F236" s="484" t="s">
        <v>107</v>
      </c>
      <c r="G236" s="504">
        <f>600+66</f>
        <v>666</v>
      </c>
      <c r="H236" s="505">
        <v>6</v>
      </c>
      <c r="I236" s="504">
        <f t="shared" si="8"/>
        <v>3996</v>
      </c>
    </row>
    <row r="237" spans="1:9" x14ac:dyDescent="0.2">
      <c r="A237" s="484"/>
      <c r="B237" s="485"/>
      <c r="C237" s="497"/>
      <c r="D237" s="498"/>
      <c r="E237" s="497"/>
      <c r="F237" s="484"/>
      <c r="G237" s="504"/>
      <c r="H237" s="535"/>
      <c r="I237" s="504"/>
    </row>
    <row r="238" spans="1:9" x14ac:dyDescent="0.2">
      <c r="A238" s="484"/>
      <c r="B238" s="485"/>
      <c r="C238" s="497"/>
      <c r="D238" s="498"/>
      <c r="E238" s="497"/>
      <c r="F238" s="484"/>
      <c r="G238" s="504"/>
      <c r="H238" s="535"/>
      <c r="I238" s="504"/>
    </row>
    <row r="239" spans="1:9" s="516" customFormat="1" x14ac:dyDescent="0.2">
      <c r="A239" s="510"/>
      <c r="B239" s="511"/>
      <c r="C239" s="512"/>
      <c r="D239" s="513"/>
      <c r="E239" s="512"/>
      <c r="F239" s="514"/>
      <c r="G239" s="545"/>
      <c r="H239" s="994"/>
      <c r="I239" s="994"/>
    </row>
    <row r="240" spans="1:9" s="516" customFormat="1" x14ac:dyDescent="0.2">
      <c r="A240" s="517"/>
      <c r="B240" s="518"/>
      <c r="C240" s="519" t="s">
        <v>1285</v>
      </c>
      <c r="D240" s="520" t="s">
        <v>1286</v>
      </c>
      <c r="E240" s="519"/>
      <c r="F240" s="521"/>
      <c r="G240" s="546"/>
      <c r="H240" s="505"/>
      <c r="I240" s="508">
        <f>SUM(I220:I236)</f>
        <v>150004</v>
      </c>
    </row>
    <row r="241" spans="1:9" s="516" customFormat="1" x14ac:dyDescent="0.2">
      <c r="A241" s="523"/>
      <c r="B241" s="524"/>
      <c r="C241" s="525"/>
      <c r="D241" s="526"/>
      <c r="E241" s="525"/>
      <c r="F241" s="527"/>
      <c r="G241" s="523"/>
      <c r="H241" s="995"/>
      <c r="I241" s="996"/>
    </row>
    <row r="242" spans="1:9" x14ac:dyDescent="0.2">
      <c r="A242" s="484"/>
      <c r="B242" s="485"/>
      <c r="C242" s="497"/>
      <c r="D242" s="498"/>
      <c r="E242" s="497"/>
      <c r="F242" s="484"/>
      <c r="G242" s="504"/>
      <c r="H242" s="535"/>
      <c r="I242" s="504"/>
    </row>
    <row r="243" spans="1:9" x14ac:dyDescent="0.2">
      <c r="A243" s="492">
        <v>8</v>
      </c>
      <c r="B243" s="485"/>
      <c r="C243" s="533" t="s">
        <v>1515</v>
      </c>
      <c r="D243" s="534" t="s">
        <v>1516</v>
      </c>
      <c r="E243" s="497"/>
      <c r="F243" s="484"/>
      <c r="G243" s="504"/>
      <c r="H243" s="535"/>
      <c r="I243" s="504"/>
    </row>
    <row r="244" spans="1:9" x14ac:dyDescent="0.2">
      <c r="A244" s="492"/>
      <c r="B244" s="485"/>
      <c r="C244" s="533"/>
      <c r="D244" s="534"/>
      <c r="E244" s="497"/>
      <c r="F244" s="484"/>
      <c r="G244" s="504"/>
      <c r="H244" s="535"/>
      <c r="I244" s="504"/>
    </row>
    <row r="245" spans="1:9" x14ac:dyDescent="0.2">
      <c r="A245" s="484">
        <v>8.1</v>
      </c>
      <c r="B245" s="485"/>
      <c r="C245" s="500" t="s">
        <v>1517</v>
      </c>
      <c r="D245" s="501" t="s">
        <v>1518</v>
      </c>
      <c r="E245" s="497"/>
      <c r="F245" s="484"/>
      <c r="G245" s="504"/>
      <c r="H245" s="535"/>
      <c r="I245" s="504"/>
    </row>
    <row r="246" spans="1:9" x14ac:dyDescent="0.2">
      <c r="A246" s="484"/>
      <c r="B246" s="485"/>
      <c r="C246" s="497"/>
      <c r="D246" s="498"/>
      <c r="E246" s="497"/>
      <c r="F246" s="484"/>
      <c r="G246" s="504"/>
      <c r="H246" s="535"/>
      <c r="I246" s="504"/>
    </row>
    <row r="247" spans="1:9" s="507" customFormat="1" ht="76.5" x14ac:dyDescent="0.2">
      <c r="A247" s="484" t="s">
        <v>1519</v>
      </c>
      <c r="B247" s="485"/>
      <c r="C247" s="502" t="s">
        <v>1520</v>
      </c>
      <c r="D247" s="503" t="s">
        <v>1521</v>
      </c>
      <c r="E247" s="502"/>
      <c r="F247" s="484" t="s">
        <v>1522</v>
      </c>
      <c r="G247" s="504">
        <v>2</v>
      </c>
      <c r="H247" s="505">
        <v>18630</v>
      </c>
      <c r="I247" s="504">
        <f>H247*G247</f>
        <v>37260</v>
      </c>
    </row>
    <row r="248" spans="1:9" x14ac:dyDescent="0.2">
      <c r="A248" s="484"/>
      <c r="B248" s="485"/>
      <c r="C248" s="497"/>
      <c r="D248" s="498"/>
      <c r="E248" s="497"/>
      <c r="F248" s="484"/>
      <c r="G248" s="504"/>
      <c r="H248" s="535"/>
      <c r="I248" s="504"/>
    </row>
    <row r="249" spans="1:9" s="507" customFormat="1" ht="38.25" x14ac:dyDescent="0.2">
      <c r="A249" s="484" t="s">
        <v>1523</v>
      </c>
      <c r="B249" s="485"/>
      <c r="C249" s="502" t="s">
        <v>1524</v>
      </c>
      <c r="D249" s="503" t="s">
        <v>1525</v>
      </c>
      <c r="E249" s="502"/>
      <c r="F249" s="484" t="s">
        <v>1522</v>
      </c>
      <c r="G249" s="504">
        <v>8</v>
      </c>
      <c r="H249" s="505">
        <v>3075</v>
      </c>
      <c r="I249" s="504">
        <f t="shared" ref="I249:I251" si="9">H249*G249</f>
        <v>24600</v>
      </c>
    </row>
    <row r="250" spans="1:9" x14ac:dyDescent="0.2">
      <c r="A250" s="484"/>
      <c r="B250" s="485"/>
      <c r="C250" s="497"/>
      <c r="D250" s="498"/>
      <c r="E250" s="497"/>
      <c r="F250" s="484"/>
      <c r="G250" s="504"/>
      <c r="H250" s="535"/>
      <c r="I250" s="504"/>
    </row>
    <row r="251" spans="1:9" s="507" customFormat="1" ht="51" x14ac:dyDescent="0.2">
      <c r="A251" s="484" t="s">
        <v>1526</v>
      </c>
      <c r="B251" s="485"/>
      <c r="C251" s="502" t="s">
        <v>1527</v>
      </c>
      <c r="D251" s="503" t="s">
        <v>1528</v>
      </c>
      <c r="E251" s="502"/>
      <c r="F251" s="484" t="s">
        <v>1522</v>
      </c>
      <c r="G251" s="504">
        <v>1</v>
      </c>
      <c r="H251" s="505">
        <v>3075</v>
      </c>
      <c r="I251" s="504">
        <f t="shared" si="9"/>
        <v>3075</v>
      </c>
    </row>
    <row r="252" spans="1:9" s="507" customFormat="1" x14ac:dyDescent="0.2">
      <c r="A252" s="484"/>
      <c r="B252" s="485"/>
      <c r="C252" s="502"/>
      <c r="D252" s="503"/>
      <c r="E252" s="502"/>
      <c r="F252" s="484"/>
      <c r="G252" s="504"/>
      <c r="H252" s="535"/>
      <c r="I252" s="504"/>
    </row>
    <row r="253" spans="1:9" s="516" customFormat="1" x14ac:dyDescent="0.2">
      <c r="A253" s="510"/>
      <c r="B253" s="511"/>
      <c r="C253" s="512"/>
      <c r="D253" s="513"/>
      <c r="E253" s="512"/>
      <c r="F253" s="514"/>
      <c r="G253" s="545"/>
      <c r="H253" s="994"/>
      <c r="I253" s="994"/>
    </row>
    <row r="254" spans="1:9" s="516" customFormat="1" x14ac:dyDescent="0.2">
      <c r="A254" s="517"/>
      <c r="B254" s="518"/>
      <c r="C254" s="519" t="s">
        <v>1285</v>
      </c>
      <c r="D254" s="520" t="s">
        <v>1286</v>
      </c>
      <c r="E254" s="519"/>
      <c r="F254" s="521"/>
      <c r="G254" s="546"/>
      <c r="H254" s="505"/>
      <c r="I254" s="508">
        <f>SUM(I247:I251)</f>
        <v>64935</v>
      </c>
    </row>
    <row r="255" spans="1:9" s="516" customFormat="1" x14ac:dyDescent="0.2">
      <c r="A255" s="523"/>
      <c r="B255" s="524"/>
      <c r="C255" s="525"/>
      <c r="D255" s="526"/>
      <c r="E255" s="525"/>
      <c r="F255" s="527"/>
      <c r="G255" s="523"/>
      <c r="H255" s="995"/>
      <c r="I255" s="996"/>
    </row>
    <row r="256" spans="1:9" x14ac:dyDescent="0.2">
      <c r="A256" s="484"/>
      <c r="B256" s="485"/>
      <c r="C256" s="497"/>
      <c r="D256" s="498"/>
      <c r="E256" s="497"/>
      <c r="F256" s="484"/>
      <c r="G256" s="504"/>
      <c r="H256" s="535"/>
      <c r="I256" s="504"/>
    </row>
    <row r="257" spans="1:9" x14ac:dyDescent="0.2">
      <c r="A257" s="492">
        <v>8</v>
      </c>
      <c r="B257" s="485"/>
      <c r="C257" s="533" t="s">
        <v>1515</v>
      </c>
      <c r="D257" s="534" t="s">
        <v>1516</v>
      </c>
      <c r="E257" s="497"/>
      <c r="F257" s="484"/>
      <c r="G257" s="504"/>
      <c r="H257" s="535"/>
      <c r="I257" s="504"/>
    </row>
    <row r="258" spans="1:9" x14ac:dyDescent="0.2">
      <c r="A258" s="492"/>
      <c r="B258" s="485"/>
      <c r="C258" s="533"/>
      <c r="D258" s="534"/>
      <c r="E258" s="497"/>
      <c r="F258" s="484"/>
      <c r="G258" s="504"/>
      <c r="H258" s="535"/>
      <c r="I258" s="504"/>
    </row>
    <row r="259" spans="1:9" x14ac:dyDescent="0.2">
      <c r="A259" s="484">
        <v>8.1</v>
      </c>
      <c r="B259" s="485"/>
      <c r="C259" s="500" t="s">
        <v>1517</v>
      </c>
      <c r="D259" s="501" t="s">
        <v>1518</v>
      </c>
      <c r="E259" s="497"/>
      <c r="F259" s="484"/>
      <c r="G259" s="504"/>
      <c r="H259" s="535"/>
      <c r="I259" s="504"/>
    </row>
    <row r="260" spans="1:9" x14ac:dyDescent="0.2">
      <c r="A260" s="484"/>
      <c r="B260" s="485"/>
      <c r="C260" s="497"/>
      <c r="D260" s="498"/>
      <c r="E260" s="497"/>
      <c r="F260" s="484"/>
      <c r="G260" s="504"/>
      <c r="H260" s="535"/>
      <c r="I260" s="504"/>
    </row>
    <row r="261" spans="1:9" s="507" customFormat="1" ht="38.25" x14ac:dyDescent="0.2">
      <c r="A261" s="484" t="s">
        <v>1529</v>
      </c>
      <c r="B261" s="485"/>
      <c r="C261" s="502" t="s">
        <v>1530</v>
      </c>
      <c r="D261" s="503" t="s">
        <v>1531</v>
      </c>
      <c r="E261" s="502"/>
      <c r="F261" s="484" t="s">
        <v>1522</v>
      </c>
      <c r="G261" s="504">
        <v>1</v>
      </c>
      <c r="H261" s="505">
        <v>2839</v>
      </c>
      <c r="I261" s="504">
        <f>H261*G261</f>
        <v>2839</v>
      </c>
    </row>
    <row r="262" spans="1:9" x14ac:dyDescent="0.2">
      <c r="A262" s="484"/>
      <c r="B262" s="485"/>
      <c r="C262" s="497"/>
      <c r="D262" s="498"/>
      <c r="E262" s="497"/>
      <c r="F262" s="484"/>
      <c r="G262" s="504"/>
      <c r="H262" s="535"/>
      <c r="I262" s="504"/>
    </row>
    <row r="263" spans="1:9" s="507" customFormat="1" ht="51" x14ac:dyDescent="0.2">
      <c r="A263" s="484" t="s">
        <v>1532</v>
      </c>
      <c r="B263" s="485"/>
      <c r="C263" s="502" t="s">
        <v>1533</v>
      </c>
      <c r="D263" s="503" t="s">
        <v>1534</v>
      </c>
      <c r="E263" s="502"/>
      <c r="F263" s="484" t="s">
        <v>1522</v>
      </c>
      <c r="G263" s="504">
        <v>3</v>
      </c>
      <c r="H263" s="505">
        <v>2933</v>
      </c>
      <c r="I263" s="504">
        <f t="shared" ref="I263:I267" si="10">H263*G263</f>
        <v>8799</v>
      </c>
    </row>
    <row r="264" spans="1:9" x14ac:dyDescent="0.2">
      <c r="A264" s="484"/>
      <c r="B264" s="485"/>
      <c r="C264" s="497"/>
      <c r="D264" s="498"/>
      <c r="E264" s="497"/>
      <c r="F264" s="484"/>
      <c r="G264" s="504"/>
      <c r="H264" s="535"/>
      <c r="I264" s="504"/>
    </row>
    <row r="265" spans="1:9" s="507" customFormat="1" ht="89.25" x14ac:dyDescent="0.2">
      <c r="A265" s="484" t="s">
        <v>1535</v>
      </c>
      <c r="B265" s="485"/>
      <c r="C265" s="502" t="s">
        <v>1536</v>
      </c>
      <c r="D265" s="503" t="s">
        <v>1537</v>
      </c>
      <c r="E265" s="502"/>
      <c r="F265" s="484" t="s">
        <v>1522</v>
      </c>
      <c r="G265" s="504">
        <v>1</v>
      </c>
      <c r="H265" s="505">
        <v>34598</v>
      </c>
      <c r="I265" s="504">
        <f t="shared" si="10"/>
        <v>34598</v>
      </c>
    </row>
    <row r="266" spans="1:9" s="507" customFormat="1" x14ac:dyDescent="0.2">
      <c r="A266" s="484"/>
      <c r="B266" s="485"/>
      <c r="C266" s="502"/>
      <c r="D266" s="503"/>
      <c r="E266" s="502"/>
      <c r="F266" s="484"/>
      <c r="G266" s="504"/>
      <c r="H266" s="535"/>
      <c r="I266" s="504"/>
    </row>
    <row r="267" spans="1:9" s="507" customFormat="1" ht="51" x14ac:dyDescent="0.2">
      <c r="A267" s="484" t="s">
        <v>1538</v>
      </c>
      <c r="B267" s="485"/>
      <c r="C267" s="502" t="s">
        <v>1539</v>
      </c>
      <c r="D267" s="503" t="s">
        <v>1540</v>
      </c>
      <c r="E267" s="502"/>
      <c r="F267" s="484" t="s">
        <v>1522</v>
      </c>
      <c r="G267" s="504">
        <v>8</v>
      </c>
      <c r="H267" s="505">
        <v>2957</v>
      </c>
      <c r="I267" s="504">
        <f t="shared" si="10"/>
        <v>23656</v>
      </c>
    </row>
    <row r="268" spans="1:9" s="507" customFormat="1" x14ac:dyDescent="0.2">
      <c r="A268" s="484"/>
      <c r="B268" s="485"/>
      <c r="C268" s="502"/>
      <c r="D268" s="503"/>
      <c r="E268" s="502"/>
      <c r="F268" s="484"/>
      <c r="G268" s="504"/>
      <c r="H268" s="535"/>
      <c r="I268" s="504"/>
    </row>
    <row r="269" spans="1:9" s="516" customFormat="1" x14ac:dyDescent="0.2">
      <c r="A269" s="510"/>
      <c r="B269" s="511"/>
      <c r="C269" s="512"/>
      <c r="D269" s="513"/>
      <c r="E269" s="512"/>
      <c r="F269" s="514"/>
      <c r="G269" s="545"/>
      <c r="H269" s="994"/>
      <c r="I269" s="994"/>
    </row>
    <row r="270" spans="1:9" s="516" customFormat="1" x14ac:dyDescent="0.2">
      <c r="A270" s="517"/>
      <c r="B270" s="518"/>
      <c r="C270" s="519" t="s">
        <v>1285</v>
      </c>
      <c r="D270" s="520" t="s">
        <v>1286</v>
      </c>
      <c r="E270" s="519"/>
      <c r="F270" s="521"/>
      <c r="G270" s="546"/>
      <c r="H270" s="505"/>
      <c r="I270" s="508">
        <f>SUM(I261:I267)</f>
        <v>69892</v>
      </c>
    </row>
    <row r="271" spans="1:9" s="516" customFormat="1" x14ac:dyDescent="0.2">
      <c r="A271" s="523"/>
      <c r="B271" s="524"/>
      <c r="C271" s="525"/>
      <c r="D271" s="526"/>
      <c r="E271" s="525"/>
      <c r="F271" s="527"/>
      <c r="G271" s="523"/>
      <c r="H271" s="995"/>
      <c r="I271" s="996"/>
    </row>
    <row r="272" spans="1:9" x14ac:dyDescent="0.2">
      <c r="A272" s="479"/>
      <c r="B272" s="477"/>
      <c r="C272" s="586"/>
      <c r="D272" s="569"/>
      <c r="E272" s="586"/>
      <c r="F272" s="479"/>
      <c r="G272" s="587"/>
      <c r="H272" s="1002"/>
      <c r="I272" s="587"/>
    </row>
    <row r="273" spans="1:9" x14ac:dyDescent="0.2">
      <c r="A273" s="492">
        <v>8</v>
      </c>
      <c r="B273" s="485"/>
      <c r="C273" s="533" t="s">
        <v>1515</v>
      </c>
      <c r="D273" s="534" t="s">
        <v>1516</v>
      </c>
      <c r="E273" s="497"/>
      <c r="F273" s="484"/>
      <c r="G273" s="504"/>
      <c r="H273" s="535"/>
      <c r="I273" s="504"/>
    </row>
    <row r="274" spans="1:9" x14ac:dyDescent="0.2">
      <c r="A274" s="492"/>
      <c r="B274" s="485"/>
      <c r="C274" s="533"/>
      <c r="D274" s="534"/>
      <c r="E274" s="497"/>
      <c r="F274" s="484"/>
      <c r="G274" s="504"/>
      <c r="H274" s="535"/>
      <c r="I274" s="504"/>
    </row>
    <row r="275" spans="1:9" x14ac:dyDescent="0.2">
      <c r="A275" s="484">
        <v>8.1</v>
      </c>
      <c r="B275" s="485"/>
      <c r="C275" s="500" t="s">
        <v>1517</v>
      </c>
      <c r="D275" s="501" t="s">
        <v>1518</v>
      </c>
      <c r="E275" s="497"/>
      <c r="F275" s="484"/>
      <c r="G275" s="504"/>
      <c r="H275" s="535"/>
      <c r="I275" s="504"/>
    </row>
    <row r="276" spans="1:9" x14ac:dyDescent="0.2">
      <c r="A276" s="484"/>
      <c r="B276" s="485"/>
      <c r="C276" s="497"/>
      <c r="D276" s="498"/>
      <c r="E276" s="497"/>
      <c r="F276" s="484"/>
      <c r="G276" s="504"/>
      <c r="H276" s="535"/>
      <c r="I276" s="504"/>
    </row>
    <row r="277" spans="1:9" s="507" customFormat="1" ht="51" x14ac:dyDescent="0.2">
      <c r="A277" s="484" t="s">
        <v>1541</v>
      </c>
      <c r="B277" s="485"/>
      <c r="C277" s="502" t="s">
        <v>1542</v>
      </c>
      <c r="D277" s="503" t="s">
        <v>1543</v>
      </c>
      <c r="E277" s="502"/>
      <c r="F277" s="484" t="s">
        <v>1522</v>
      </c>
      <c r="G277" s="504">
        <v>1</v>
      </c>
      <c r="H277" s="505">
        <v>3194</v>
      </c>
      <c r="I277" s="504">
        <f>H277*G277</f>
        <v>3194</v>
      </c>
    </row>
    <row r="278" spans="1:9" x14ac:dyDescent="0.2">
      <c r="A278" s="484"/>
      <c r="B278" s="485"/>
      <c r="C278" s="497"/>
      <c r="D278" s="498"/>
      <c r="E278" s="497"/>
      <c r="F278" s="484"/>
      <c r="G278" s="504"/>
      <c r="H278" s="535"/>
      <c r="I278" s="504"/>
    </row>
    <row r="279" spans="1:9" s="507" customFormat="1" ht="51" x14ac:dyDescent="0.2">
      <c r="A279" s="484" t="s">
        <v>1544</v>
      </c>
      <c r="B279" s="485"/>
      <c r="C279" s="502" t="s">
        <v>1545</v>
      </c>
      <c r="D279" s="503" t="s">
        <v>1546</v>
      </c>
      <c r="E279" s="502"/>
      <c r="F279" s="484" t="s">
        <v>1522</v>
      </c>
      <c r="G279" s="504">
        <v>2</v>
      </c>
      <c r="H279" s="505">
        <v>2129</v>
      </c>
      <c r="I279" s="504">
        <f>H279*G279</f>
        <v>4258</v>
      </c>
    </row>
    <row r="280" spans="1:9" x14ac:dyDescent="0.2">
      <c r="A280" s="484"/>
      <c r="B280" s="485"/>
      <c r="C280" s="497"/>
      <c r="D280" s="575"/>
      <c r="E280" s="497"/>
      <c r="F280" s="484"/>
      <c r="G280" s="504"/>
      <c r="H280" s="535"/>
      <c r="I280" s="504"/>
    </row>
    <row r="281" spans="1:9" s="516" customFormat="1" x14ac:dyDescent="0.2">
      <c r="A281" s="510"/>
      <c r="B281" s="511"/>
      <c r="C281" s="512"/>
      <c r="D281" s="513"/>
      <c r="E281" s="512"/>
      <c r="F281" s="514"/>
      <c r="G281" s="545"/>
      <c r="H281" s="994"/>
      <c r="I281" s="994"/>
    </row>
    <row r="282" spans="1:9" s="516" customFormat="1" x14ac:dyDescent="0.2">
      <c r="A282" s="517"/>
      <c r="B282" s="518"/>
      <c r="C282" s="519" t="s">
        <v>1285</v>
      </c>
      <c r="D282" s="520" t="s">
        <v>1286</v>
      </c>
      <c r="E282" s="519"/>
      <c r="F282" s="521"/>
      <c r="G282" s="546"/>
      <c r="H282" s="505"/>
      <c r="I282" s="508">
        <f>SUM(I277:I279)</f>
        <v>7452</v>
      </c>
    </row>
    <row r="283" spans="1:9" s="516" customFormat="1" x14ac:dyDescent="0.2">
      <c r="A283" s="523"/>
      <c r="B283" s="524"/>
      <c r="C283" s="525"/>
      <c r="D283" s="526"/>
      <c r="E283" s="525"/>
      <c r="F283" s="527"/>
      <c r="G283" s="523"/>
      <c r="H283" s="995"/>
      <c r="I283" s="1003"/>
    </row>
    <row r="284" spans="1:9" x14ac:dyDescent="0.2">
      <c r="A284" s="484"/>
      <c r="B284" s="485"/>
      <c r="C284" s="497"/>
      <c r="D284" s="498"/>
      <c r="E284" s="497"/>
      <c r="F284" s="484"/>
      <c r="G284" s="504"/>
      <c r="H284" s="535"/>
      <c r="I284" s="612"/>
    </row>
    <row r="285" spans="1:9" x14ac:dyDescent="0.2">
      <c r="A285" s="492">
        <v>8</v>
      </c>
      <c r="B285" s="485"/>
      <c r="C285" s="533" t="s">
        <v>1547</v>
      </c>
      <c r="D285" s="534" t="s">
        <v>1548</v>
      </c>
      <c r="E285" s="497"/>
      <c r="F285" s="484"/>
      <c r="G285" s="504"/>
      <c r="H285" s="535"/>
      <c r="I285" s="504"/>
    </row>
    <row r="286" spans="1:9" x14ac:dyDescent="0.2">
      <c r="A286" s="492"/>
      <c r="B286" s="485"/>
      <c r="C286" s="533"/>
      <c r="D286" s="534"/>
      <c r="E286" s="497"/>
      <c r="F286" s="484"/>
      <c r="G286" s="504"/>
      <c r="H286" s="535"/>
      <c r="I286" s="504"/>
    </row>
    <row r="287" spans="1:9" x14ac:dyDescent="0.2">
      <c r="A287" s="484">
        <v>8.1999999999999993</v>
      </c>
      <c r="B287" s="485"/>
      <c r="C287" s="500" t="s">
        <v>1549</v>
      </c>
      <c r="D287" s="501" t="s">
        <v>1550</v>
      </c>
      <c r="E287" s="497"/>
      <c r="F287" s="484"/>
      <c r="G287" s="504"/>
      <c r="H287" s="535"/>
      <c r="I287" s="504"/>
    </row>
    <row r="288" spans="1:9" x14ac:dyDescent="0.2">
      <c r="A288" s="484"/>
      <c r="B288" s="485"/>
      <c r="C288" s="497"/>
      <c r="D288" s="498"/>
      <c r="E288" s="497"/>
      <c r="F288" s="484"/>
      <c r="G288" s="504"/>
      <c r="H288" s="535"/>
      <c r="I288" s="504"/>
    </row>
    <row r="289" spans="1:9" s="507" customFormat="1" ht="76.5" x14ac:dyDescent="0.2">
      <c r="A289" s="484" t="s">
        <v>1551</v>
      </c>
      <c r="B289" s="485"/>
      <c r="C289" s="502" t="s">
        <v>1552</v>
      </c>
      <c r="D289" s="503" t="s">
        <v>1553</v>
      </c>
      <c r="E289" s="502"/>
      <c r="F289" s="484" t="s">
        <v>1522</v>
      </c>
      <c r="G289" s="504">
        <v>2</v>
      </c>
      <c r="H289" s="505">
        <v>34293</v>
      </c>
      <c r="I289" s="504">
        <f>H289*G289</f>
        <v>68586</v>
      </c>
    </row>
    <row r="290" spans="1:9" x14ac:dyDescent="0.2">
      <c r="A290" s="484"/>
      <c r="B290" s="485"/>
      <c r="C290" s="497"/>
      <c r="D290" s="498"/>
      <c r="E290" s="497"/>
      <c r="F290" s="484"/>
      <c r="G290" s="504"/>
      <c r="H290" s="535"/>
      <c r="I290" s="504"/>
    </row>
    <row r="291" spans="1:9" s="507" customFormat="1" ht="89.25" x14ac:dyDescent="0.2">
      <c r="A291" s="484" t="s">
        <v>1554</v>
      </c>
      <c r="B291" s="485"/>
      <c r="C291" s="502" t="s">
        <v>1555</v>
      </c>
      <c r="D291" s="503" t="s">
        <v>1556</v>
      </c>
      <c r="E291" s="502"/>
      <c r="F291" s="484" t="s">
        <v>1522</v>
      </c>
      <c r="G291" s="504">
        <v>1</v>
      </c>
      <c r="H291" s="505">
        <v>37851</v>
      </c>
      <c r="I291" s="504">
        <f>H291*G291</f>
        <v>37851</v>
      </c>
    </row>
    <row r="292" spans="1:9" x14ac:dyDescent="0.2">
      <c r="A292" s="484"/>
      <c r="B292" s="485"/>
      <c r="C292" s="497"/>
      <c r="D292" s="498"/>
      <c r="E292" s="497"/>
      <c r="F292" s="484"/>
      <c r="G292" s="504"/>
      <c r="H292" s="535"/>
      <c r="I292" s="504"/>
    </row>
    <row r="293" spans="1:9" s="507" customFormat="1" ht="76.5" x14ac:dyDescent="0.2">
      <c r="A293" s="484" t="s">
        <v>1557</v>
      </c>
      <c r="B293" s="485"/>
      <c r="C293" s="502" t="s">
        <v>1558</v>
      </c>
      <c r="D293" s="503" t="s">
        <v>1559</v>
      </c>
      <c r="E293" s="502"/>
      <c r="F293" s="484" t="s">
        <v>1522</v>
      </c>
      <c r="G293" s="504">
        <v>2</v>
      </c>
      <c r="H293" s="505">
        <v>738</v>
      </c>
      <c r="I293" s="504">
        <f>H293*G293</f>
        <v>1476</v>
      </c>
    </row>
    <row r="294" spans="1:9" s="507" customFormat="1" x14ac:dyDescent="0.2">
      <c r="A294" s="483"/>
      <c r="B294" s="485"/>
      <c r="C294" s="502"/>
      <c r="D294" s="572"/>
      <c r="E294" s="573"/>
      <c r="F294" s="483"/>
      <c r="G294" s="504"/>
      <c r="H294" s="535"/>
      <c r="I294" s="504"/>
    </row>
    <row r="295" spans="1:9" s="516" customFormat="1" x14ac:dyDescent="0.2">
      <c r="A295" s="510"/>
      <c r="B295" s="511"/>
      <c r="C295" s="512"/>
      <c r="D295" s="513"/>
      <c r="E295" s="512"/>
      <c r="F295" s="514"/>
      <c r="G295" s="545"/>
      <c r="H295" s="994"/>
      <c r="I295" s="994"/>
    </row>
    <row r="296" spans="1:9" s="516" customFormat="1" x14ac:dyDescent="0.2">
      <c r="A296" s="517"/>
      <c r="B296" s="518"/>
      <c r="C296" s="519" t="s">
        <v>1285</v>
      </c>
      <c r="D296" s="520" t="s">
        <v>1286</v>
      </c>
      <c r="E296" s="519"/>
      <c r="F296" s="521"/>
      <c r="G296" s="546"/>
      <c r="H296" s="505"/>
      <c r="I296" s="508">
        <f>SUM(I289:I293)</f>
        <v>107913</v>
      </c>
    </row>
    <row r="297" spans="1:9" s="516" customFormat="1" x14ac:dyDescent="0.2">
      <c r="A297" s="523"/>
      <c r="B297" s="524"/>
      <c r="C297" s="525"/>
      <c r="D297" s="526"/>
      <c r="E297" s="525"/>
      <c r="F297" s="527"/>
      <c r="G297" s="523"/>
      <c r="H297" s="995"/>
      <c r="I297" s="996"/>
    </row>
    <row r="298" spans="1:9" x14ac:dyDescent="0.2">
      <c r="A298" s="484"/>
      <c r="B298" s="485"/>
      <c r="C298" s="497"/>
      <c r="D298" s="498"/>
      <c r="E298" s="497"/>
      <c r="F298" s="484"/>
      <c r="G298" s="504"/>
      <c r="H298" s="535"/>
      <c r="I298" s="504"/>
    </row>
    <row r="299" spans="1:9" x14ac:dyDescent="0.2">
      <c r="A299" s="492">
        <v>8</v>
      </c>
      <c r="B299" s="485"/>
      <c r="C299" s="533" t="s">
        <v>1547</v>
      </c>
      <c r="D299" s="534" t="s">
        <v>1548</v>
      </c>
      <c r="E299" s="497"/>
      <c r="F299" s="484"/>
      <c r="G299" s="504"/>
      <c r="H299" s="535"/>
      <c r="I299" s="504"/>
    </row>
    <row r="300" spans="1:9" x14ac:dyDescent="0.2">
      <c r="A300" s="492"/>
      <c r="B300" s="485"/>
      <c r="C300" s="533"/>
      <c r="D300" s="534"/>
      <c r="E300" s="497"/>
      <c r="F300" s="484"/>
      <c r="G300" s="504"/>
      <c r="H300" s="535"/>
      <c r="I300" s="504"/>
    </row>
    <row r="301" spans="1:9" x14ac:dyDescent="0.2">
      <c r="A301" s="484">
        <v>8.1999999999999993</v>
      </c>
      <c r="B301" s="485"/>
      <c r="C301" s="500" t="s">
        <v>1549</v>
      </c>
      <c r="D301" s="501" t="s">
        <v>1550</v>
      </c>
      <c r="E301" s="497"/>
      <c r="F301" s="484"/>
      <c r="G301" s="504"/>
      <c r="H301" s="535"/>
      <c r="I301" s="504"/>
    </row>
    <row r="302" spans="1:9" x14ac:dyDescent="0.2">
      <c r="A302" s="484"/>
      <c r="B302" s="485"/>
      <c r="C302" s="500"/>
      <c r="D302" s="501"/>
      <c r="E302" s="497"/>
      <c r="F302" s="484"/>
      <c r="G302" s="504"/>
      <c r="H302" s="535"/>
      <c r="I302" s="504"/>
    </row>
    <row r="303" spans="1:9" s="507" customFormat="1" ht="63.75" x14ac:dyDescent="0.2">
      <c r="A303" s="484" t="s">
        <v>1560</v>
      </c>
      <c r="B303" s="485"/>
      <c r="C303" s="502" t="s">
        <v>1561</v>
      </c>
      <c r="D303" s="503" t="s">
        <v>1562</v>
      </c>
      <c r="E303" s="502"/>
      <c r="F303" s="484" t="s">
        <v>1522</v>
      </c>
      <c r="G303" s="504">
        <v>1</v>
      </c>
      <c r="H303" s="505">
        <v>923</v>
      </c>
      <c r="I303" s="504">
        <f>H303*G303</f>
        <v>923</v>
      </c>
    </row>
    <row r="304" spans="1:9" x14ac:dyDescent="0.2">
      <c r="A304" s="484"/>
      <c r="B304" s="485"/>
      <c r="C304" s="497"/>
      <c r="D304" s="498"/>
      <c r="E304" s="497"/>
      <c r="F304" s="484"/>
      <c r="G304" s="504"/>
      <c r="H304" s="535"/>
      <c r="I304" s="504"/>
    </row>
    <row r="305" spans="1:9" s="507" customFormat="1" ht="76.5" x14ac:dyDescent="0.2">
      <c r="A305" s="484" t="s">
        <v>1563</v>
      </c>
      <c r="B305" s="485"/>
      <c r="C305" s="502" t="s">
        <v>1564</v>
      </c>
      <c r="D305" s="503" t="s">
        <v>1565</v>
      </c>
      <c r="E305" s="502"/>
      <c r="F305" s="484" t="s">
        <v>1522</v>
      </c>
      <c r="G305" s="504">
        <v>1</v>
      </c>
      <c r="H305" s="505">
        <v>769</v>
      </c>
      <c r="I305" s="504">
        <f>H305*G305</f>
        <v>769</v>
      </c>
    </row>
    <row r="306" spans="1:9" x14ac:dyDescent="0.2">
      <c r="A306" s="484"/>
      <c r="B306" s="485"/>
      <c r="C306" s="497"/>
      <c r="D306" s="498"/>
      <c r="E306" s="497"/>
      <c r="F306" s="484"/>
      <c r="G306" s="504"/>
      <c r="H306" s="535"/>
      <c r="I306" s="504"/>
    </row>
    <row r="307" spans="1:9" s="507" customFormat="1" ht="76.5" x14ac:dyDescent="0.2">
      <c r="A307" s="484" t="s">
        <v>1566</v>
      </c>
      <c r="B307" s="485"/>
      <c r="C307" s="502" t="s">
        <v>1567</v>
      </c>
      <c r="D307" s="503" t="s">
        <v>1568</v>
      </c>
      <c r="E307" s="502"/>
      <c r="F307" s="484" t="s">
        <v>1522</v>
      </c>
      <c r="G307" s="504">
        <v>8</v>
      </c>
      <c r="H307" s="505">
        <v>538</v>
      </c>
      <c r="I307" s="504">
        <f>H307*G307</f>
        <v>4304</v>
      </c>
    </row>
    <row r="308" spans="1:9" x14ac:dyDescent="0.2">
      <c r="A308" s="484"/>
      <c r="B308" s="485"/>
      <c r="C308" s="497"/>
      <c r="D308" s="498"/>
      <c r="E308" s="497"/>
      <c r="F308" s="484"/>
      <c r="G308" s="504"/>
      <c r="H308" s="535"/>
      <c r="I308" s="504"/>
    </row>
    <row r="309" spans="1:9" s="516" customFormat="1" x14ac:dyDescent="0.2">
      <c r="A309" s="510"/>
      <c r="B309" s="511"/>
      <c r="C309" s="512"/>
      <c r="D309" s="513"/>
      <c r="E309" s="512"/>
      <c r="F309" s="514"/>
      <c r="G309" s="545"/>
      <c r="H309" s="994"/>
      <c r="I309" s="994"/>
    </row>
    <row r="310" spans="1:9" s="516" customFormat="1" x14ac:dyDescent="0.2">
      <c r="A310" s="517"/>
      <c r="B310" s="518"/>
      <c r="C310" s="519" t="s">
        <v>1285</v>
      </c>
      <c r="D310" s="520" t="s">
        <v>1286</v>
      </c>
      <c r="E310" s="519"/>
      <c r="F310" s="521"/>
      <c r="G310" s="546"/>
      <c r="H310" s="505"/>
      <c r="I310" s="508">
        <f>SUM(I303:I307)</f>
        <v>5996</v>
      </c>
    </row>
    <row r="311" spans="1:9" s="516" customFormat="1" x14ac:dyDescent="0.2">
      <c r="A311" s="523"/>
      <c r="B311" s="524"/>
      <c r="C311" s="525"/>
      <c r="D311" s="526"/>
      <c r="E311" s="525"/>
      <c r="F311" s="527"/>
      <c r="G311" s="523"/>
      <c r="H311" s="995"/>
      <c r="I311" s="996"/>
    </row>
    <row r="312" spans="1:9" x14ac:dyDescent="0.2">
      <c r="A312" s="484"/>
      <c r="B312" s="485"/>
      <c r="C312" s="497"/>
      <c r="D312" s="498"/>
      <c r="E312" s="497"/>
      <c r="F312" s="484"/>
      <c r="G312" s="504"/>
      <c r="H312" s="535"/>
      <c r="I312" s="504"/>
    </row>
    <row r="313" spans="1:9" x14ac:dyDescent="0.2">
      <c r="A313" s="492">
        <v>9</v>
      </c>
      <c r="B313" s="485"/>
      <c r="C313" s="533" t="s">
        <v>1569</v>
      </c>
      <c r="D313" s="534" t="s">
        <v>1570</v>
      </c>
      <c r="E313" s="497"/>
      <c r="F313" s="484"/>
      <c r="G313" s="504"/>
      <c r="H313" s="535"/>
      <c r="I313" s="504"/>
    </row>
    <row r="314" spans="1:9" x14ac:dyDescent="0.2">
      <c r="A314" s="492"/>
      <c r="B314" s="485"/>
      <c r="C314" s="533"/>
      <c r="D314" s="534"/>
      <c r="E314" s="497"/>
      <c r="F314" s="484"/>
      <c r="G314" s="504"/>
      <c r="H314" s="535"/>
      <c r="I314" s="504"/>
    </row>
    <row r="315" spans="1:9" x14ac:dyDescent="0.2">
      <c r="A315" s="484">
        <v>9.1</v>
      </c>
      <c r="B315" s="485"/>
      <c r="C315" s="500" t="s">
        <v>1571</v>
      </c>
      <c r="D315" s="501" t="s">
        <v>1572</v>
      </c>
      <c r="E315" s="497"/>
      <c r="F315" s="484"/>
      <c r="G315" s="504"/>
      <c r="H315" s="535"/>
      <c r="I315" s="504"/>
    </row>
    <row r="316" spans="1:9" x14ac:dyDescent="0.2">
      <c r="A316" s="484"/>
      <c r="B316" s="485"/>
      <c r="C316" s="497"/>
      <c r="D316" s="498"/>
      <c r="E316" s="497"/>
      <c r="F316" s="484"/>
      <c r="G316" s="504"/>
      <c r="H316" s="535"/>
      <c r="I316" s="504"/>
    </row>
    <row r="317" spans="1:9" ht="63.75" x14ac:dyDescent="0.2">
      <c r="A317" s="484" t="s">
        <v>1573</v>
      </c>
      <c r="B317" s="485"/>
      <c r="C317" s="497" t="s">
        <v>1574</v>
      </c>
      <c r="D317" s="498" t="s">
        <v>1575</v>
      </c>
      <c r="E317" s="497"/>
      <c r="F317" s="484"/>
      <c r="G317" s="504"/>
      <c r="H317" s="535"/>
      <c r="I317" s="504"/>
    </row>
    <row r="318" spans="1:9" x14ac:dyDescent="0.2">
      <c r="A318" s="484"/>
      <c r="B318" s="485"/>
      <c r="C318" s="497"/>
      <c r="D318" s="498"/>
      <c r="E318" s="497"/>
      <c r="F318" s="484"/>
      <c r="G318" s="504"/>
      <c r="H318" s="535"/>
      <c r="I318" s="504"/>
    </row>
    <row r="319" spans="1:9" x14ac:dyDescent="0.2">
      <c r="A319" s="484" t="s">
        <v>1576</v>
      </c>
      <c r="B319" s="485"/>
      <c r="C319" s="497" t="s">
        <v>1577</v>
      </c>
      <c r="D319" s="498" t="s">
        <v>1578</v>
      </c>
      <c r="E319" s="497"/>
      <c r="F319" s="484" t="s">
        <v>1579</v>
      </c>
      <c r="G319" s="504">
        <f>52+24</f>
        <v>76</v>
      </c>
      <c r="H319" s="505">
        <v>591</v>
      </c>
      <c r="I319" s="504">
        <f>H319*G319</f>
        <v>44916</v>
      </c>
    </row>
    <row r="320" spans="1:9" x14ac:dyDescent="0.2">
      <c r="A320" s="484" t="s">
        <v>1580</v>
      </c>
      <c r="B320" s="485"/>
      <c r="C320" s="497" t="s">
        <v>1581</v>
      </c>
      <c r="D320" s="498" t="s">
        <v>1582</v>
      </c>
      <c r="E320" s="497"/>
      <c r="F320" s="484" t="s">
        <v>1507</v>
      </c>
      <c r="G320" s="504">
        <v>25</v>
      </c>
      <c r="H320" s="505">
        <v>207</v>
      </c>
      <c r="I320" s="504">
        <f>H320*G320</f>
        <v>5175</v>
      </c>
    </row>
    <row r="321" spans="1:9" x14ac:dyDescent="0.2">
      <c r="A321" s="484"/>
      <c r="B321" s="485"/>
      <c r="C321" s="497"/>
      <c r="D321" s="498"/>
      <c r="E321" s="497"/>
      <c r="F321" s="484"/>
      <c r="G321" s="504"/>
      <c r="H321" s="535"/>
      <c r="I321" s="504"/>
    </row>
    <row r="322" spans="1:9" ht="63.75" x14ac:dyDescent="0.2">
      <c r="A322" s="484" t="s">
        <v>1583</v>
      </c>
      <c r="B322" s="485"/>
      <c r="C322" s="497" t="s">
        <v>1584</v>
      </c>
      <c r="D322" s="498" t="s">
        <v>1585</v>
      </c>
      <c r="E322" s="497"/>
      <c r="F322" s="492"/>
      <c r="G322" s="504"/>
      <c r="H322" s="1004"/>
      <c r="I322" s="504"/>
    </row>
    <row r="323" spans="1:9" x14ac:dyDescent="0.2">
      <c r="A323" s="484"/>
      <c r="B323" s="485"/>
      <c r="C323" s="497"/>
      <c r="D323" s="498"/>
      <c r="E323" s="497"/>
      <c r="F323" s="484"/>
      <c r="G323" s="504"/>
      <c r="H323" s="1004"/>
      <c r="I323" s="504"/>
    </row>
    <row r="324" spans="1:9" s="507" customFormat="1" ht="25.5" x14ac:dyDescent="0.2">
      <c r="A324" s="484" t="s">
        <v>1586</v>
      </c>
      <c r="B324" s="485"/>
      <c r="C324" s="502" t="s">
        <v>1587</v>
      </c>
      <c r="D324" s="544" t="s">
        <v>1588</v>
      </c>
      <c r="E324" s="502"/>
      <c r="F324" s="484" t="s">
        <v>1579</v>
      </c>
      <c r="G324" s="504">
        <v>42</v>
      </c>
      <c r="H324" s="505">
        <v>118</v>
      </c>
      <c r="I324" s="504">
        <f t="shared" ref="I324:I325" si="11">H324*G324</f>
        <v>4956</v>
      </c>
    </row>
    <row r="325" spans="1:9" s="507" customFormat="1" x14ac:dyDescent="0.2">
      <c r="A325" s="484" t="s">
        <v>1589</v>
      </c>
      <c r="B325" s="485"/>
      <c r="C325" s="502" t="s">
        <v>1581</v>
      </c>
      <c r="D325" s="544" t="s">
        <v>1582</v>
      </c>
      <c r="E325" s="588"/>
      <c r="F325" s="484" t="s">
        <v>1507</v>
      </c>
      <c r="G325" s="504">
        <v>9</v>
      </c>
      <c r="H325" s="505">
        <v>207</v>
      </c>
      <c r="I325" s="504">
        <f t="shared" si="11"/>
        <v>1863</v>
      </c>
    </row>
    <row r="326" spans="1:9" x14ac:dyDescent="0.2">
      <c r="A326" s="484"/>
      <c r="B326" s="485"/>
      <c r="C326" s="497"/>
      <c r="D326" s="589"/>
      <c r="E326" s="590"/>
      <c r="F326" s="484"/>
      <c r="G326" s="504"/>
      <c r="H326" s="1005"/>
      <c r="I326" s="508"/>
    </row>
    <row r="327" spans="1:9" s="516" customFormat="1" x14ac:dyDescent="0.2">
      <c r="A327" s="510"/>
      <c r="B327" s="511"/>
      <c r="C327" s="512"/>
      <c r="D327" s="513"/>
      <c r="E327" s="512"/>
      <c r="F327" s="514"/>
      <c r="G327" s="545"/>
      <c r="H327" s="1006"/>
      <c r="I327" s="994"/>
    </row>
    <row r="328" spans="1:9" s="516" customFormat="1" x14ac:dyDescent="0.2">
      <c r="A328" s="517"/>
      <c r="B328" s="518"/>
      <c r="C328" s="519" t="s">
        <v>1285</v>
      </c>
      <c r="D328" s="520" t="s">
        <v>1286</v>
      </c>
      <c r="E328" s="519"/>
      <c r="F328" s="521"/>
      <c r="G328" s="546"/>
      <c r="H328" s="1005"/>
      <c r="I328" s="508">
        <f>SUM(I318:I325)</f>
        <v>56910</v>
      </c>
    </row>
    <row r="329" spans="1:9" s="516" customFormat="1" x14ac:dyDescent="0.2">
      <c r="A329" s="523"/>
      <c r="B329" s="524"/>
      <c r="C329" s="525"/>
      <c r="D329" s="526"/>
      <c r="E329" s="525"/>
      <c r="F329" s="527"/>
      <c r="G329" s="523"/>
      <c r="H329" s="995"/>
      <c r="I329" s="996"/>
    </row>
    <row r="330" spans="1:9" x14ac:dyDescent="0.2">
      <c r="A330" s="484"/>
      <c r="B330" s="485"/>
      <c r="C330" s="497"/>
      <c r="D330" s="498"/>
      <c r="E330" s="497"/>
      <c r="F330" s="484"/>
      <c r="G330" s="504"/>
      <c r="H330" s="535"/>
      <c r="I330" s="504"/>
    </row>
    <row r="331" spans="1:9" x14ac:dyDescent="0.2">
      <c r="A331" s="492">
        <v>9</v>
      </c>
      <c r="B331" s="485"/>
      <c r="C331" s="533" t="s">
        <v>1590</v>
      </c>
      <c r="D331" s="534" t="s">
        <v>1591</v>
      </c>
      <c r="E331" s="497"/>
      <c r="F331" s="484"/>
      <c r="G331" s="504"/>
      <c r="H331" s="535"/>
      <c r="I331" s="504"/>
    </row>
    <row r="332" spans="1:9" x14ac:dyDescent="0.2">
      <c r="A332" s="492"/>
      <c r="B332" s="485"/>
      <c r="C332" s="533"/>
      <c r="D332" s="534"/>
      <c r="E332" s="497"/>
      <c r="F332" s="484"/>
      <c r="G332" s="504"/>
      <c r="H332" s="535"/>
      <c r="I332" s="504"/>
    </row>
    <row r="333" spans="1:9" x14ac:dyDescent="0.2">
      <c r="A333" s="484">
        <v>9.1</v>
      </c>
      <c r="B333" s="485"/>
      <c r="C333" s="500" t="s">
        <v>1571</v>
      </c>
      <c r="D333" s="501" t="s">
        <v>1572</v>
      </c>
      <c r="E333" s="497"/>
      <c r="F333" s="484"/>
      <c r="G333" s="504"/>
      <c r="H333" s="535"/>
      <c r="I333" s="504"/>
    </row>
    <row r="334" spans="1:9" x14ac:dyDescent="0.2">
      <c r="A334" s="484"/>
      <c r="B334" s="485"/>
      <c r="C334" s="497"/>
      <c r="D334" s="498"/>
      <c r="E334" s="497"/>
      <c r="F334" s="484"/>
      <c r="G334" s="504"/>
      <c r="H334" s="535"/>
      <c r="I334" s="504"/>
    </row>
    <row r="335" spans="1:9" s="507" customFormat="1" ht="51" x14ac:dyDescent="0.2">
      <c r="A335" s="484" t="s">
        <v>1592</v>
      </c>
      <c r="B335" s="485"/>
      <c r="C335" s="502" t="s">
        <v>1593</v>
      </c>
      <c r="D335" s="503" t="s">
        <v>1594</v>
      </c>
      <c r="E335" s="502"/>
      <c r="F335" s="484" t="s">
        <v>1579</v>
      </c>
      <c r="G335" s="504">
        <v>10</v>
      </c>
      <c r="H335" s="505">
        <v>103</v>
      </c>
      <c r="I335" s="504">
        <f>H335*G335</f>
        <v>1030</v>
      </c>
    </row>
    <row r="336" spans="1:9" x14ac:dyDescent="0.2">
      <c r="A336" s="484"/>
      <c r="B336" s="485"/>
      <c r="C336" s="497"/>
      <c r="D336" s="498"/>
      <c r="E336" s="497"/>
      <c r="F336" s="484"/>
      <c r="G336" s="504"/>
      <c r="H336" s="535"/>
      <c r="I336" s="504"/>
    </row>
    <row r="337" spans="1:9" s="507" customFormat="1" ht="51" x14ac:dyDescent="0.2">
      <c r="A337" s="484" t="s">
        <v>1595</v>
      </c>
      <c r="B337" s="485"/>
      <c r="C337" s="502" t="s">
        <v>1596</v>
      </c>
      <c r="D337" s="503" t="s">
        <v>1597</v>
      </c>
      <c r="E337" s="502"/>
      <c r="F337" s="484" t="s">
        <v>1579</v>
      </c>
      <c r="G337" s="504">
        <v>390</v>
      </c>
      <c r="H337" s="505">
        <v>414</v>
      </c>
      <c r="I337" s="504">
        <f>H337*G337</f>
        <v>161460</v>
      </c>
    </row>
    <row r="338" spans="1:9" x14ac:dyDescent="0.2">
      <c r="A338" s="484"/>
      <c r="B338" s="485"/>
      <c r="C338" s="497"/>
      <c r="D338" s="498"/>
      <c r="E338" s="497"/>
      <c r="F338" s="484"/>
      <c r="G338" s="504"/>
      <c r="H338" s="535"/>
      <c r="I338" s="504"/>
    </row>
    <row r="339" spans="1:9" s="507" customFormat="1" ht="51" x14ac:dyDescent="0.2">
      <c r="A339" s="484" t="s">
        <v>1598</v>
      </c>
      <c r="B339" s="485"/>
      <c r="C339" s="502" t="s">
        <v>1599</v>
      </c>
      <c r="D339" s="503" t="s">
        <v>1600</v>
      </c>
      <c r="E339" s="502"/>
      <c r="F339" s="484" t="s">
        <v>1579</v>
      </c>
      <c r="G339" s="504">
        <v>33</v>
      </c>
      <c r="H339" s="505">
        <v>96</v>
      </c>
      <c r="I339" s="504">
        <f>H339*G339</f>
        <v>3168</v>
      </c>
    </row>
    <row r="340" spans="1:9" x14ac:dyDescent="0.2">
      <c r="A340" s="484"/>
      <c r="B340" s="485"/>
      <c r="C340" s="497"/>
      <c r="D340" s="498"/>
      <c r="E340" s="497"/>
      <c r="F340" s="484"/>
      <c r="G340" s="504"/>
      <c r="H340" s="535"/>
      <c r="I340" s="504"/>
    </row>
    <row r="341" spans="1:9" x14ac:dyDescent="0.2">
      <c r="A341" s="484"/>
      <c r="B341" s="485"/>
      <c r="C341" s="497"/>
      <c r="D341" s="498"/>
      <c r="E341" s="497"/>
      <c r="F341" s="484"/>
      <c r="G341" s="504"/>
      <c r="H341" s="535"/>
      <c r="I341" s="504"/>
    </row>
    <row r="342" spans="1:9" s="516" customFormat="1" x14ac:dyDescent="0.2">
      <c r="A342" s="510"/>
      <c r="B342" s="511"/>
      <c r="C342" s="512"/>
      <c r="D342" s="513"/>
      <c r="E342" s="512"/>
      <c r="F342" s="514"/>
      <c r="G342" s="545"/>
      <c r="H342" s="994"/>
      <c r="I342" s="994"/>
    </row>
    <row r="343" spans="1:9" s="516" customFormat="1" x14ac:dyDescent="0.2">
      <c r="A343" s="517"/>
      <c r="B343" s="518"/>
      <c r="C343" s="519" t="s">
        <v>1285</v>
      </c>
      <c r="D343" s="520" t="s">
        <v>1286</v>
      </c>
      <c r="E343" s="519"/>
      <c r="F343" s="521"/>
      <c r="G343" s="546"/>
      <c r="H343" s="505"/>
      <c r="I343" s="508">
        <f>SUM(I335:I339)</f>
        <v>165658</v>
      </c>
    </row>
    <row r="344" spans="1:9" s="516" customFormat="1" x14ac:dyDescent="0.2">
      <c r="A344" s="523"/>
      <c r="B344" s="524"/>
      <c r="C344" s="525"/>
      <c r="D344" s="526"/>
      <c r="E344" s="525"/>
      <c r="F344" s="527"/>
      <c r="G344" s="523"/>
      <c r="H344" s="995"/>
      <c r="I344" s="996"/>
    </row>
    <row r="345" spans="1:9" x14ac:dyDescent="0.2">
      <c r="A345" s="484"/>
      <c r="B345" s="485"/>
      <c r="C345" s="497"/>
      <c r="D345" s="498"/>
      <c r="E345" s="497"/>
      <c r="F345" s="484"/>
      <c r="G345" s="504"/>
      <c r="H345" s="535"/>
      <c r="I345" s="504"/>
    </row>
    <row r="346" spans="1:9" x14ac:dyDescent="0.2">
      <c r="A346" s="492">
        <v>9</v>
      </c>
      <c r="B346" s="485"/>
      <c r="C346" s="533" t="s">
        <v>1601</v>
      </c>
      <c r="D346" s="534" t="s">
        <v>1602</v>
      </c>
      <c r="E346" s="497"/>
      <c r="F346" s="484"/>
      <c r="G346" s="504"/>
      <c r="H346" s="535"/>
      <c r="I346" s="504"/>
    </row>
    <row r="347" spans="1:9" x14ac:dyDescent="0.2">
      <c r="A347" s="492"/>
      <c r="B347" s="485"/>
      <c r="C347" s="533"/>
      <c r="D347" s="534"/>
      <c r="E347" s="497"/>
      <c r="F347" s="484"/>
      <c r="G347" s="504"/>
      <c r="H347" s="535"/>
      <c r="I347" s="504"/>
    </row>
    <row r="348" spans="1:9" x14ac:dyDescent="0.2">
      <c r="A348" s="484">
        <v>9.1</v>
      </c>
      <c r="B348" s="485"/>
      <c r="C348" s="500" t="s">
        <v>1571</v>
      </c>
      <c r="D348" s="501" t="s">
        <v>1572</v>
      </c>
      <c r="E348" s="497"/>
      <c r="F348" s="484"/>
      <c r="G348" s="504"/>
      <c r="H348" s="535"/>
      <c r="I348" s="504"/>
    </row>
    <row r="349" spans="1:9" x14ac:dyDescent="0.2">
      <c r="A349" s="484"/>
      <c r="B349" s="485"/>
      <c r="C349" s="497"/>
      <c r="D349" s="498"/>
      <c r="E349" s="497"/>
      <c r="F349" s="484"/>
      <c r="G349" s="504"/>
      <c r="H349" s="535"/>
      <c r="I349" s="504"/>
    </row>
    <row r="350" spans="1:9" s="507" customFormat="1" ht="51" x14ac:dyDescent="0.2">
      <c r="A350" s="484" t="s">
        <v>1603</v>
      </c>
      <c r="B350" s="485"/>
      <c r="C350" s="502" t="s">
        <v>1604</v>
      </c>
      <c r="D350" s="503" t="s">
        <v>1605</v>
      </c>
      <c r="E350" s="502"/>
      <c r="F350" s="484" t="s">
        <v>1579</v>
      </c>
      <c r="G350" s="504">
        <v>62</v>
      </c>
      <c r="H350" s="505">
        <v>136</v>
      </c>
      <c r="I350" s="504">
        <f>H350*G350</f>
        <v>8432</v>
      </c>
    </row>
    <row r="351" spans="1:9" x14ac:dyDescent="0.2">
      <c r="A351" s="484"/>
      <c r="B351" s="485"/>
      <c r="C351" s="497"/>
      <c r="D351" s="498"/>
      <c r="E351" s="497"/>
      <c r="F351" s="484"/>
      <c r="G351" s="504"/>
      <c r="H351" s="535"/>
      <c r="I351" s="504"/>
    </row>
    <row r="352" spans="1:9" s="507" customFormat="1" ht="63.75" x14ac:dyDescent="0.2">
      <c r="A352" s="484" t="s">
        <v>1606</v>
      </c>
      <c r="B352" s="485"/>
      <c r="C352" s="502" t="s">
        <v>1607</v>
      </c>
      <c r="D352" s="503" t="s">
        <v>1608</v>
      </c>
      <c r="E352" s="502"/>
      <c r="F352" s="484" t="s">
        <v>1579</v>
      </c>
      <c r="G352" s="504">
        <v>50</v>
      </c>
      <c r="H352" s="505">
        <v>103</v>
      </c>
      <c r="I352" s="504">
        <f t="shared" ref="I352:I358" si="12">H352*G352</f>
        <v>5150</v>
      </c>
    </row>
    <row r="353" spans="1:9" x14ac:dyDescent="0.2">
      <c r="A353" s="484"/>
      <c r="B353" s="485"/>
      <c r="C353" s="497"/>
      <c r="D353" s="498"/>
      <c r="E353" s="497"/>
      <c r="F353" s="484"/>
      <c r="G353" s="504"/>
      <c r="H353" s="535"/>
      <c r="I353" s="504"/>
    </row>
    <row r="354" spans="1:9" s="507" customFormat="1" ht="51" x14ac:dyDescent="0.2">
      <c r="A354" s="484" t="s">
        <v>1609</v>
      </c>
      <c r="B354" s="485"/>
      <c r="C354" s="502" t="s">
        <v>1610</v>
      </c>
      <c r="D354" s="503" t="s">
        <v>1611</v>
      </c>
      <c r="E354" s="502"/>
      <c r="F354" s="484" t="s">
        <v>1579</v>
      </c>
      <c r="G354" s="504">
        <v>5</v>
      </c>
      <c r="H354" s="505">
        <v>83</v>
      </c>
      <c r="I354" s="504">
        <f t="shared" si="12"/>
        <v>415</v>
      </c>
    </row>
    <row r="355" spans="1:9" x14ac:dyDescent="0.2">
      <c r="A355" s="484"/>
      <c r="B355" s="485"/>
      <c r="C355" s="497"/>
      <c r="D355" s="498"/>
      <c r="E355" s="497"/>
      <c r="F355" s="484"/>
      <c r="G355" s="504"/>
      <c r="H355" s="535"/>
      <c r="I355" s="504"/>
    </row>
    <row r="356" spans="1:9" s="507" customFormat="1" ht="51" x14ac:dyDescent="0.2">
      <c r="A356" s="484" t="s">
        <v>1612</v>
      </c>
      <c r="B356" s="485"/>
      <c r="C356" s="502" t="s">
        <v>1613</v>
      </c>
      <c r="D356" s="503" t="s">
        <v>1614</v>
      </c>
      <c r="E356" s="502"/>
      <c r="F356" s="484" t="s">
        <v>1579</v>
      </c>
      <c r="G356" s="504">
        <v>20</v>
      </c>
      <c r="H356" s="505">
        <v>101</v>
      </c>
      <c r="I356" s="504">
        <f t="shared" si="12"/>
        <v>2020</v>
      </c>
    </row>
    <row r="357" spans="1:9" x14ac:dyDescent="0.2">
      <c r="A357" s="484"/>
      <c r="B357" s="485"/>
      <c r="C357" s="497"/>
      <c r="D357" s="498"/>
      <c r="E357" s="497"/>
      <c r="F357" s="484"/>
      <c r="G357" s="504"/>
      <c r="H357" s="535"/>
      <c r="I357" s="504"/>
    </row>
    <row r="358" spans="1:9" s="507" customFormat="1" ht="51" x14ac:dyDescent="0.2">
      <c r="A358" s="484" t="s">
        <v>1615</v>
      </c>
      <c r="B358" s="485"/>
      <c r="C358" s="502" t="s">
        <v>1616</v>
      </c>
      <c r="D358" s="503" t="s">
        <v>1617</v>
      </c>
      <c r="E358" s="502"/>
      <c r="F358" s="484" t="s">
        <v>1507</v>
      </c>
      <c r="G358" s="504">
        <v>5</v>
      </c>
      <c r="H358" s="505">
        <v>118</v>
      </c>
      <c r="I358" s="504">
        <f t="shared" si="12"/>
        <v>590</v>
      </c>
    </row>
    <row r="359" spans="1:9" x14ac:dyDescent="0.2">
      <c r="A359" s="484"/>
      <c r="B359" s="485"/>
      <c r="C359" s="497"/>
      <c r="D359" s="498"/>
      <c r="E359" s="497"/>
      <c r="F359" s="484"/>
      <c r="G359" s="504"/>
      <c r="H359" s="535"/>
      <c r="I359" s="504"/>
    </row>
    <row r="360" spans="1:9" s="516" customFormat="1" x14ac:dyDescent="0.2">
      <c r="A360" s="510"/>
      <c r="B360" s="511"/>
      <c r="C360" s="512"/>
      <c r="D360" s="513"/>
      <c r="E360" s="512"/>
      <c r="F360" s="514"/>
      <c r="G360" s="545"/>
      <c r="H360" s="994"/>
      <c r="I360" s="994"/>
    </row>
    <row r="361" spans="1:9" s="516" customFormat="1" x14ac:dyDescent="0.2">
      <c r="A361" s="517"/>
      <c r="B361" s="518"/>
      <c r="C361" s="519" t="s">
        <v>1285</v>
      </c>
      <c r="D361" s="520" t="s">
        <v>1286</v>
      </c>
      <c r="E361" s="519"/>
      <c r="F361" s="521"/>
      <c r="G361" s="546"/>
      <c r="H361" s="505"/>
      <c r="I361" s="508">
        <f>SUM(I350:I358)</f>
        <v>16607</v>
      </c>
    </row>
    <row r="362" spans="1:9" s="516" customFormat="1" x14ac:dyDescent="0.2">
      <c r="A362" s="523"/>
      <c r="B362" s="524"/>
      <c r="C362" s="525"/>
      <c r="D362" s="526"/>
      <c r="E362" s="525"/>
      <c r="F362" s="527"/>
      <c r="G362" s="523"/>
      <c r="H362" s="995"/>
      <c r="I362" s="996"/>
    </row>
    <row r="363" spans="1:9" x14ac:dyDescent="0.2">
      <c r="A363" s="484"/>
      <c r="B363" s="485"/>
      <c r="C363" s="497"/>
      <c r="D363" s="498"/>
      <c r="E363" s="497"/>
      <c r="F363" s="484"/>
      <c r="G363" s="504"/>
      <c r="H363" s="535"/>
      <c r="I363" s="504"/>
    </row>
    <row r="364" spans="1:9" x14ac:dyDescent="0.2">
      <c r="A364" s="492">
        <v>9</v>
      </c>
      <c r="B364" s="485"/>
      <c r="C364" s="533" t="s">
        <v>1601</v>
      </c>
      <c r="D364" s="534" t="s">
        <v>1602</v>
      </c>
      <c r="E364" s="497"/>
      <c r="F364" s="484"/>
      <c r="G364" s="504"/>
      <c r="H364" s="535"/>
      <c r="I364" s="504"/>
    </row>
    <row r="365" spans="1:9" x14ac:dyDescent="0.2">
      <c r="A365" s="492"/>
      <c r="B365" s="485"/>
      <c r="C365" s="533"/>
      <c r="D365" s="534"/>
      <c r="E365" s="497"/>
      <c r="F365" s="484"/>
      <c r="G365" s="504"/>
      <c r="H365" s="535"/>
      <c r="I365" s="504"/>
    </row>
    <row r="366" spans="1:9" x14ac:dyDescent="0.2">
      <c r="A366" s="484">
        <v>9.1999999999999993</v>
      </c>
      <c r="B366" s="485"/>
      <c r="C366" s="500" t="s">
        <v>1618</v>
      </c>
      <c r="D366" s="501" t="s">
        <v>1619</v>
      </c>
      <c r="E366" s="497"/>
      <c r="F366" s="484"/>
      <c r="G366" s="504"/>
      <c r="H366" s="535"/>
      <c r="I366" s="504"/>
    </row>
    <row r="367" spans="1:9" x14ac:dyDescent="0.2">
      <c r="A367" s="484"/>
      <c r="B367" s="485"/>
      <c r="C367" s="497"/>
      <c r="D367" s="498"/>
      <c r="E367" s="497"/>
      <c r="F367" s="484"/>
      <c r="G367" s="504"/>
      <c r="H367" s="535"/>
      <c r="I367" s="504"/>
    </row>
    <row r="368" spans="1:9" s="507" customFormat="1" ht="51" x14ac:dyDescent="0.2">
      <c r="A368" s="484" t="s">
        <v>1620</v>
      </c>
      <c r="B368" s="485"/>
      <c r="C368" s="502" t="s">
        <v>1621</v>
      </c>
      <c r="D368" s="503" t="s">
        <v>1622</v>
      </c>
      <c r="E368" s="502"/>
      <c r="F368" s="484" t="s">
        <v>1579</v>
      </c>
      <c r="G368" s="504">
        <v>1162</v>
      </c>
      <c r="H368" s="505">
        <v>53</v>
      </c>
      <c r="I368" s="504">
        <f>H368*G368</f>
        <v>61586</v>
      </c>
    </row>
    <row r="369" spans="1:9" x14ac:dyDescent="0.2">
      <c r="A369" s="484"/>
      <c r="B369" s="485"/>
      <c r="C369" s="497"/>
      <c r="D369" s="498"/>
      <c r="E369" s="497"/>
      <c r="F369" s="484"/>
      <c r="G369" s="504"/>
      <c r="H369" s="535"/>
      <c r="I369" s="504"/>
    </row>
    <row r="370" spans="1:9" s="507" customFormat="1" ht="63.75" x14ac:dyDescent="0.2">
      <c r="A370" s="484" t="s">
        <v>1623</v>
      </c>
      <c r="B370" s="485"/>
      <c r="C370" s="502" t="s">
        <v>1624</v>
      </c>
      <c r="D370" s="503" t="s">
        <v>1625</v>
      </c>
      <c r="E370" s="502"/>
      <c r="F370" s="484" t="s">
        <v>1579</v>
      </c>
      <c r="G370" s="504">
        <f>1379+218+114</f>
        <v>1711</v>
      </c>
      <c r="H370" s="505">
        <v>449</v>
      </c>
      <c r="I370" s="504">
        <f t="shared" ref="I370:I379" si="13">H370*G370</f>
        <v>768239</v>
      </c>
    </row>
    <row r="371" spans="1:9" x14ac:dyDescent="0.2">
      <c r="A371" s="484"/>
      <c r="B371" s="485"/>
      <c r="C371" s="497"/>
      <c r="D371" s="498"/>
      <c r="E371" s="497"/>
      <c r="F371" s="484"/>
      <c r="G371" s="504"/>
      <c r="H371" s="535"/>
      <c r="I371" s="504"/>
    </row>
    <row r="372" spans="1:9" s="507" customFormat="1" ht="51" x14ac:dyDescent="0.2">
      <c r="A372" s="484" t="s">
        <v>1626</v>
      </c>
      <c r="B372" s="485"/>
      <c r="C372" s="502" t="s">
        <v>1627</v>
      </c>
      <c r="D372" s="503" t="s">
        <v>1628</v>
      </c>
      <c r="E372" s="502"/>
      <c r="F372" s="484" t="s">
        <v>1579</v>
      </c>
      <c r="G372" s="504">
        <f>109+270</f>
        <v>379</v>
      </c>
      <c r="H372" s="505">
        <v>103</v>
      </c>
      <c r="I372" s="504">
        <f t="shared" si="13"/>
        <v>39037</v>
      </c>
    </row>
    <row r="373" spans="1:9" s="507" customFormat="1" x14ac:dyDescent="0.2">
      <c r="A373" s="484"/>
      <c r="B373" s="485"/>
      <c r="C373" s="502"/>
      <c r="D373" s="503"/>
      <c r="E373" s="502"/>
      <c r="F373" s="484"/>
      <c r="G373" s="504"/>
      <c r="H373" s="535"/>
      <c r="I373" s="504"/>
    </row>
    <row r="374" spans="1:9" s="516" customFormat="1" x14ac:dyDescent="0.2">
      <c r="A374" s="550"/>
      <c r="B374" s="518"/>
      <c r="C374" s="530"/>
      <c r="D374" s="531"/>
      <c r="E374" s="530"/>
      <c r="F374" s="521"/>
      <c r="G374" s="550"/>
      <c r="H374" s="505"/>
      <c r="I374" s="504"/>
    </row>
    <row r="375" spans="1:9" s="507" customFormat="1" ht="76.5" x14ac:dyDescent="0.2">
      <c r="A375" s="484" t="s">
        <v>1629</v>
      </c>
      <c r="B375" s="485"/>
      <c r="C375" s="502" t="s">
        <v>1630</v>
      </c>
      <c r="D375" s="503" t="s">
        <v>1631</v>
      </c>
      <c r="E375" s="502"/>
      <c r="F375" s="484" t="s">
        <v>107</v>
      </c>
      <c r="G375" s="504">
        <v>1162</v>
      </c>
      <c r="H375" s="505">
        <v>32</v>
      </c>
      <c r="I375" s="504">
        <f t="shared" si="13"/>
        <v>37184</v>
      </c>
    </row>
    <row r="376" spans="1:9" x14ac:dyDescent="0.2">
      <c r="A376" s="484"/>
      <c r="B376" s="485"/>
      <c r="C376" s="497"/>
      <c r="D376" s="498"/>
      <c r="E376" s="497"/>
      <c r="F376" s="484"/>
      <c r="G376" s="504"/>
      <c r="H376" s="535"/>
      <c r="I376" s="504"/>
    </row>
    <row r="377" spans="1:9" s="507" customFormat="1" ht="51" x14ac:dyDescent="0.2">
      <c r="A377" s="484" t="s">
        <v>1632</v>
      </c>
      <c r="B377" s="485"/>
      <c r="C377" s="502" t="s">
        <v>1633</v>
      </c>
      <c r="D377" s="503" t="s">
        <v>1634</v>
      </c>
      <c r="E377" s="502"/>
      <c r="F377" s="484" t="s">
        <v>1579</v>
      </c>
      <c r="G377" s="504">
        <v>10</v>
      </c>
      <c r="H377" s="505">
        <v>296</v>
      </c>
      <c r="I377" s="504">
        <f t="shared" si="13"/>
        <v>2960</v>
      </c>
    </row>
    <row r="378" spans="1:9" x14ac:dyDescent="0.2">
      <c r="A378" s="484"/>
      <c r="B378" s="485"/>
      <c r="C378" s="497"/>
      <c r="D378" s="498"/>
      <c r="E378" s="497"/>
      <c r="F378" s="484"/>
      <c r="G378" s="504"/>
      <c r="H378" s="535"/>
      <c r="I378" s="504"/>
    </row>
    <row r="379" spans="1:9" s="507" customFormat="1" ht="76.5" x14ac:dyDescent="0.2">
      <c r="A379" s="484" t="s">
        <v>1635</v>
      </c>
      <c r="B379" s="485"/>
      <c r="C379" s="502" t="s">
        <v>1636</v>
      </c>
      <c r="D379" s="503" t="s">
        <v>1637</v>
      </c>
      <c r="E379" s="502"/>
      <c r="F379" s="484" t="s">
        <v>1579</v>
      </c>
      <c r="G379" s="504">
        <v>7</v>
      </c>
      <c r="H379" s="505">
        <v>237</v>
      </c>
      <c r="I379" s="504">
        <f t="shared" si="13"/>
        <v>1659</v>
      </c>
    </row>
    <row r="380" spans="1:9" x14ac:dyDescent="0.2">
      <c r="A380" s="591"/>
      <c r="B380" s="485"/>
      <c r="C380" s="533"/>
      <c r="D380" s="534"/>
      <c r="E380" s="497"/>
      <c r="F380" s="483"/>
      <c r="G380" s="504"/>
      <c r="H380" s="535"/>
      <c r="I380" s="504"/>
    </row>
    <row r="381" spans="1:9" s="516" customFormat="1" x14ac:dyDescent="0.2">
      <c r="A381" s="510"/>
      <c r="B381" s="511"/>
      <c r="C381" s="512"/>
      <c r="D381" s="513"/>
      <c r="E381" s="512"/>
      <c r="F381" s="514"/>
      <c r="G381" s="545"/>
      <c r="H381" s="994"/>
      <c r="I381" s="994"/>
    </row>
    <row r="382" spans="1:9" s="516" customFormat="1" x14ac:dyDescent="0.2">
      <c r="A382" s="517"/>
      <c r="B382" s="518"/>
      <c r="C382" s="519" t="s">
        <v>1285</v>
      </c>
      <c r="D382" s="520" t="s">
        <v>1286</v>
      </c>
      <c r="E382" s="519"/>
      <c r="F382" s="521"/>
      <c r="G382" s="546"/>
      <c r="H382" s="505"/>
      <c r="I382" s="508">
        <f>SUM(I368:I379)</f>
        <v>910665</v>
      </c>
    </row>
    <row r="383" spans="1:9" s="516" customFormat="1" x14ac:dyDescent="0.2">
      <c r="A383" s="523"/>
      <c r="B383" s="524"/>
      <c r="C383" s="525"/>
      <c r="D383" s="526"/>
      <c r="E383" s="525"/>
      <c r="F383" s="527"/>
      <c r="G383" s="523"/>
      <c r="H383" s="995"/>
      <c r="I383" s="996"/>
    </row>
    <row r="384" spans="1:9" s="516" customFormat="1" x14ac:dyDescent="0.2">
      <c r="A384" s="550"/>
      <c r="B384" s="518"/>
      <c r="C384" s="530"/>
      <c r="D384" s="531"/>
      <c r="E384" s="530"/>
      <c r="F384" s="521"/>
      <c r="G384" s="550"/>
      <c r="H384" s="505"/>
      <c r="I384" s="997"/>
    </row>
    <row r="385" spans="1:9" s="516" customFormat="1" x14ac:dyDescent="0.2">
      <c r="A385" s="492">
        <v>9</v>
      </c>
      <c r="B385" s="518"/>
      <c r="C385" s="533" t="s">
        <v>1601</v>
      </c>
      <c r="D385" s="534" t="s">
        <v>1602</v>
      </c>
      <c r="E385" s="497"/>
      <c r="F385" s="521"/>
      <c r="G385" s="550"/>
      <c r="H385" s="505"/>
      <c r="I385" s="997"/>
    </row>
    <row r="386" spans="1:9" s="516" customFormat="1" x14ac:dyDescent="0.2">
      <c r="A386" s="492"/>
      <c r="B386" s="518"/>
      <c r="C386" s="533"/>
      <c r="D386" s="534"/>
      <c r="E386" s="497"/>
      <c r="F386" s="521"/>
      <c r="G386" s="550"/>
      <c r="H386" s="505"/>
      <c r="I386" s="997"/>
    </row>
    <row r="387" spans="1:9" x14ac:dyDescent="0.2">
      <c r="A387" s="484">
        <v>9.3000000000000007</v>
      </c>
      <c r="B387" s="485"/>
      <c r="C387" s="500" t="s">
        <v>1638</v>
      </c>
      <c r="D387" s="501" t="s">
        <v>1639</v>
      </c>
      <c r="E387" s="497"/>
      <c r="F387" s="484"/>
      <c r="G387" s="504"/>
      <c r="H387" s="535"/>
      <c r="I387" s="504"/>
    </row>
    <row r="388" spans="1:9" x14ac:dyDescent="0.2">
      <c r="A388" s="484"/>
      <c r="B388" s="485"/>
      <c r="C388" s="497"/>
      <c r="D388" s="498"/>
      <c r="E388" s="497"/>
      <c r="F388" s="484"/>
      <c r="G388" s="504"/>
      <c r="H388" s="535"/>
      <c r="I388" s="504"/>
    </row>
    <row r="389" spans="1:9" s="507" customFormat="1" ht="76.5" x14ac:dyDescent="0.2">
      <c r="A389" s="484" t="s">
        <v>1640</v>
      </c>
      <c r="B389" s="485"/>
      <c r="C389" s="502" t="s">
        <v>1641</v>
      </c>
      <c r="D389" s="503" t="s">
        <v>1642</v>
      </c>
      <c r="E389" s="502"/>
      <c r="F389" s="484" t="s">
        <v>1579</v>
      </c>
      <c r="G389" s="504">
        <v>24</v>
      </c>
      <c r="H389" s="505">
        <v>53</v>
      </c>
      <c r="I389" s="504">
        <f>H389*G389</f>
        <v>1272</v>
      </c>
    </row>
    <row r="390" spans="1:9" x14ac:dyDescent="0.2">
      <c r="A390" s="484"/>
      <c r="B390" s="485"/>
      <c r="C390" s="497"/>
      <c r="D390" s="498"/>
      <c r="E390" s="497"/>
      <c r="F390" s="484"/>
      <c r="G390" s="504"/>
      <c r="H390" s="535"/>
      <c r="I390" s="504"/>
    </row>
    <row r="391" spans="1:9" s="507" customFormat="1" ht="76.5" x14ac:dyDescent="0.2">
      <c r="A391" s="484" t="s">
        <v>1643</v>
      </c>
      <c r="B391" s="485"/>
      <c r="C391" s="502" t="s">
        <v>1644</v>
      </c>
      <c r="D391" s="503" t="s">
        <v>1645</v>
      </c>
      <c r="E391" s="502"/>
      <c r="F391" s="484" t="s">
        <v>1579</v>
      </c>
      <c r="G391" s="504">
        <f>13+34</f>
        <v>47</v>
      </c>
      <c r="H391" s="505">
        <v>118</v>
      </c>
      <c r="I391" s="504">
        <f>H391*G391</f>
        <v>5546</v>
      </c>
    </row>
    <row r="392" spans="1:9" s="507" customFormat="1" x14ac:dyDescent="0.2">
      <c r="A392" s="484"/>
      <c r="B392" s="485"/>
      <c r="C392" s="502"/>
      <c r="D392" s="503"/>
      <c r="E392" s="502"/>
      <c r="F392" s="484"/>
      <c r="G392" s="504"/>
      <c r="H392" s="535"/>
      <c r="I392" s="504"/>
    </row>
    <row r="393" spans="1:9" x14ac:dyDescent="0.2">
      <c r="A393" s="484"/>
      <c r="B393" s="485"/>
      <c r="C393" s="497"/>
      <c r="D393" s="498"/>
      <c r="E393" s="497"/>
      <c r="F393" s="484"/>
      <c r="G393" s="504"/>
      <c r="H393" s="535"/>
      <c r="I393" s="504"/>
    </row>
    <row r="394" spans="1:9" s="507" customFormat="1" ht="63.75" x14ac:dyDescent="0.2">
      <c r="A394" s="484" t="s">
        <v>1646</v>
      </c>
      <c r="B394" s="485"/>
      <c r="C394" s="502" t="s">
        <v>1647</v>
      </c>
      <c r="D394" s="503" t="s">
        <v>1648</v>
      </c>
      <c r="E394" s="502"/>
      <c r="F394" s="484" t="s">
        <v>1579</v>
      </c>
      <c r="G394" s="504">
        <v>518</v>
      </c>
      <c r="H394" s="505">
        <v>118</v>
      </c>
      <c r="I394" s="504">
        <f>H394*G394</f>
        <v>61124</v>
      </c>
    </row>
    <row r="395" spans="1:9" x14ac:dyDescent="0.2">
      <c r="A395" s="484"/>
      <c r="B395" s="485"/>
      <c r="C395" s="497"/>
      <c r="D395" s="498"/>
      <c r="E395" s="497"/>
      <c r="F395" s="484"/>
      <c r="G395" s="504"/>
      <c r="H395" s="535"/>
      <c r="I395" s="504"/>
    </row>
    <row r="396" spans="1:9" x14ac:dyDescent="0.2">
      <c r="A396" s="484"/>
      <c r="B396" s="485"/>
      <c r="C396" s="497"/>
      <c r="D396" s="498"/>
      <c r="E396" s="497"/>
      <c r="F396" s="484"/>
      <c r="G396" s="504"/>
      <c r="H396" s="535"/>
      <c r="I396" s="504"/>
    </row>
    <row r="397" spans="1:9" s="507" customFormat="1" ht="76.5" x14ac:dyDescent="0.2">
      <c r="A397" s="484" t="s">
        <v>1649</v>
      </c>
      <c r="B397" s="485"/>
      <c r="C397" s="502" t="s">
        <v>1650</v>
      </c>
      <c r="D397" s="503" t="s">
        <v>1651</v>
      </c>
      <c r="E397" s="502"/>
      <c r="F397" s="484" t="s">
        <v>1579</v>
      </c>
      <c r="G397" s="504">
        <v>14</v>
      </c>
      <c r="H397" s="505">
        <v>118</v>
      </c>
      <c r="I397" s="504">
        <f>H397*G397</f>
        <v>1652</v>
      </c>
    </row>
    <row r="398" spans="1:9" x14ac:dyDescent="0.2">
      <c r="A398" s="484"/>
      <c r="B398" s="485"/>
      <c r="C398" s="497"/>
      <c r="D398" s="498"/>
      <c r="E398" s="497"/>
      <c r="F398" s="484"/>
      <c r="G398" s="504"/>
      <c r="H398" s="535"/>
      <c r="I398" s="504"/>
    </row>
    <row r="399" spans="1:9" s="516" customFormat="1" x14ac:dyDescent="0.2">
      <c r="A399" s="510"/>
      <c r="B399" s="511"/>
      <c r="C399" s="512"/>
      <c r="D399" s="513"/>
      <c r="E399" s="512"/>
      <c r="F399" s="514"/>
      <c r="G399" s="545"/>
      <c r="H399" s="994"/>
      <c r="I399" s="994"/>
    </row>
    <row r="400" spans="1:9" s="516" customFormat="1" x14ac:dyDescent="0.2">
      <c r="A400" s="517"/>
      <c r="B400" s="518"/>
      <c r="C400" s="519" t="s">
        <v>1285</v>
      </c>
      <c r="D400" s="520" t="s">
        <v>1286</v>
      </c>
      <c r="E400" s="519"/>
      <c r="F400" s="521"/>
      <c r="G400" s="546"/>
      <c r="H400" s="505"/>
      <c r="I400" s="508">
        <f>SUM(I389:I397)</f>
        <v>69594</v>
      </c>
    </row>
    <row r="401" spans="1:9" s="516" customFormat="1" x14ac:dyDescent="0.2">
      <c r="A401" s="523"/>
      <c r="B401" s="524"/>
      <c r="C401" s="525"/>
      <c r="D401" s="526"/>
      <c r="E401" s="525"/>
      <c r="F401" s="527"/>
      <c r="G401" s="523"/>
      <c r="H401" s="995"/>
      <c r="I401" s="996"/>
    </row>
    <row r="402" spans="1:9" x14ac:dyDescent="0.2">
      <c r="A402" s="484"/>
      <c r="B402" s="485"/>
      <c r="C402" s="497"/>
      <c r="D402" s="498"/>
      <c r="E402" s="497"/>
      <c r="F402" s="484"/>
      <c r="G402" s="504"/>
      <c r="H402" s="535"/>
      <c r="I402" s="504"/>
    </row>
    <row r="403" spans="1:9" x14ac:dyDescent="0.2">
      <c r="A403" s="492">
        <v>10</v>
      </c>
      <c r="B403" s="485"/>
      <c r="C403" s="533" t="s">
        <v>1652</v>
      </c>
      <c r="D403" s="534" t="s">
        <v>1653</v>
      </c>
      <c r="E403" s="497"/>
      <c r="F403" s="484"/>
      <c r="G403" s="504"/>
      <c r="H403" s="535"/>
      <c r="I403" s="504"/>
    </row>
    <row r="404" spans="1:9" x14ac:dyDescent="0.2">
      <c r="A404" s="484"/>
      <c r="B404" s="485"/>
      <c r="C404" s="497"/>
      <c r="D404" s="498"/>
      <c r="E404" s="497"/>
      <c r="F404" s="484"/>
      <c r="G404" s="504"/>
      <c r="H404" s="535"/>
      <c r="I404" s="504"/>
    </row>
    <row r="405" spans="1:9" s="507" customFormat="1" ht="38.25" x14ac:dyDescent="0.2">
      <c r="A405" s="484">
        <v>10.1</v>
      </c>
      <c r="B405" s="485"/>
      <c r="C405" s="502" t="s">
        <v>1654</v>
      </c>
      <c r="D405" s="503" t="s">
        <v>1655</v>
      </c>
      <c r="E405" s="502"/>
      <c r="F405" s="484" t="s">
        <v>1329</v>
      </c>
      <c r="G405" s="504">
        <v>8</v>
      </c>
      <c r="H405" s="505">
        <v>142</v>
      </c>
      <c r="I405" s="504">
        <f>H405*G405</f>
        <v>1136</v>
      </c>
    </row>
    <row r="406" spans="1:9" x14ac:dyDescent="0.2">
      <c r="A406" s="484"/>
      <c r="B406" s="485"/>
      <c r="C406" s="497"/>
      <c r="D406" s="498"/>
      <c r="E406" s="497"/>
      <c r="F406" s="484"/>
      <c r="G406" s="504"/>
      <c r="H406" s="535"/>
      <c r="I406" s="504"/>
    </row>
    <row r="407" spans="1:9" s="507" customFormat="1" ht="51" x14ac:dyDescent="0.2">
      <c r="A407" s="484">
        <v>10.199999999999999</v>
      </c>
      <c r="B407" s="485"/>
      <c r="C407" s="502" t="s">
        <v>1656</v>
      </c>
      <c r="D407" s="503" t="s">
        <v>1657</v>
      </c>
      <c r="E407" s="502"/>
      <c r="F407" s="484" t="s">
        <v>1329</v>
      </c>
      <c r="G407" s="504">
        <v>1</v>
      </c>
      <c r="H407" s="505">
        <v>355</v>
      </c>
      <c r="I407" s="504">
        <f t="shared" ref="I407:I415" si="14">H407*G407</f>
        <v>355</v>
      </c>
    </row>
    <row r="408" spans="1:9" x14ac:dyDescent="0.2">
      <c r="A408" s="484"/>
      <c r="B408" s="485"/>
      <c r="C408" s="497"/>
      <c r="D408" s="498"/>
      <c r="E408" s="497"/>
      <c r="F408" s="484"/>
      <c r="G408" s="504"/>
      <c r="H408" s="535"/>
      <c r="I408" s="504"/>
    </row>
    <row r="409" spans="1:9" s="507" customFormat="1" ht="51" x14ac:dyDescent="0.2">
      <c r="A409" s="484">
        <v>10.3</v>
      </c>
      <c r="B409" s="485"/>
      <c r="C409" s="502" t="s">
        <v>1658</v>
      </c>
      <c r="D409" s="503" t="s">
        <v>1659</v>
      </c>
      <c r="E409" s="502"/>
      <c r="F409" s="484" t="s">
        <v>1329</v>
      </c>
      <c r="G409" s="504">
        <v>2</v>
      </c>
      <c r="H409" s="505">
        <v>160</v>
      </c>
      <c r="I409" s="504">
        <f t="shared" si="14"/>
        <v>320</v>
      </c>
    </row>
    <row r="410" spans="1:9" x14ac:dyDescent="0.2">
      <c r="A410" s="484"/>
      <c r="B410" s="485"/>
      <c r="C410" s="497"/>
      <c r="D410" s="498"/>
      <c r="E410" s="497"/>
      <c r="F410" s="484"/>
      <c r="G410" s="504"/>
      <c r="H410" s="535"/>
      <c r="I410" s="504"/>
    </row>
    <row r="411" spans="1:9" s="507" customFormat="1" ht="51" x14ac:dyDescent="0.2">
      <c r="A411" s="484">
        <v>10.4</v>
      </c>
      <c r="B411" s="485"/>
      <c r="C411" s="502" t="s">
        <v>1660</v>
      </c>
      <c r="D411" s="503" t="s">
        <v>1661</v>
      </c>
      <c r="E411" s="502"/>
      <c r="F411" s="484" t="s">
        <v>1329</v>
      </c>
      <c r="G411" s="504">
        <v>1</v>
      </c>
      <c r="H411" s="505">
        <v>639</v>
      </c>
      <c r="I411" s="504">
        <f t="shared" si="14"/>
        <v>639</v>
      </c>
    </row>
    <row r="412" spans="1:9" s="507" customFormat="1" x14ac:dyDescent="0.2">
      <c r="A412" s="484"/>
      <c r="B412" s="485"/>
      <c r="C412" s="502"/>
      <c r="D412" s="503"/>
      <c r="E412" s="502"/>
      <c r="F412" s="484"/>
      <c r="G412" s="504"/>
      <c r="H412" s="535"/>
      <c r="I412" s="504"/>
    </row>
    <row r="413" spans="1:9" s="507" customFormat="1" ht="51" x14ac:dyDescent="0.2">
      <c r="A413" s="484">
        <v>10.5</v>
      </c>
      <c r="B413" s="485"/>
      <c r="C413" s="502" t="s">
        <v>1658</v>
      </c>
      <c r="D413" s="503" t="s">
        <v>1659</v>
      </c>
      <c r="E413" s="502"/>
      <c r="F413" s="484" t="s">
        <v>1329</v>
      </c>
      <c r="G413" s="504">
        <v>1</v>
      </c>
      <c r="H413" s="505">
        <v>160</v>
      </c>
      <c r="I413" s="504">
        <f t="shared" si="14"/>
        <v>160</v>
      </c>
    </row>
    <row r="414" spans="1:9" s="507" customFormat="1" x14ac:dyDescent="0.2">
      <c r="A414" s="484"/>
      <c r="B414" s="485"/>
      <c r="C414" s="502"/>
      <c r="D414" s="503"/>
      <c r="E414" s="502"/>
      <c r="F414" s="484"/>
      <c r="G414" s="504"/>
      <c r="H414" s="535"/>
      <c r="I414" s="504"/>
    </row>
    <row r="415" spans="1:9" s="507" customFormat="1" ht="51" x14ac:dyDescent="0.2">
      <c r="A415" s="484">
        <v>10.6</v>
      </c>
      <c r="B415" s="485"/>
      <c r="C415" s="502" t="s">
        <v>1662</v>
      </c>
      <c r="D415" s="503" t="s">
        <v>1663</v>
      </c>
      <c r="E415" s="502"/>
      <c r="F415" s="484" t="s">
        <v>1329</v>
      </c>
      <c r="G415" s="504">
        <v>2</v>
      </c>
      <c r="H415" s="505">
        <v>1022</v>
      </c>
      <c r="I415" s="504">
        <f t="shared" si="14"/>
        <v>2044</v>
      </c>
    </row>
    <row r="416" spans="1:9" x14ac:dyDescent="0.2">
      <c r="A416" s="484"/>
      <c r="B416" s="485"/>
      <c r="C416" s="497"/>
      <c r="D416" s="498"/>
      <c r="E416" s="497"/>
      <c r="F416" s="484"/>
      <c r="G416" s="504"/>
      <c r="H416" s="535"/>
      <c r="I416" s="504"/>
    </row>
    <row r="417" spans="1:9" s="516" customFormat="1" x14ac:dyDescent="0.2">
      <c r="A417" s="510"/>
      <c r="B417" s="511"/>
      <c r="C417" s="512"/>
      <c r="D417" s="513"/>
      <c r="E417" s="512"/>
      <c r="F417" s="514"/>
      <c r="G417" s="545"/>
      <c r="H417" s="994"/>
      <c r="I417" s="994"/>
    </row>
    <row r="418" spans="1:9" s="516" customFormat="1" x14ac:dyDescent="0.2">
      <c r="A418" s="517"/>
      <c r="B418" s="518"/>
      <c r="C418" s="519" t="s">
        <v>1285</v>
      </c>
      <c r="D418" s="520" t="s">
        <v>1286</v>
      </c>
      <c r="E418" s="519"/>
      <c r="F418" s="521"/>
      <c r="G418" s="546"/>
      <c r="H418" s="505"/>
      <c r="I418" s="508">
        <f>SUM(I405:I415)</f>
        <v>4654</v>
      </c>
    </row>
    <row r="419" spans="1:9" s="516" customFormat="1" x14ac:dyDescent="0.2">
      <c r="A419" s="523"/>
      <c r="B419" s="524"/>
      <c r="C419" s="525"/>
      <c r="D419" s="526"/>
      <c r="E419" s="525"/>
      <c r="F419" s="527"/>
      <c r="G419" s="523"/>
      <c r="H419" s="995"/>
      <c r="I419" s="996"/>
    </row>
    <row r="420" spans="1:9" s="516" customFormat="1" x14ac:dyDescent="0.2">
      <c r="A420" s="529"/>
      <c r="B420" s="511"/>
      <c r="C420" s="581"/>
      <c r="D420" s="580"/>
      <c r="E420" s="581"/>
      <c r="F420" s="514"/>
      <c r="G420" s="529"/>
      <c r="H420" s="994"/>
      <c r="I420" s="997"/>
    </row>
    <row r="421" spans="1:9" x14ac:dyDescent="0.2">
      <c r="A421" s="492">
        <v>10</v>
      </c>
      <c r="B421" s="485"/>
      <c r="C421" s="533" t="s">
        <v>1664</v>
      </c>
      <c r="D421" s="534" t="s">
        <v>1665</v>
      </c>
      <c r="E421" s="497"/>
      <c r="F421" s="484"/>
      <c r="G421" s="504"/>
      <c r="H421" s="535"/>
      <c r="I421" s="504"/>
    </row>
    <row r="422" spans="1:9" x14ac:dyDescent="0.2">
      <c r="A422" s="484"/>
      <c r="B422" s="485"/>
      <c r="C422" s="497"/>
      <c r="D422" s="498"/>
      <c r="E422" s="497"/>
      <c r="F422" s="484"/>
      <c r="G422" s="504"/>
      <c r="H422" s="535"/>
      <c r="I422" s="504"/>
    </row>
    <row r="423" spans="1:9" s="507" customFormat="1" ht="51" x14ac:dyDescent="0.2">
      <c r="A423" s="484">
        <v>10.7</v>
      </c>
      <c r="B423" s="485"/>
      <c r="C423" s="502" t="s">
        <v>1666</v>
      </c>
      <c r="D423" s="503" t="s">
        <v>1667</v>
      </c>
      <c r="E423" s="502"/>
      <c r="F423" s="484" t="s">
        <v>1329</v>
      </c>
      <c r="G423" s="504">
        <v>18</v>
      </c>
      <c r="H423" s="505">
        <v>142</v>
      </c>
      <c r="I423" s="504">
        <f>H423*G423</f>
        <v>2556</v>
      </c>
    </row>
    <row r="424" spans="1:9" x14ac:dyDescent="0.2">
      <c r="A424" s="484"/>
      <c r="B424" s="485"/>
      <c r="C424" s="497"/>
      <c r="D424" s="498"/>
      <c r="E424" s="497"/>
      <c r="F424" s="484"/>
      <c r="G424" s="504"/>
      <c r="H424" s="535"/>
      <c r="I424" s="504"/>
    </row>
    <row r="425" spans="1:9" s="507" customFormat="1" ht="51" x14ac:dyDescent="0.2">
      <c r="A425" s="484">
        <v>10.8</v>
      </c>
      <c r="B425" s="485"/>
      <c r="C425" s="502" t="s">
        <v>1668</v>
      </c>
      <c r="D425" s="503" t="s">
        <v>1669</v>
      </c>
      <c r="E425" s="502"/>
      <c r="F425" s="484" t="s">
        <v>1329</v>
      </c>
      <c r="G425" s="504">
        <v>16</v>
      </c>
      <c r="H425" s="505">
        <v>142</v>
      </c>
      <c r="I425" s="504">
        <f>H425*G425</f>
        <v>2272</v>
      </c>
    </row>
    <row r="426" spans="1:9" x14ac:dyDescent="0.2">
      <c r="A426" s="484"/>
      <c r="B426" s="485"/>
      <c r="C426" s="497"/>
      <c r="D426" s="498"/>
      <c r="E426" s="497"/>
      <c r="F426" s="484"/>
      <c r="G426" s="504"/>
      <c r="H426" s="535"/>
      <c r="I426" s="504"/>
    </row>
    <row r="427" spans="1:9" s="507" customFormat="1" ht="63.75" x14ac:dyDescent="0.2">
      <c r="A427" s="484">
        <v>10.9</v>
      </c>
      <c r="B427" s="485"/>
      <c r="C427" s="502" t="s">
        <v>1670</v>
      </c>
      <c r="D427" s="503" t="s">
        <v>1671</v>
      </c>
      <c r="E427" s="502"/>
      <c r="F427" s="484" t="s">
        <v>1329</v>
      </c>
      <c r="G427" s="504">
        <v>1</v>
      </c>
      <c r="H427" s="505">
        <v>2957</v>
      </c>
      <c r="I427" s="504">
        <f>H427*G427</f>
        <v>2957</v>
      </c>
    </row>
    <row r="428" spans="1:9" x14ac:dyDescent="0.2">
      <c r="A428" s="483"/>
      <c r="B428" s="485"/>
      <c r="C428" s="497"/>
      <c r="D428" s="498"/>
      <c r="E428" s="497"/>
      <c r="F428" s="483"/>
      <c r="G428" s="504"/>
      <c r="H428" s="535"/>
      <c r="I428" s="504"/>
    </row>
    <row r="429" spans="1:9" s="516" customFormat="1" x14ac:dyDescent="0.2">
      <c r="A429" s="510"/>
      <c r="B429" s="511"/>
      <c r="C429" s="512"/>
      <c r="D429" s="513"/>
      <c r="E429" s="512"/>
      <c r="F429" s="514"/>
      <c r="G429" s="545"/>
      <c r="H429" s="994"/>
      <c r="I429" s="994"/>
    </row>
    <row r="430" spans="1:9" s="516" customFormat="1" x14ac:dyDescent="0.2">
      <c r="A430" s="517"/>
      <c r="B430" s="518"/>
      <c r="C430" s="519" t="s">
        <v>1285</v>
      </c>
      <c r="D430" s="520" t="s">
        <v>1286</v>
      </c>
      <c r="E430" s="519"/>
      <c r="F430" s="521"/>
      <c r="G430" s="546"/>
      <c r="H430" s="505"/>
      <c r="I430" s="508">
        <f>SUM(I423:I427)</f>
        <v>7785</v>
      </c>
    </row>
    <row r="431" spans="1:9" s="516" customFormat="1" x14ac:dyDescent="0.2">
      <c r="A431" s="523"/>
      <c r="B431" s="524"/>
      <c r="C431" s="525"/>
      <c r="D431" s="526"/>
      <c r="E431" s="525"/>
      <c r="F431" s="527"/>
      <c r="G431" s="523"/>
      <c r="H431" s="995"/>
      <c r="I431" s="996"/>
    </row>
    <row r="432" spans="1:9" x14ac:dyDescent="0.2">
      <c r="A432" s="484"/>
      <c r="B432" s="485"/>
      <c r="C432" s="497"/>
      <c r="D432" s="498"/>
      <c r="E432" s="497"/>
      <c r="F432" s="484"/>
      <c r="G432" s="504"/>
      <c r="H432" s="535"/>
      <c r="I432" s="504"/>
    </row>
    <row r="433" spans="1:9" x14ac:dyDescent="0.2">
      <c r="A433" s="492">
        <v>10</v>
      </c>
      <c r="B433" s="485"/>
      <c r="C433" s="533" t="s">
        <v>1664</v>
      </c>
      <c r="D433" s="534" t="s">
        <v>1665</v>
      </c>
      <c r="E433" s="497"/>
      <c r="F433" s="484"/>
      <c r="G433" s="504"/>
      <c r="H433" s="535"/>
      <c r="I433" s="504"/>
    </row>
    <row r="434" spans="1:9" x14ac:dyDescent="0.2">
      <c r="A434" s="484"/>
      <c r="B434" s="485"/>
      <c r="C434" s="497"/>
      <c r="D434" s="498"/>
      <c r="E434" s="497"/>
      <c r="F434" s="484"/>
      <c r="G434" s="504"/>
      <c r="H434" s="535"/>
      <c r="I434" s="504"/>
    </row>
    <row r="435" spans="1:9" s="507" customFormat="1" ht="38.25" x14ac:dyDescent="0.2">
      <c r="A435" s="592" t="s">
        <v>1672</v>
      </c>
      <c r="B435" s="485"/>
      <c r="C435" s="502" t="s">
        <v>1673</v>
      </c>
      <c r="D435" s="503" t="s">
        <v>1674</v>
      </c>
      <c r="E435" s="502"/>
      <c r="F435" s="484" t="s">
        <v>1329</v>
      </c>
      <c r="G435" s="504">
        <v>4</v>
      </c>
      <c r="H435" s="505">
        <v>355</v>
      </c>
      <c r="I435" s="504">
        <f>H435*G435</f>
        <v>1420</v>
      </c>
    </row>
    <row r="436" spans="1:9" x14ac:dyDescent="0.2">
      <c r="A436" s="484"/>
      <c r="B436" s="485"/>
      <c r="C436" s="497"/>
      <c r="D436" s="498"/>
      <c r="E436" s="497"/>
      <c r="F436" s="484"/>
      <c r="G436" s="504"/>
      <c r="H436" s="535"/>
      <c r="I436" s="504"/>
    </row>
    <row r="437" spans="1:9" s="507" customFormat="1" ht="38.25" x14ac:dyDescent="0.2">
      <c r="A437" s="484">
        <v>10.11</v>
      </c>
      <c r="B437" s="485"/>
      <c r="C437" s="502" t="s">
        <v>1675</v>
      </c>
      <c r="D437" s="503" t="s">
        <v>1676</v>
      </c>
      <c r="E437" s="502"/>
      <c r="F437" s="484" t="s">
        <v>1329</v>
      </c>
      <c r="G437" s="504">
        <v>4</v>
      </c>
      <c r="H437" s="505">
        <v>946</v>
      </c>
      <c r="I437" s="504">
        <f>H437*G437</f>
        <v>3784</v>
      </c>
    </row>
    <row r="438" spans="1:9" s="507" customFormat="1" x14ac:dyDescent="0.2">
      <c r="A438" s="484"/>
      <c r="B438" s="485"/>
      <c r="C438" s="502"/>
      <c r="D438" s="503"/>
      <c r="E438" s="502"/>
      <c r="F438" s="484"/>
      <c r="G438" s="504"/>
      <c r="H438" s="535"/>
      <c r="I438" s="504"/>
    </row>
    <row r="439" spans="1:9" s="507" customFormat="1" ht="51" x14ac:dyDescent="0.2">
      <c r="A439" s="592" t="s">
        <v>1677</v>
      </c>
      <c r="B439" s="485"/>
      <c r="C439" s="502" t="s">
        <v>1678</v>
      </c>
      <c r="D439" s="503" t="s">
        <v>1679</v>
      </c>
      <c r="E439" s="502"/>
      <c r="F439" s="484" t="s">
        <v>1454</v>
      </c>
      <c r="G439" s="504">
        <v>1</v>
      </c>
      <c r="H439" s="505">
        <v>237</v>
      </c>
      <c r="I439" s="504">
        <f>H439*G439</f>
        <v>237</v>
      </c>
    </row>
    <row r="440" spans="1:9" x14ac:dyDescent="0.2">
      <c r="A440" s="484"/>
      <c r="B440" s="485"/>
      <c r="C440" s="497"/>
      <c r="D440" s="498"/>
      <c r="E440" s="497"/>
      <c r="F440" s="484"/>
      <c r="G440" s="504"/>
      <c r="H440" s="535"/>
      <c r="I440" s="504"/>
    </row>
    <row r="441" spans="1:9" ht="127.5" customHeight="1" x14ac:dyDescent="0.2">
      <c r="A441" s="484">
        <v>10.130000000000001</v>
      </c>
      <c r="B441" s="485"/>
      <c r="C441" s="502" t="s">
        <v>1680</v>
      </c>
      <c r="D441" s="503" t="s">
        <v>1681</v>
      </c>
      <c r="E441" s="497"/>
      <c r="F441" s="484" t="s">
        <v>1329</v>
      </c>
      <c r="G441" s="504">
        <v>3</v>
      </c>
      <c r="H441" s="505">
        <v>95810</v>
      </c>
      <c r="I441" s="504">
        <f>H441*G441</f>
        <v>287430</v>
      </c>
    </row>
    <row r="442" spans="1:9" x14ac:dyDescent="0.2">
      <c r="A442" s="484"/>
      <c r="B442" s="485"/>
      <c r="C442" s="497"/>
      <c r="D442" s="498"/>
      <c r="E442" s="497"/>
      <c r="F442" s="484"/>
      <c r="G442" s="504"/>
      <c r="H442" s="535"/>
      <c r="I442" s="504"/>
    </row>
    <row r="443" spans="1:9" ht="127.5" x14ac:dyDescent="0.2">
      <c r="A443" s="484">
        <v>10.14</v>
      </c>
      <c r="B443" s="485"/>
      <c r="C443" s="502" t="s">
        <v>1682</v>
      </c>
      <c r="D443" s="503" t="s">
        <v>1683</v>
      </c>
      <c r="E443" s="497"/>
      <c r="F443" s="484" t="s">
        <v>1329</v>
      </c>
      <c r="G443" s="504">
        <v>1</v>
      </c>
      <c r="H443" s="505">
        <v>95810</v>
      </c>
      <c r="I443" s="504">
        <f>H443*G443</f>
        <v>95810</v>
      </c>
    </row>
    <row r="444" spans="1:9" x14ac:dyDescent="0.2">
      <c r="A444" s="484"/>
      <c r="B444" s="485"/>
      <c r="C444" s="497"/>
      <c r="D444" s="498"/>
      <c r="E444" s="497"/>
      <c r="F444" s="484"/>
      <c r="G444" s="504"/>
      <c r="H444" s="535"/>
      <c r="I444" s="504"/>
    </row>
    <row r="445" spans="1:9" s="516" customFormat="1" x14ac:dyDescent="0.2">
      <c r="A445" s="510"/>
      <c r="B445" s="511"/>
      <c r="C445" s="512"/>
      <c r="D445" s="513"/>
      <c r="E445" s="512"/>
      <c r="F445" s="514"/>
      <c r="G445" s="545"/>
      <c r="H445" s="994"/>
      <c r="I445" s="994"/>
    </row>
    <row r="446" spans="1:9" s="516" customFormat="1" x14ac:dyDescent="0.2">
      <c r="A446" s="517"/>
      <c r="B446" s="518"/>
      <c r="C446" s="519" t="s">
        <v>1285</v>
      </c>
      <c r="D446" s="520" t="s">
        <v>1286</v>
      </c>
      <c r="E446" s="519"/>
      <c r="F446" s="521"/>
      <c r="G446" s="546"/>
      <c r="H446" s="505"/>
      <c r="I446" s="508">
        <f>SUM(I435:I443)</f>
        <v>388681</v>
      </c>
    </row>
    <row r="447" spans="1:9" s="516" customFormat="1" x14ac:dyDescent="0.2">
      <c r="A447" s="523"/>
      <c r="B447" s="524"/>
      <c r="C447" s="525"/>
      <c r="D447" s="526"/>
      <c r="E447" s="525"/>
      <c r="F447" s="527"/>
      <c r="G447" s="523"/>
      <c r="H447" s="995"/>
      <c r="I447" s="996"/>
    </row>
    <row r="448" spans="1:9" s="516" customFormat="1" x14ac:dyDescent="0.2">
      <c r="A448" s="529"/>
      <c r="B448" s="518"/>
      <c r="C448" s="530"/>
      <c r="D448" s="531"/>
      <c r="E448" s="530"/>
      <c r="F448" s="514"/>
      <c r="G448" s="532"/>
      <c r="H448" s="505"/>
      <c r="I448" s="997"/>
    </row>
    <row r="449" spans="1:9" x14ac:dyDescent="0.2">
      <c r="A449" s="492">
        <v>15</v>
      </c>
      <c r="B449" s="485"/>
      <c r="C449" s="593" t="s">
        <v>1684</v>
      </c>
      <c r="D449" s="594" t="s">
        <v>1685</v>
      </c>
      <c r="E449" s="595"/>
      <c r="F449" s="484"/>
      <c r="G449" s="504"/>
      <c r="H449" s="535"/>
      <c r="I449" s="612"/>
    </row>
    <row r="450" spans="1:9" x14ac:dyDescent="0.2">
      <c r="A450" s="492"/>
      <c r="B450" s="485"/>
      <c r="C450" s="596"/>
      <c r="D450" s="597"/>
      <c r="E450" s="596"/>
      <c r="F450" s="484"/>
      <c r="G450" s="598"/>
      <c r="H450" s="535"/>
      <c r="I450" s="612"/>
    </row>
    <row r="451" spans="1:9" x14ac:dyDescent="0.2">
      <c r="A451" s="484"/>
      <c r="B451" s="485"/>
      <c r="C451" s="497"/>
      <c r="D451" s="498"/>
      <c r="E451" s="497"/>
      <c r="F451" s="484"/>
      <c r="G451" s="509"/>
      <c r="H451" s="535"/>
      <c r="I451" s="504"/>
    </row>
    <row r="452" spans="1:9" x14ac:dyDescent="0.2">
      <c r="A452" s="492">
        <v>15.1</v>
      </c>
      <c r="B452" s="485"/>
      <c r="C452" s="533" t="s">
        <v>1686</v>
      </c>
      <c r="D452" s="534" t="s">
        <v>1687</v>
      </c>
      <c r="E452" s="533"/>
      <c r="F452" s="484"/>
      <c r="G452" s="509"/>
      <c r="H452" s="535"/>
      <c r="I452" s="504"/>
    </row>
    <row r="453" spans="1:9" x14ac:dyDescent="0.2">
      <c r="A453" s="484"/>
      <c r="B453" s="485"/>
      <c r="C453" s="497"/>
      <c r="D453" s="498"/>
      <c r="E453" s="497"/>
      <c r="F453" s="484"/>
      <c r="G453" s="509"/>
      <c r="H453" s="535"/>
      <c r="I453" s="504"/>
    </row>
    <row r="454" spans="1:9" s="600" customFormat="1" ht="38.25" x14ac:dyDescent="0.2">
      <c r="A454" s="484" t="s">
        <v>1688</v>
      </c>
      <c r="B454" s="599"/>
      <c r="C454" s="497" t="s">
        <v>1689</v>
      </c>
      <c r="D454" s="498" t="s">
        <v>1690</v>
      </c>
      <c r="E454" s="497"/>
      <c r="F454" s="484"/>
      <c r="G454" s="504"/>
      <c r="H454" s="535"/>
      <c r="I454" s="504"/>
    </row>
    <row r="455" spans="1:9" x14ac:dyDescent="0.2">
      <c r="A455" s="484"/>
      <c r="B455" s="485"/>
      <c r="C455" s="497"/>
      <c r="D455" s="498"/>
      <c r="E455" s="497"/>
      <c r="F455" s="484"/>
      <c r="G455" s="509"/>
      <c r="H455" s="535"/>
      <c r="I455" s="504"/>
    </row>
    <row r="456" spans="1:9" s="507" customFormat="1" x14ac:dyDescent="0.2">
      <c r="A456" s="484" t="s">
        <v>1691</v>
      </c>
      <c r="B456" s="485"/>
      <c r="C456" s="502" t="s">
        <v>1692</v>
      </c>
      <c r="D456" s="503" t="s">
        <v>1693</v>
      </c>
      <c r="E456" s="502"/>
      <c r="F456" s="484" t="s">
        <v>1299</v>
      </c>
      <c r="G456" s="504">
        <v>105</v>
      </c>
      <c r="H456" s="505">
        <v>82</v>
      </c>
      <c r="I456" s="504">
        <f>H456*G456</f>
        <v>8610</v>
      </c>
    </row>
    <row r="457" spans="1:9" s="507" customFormat="1" x14ac:dyDescent="0.2">
      <c r="A457" s="484"/>
      <c r="B457" s="485"/>
      <c r="C457" s="502"/>
      <c r="D457" s="503"/>
      <c r="E457" s="502"/>
      <c r="F457" s="484"/>
      <c r="G457" s="504"/>
      <c r="H457" s="535"/>
      <c r="I457" s="504"/>
    </row>
    <row r="458" spans="1:9" s="507" customFormat="1" x14ac:dyDescent="0.2">
      <c r="A458" s="484" t="s">
        <v>1694</v>
      </c>
      <c r="B458" s="485"/>
      <c r="C458" s="502" t="s">
        <v>1695</v>
      </c>
      <c r="D458" s="503" t="s">
        <v>1696</v>
      </c>
      <c r="E458" s="502"/>
      <c r="F458" s="484" t="s">
        <v>1299</v>
      </c>
      <c r="G458" s="504">
        <v>20</v>
      </c>
      <c r="H458" s="505">
        <v>62</v>
      </c>
      <c r="I458" s="504">
        <f>H458*G458</f>
        <v>1240</v>
      </c>
    </row>
    <row r="459" spans="1:9" s="507" customFormat="1" ht="12.75" customHeight="1" x14ac:dyDescent="0.2">
      <c r="A459" s="484"/>
      <c r="B459" s="485"/>
      <c r="C459" s="547"/>
      <c r="D459" s="548"/>
      <c r="E459" s="547"/>
      <c r="F459" s="484"/>
      <c r="G459" s="509"/>
      <c r="H459" s="535"/>
      <c r="I459" s="504"/>
    </row>
    <row r="460" spans="1:9" s="507" customFormat="1" x14ac:dyDescent="0.2">
      <c r="A460" s="484" t="s">
        <v>1697</v>
      </c>
      <c r="B460" s="485"/>
      <c r="C460" s="502" t="s">
        <v>1698</v>
      </c>
      <c r="D460" s="539" t="s">
        <v>1699</v>
      </c>
      <c r="E460" s="540"/>
      <c r="F460" s="484" t="s">
        <v>1299</v>
      </c>
      <c r="G460" s="504">
        <v>40</v>
      </c>
      <c r="H460" s="505">
        <v>54</v>
      </c>
      <c r="I460" s="504">
        <f>H460*G460</f>
        <v>2160</v>
      </c>
    </row>
    <row r="461" spans="1:9" s="507" customFormat="1" x14ac:dyDescent="0.2">
      <c r="A461" s="484"/>
      <c r="B461" s="485"/>
      <c r="C461" s="502"/>
      <c r="D461" s="539"/>
      <c r="E461" s="540"/>
      <c r="F461" s="484"/>
      <c r="G461" s="504"/>
      <c r="H461" s="535"/>
      <c r="I461" s="504"/>
    </row>
    <row r="462" spans="1:9" s="507" customFormat="1" x14ac:dyDescent="0.2">
      <c r="A462" s="484" t="s">
        <v>1700</v>
      </c>
      <c r="B462" s="485"/>
      <c r="C462" s="502" t="s">
        <v>1701</v>
      </c>
      <c r="D462" s="539" t="s">
        <v>1702</v>
      </c>
      <c r="E462" s="540"/>
      <c r="F462" s="484" t="s">
        <v>1299</v>
      </c>
      <c r="G462" s="504">
        <v>10</v>
      </c>
      <c r="H462" s="505">
        <v>49</v>
      </c>
      <c r="I462" s="504">
        <f>H462*G462</f>
        <v>490</v>
      </c>
    </row>
    <row r="463" spans="1:9" x14ac:dyDescent="0.2">
      <c r="A463" s="484"/>
      <c r="B463" s="485"/>
      <c r="C463" s="497"/>
      <c r="D463" s="541"/>
      <c r="E463" s="542"/>
      <c r="F463" s="484"/>
      <c r="G463" s="504"/>
      <c r="H463" s="535"/>
      <c r="I463" s="504"/>
    </row>
    <row r="464" spans="1:9" s="516" customFormat="1" x14ac:dyDescent="0.2">
      <c r="A464" s="510"/>
      <c r="B464" s="511"/>
      <c r="C464" s="512"/>
      <c r="D464" s="513"/>
      <c r="E464" s="512"/>
      <c r="F464" s="514"/>
      <c r="G464" s="545"/>
      <c r="H464" s="994"/>
      <c r="I464" s="994"/>
    </row>
    <row r="465" spans="1:9" s="516" customFormat="1" x14ac:dyDescent="0.2">
      <c r="A465" s="517"/>
      <c r="B465" s="518"/>
      <c r="C465" s="519" t="s">
        <v>1285</v>
      </c>
      <c r="D465" s="520" t="s">
        <v>1286</v>
      </c>
      <c r="E465" s="519"/>
      <c r="F465" s="521"/>
      <c r="G465" s="546"/>
      <c r="H465" s="505"/>
      <c r="I465" s="508">
        <f>SUM(I455:I462)</f>
        <v>12500</v>
      </c>
    </row>
    <row r="466" spans="1:9" s="516" customFormat="1" x14ac:dyDescent="0.2">
      <c r="A466" s="523"/>
      <c r="B466" s="524"/>
      <c r="C466" s="525"/>
      <c r="D466" s="526"/>
      <c r="E466" s="525"/>
      <c r="F466" s="527"/>
      <c r="G466" s="523"/>
      <c r="H466" s="995"/>
      <c r="I466" s="996"/>
    </row>
    <row r="467" spans="1:9" s="516" customFormat="1" x14ac:dyDescent="0.2">
      <c r="A467" s="529"/>
      <c r="B467" s="518"/>
      <c r="C467" s="530"/>
      <c r="D467" s="531"/>
      <c r="E467" s="530"/>
      <c r="F467" s="514"/>
      <c r="G467" s="550"/>
      <c r="H467" s="505"/>
      <c r="I467" s="997"/>
    </row>
    <row r="468" spans="1:9" s="516" customFormat="1" x14ac:dyDescent="0.2">
      <c r="A468" s="492">
        <v>15.1</v>
      </c>
      <c r="B468" s="518"/>
      <c r="C468" s="601" t="s">
        <v>1703</v>
      </c>
      <c r="D468" s="602" t="s">
        <v>1704</v>
      </c>
      <c r="E468" s="603"/>
      <c r="F468" s="521"/>
      <c r="G468" s="550"/>
      <c r="H468" s="505"/>
      <c r="I468" s="997"/>
    </row>
    <row r="469" spans="1:9" s="516" customFormat="1" x14ac:dyDescent="0.2">
      <c r="A469" s="550"/>
      <c r="B469" s="518"/>
      <c r="C469" s="530"/>
      <c r="D469" s="531"/>
      <c r="E469" s="530"/>
      <c r="F469" s="521"/>
      <c r="G469" s="550"/>
      <c r="H469" s="505"/>
      <c r="I469" s="997"/>
    </row>
    <row r="470" spans="1:9" ht="25.5" x14ac:dyDescent="0.2">
      <c r="A470" s="484" t="s">
        <v>1705</v>
      </c>
      <c r="B470" s="485"/>
      <c r="C470" s="497" t="s">
        <v>1706</v>
      </c>
      <c r="D470" s="541" t="s">
        <v>1707</v>
      </c>
      <c r="E470" s="542"/>
      <c r="F470" s="484"/>
      <c r="G470" s="504"/>
      <c r="H470" s="535"/>
      <c r="I470" s="504"/>
    </row>
    <row r="471" spans="1:9" x14ac:dyDescent="0.2">
      <c r="A471" s="484"/>
      <c r="B471" s="485"/>
      <c r="C471" s="497"/>
      <c r="D471" s="541"/>
      <c r="E471" s="542"/>
      <c r="F471" s="484"/>
      <c r="G471" s="499"/>
      <c r="H471" s="535"/>
      <c r="I471" s="504"/>
    </row>
    <row r="472" spans="1:9" x14ac:dyDescent="0.2">
      <c r="A472" s="484" t="s">
        <v>1708</v>
      </c>
      <c r="B472" s="485"/>
      <c r="C472" s="497" t="s">
        <v>1692</v>
      </c>
      <c r="D472" s="498" t="s">
        <v>1693</v>
      </c>
      <c r="E472" s="497"/>
      <c r="F472" s="549" t="s">
        <v>1329</v>
      </c>
      <c r="G472" s="499">
        <v>1</v>
      </c>
      <c r="H472" s="505">
        <v>1644</v>
      </c>
      <c r="I472" s="504">
        <f>H472*G472</f>
        <v>1644</v>
      </c>
    </row>
    <row r="473" spans="1:9" x14ac:dyDescent="0.2">
      <c r="A473" s="484"/>
      <c r="B473" s="485"/>
      <c r="C473" s="497"/>
      <c r="D473" s="498"/>
      <c r="E473" s="497"/>
      <c r="F473" s="549"/>
      <c r="G473" s="499"/>
      <c r="H473" s="535"/>
      <c r="I473" s="504"/>
    </row>
    <row r="474" spans="1:9" x14ac:dyDescent="0.2">
      <c r="A474" s="484" t="s">
        <v>1709</v>
      </c>
      <c r="B474" s="485"/>
      <c r="C474" s="497" t="s">
        <v>1695</v>
      </c>
      <c r="D474" s="498" t="s">
        <v>1696</v>
      </c>
      <c r="E474" s="497"/>
      <c r="F474" s="549" t="s">
        <v>1329</v>
      </c>
      <c r="G474" s="499">
        <v>1</v>
      </c>
      <c r="H474" s="505">
        <v>1397</v>
      </c>
      <c r="I474" s="504">
        <f>H474*G474</f>
        <v>1397</v>
      </c>
    </row>
    <row r="475" spans="1:9" x14ac:dyDescent="0.2">
      <c r="A475" s="484"/>
      <c r="B475" s="485"/>
      <c r="C475" s="497"/>
      <c r="D475" s="498"/>
      <c r="E475" s="497"/>
      <c r="F475" s="549"/>
      <c r="G475" s="499"/>
      <c r="H475" s="535"/>
      <c r="I475" s="504"/>
    </row>
    <row r="476" spans="1:9" x14ac:dyDescent="0.2">
      <c r="A476" s="484" t="s">
        <v>1710</v>
      </c>
      <c r="B476" s="485"/>
      <c r="C476" s="497" t="s">
        <v>1698</v>
      </c>
      <c r="D476" s="541" t="s">
        <v>1699</v>
      </c>
      <c r="E476" s="542"/>
      <c r="F476" s="549" t="s">
        <v>1329</v>
      </c>
      <c r="G476" s="499">
        <v>1</v>
      </c>
      <c r="H476" s="505">
        <v>789</v>
      </c>
      <c r="I476" s="504">
        <f t="shared" ref="I476:I478" si="15">H476*G476</f>
        <v>789</v>
      </c>
    </row>
    <row r="477" spans="1:9" x14ac:dyDescent="0.2">
      <c r="A477" s="484"/>
      <c r="B477" s="485"/>
      <c r="C477" s="497"/>
      <c r="D477" s="541"/>
      <c r="E477" s="542"/>
      <c r="F477" s="549"/>
      <c r="G477" s="499"/>
      <c r="H477" s="535"/>
      <c r="I477" s="504"/>
    </row>
    <row r="478" spans="1:9" x14ac:dyDescent="0.2">
      <c r="A478" s="484" t="s">
        <v>1711</v>
      </c>
      <c r="B478" s="485"/>
      <c r="C478" s="497" t="s">
        <v>1701</v>
      </c>
      <c r="D478" s="541" t="s">
        <v>1702</v>
      </c>
      <c r="E478" s="542"/>
      <c r="F478" s="549" t="s">
        <v>1329</v>
      </c>
      <c r="G478" s="499">
        <v>1</v>
      </c>
      <c r="H478" s="505">
        <v>712</v>
      </c>
      <c r="I478" s="504">
        <f t="shared" si="15"/>
        <v>712</v>
      </c>
    </row>
    <row r="479" spans="1:9" x14ac:dyDescent="0.2">
      <c r="A479" s="484"/>
      <c r="B479" s="485"/>
      <c r="C479" s="497"/>
      <c r="D479" s="541"/>
      <c r="E479" s="542"/>
      <c r="F479" s="484"/>
      <c r="G479" s="499"/>
      <c r="H479" s="535"/>
      <c r="I479" s="504"/>
    </row>
    <row r="480" spans="1:9" ht="25.5" x14ac:dyDescent="0.2">
      <c r="A480" s="484" t="s">
        <v>1712</v>
      </c>
      <c r="B480" s="485"/>
      <c r="C480" s="497" t="s">
        <v>1713</v>
      </c>
      <c r="D480" s="541" t="s">
        <v>1714</v>
      </c>
      <c r="E480" s="542"/>
      <c r="F480" s="484"/>
      <c r="G480" s="499"/>
      <c r="H480" s="535"/>
      <c r="I480" s="504"/>
    </row>
    <row r="481" spans="1:9" x14ac:dyDescent="0.2">
      <c r="A481" s="484"/>
      <c r="B481" s="485"/>
      <c r="C481" s="497"/>
      <c r="D481" s="541"/>
      <c r="E481" s="542"/>
      <c r="F481" s="484"/>
      <c r="G481" s="499"/>
      <c r="H481" s="535"/>
      <c r="I481" s="504"/>
    </row>
    <row r="482" spans="1:9" x14ac:dyDescent="0.2">
      <c r="A482" s="484" t="s">
        <v>1715</v>
      </c>
      <c r="B482" s="485"/>
      <c r="C482" s="497" t="s">
        <v>1716</v>
      </c>
      <c r="D482" s="541" t="s">
        <v>1717</v>
      </c>
      <c r="E482" s="542"/>
      <c r="F482" s="549" t="s">
        <v>1329</v>
      </c>
      <c r="G482" s="499">
        <v>4</v>
      </c>
      <c r="H482" s="505">
        <v>12463</v>
      </c>
      <c r="I482" s="504">
        <f>H482*G482</f>
        <v>49852</v>
      </c>
    </row>
    <row r="483" spans="1:9" x14ac:dyDescent="0.2">
      <c r="A483" s="484"/>
      <c r="B483" s="485"/>
      <c r="C483" s="497"/>
      <c r="D483" s="541"/>
      <c r="E483" s="542"/>
      <c r="F483" s="484"/>
      <c r="G483" s="499"/>
      <c r="H483" s="535"/>
      <c r="I483" s="504"/>
    </row>
    <row r="484" spans="1:9" x14ac:dyDescent="0.2">
      <c r="A484" s="483"/>
      <c r="B484" s="485"/>
      <c r="C484" s="497"/>
      <c r="D484" s="498"/>
      <c r="E484" s="497"/>
      <c r="F484" s="483"/>
      <c r="G484" s="499"/>
      <c r="H484" s="535"/>
      <c r="I484" s="504"/>
    </row>
    <row r="485" spans="1:9" s="516" customFormat="1" x14ac:dyDescent="0.2">
      <c r="A485" s="510"/>
      <c r="B485" s="511"/>
      <c r="C485" s="512"/>
      <c r="D485" s="513"/>
      <c r="E485" s="512"/>
      <c r="F485" s="514"/>
      <c r="G485" s="545"/>
      <c r="H485" s="994"/>
      <c r="I485" s="994"/>
    </row>
    <row r="486" spans="1:9" s="516" customFormat="1" x14ac:dyDescent="0.2">
      <c r="A486" s="517"/>
      <c r="B486" s="518"/>
      <c r="C486" s="519" t="s">
        <v>1285</v>
      </c>
      <c r="D486" s="520" t="s">
        <v>1286</v>
      </c>
      <c r="E486" s="519"/>
      <c r="F486" s="521"/>
      <c r="G486" s="546"/>
      <c r="H486" s="505"/>
      <c r="I486" s="508">
        <f>SUM(I472:I483)</f>
        <v>54394</v>
      </c>
    </row>
    <row r="487" spans="1:9" s="516" customFormat="1" x14ac:dyDescent="0.2">
      <c r="A487" s="523"/>
      <c r="B487" s="524"/>
      <c r="C487" s="525"/>
      <c r="D487" s="526"/>
      <c r="E487" s="525"/>
      <c r="F487" s="527"/>
      <c r="G487" s="523"/>
      <c r="H487" s="995"/>
      <c r="I487" s="996"/>
    </row>
    <row r="488" spans="1:9" x14ac:dyDescent="0.2">
      <c r="A488" s="484"/>
      <c r="B488" s="485"/>
      <c r="C488" s="502"/>
      <c r="D488" s="503"/>
      <c r="E488" s="502"/>
      <c r="F488" s="484"/>
      <c r="G488" s="504"/>
      <c r="H488" s="535"/>
      <c r="I488" s="612"/>
    </row>
    <row r="489" spans="1:9" x14ac:dyDescent="0.2">
      <c r="A489" s="492">
        <v>15.1</v>
      </c>
      <c r="B489" s="485"/>
      <c r="C489" s="604" t="s">
        <v>1703</v>
      </c>
      <c r="D489" s="605" t="s">
        <v>1704</v>
      </c>
      <c r="E489" s="502"/>
      <c r="F489" s="484"/>
      <c r="G489" s="504"/>
      <c r="H489" s="535"/>
      <c r="I489" s="612"/>
    </row>
    <row r="490" spans="1:9" x14ac:dyDescent="0.2">
      <c r="A490" s="484"/>
      <c r="B490" s="485"/>
      <c r="C490" s="502"/>
      <c r="D490" s="503"/>
      <c r="E490" s="502"/>
      <c r="F490" s="484"/>
      <c r="G490" s="504"/>
      <c r="H490" s="535"/>
      <c r="I490" s="612"/>
    </row>
    <row r="491" spans="1:9" ht="76.5" x14ac:dyDescent="0.2">
      <c r="A491" s="484" t="s">
        <v>1718</v>
      </c>
      <c r="B491" s="485"/>
      <c r="C491" s="502" t="s">
        <v>1719</v>
      </c>
      <c r="D491" s="503" t="s">
        <v>1720</v>
      </c>
      <c r="E491" s="502"/>
      <c r="F491" s="484"/>
      <c r="G491" s="504"/>
      <c r="H491" s="535"/>
      <c r="I491" s="612"/>
    </row>
    <row r="492" spans="1:9" x14ac:dyDescent="0.2">
      <c r="A492" s="484"/>
      <c r="B492" s="485"/>
      <c r="C492" s="502"/>
      <c r="D492" s="503"/>
      <c r="E492" s="502"/>
      <c r="F492" s="484"/>
      <c r="G492" s="504"/>
      <c r="H492" s="535"/>
      <c r="I492" s="612"/>
    </row>
    <row r="493" spans="1:9" x14ac:dyDescent="0.2">
      <c r="A493" s="484" t="s">
        <v>1721</v>
      </c>
      <c r="B493" s="485"/>
      <c r="C493" s="502" t="s">
        <v>1695</v>
      </c>
      <c r="D493" s="503" t="s">
        <v>1722</v>
      </c>
      <c r="E493" s="502"/>
      <c r="F493" s="484" t="s">
        <v>1507</v>
      </c>
      <c r="G493" s="504">
        <v>7</v>
      </c>
      <c r="H493" s="505">
        <v>66</v>
      </c>
      <c r="I493" s="612">
        <f>H493*G493</f>
        <v>462</v>
      </c>
    </row>
    <row r="494" spans="1:9" x14ac:dyDescent="0.2">
      <c r="A494" s="484" t="s">
        <v>1723</v>
      </c>
      <c r="B494" s="485"/>
      <c r="C494" s="502" t="s">
        <v>1724</v>
      </c>
      <c r="D494" s="503" t="s">
        <v>1725</v>
      </c>
      <c r="E494" s="502"/>
      <c r="F494" s="484" t="s">
        <v>1507</v>
      </c>
      <c r="G494" s="504">
        <v>26</v>
      </c>
      <c r="H494" s="505">
        <v>54</v>
      </c>
      <c r="I494" s="612">
        <f t="shared" ref="I494:I499" si="16">H494*G494</f>
        <v>1404</v>
      </c>
    </row>
    <row r="495" spans="1:9" x14ac:dyDescent="0.2">
      <c r="A495" s="484" t="s">
        <v>1726</v>
      </c>
      <c r="B495" s="485"/>
      <c r="C495" s="502" t="s">
        <v>1698</v>
      </c>
      <c r="D495" s="503" t="s">
        <v>1727</v>
      </c>
      <c r="E495" s="502"/>
      <c r="F495" s="484" t="s">
        <v>1507</v>
      </c>
      <c r="G495" s="504">
        <v>18</v>
      </c>
      <c r="H495" s="505">
        <v>44</v>
      </c>
      <c r="I495" s="612">
        <f t="shared" si="16"/>
        <v>792</v>
      </c>
    </row>
    <row r="496" spans="1:9" x14ac:dyDescent="0.2">
      <c r="A496" s="484" t="s">
        <v>1728</v>
      </c>
      <c r="B496" s="485"/>
      <c r="C496" s="502" t="s">
        <v>1701</v>
      </c>
      <c r="D496" s="503" t="s">
        <v>1729</v>
      </c>
      <c r="E496" s="502"/>
      <c r="F496" s="484" t="s">
        <v>1507</v>
      </c>
      <c r="G496" s="504">
        <v>12</v>
      </c>
      <c r="H496" s="505">
        <v>36</v>
      </c>
      <c r="I496" s="612">
        <f t="shared" si="16"/>
        <v>432</v>
      </c>
    </row>
    <row r="497" spans="1:9" x14ac:dyDescent="0.2">
      <c r="A497" s="484" t="s">
        <v>1730</v>
      </c>
      <c r="B497" s="485"/>
      <c r="C497" s="502" t="s">
        <v>1731</v>
      </c>
      <c r="D497" s="503" t="s">
        <v>1732</v>
      </c>
      <c r="E497" s="502"/>
      <c r="F497" s="484" t="s">
        <v>1507</v>
      </c>
      <c r="G497" s="504">
        <v>80</v>
      </c>
      <c r="H497" s="505">
        <v>32</v>
      </c>
      <c r="I497" s="612">
        <f t="shared" si="16"/>
        <v>2560</v>
      </c>
    </row>
    <row r="498" spans="1:9" x14ac:dyDescent="0.2">
      <c r="A498" s="484" t="s">
        <v>1733</v>
      </c>
      <c r="B498" s="485"/>
      <c r="C498" s="502" t="s">
        <v>1734</v>
      </c>
      <c r="D498" s="503" t="s">
        <v>1735</v>
      </c>
      <c r="E498" s="502"/>
      <c r="F498" s="484" t="s">
        <v>1507</v>
      </c>
      <c r="G498" s="504">
        <v>23</v>
      </c>
      <c r="H498" s="505">
        <v>28</v>
      </c>
      <c r="I498" s="612">
        <f t="shared" si="16"/>
        <v>644</v>
      </c>
    </row>
    <row r="499" spans="1:9" x14ac:dyDescent="0.2">
      <c r="A499" s="484" t="s">
        <v>1736</v>
      </c>
      <c r="B499" s="485"/>
      <c r="C499" s="502" t="s">
        <v>1737</v>
      </c>
      <c r="D499" s="503" t="s">
        <v>1738</v>
      </c>
      <c r="E499" s="502"/>
      <c r="F499" s="484" t="s">
        <v>1507</v>
      </c>
      <c r="G499" s="504">
        <v>338</v>
      </c>
      <c r="H499" s="505">
        <v>24</v>
      </c>
      <c r="I499" s="612">
        <f t="shared" si="16"/>
        <v>8112</v>
      </c>
    </row>
    <row r="500" spans="1:9" x14ac:dyDescent="0.2">
      <c r="A500" s="484"/>
      <c r="B500" s="485"/>
      <c r="C500" s="502"/>
      <c r="D500" s="503"/>
      <c r="E500" s="502"/>
      <c r="F500" s="484"/>
      <c r="G500" s="504"/>
      <c r="H500" s="535"/>
      <c r="I500" s="612"/>
    </row>
    <row r="501" spans="1:9" x14ac:dyDescent="0.2">
      <c r="A501" s="484"/>
      <c r="B501" s="485"/>
      <c r="C501" s="502"/>
      <c r="D501" s="503"/>
      <c r="E501" s="502"/>
      <c r="F501" s="484"/>
      <c r="G501" s="504"/>
      <c r="H501" s="535"/>
      <c r="I501" s="612"/>
    </row>
    <row r="502" spans="1:9" x14ac:dyDescent="0.2">
      <c r="A502" s="484"/>
      <c r="B502" s="485"/>
      <c r="C502" s="502"/>
      <c r="D502" s="503"/>
      <c r="E502" s="502"/>
      <c r="F502" s="484"/>
      <c r="G502" s="504"/>
      <c r="H502" s="535"/>
      <c r="I502" s="612"/>
    </row>
    <row r="503" spans="1:9" x14ac:dyDescent="0.2">
      <c r="A503" s="484"/>
      <c r="B503" s="485"/>
      <c r="C503" s="502"/>
      <c r="D503" s="503"/>
      <c r="E503" s="502"/>
      <c r="F503" s="484"/>
      <c r="G503" s="504"/>
      <c r="H503" s="535"/>
      <c r="I503" s="612"/>
    </row>
    <row r="504" spans="1:9" x14ac:dyDescent="0.2">
      <c r="A504" s="484"/>
      <c r="B504" s="485"/>
      <c r="C504" s="502"/>
      <c r="D504" s="503"/>
      <c r="E504" s="502"/>
      <c r="F504" s="484"/>
      <c r="G504" s="504"/>
      <c r="H504" s="535"/>
      <c r="I504" s="612"/>
    </row>
    <row r="505" spans="1:9" s="516" customFormat="1" x14ac:dyDescent="0.2">
      <c r="A505" s="510"/>
      <c r="B505" s="511"/>
      <c r="C505" s="512"/>
      <c r="D505" s="513"/>
      <c r="E505" s="512"/>
      <c r="F505" s="514"/>
      <c r="G505" s="545"/>
      <c r="H505" s="994"/>
      <c r="I505" s="994"/>
    </row>
    <row r="506" spans="1:9" s="516" customFormat="1" x14ac:dyDescent="0.2">
      <c r="A506" s="517"/>
      <c r="B506" s="518"/>
      <c r="C506" s="519" t="s">
        <v>1285</v>
      </c>
      <c r="D506" s="520" t="s">
        <v>1286</v>
      </c>
      <c r="E506" s="519"/>
      <c r="F506" s="521"/>
      <c r="G506" s="546"/>
      <c r="H506" s="505"/>
      <c r="I506" s="508">
        <f>SUM(I493:I501)</f>
        <v>14406</v>
      </c>
    </row>
    <row r="507" spans="1:9" s="516" customFormat="1" x14ac:dyDescent="0.2">
      <c r="A507" s="523"/>
      <c r="B507" s="524"/>
      <c r="C507" s="525"/>
      <c r="D507" s="526"/>
      <c r="E507" s="525"/>
      <c r="F507" s="527"/>
      <c r="G507" s="523"/>
      <c r="H507" s="995"/>
      <c r="I507" s="996"/>
    </row>
    <row r="508" spans="1:9" x14ac:dyDescent="0.2">
      <c r="A508" s="484"/>
      <c r="B508" s="485"/>
      <c r="C508" s="502"/>
      <c r="D508" s="503"/>
      <c r="E508" s="502"/>
      <c r="F508" s="484"/>
      <c r="G508" s="504"/>
      <c r="H508" s="535"/>
      <c r="I508" s="612"/>
    </row>
    <row r="509" spans="1:9" x14ac:dyDescent="0.2">
      <c r="A509" s="484">
        <v>15.1</v>
      </c>
      <c r="B509" s="485"/>
      <c r="C509" s="604" t="s">
        <v>1703</v>
      </c>
      <c r="D509" s="605" t="s">
        <v>1704</v>
      </c>
      <c r="E509" s="502"/>
      <c r="F509" s="484"/>
      <c r="G509" s="504"/>
      <c r="H509" s="535"/>
      <c r="I509" s="612"/>
    </row>
    <row r="510" spans="1:9" x14ac:dyDescent="0.2">
      <c r="A510" s="484"/>
      <c r="B510" s="485"/>
      <c r="C510" s="502"/>
      <c r="D510" s="503"/>
      <c r="E510" s="502"/>
      <c r="F510" s="484"/>
      <c r="G510" s="504"/>
      <c r="H510" s="535"/>
      <c r="I510" s="612"/>
    </row>
    <row r="511" spans="1:9" x14ac:dyDescent="0.2">
      <c r="A511" s="484"/>
      <c r="B511" s="485"/>
      <c r="C511" s="502"/>
      <c r="D511" s="503"/>
      <c r="E511" s="502"/>
      <c r="F511" s="484"/>
      <c r="G511" s="504"/>
      <c r="H511" s="535"/>
      <c r="I511" s="612"/>
    </row>
    <row r="512" spans="1:9" ht="51" x14ac:dyDescent="0.2">
      <c r="A512" s="484" t="s">
        <v>1739</v>
      </c>
      <c r="B512" s="485"/>
      <c r="C512" s="502" t="s">
        <v>1740</v>
      </c>
      <c r="D512" s="503" t="s">
        <v>1741</v>
      </c>
      <c r="E512" s="502"/>
      <c r="F512" s="484" t="s">
        <v>1329</v>
      </c>
      <c r="G512" s="504">
        <v>5</v>
      </c>
      <c r="H512" s="505">
        <v>788</v>
      </c>
      <c r="I512" s="612">
        <f>H512*G512</f>
        <v>3940</v>
      </c>
    </row>
    <row r="513" spans="1:9" x14ac:dyDescent="0.2">
      <c r="A513" s="484"/>
      <c r="B513" s="485"/>
      <c r="C513" s="502"/>
      <c r="D513" s="503"/>
      <c r="E513" s="502"/>
      <c r="F513" s="484"/>
      <c r="G513" s="504"/>
      <c r="H513" s="535"/>
      <c r="I513" s="612"/>
    </row>
    <row r="514" spans="1:9" ht="51" x14ac:dyDescent="0.2">
      <c r="A514" s="484" t="s">
        <v>1742</v>
      </c>
      <c r="B514" s="485"/>
      <c r="C514" s="502" t="s">
        <v>1743</v>
      </c>
      <c r="D514" s="503" t="s">
        <v>1744</v>
      </c>
      <c r="E514" s="502"/>
      <c r="F514" s="484" t="s">
        <v>1329</v>
      </c>
      <c r="G514" s="504">
        <v>1</v>
      </c>
      <c r="H514" s="505">
        <v>559</v>
      </c>
      <c r="I514" s="612">
        <f t="shared" ref="I514:I516" si="17">H514*G514</f>
        <v>559</v>
      </c>
    </row>
    <row r="515" spans="1:9" x14ac:dyDescent="0.2">
      <c r="A515" s="484"/>
      <c r="B515" s="485"/>
      <c r="C515" s="502"/>
      <c r="D515" s="503"/>
      <c r="E515" s="502"/>
      <c r="F515" s="484"/>
      <c r="G515" s="504"/>
      <c r="H515" s="535"/>
      <c r="I515" s="612"/>
    </row>
    <row r="516" spans="1:9" ht="105.75" customHeight="1" x14ac:dyDescent="0.2">
      <c r="A516" s="484" t="s">
        <v>1745</v>
      </c>
      <c r="B516" s="485"/>
      <c r="C516" s="502" t="s">
        <v>1746</v>
      </c>
      <c r="D516" s="503" t="s">
        <v>1747</v>
      </c>
      <c r="E516" s="502"/>
      <c r="F516" s="484" t="s">
        <v>1748</v>
      </c>
      <c r="G516" s="504">
        <v>1</v>
      </c>
      <c r="H516" s="505">
        <v>12211</v>
      </c>
      <c r="I516" s="612">
        <f t="shared" si="17"/>
        <v>12211</v>
      </c>
    </row>
    <row r="517" spans="1:9" x14ac:dyDescent="0.2">
      <c r="A517" s="484"/>
      <c r="B517" s="485"/>
      <c r="C517" s="502"/>
      <c r="D517" s="503"/>
      <c r="E517" s="502"/>
      <c r="F517" s="484"/>
      <c r="G517" s="504"/>
      <c r="H517" s="535"/>
      <c r="I517" s="612"/>
    </row>
    <row r="518" spans="1:9" x14ac:dyDescent="0.2">
      <c r="A518" s="484"/>
      <c r="B518" s="485"/>
      <c r="C518" s="502"/>
      <c r="D518" s="503"/>
      <c r="E518" s="502"/>
      <c r="F518" s="484"/>
      <c r="G518" s="504"/>
      <c r="H518" s="535"/>
      <c r="I518" s="612"/>
    </row>
    <row r="519" spans="1:9" s="516" customFormat="1" x14ac:dyDescent="0.2">
      <c r="A519" s="510"/>
      <c r="B519" s="511"/>
      <c r="C519" s="512"/>
      <c r="D519" s="513"/>
      <c r="E519" s="512"/>
      <c r="F519" s="514"/>
      <c r="G519" s="545"/>
      <c r="H519" s="994"/>
      <c r="I519" s="994"/>
    </row>
    <row r="520" spans="1:9" s="516" customFormat="1" x14ac:dyDescent="0.2">
      <c r="A520" s="517"/>
      <c r="B520" s="518"/>
      <c r="C520" s="519" t="s">
        <v>1285</v>
      </c>
      <c r="D520" s="520" t="s">
        <v>1286</v>
      </c>
      <c r="E520" s="519"/>
      <c r="F520" s="521"/>
      <c r="G520" s="546"/>
      <c r="H520" s="505"/>
      <c r="I520" s="508">
        <f>SUM(I512:I516)</f>
        <v>16710</v>
      </c>
    </row>
    <row r="521" spans="1:9" s="516" customFormat="1" x14ac:dyDescent="0.2">
      <c r="A521" s="523"/>
      <c r="B521" s="524"/>
      <c r="C521" s="525"/>
      <c r="D521" s="526"/>
      <c r="E521" s="525"/>
      <c r="F521" s="527"/>
      <c r="G521" s="523"/>
      <c r="H521" s="995"/>
      <c r="I521" s="996"/>
    </row>
    <row r="522" spans="1:9" x14ac:dyDescent="0.2">
      <c r="A522" s="484"/>
      <c r="B522" s="485"/>
      <c r="C522" s="497"/>
      <c r="D522" s="498"/>
      <c r="E522" s="497"/>
      <c r="F522" s="484"/>
      <c r="G522" s="504"/>
      <c r="H522" s="535"/>
      <c r="I522" s="504"/>
    </row>
    <row r="523" spans="1:9" x14ac:dyDescent="0.2">
      <c r="A523" s="492">
        <v>15.2</v>
      </c>
      <c r="B523" s="485"/>
      <c r="C523" s="533" t="s">
        <v>1749</v>
      </c>
      <c r="D523" s="534" t="s">
        <v>1750</v>
      </c>
      <c r="E523" s="497"/>
      <c r="F523" s="484"/>
      <c r="G523" s="504"/>
      <c r="H523" s="535"/>
      <c r="I523" s="612"/>
    </row>
    <row r="524" spans="1:9" x14ac:dyDescent="0.2">
      <c r="A524" s="484"/>
      <c r="B524" s="485"/>
      <c r="C524" s="595"/>
      <c r="D524" s="606"/>
      <c r="E524" s="595"/>
      <c r="F524" s="484"/>
      <c r="G524" s="504"/>
      <c r="H524" s="535"/>
      <c r="I524" s="612"/>
    </row>
    <row r="525" spans="1:9" ht="76.5" x14ac:dyDescent="0.2">
      <c r="A525" s="484" t="s">
        <v>1751</v>
      </c>
      <c r="B525" s="485"/>
      <c r="C525" s="502" t="s">
        <v>1752</v>
      </c>
      <c r="D525" s="503" t="s">
        <v>1753</v>
      </c>
      <c r="E525" s="502"/>
      <c r="F525" s="484"/>
      <c r="G525" s="504"/>
      <c r="H525" s="535"/>
      <c r="I525" s="612"/>
    </row>
    <row r="526" spans="1:9" x14ac:dyDescent="0.2">
      <c r="A526" s="484" t="s">
        <v>1754</v>
      </c>
      <c r="B526" s="485"/>
      <c r="C526" s="502" t="s">
        <v>1755</v>
      </c>
      <c r="D526" s="503" t="s">
        <v>1756</v>
      </c>
      <c r="E526" s="502"/>
      <c r="F526" s="484" t="s">
        <v>52</v>
      </c>
      <c r="G526" s="504">
        <v>130</v>
      </c>
      <c r="H526" s="505">
        <v>75</v>
      </c>
      <c r="I526" s="612">
        <f>H526*G526</f>
        <v>9750</v>
      </c>
    </row>
    <row r="527" spans="1:9" x14ac:dyDescent="0.2">
      <c r="A527" s="484"/>
      <c r="B527" s="485"/>
      <c r="C527" s="502"/>
      <c r="D527" s="467"/>
      <c r="E527" s="502"/>
      <c r="F527" s="484"/>
      <c r="G527" s="504"/>
      <c r="H527" s="535"/>
      <c r="I527" s="612"/>
    </row>
    <row r="528" spans="1:9" ht="63.75" x14ac:dyDescent="0.2">
      <c r="A528" s="484" t="s">
        <v>1757</v>
      </c>
      <c r="B528" s="485"/>
      <c r="C528" s="502" t="s">
        <v>1758</v>
      </c>
      <c r="D528" s="503" t="s">
        <v>1759</v>
      </c>
      <c r="E528" s="502"/>
      <c r="F528" s="484" t="s">
        <v>1760</v>
      </c>
      <c r="G528" s="504">
        <v>8</v>
      </c>
      <c r="H528" s="505">
        <v>329</v>
      </c>
      <c r="I528" s="612">
        <f t="shared" ref="I528:I533" si="18">H528*G528</f>
        <v>2632</v>
      </c>
    </row>
    <row r="529" spans="1:9" ht="51" x14ac:dyDescent="0.2">
      <c r="A529" s="484" t="s">
        <v>1761</v>
      </c>
      <c r="B529" s="485"/>
      <c r="C529" s="502" t="s">
        <v>1762</v>
      </c>
      <c r="D529" s="503" t="s">
        <v>1763</v>
      </c>
      <c r="E529" s="502"/>
      <c r="F529" s="484" t="s">
        <v>1760</v>
      </c>
      <c r="G529" s="504">
        <v>8</v>
      </c>
      <c r="H529" s="505">
        <v>93133</v>
      </c>
      <c r="I529" s="612">
        <f t="shared" si="18"/>
        <v>745064</v>
      </c>
    </row>
    <row r="530" spans="1:9" x14ac:dyDescent="0.2">
      <c r="A530" s="484"/>
      <c r="B530" s="485"/>
      <c r="C530" s="502"/>
      <c r="D530" s="503"/>
      <c r="E530" s="502"/>
      <c r="F530" s="484"/>
      <c r="G530" s="504"/>
      <c r="H530" s="535"/>
      <c r="I530" s="612"/>
    </row>
    <row r="531" spans="1:9" ht="109.5" customHeight="1" x14ac:dyDescent="0.2">
      <c r="A531" s="484" t="s">
        <v>1764</v>
      </c>
      <c r="B531" s="485"/>
      <c r="C531" s="502" t="s">
        <v>1765</v>
      </c>
      <c r="D531" s="503" t="s">
        <v>1766</v>
      </c>
      <c r="E531" s="502"/>
      <c r="F531" s="484"/>
      <c r="G531" s="504"/>
      <c r="H531" s="535"/>
      <c r="I531" s="612"/>
    </row>
    <row r="532" spans="1:9" x14ac:dyDescent="0.2">
      <c r="A532" s="484"/>
      <c r="B532" s="485"/>
      <c r="C532" s="502" t="s">
        <v>1767</v>
      </c>
      <c r="D532" s="503" t="s">
        <v>1768</v>
      </c>
      <c r="E532" s="502"/>
      <c r="F532" s="484" t="s">
        <v>1748</v>
      </c>
      <c r="G532" s="504">
        <v>1</v>
      </c>
      <c r="H532" s="505">
        <v>389732</v>
      </c>
      <c r="I532" s="612">
        <f t="shared" si="18"/>
        <v>389732</v>
      </c>
    </row>
    <row r="533" spans="1:9" ht="109.5" customHeight="1" x14ac:dyDescent="0.2">
      <c r="A533" s="484" t="s">
        <v>1769</v>
      </c>
      <c r="B533" s="485"/>
      <c r="C533" s="502" t="s">
        <v>1770</v>
      </c>
      <c r="D533" s="503" t="s">
        <v>1771</v>
      </c>
      <c r="E533" s="502"/>
      <c r="F533" s="484" t="s">
        <v>1748</v>
      </c>
      <c r="G533" s="504">
        <v>1</v>
      </c>
      <c r="H533" s="505">
        <v>87654</v>
      </c>
      <c r="I533" s="612">
        <f t="shared" si="18"/>
        <v>87654</v>
      </c>
    </row>
    <row r="534" spans="1:9" ht="38.25" x14ac:dyDescent="0.2">
      <c r="A534" s="484" t="s">
        <v>1751</v>
      </c>
      <c r="B534" s="485"/>
      <c r="C534" s="502" t="s">
        <v>1772</v>
      </c>
      <c r="D534" s="503" t="s">
        <v>1773</v>
      </c>
      <c r="E534" s="502"/>
      <c r="F534" s="484" t="s">
        <v>1329</v>
      </c>
      <c r="G534" s="504">
        <v>8</v>
      </c>
      <c r="H534" s="505">
        <v>383</v>
      </c>
      <c r="I534" s="612">
        <f>H534*G534</f>
        <v>3064</v>
      </c>
    </row>
    <row r="535" spans="1:9" x14ac:dyDescent="0.2">
      <c r="A535" s="484"/>
      <c r="B535" s="485"/>
      <c r="C535" s="502"/>
      <c r="D535" s="503"/>
      <c r="E535" s="502"/>
      <c r="F535" s="484"/>
      <c r="G535" s="504"/>
      <c r="H535" s="535"/>
      <c r="I535" s="612"/>
    </row>
    <row r="536" spans="1:9" s="516" customFormat="1" x14ac:dyDescent="0.2">
      <c r="A536" s="510"/>
      <c r="B536" s="511"/>
      <c r="C536" s="512"/>
      <c r="D536" s="513"/>
      <c r="E536" s="512"/>
      <c r="F536" s="514"/>
      <c r="G536" s="545"/>
      <c r="H536" s="994"/>
      <c r="I536" s="994"/>
    </row>
    <row r="537" spans="1:9" s="516" customFormat="1" x14ac:dyDescent="0.2">
      <c r="A537" s="517"/>
      <c r="B537" s="518"/>
      <c r="C537" s="519" t="s">
        <v>1285</v>
      </c>
      <c r="D537" s="520" t="s">
        <v>1286</v>
      </c>
      <c r="E537" s="519"/>
      <c r="F537" s="521"/>
      <c r="G537" s="546"/>
      <c r="H537" s="505"/>
      <c r="I537" s="508">
        <f>SUM(I526:I534)</f>
        <v>1237896</v>
      </c>
    </row>
    <row r="538" spans="1:9" s="516" customFormat="1" x14ac:dyDescent="0.2">
      <c r="A538" s="523"/>
      <c r="B538" s="524"/>
      <c r="C538" s="525"/>
      <c r="D538" s="526"/>
      <c r="E538" s="525"/>
      <c r="F538" s="527"/>
      <c r="G538" s="523"/>
      <c r="H538" s="995"/>
      <c r="I538" s="996"/>
    </row>
    <row r="539" spans="1:9" s="516" customFormat="1" x14ac:dyDescent="0.2">
      <c r="A539" s="529"/>
      <c r="B539" s="518"/>
      <c r="C539" s="530"/>
      <c r="D539" s="531"/>
      <c r="E539" s="530"/>
      <c r="F539" s="514"/>
      <c r="G539" s="532"/>
      <c r="H539" s="505"/>
      <c r="I539" s="997"/>
    </row>
    <row r="540" spans="1:9" x14ac:dyDescent="0.2">
      <c r="A540" s="492">
        <v>15.3</v>
      </c>
      <c r="B540" s="485"/>
      <c r="C540" s="533" t="s">
        <v>1774</v>
      </c>
      <c r="D540" s="534" t="s">
        <v>1775</v>
      </c>
      <c r="E540" s="533"/>
      <c r="F540" s="484"/>
      <c r="G540" s="509"/>
      <c r="H540" s="535"/>
      <c r="I540" s="504"/>
    </row>
    <row r="541" spans="1:9" x14ac:dyDescent="0.2">
      <c r="A541" s="484"/>
      <c r="B541" s="485"/>
      <c r="C541" s="497"/>
      <c r="D541" s="498"/>
      <c r="E541" s="497"/>
      <c r="F541" s="484"/>
      <c r="G541" s="509"/>
      <c r="H541" s="535"/>
      <c r="I541" s="504"/>
    </row>
    <row r="542" spans="1:9" s="600" customFormat="1" ht="38.25" x14ac:dyDescent="0.2">
      <c r="A542" s="484" t="s">
        <v>1776</v>
      </c>
      <c r="B542" s="599"/>
      <c r="C542" s="497" t="s">
        <v>1777</v>
      </c>
      <c r="D542" s="498" t="s">
        <v>1778</v>
      </c>
      <c r="E542" s="497"/>
      <c r="F542" s="484"/>
      <c r="G542" s="504"/>
      <c r="H542" s="535"/>
      <c r="I542" s="504"/>
    </row>
    <row r="543" spans="1:9" x14ac:dyDescent="0.2">
      <c r="A543" s="484"/>
      <c r="B543" s="485"/>
      <c r="C543" s="497"/>
      <c r="D543" s="498"/>
      <c r="E543" s="497"/>
      <c r="F543" s="484"/>
      <c r="G543" s="509"/>
      <c r="H543" s="535"/>
      <c r="I543" s="504"/>
    </row>
    <row r="544" spans="1:9" s="507" customFormat="1" x14ac:dyDescent="0.2">
      <c r="A544" s="484" t="s">
        <v>1779</v>
      </c>
      <c r="B544" s="485"/>
      <c r="C544" s="502" t="s">
        <v>1780</v>
      </c>
      <c r="D544" s="503" t="s">
        <v>1781</v>
      </c>
      <c r="E544" s="502"/>
      <c r="F544" s="484" t="s">
        <v>1299</v>
      </c>
      <c r="G544" s="504">
        <v>180</v>
      </c>
      <c r="H544" s="505">
        <v>126</v>
      </c>
      <c r="I544" s="504">
        <f>H544*G544</f>
        <v>22680</v>
      </c>
    </row>
    <row r="545" spans="1:9" x14ac:dyDescent="0.2">
      <c r="A545" s="484"/>
      <c r="B545" s="485"/>
      <c r="C545" s="497"/>
      <c r="D545" s="541"/>
      <c r="E545" s="542"/>
      <c r="F545" s="484"/>
      <c r="G545" s="504"/>
      <c r="H545" s="535"/>
      <c r="I545" s="504"/>
    </row>
    <row r="546" spans="1:9" s="507" customFormat="1" ht="38.25" x14ac:dyDescent="0.2">
      <c r="A546" s="484" t="s">
        <v>1782</v>
      </c>
      <c r="B546" s="485"/>
      <c r="C546" s="502" t="s">
        <v>1783</v>
      </c>
      <c r="D546" s="539" t="s">
        <v>1784</v>
      </c>
      <c r="E546" s="540"/>
      <c r="F546" s="549" t="s">
        <v>1329</v>
      </c>
      <c r="G546" s="499">
        <v>3</v>
      </c>
      <c r="H546" s="505">
        <v>5045</v>
      </c>
      <c r="I546" s="504">
        <f>H546*G546</f>
        <v>15135</v>
      </c>
    </row>
    <row r="547" spans="1:9" x14ac:dyDescent="0.2">
      <c r="A547" s="484"/>
      <c r="B547" s="485"/>
      <c r="C547" s="497"/>
      <c r="D547" s="541"/>
      <c r="E547" s="542"/>
      <c r="F547" s="484"/>
      <c r="G547" s="499"/>
      <c r="H547" s="535"/>
      <c r="I547" s="504"/>
    </row>
    <row r="548" spans="1:9" s="507" customFormat="1" ht="25.5" x14ac:dyDescent="0.2">
      <c r="A548" s="484" t="s">
        <v>1785</v>
      </c>
      <c r="B548" s="485"/>
      <c r="C548" s="502" t="s">
        <v>1786</v>
      </c>
      <c r="D548" s="539" t="s">
        <v>1787</v>
      </c>
      <c r="E548" s="540"/>
      <c r="F548" s="549" t="s">
        <v>1329</v>
      </c>
      <c r="G548" s="499">
        <v>5</v>
      </c>
      <c r="H548" s="505">
        <v>8898</v>
      </c>
      <c r="I548" s="504">
        <f>H548*G548</f>
        <v>44490</v>
      </c>
    </row>
    <row r="549" spans="1:9" x14ac:dyDescent="0.2">
      <c r="A549" s="484"/>
      <c r="B549" s="485"/>
      <c r="C549" s="497"/>
      <c r="D549" s="541"/>
      <c r="E549" s="542"/>
      <c r="F549" s="484"/>
      <c r="G549" s="499"/>
      <c r="H549" s="535"/>
      <c r="I549" s="504"/>
    </row>
    <row r="550" spans="1:9" x14ac:dyDescent="0.2">
      <c r="A550" s="483"/>
      <c r="B550" s="485"/>
      <c r="C550" s="497"/>
      <c r="D550" s="498"/>
      <c r="E550" s="497"/>
      <c r="F550" s="483"/>
      <c r="G550" s="499"/>
      <c r="H550" s="535"/>
      <c r="I550" s="504"/>
    </row>
    <row r="551" spans="1:9" s="516" customFormat="1" x14ac:dyDescent="0.2">
      <c r="A551" s="510"/>
      <c r="B551" s="511"/>
      <c r="C551" s="512"/>
      <c r="D551" s="513"/>
      <c r="E551" s="512"/>
      <c r="F551" s="514"/>
      <c r="G551" s="545"/>
      <c r="H551" s="994"/>
      <c r="I551" s="994"/>
    </row>
    <row r="552" spans="1:9" s="516" customFormat="1" x14ac:dyDescent="0.2">
      <c r="A552" s="517"/>
      <c r="B552" s="518"/>
      <c r="C552" s="519" t="s">
        <v>1285</v>
      </c>
      <c r="D552" s="520" t="s">
        <v>1286</v>
      </c>
      <c r="E552" s="519"/>
      <c r="F552" s="521"/>
      <c r="G552" s="546"/>
      <c r="H552" s="505"/>
      <c r="I552" s="508">
        <f>SUM(I542:I549)</f>
        <v>82305</v>
      </c>
    </row>
    <row r="553" spans="1:9" s="516" customFormat="1" x14ac:dyDescent="0.2">
      <c r="A553" s="523"/>
      <c r="B553" s="524"/>
      <c r="C553" s="525"/>
      <c r="D553" s="526"/>
      <c r="E553" s="525"/>
      <c r="F553" s="527"/>
      <c r="G553" s="523"/>
      <c r="H553" s="995"/>
      <c r="I553" s="996"/>
    </row>
    <row r="554" spans="1:9" x14ac:dyDescent="0.2">
      <c r="A554" s="484"/>
      <c r="B554" s="485"/>
      <c r="C554" s="502"/>
      <c r="D554" s="503"/>
      <c r="E554" s="502"/>
      <c r="F554" s="484"/>
      <c r="G554" s="504"/>
      <c r="H554" s="535"/>
      <c r="I554" s="612"/>
    </row>
    <row r="555" spans="1:9" x14ac:dyDescent="0.2">
      <c r="A555" s="492">
        <v>15.3</v>
      </c>
      <c r="B555" s="485"/>
      <c r="C555" s="533" t="s">
        <v>1774</v>
      </c>
      <c r="D555" s="605" t="s">
        <v>1775</v>
      </c>
      <c r="E555" s="502"/>
      <c r="F555" s="484"/>
      <c r="G555" s="504"/>
      <c r="H555" s="535"/>
      <c r="I555" s="612"/>
    </row>
    <row r="556" spans="1:9" x14ac:dyDescent="0.2">
      <c r="A556" s="484"/>
      <c r="B556" s="485"/>
      <c r="C556" s="502"/>
      <c r="D556" s="503"/>
      <c r="E556" s="502"/>
      <c r="F556" s="484"/>
      <c r="G556" s="504"/>
      <c r="H556" s="535"/>
      <c r="I556" s="612"/>
    </row>
    <row r="557" spans="1:9" ht="76.5" x14ac:dyDescent="0.2">
      <c r="A557" s="484" t="s">
        <v>1788</v>
      </c>
      <c r="B557" s="485"/>
      <c r="C557" s="502" t="s">
        <v>1789</v>
      </c>
      <c r="D557" s="503" t="s">
        <v>1790</v>
      </c>
      <c r="E557" s="502"/>
      <c r="F557" s="484"/>
      <c r="G557" s="504"/>
      <c r="H557" s="535"/>
      <c r="I557" s="612"/>
    </row>
    <row r="558" spans="1:9" x14ac:dyDescent="0.2">
      <c r="A558" s="484"/>
      <c r="B558" s="485"/>
      <c r="C558" s="502"/>
      <c r="D558" s="503"/>
      <c r="E558" s="502"/>
      <c r="F558" s="484"/>
      <c r="G558" s="504"/>
      <c r="H558" s="535"/>
      <c r="I558" s="612"/>
    </row>
    <row r="559" spans="1:9" x14ac:dyDescent="0.2">
      <c r="A559" s="484" t="s">
        <v>1791</v>
      </c>
      <c r="B559" s="485"/>
      <c r="C559" s="502" t="s">
        <v>1792</v>
      </c>
      <c r="D559" s="503" t="s">
        <v>1793</v>
      </c>
      <c r="E559" s="502"/>
      <c r="F559" s="484" t="s">
        <v>1507</v>
      </c>
      <c r="G559" s="504">
        <v>58</v>
      </c>
      <c r="H559" s="505">
        <v>76</v>
      </c>
      <c r="I559" s="504">
        <f t="shared" ref="I559:I562" si="19">H559*G559</f>
        <v>4408</v>
      </c>
    </row>
    <row r="560" spans="1:9" x14ac:dyDescent="0.2">
      <c r="A560" s="484" t="s">
        <v>1794</v>
      </c>
      <c r="B560" s="485"/>
      <c r="C560" s="502" t="s">
        <v>1795</v>
      </c>
      <c r="D560" s="503" t="s">
        <v>1796</v>
      </c>
      <c r="E560" s="502"/>
      <c r="F560" s="484" t="s">
        <v>1507</v>
      </c>
      <c r="G560" s="504">
        <v>63</v>
      </c>
      <c r="H560" s="505">
        <v>32</v>
      </c>
      <c r="I560" s="504">
        <f t="shared" si="19"/>
        <v>2016</v>
      </c>
    </row>
    <row r="561" spans="1:9" x14ac:dyDescent="0.2">
      <c r="A561" s="484" t="s">
        <v>1797</v>
      </c>
      <c r="B561" s="485"/>
      <c r="C561" s="502" t="s">
        <v>1798</v>
      </c>
      <c r="D561" s="503" t="s">
        <v>1799</v>
      </c>
      <c r="E561" s="502"/>
      <c r="F561" s="484" t="s">
        <v>1507</v>
      </c>
      <c r="G561" s="504">
        <v>50</v>
      </c>
      <c r="H561" s="505">
        <v>27</v>
      </c>
      <c r="I561" s="504">
        <f t="shared" si="19"/>
        <v>1350</v>
      </c>
    </row>
    <row r="562" spans="1:9" x14ac:dyDescent="0.2">
      <c r="A562" s="484" t="s">
        <v>1800</v>
      </c>
      <c r="B562" s="485"/>
      <c r="C562" s="502" t="s">
        <v>1801</v>
      </c>
      <c r="D562" s="503" t="s">
        <v>1802</v>
      </c>
      <c r="E562" s="502"/>
      <c r="F562" s="484" t="s">
        <v>1507</v>
      </c>
      <c r="G562" s="504">
        <v>105</v>
      </c>
      <c r="H562" s="505">
        <v>15</v>
      </c>
      <c r="I562" s="504">
        <f t="shared" si="19"/>
        <v>1575</v>
      </c>
    </row>
    <row r="563" spans="1:9" x14ac:dyDescent="0.2">
      <c r="A563" s="484"/>
      <c r="B563" s="485"/>
      <c r="C563" s="502"/>
      <c r="D563" s="503"/>
      <c r="E563" s="502"/>
      <c r="F563" s="484"/>
      <c r="G563" s="504"/>
      <c r="H563" s="535"/>
      <c r="I563" s="612"/>
    </row>
    <row r="564" spans="1:9" s="516" customFormat="1" x14ac:dyDescent="0.2">
      <c r="A564" s="510"/>
      <c r="B564" s="511"/>
      <c r="C564" s="512"/>
      <c r="D564" s="513"/>
      <c r="E564" s="512"/>
      <c r="F564" s="514"/>
      <c r="G564" s="545"/>
      <c r="H564" s="994"/>
      <c r="I564" s="994"/>
    </row>
    <row r="565" spans="1:9" s="516" customFormat="1" x14ac:dyDescent="0.2">
      <c r="A565" s="517"/>
      <c r="B565" s="518"/>
      <c r="C565" s="519" t="s">
        <v>1285</v>
      </c>
      <c r="D565" s="520" t="s">
        <v>1286</v>
      </c>
      <c r="E565" s="519"/>
      <c r="F565" s="521"/>
      <c r="G565" s="546"/>
      <c r="H565" s="505"/>
      <c r="I565" s="508">
        <f>SUM(I557:I562)</f>
        <v>9349</v>
      </c>
    </row>
    <row r="566" spans="1:9" s="516" customFormat="1" x14ac:dyDescent="0.2">
      <c r="A566" s="523"/>
      <c r="B566" s="524"/>
      <c r="C566" s="525"/>
      <c r="D566" s="526"/>
      <c r="E566" s="525"/>
      <c r="F566" s="527"/>
      <c r="G566" s="523"/>
      <c r="H566" s="995"/>
      <c r="I566" s="996"/>
    </row>
    <row r="567" spans="1:9" s="516" customFormat="1" x14ac:dyDescent="0.2">
      <c r="A567" s="550"/>
      <c r="B567" s="518"/>
      <c r="C567" s="530"/>
      <c r="D567" s="531"/>
      <c r="E567" s="530"/>
      <c r="F567" s="521"/>
      <c r="G567" s="550"/>
      <c r="H567" s="505"/>
      <c r="I567" s="997"/>
    </row>
    <row r="568" spans="1:9" x14ac:dyDescent="0.2">
      <c r="A568" s="484"/>
      <c r="B568" s="485"/>
      <c r="C568" s="604" t="s">
        <v>1803</v>
      </c>
      <c r="D568" s="605" t="s">
        <v>1804</v>
      </c>
      <c r="E568" s="502"/>
      <c r="F568" s="484"/>
      <c r="G568" s="504"/>
      <c r="H568" s="535"/>
      <c r="I568" s="612"/>
    </row>
    <row r="569" spans="1:9" x14ac:dyDescent="0.2">
      <c r="A569" s="484"/>
      <c r="B569" s="485"/>
      <c r="C569" s="604"/>
      <c r="D569" s="605"/>
      <c r="E569" s="502"/>
      <c r="F569" s="484"/>
      <c r="G569" s="504"/>
      <c r="H569" s="535"/>
      <c r="I569" s="612"/>
    </row>
    <row r="570" spans="1:9" ht="76.5" x14ac:dyDescent="0.2">
      <c r="A570" s="484" t="s">
        <v>1805</v>
      </c>
      <c r="B570" s="485"/>
      <c r="C570" s="502" t="s">
        <v>1806</v>
      </c>
      <c r="D570" s="503" t="s">
        <v>1807</v>
      </c>
      <c r="E570" s="502"/>
      <c r="F570" s="484"/>
      <c r="G570" s="504"/>
      <c r="H570" s="535"/>
      <c r="I570" s="612"/>
    </row>
    <row r="571" spans="1:9" x14ac:dyDescent="0.2">
      <c r="A571" s="484"/>
      <c r="B571" s="485"/>
      <c r="C571" s="502"/>
      <c r="D571" s="503"/>
      <c r="E571" s="502"/>
      <c r="F571" s="484"/>
      <c r="G571" s="504"/>
      <c r="H571" s="535"/>
      <c r="I571" s="612"/>
    </row>
    <row r="572" spans="1:9" x14ac:dyDescent="0.2">
      <c r="A572" s="484" t="s">
        <v>1808</v>
      </c>
      <c r="B572" s="485"/>
      <c r="C572" s="502" t="s">
        <v>1798</v>
      </c>
      <c r="D572" s="503" t="s">
        <v>1799</v>
      </c>
      <c r="E572" s="502"/>
      <c r="F572" s="484" t="s">
        <v>1507</v>
      </c>
      <c r="G572" s="504">
        <v>20</v>
      </c>
      <c r="H572" s="505">
        <v>38</v>
      </c>
      <c r="I572" s="612">
        <f>H572*G572</f>
        <v>760</v>
      </c>
    </row>
    <row r="573" spans="1:9" x14ac:dyDescent="0.2">
      <c r="A573" s="484"/>
      <c r="B573" s="485"/>
      <c r="C573" s="502"/>
      <c r="D573" s="503"/>
      <c r="E573" s="502"/>
      <c r="F573" s="484"/>
      <c r="G573" s="504"/>
      <c r="H573" s="535"/>
      <c r="I573" s="612"/>
    </row>
    <row r="574" spans="1:9" ht="25.5" x14ac:dyDescent="0.2">
      <c r="A574" s="484" t="s">
        <v>1809</v>
      </c>
      <c r="B574" s="485"/>
      <c r="C574" s="502" t="s">
        <v>1810</v>
      </c>
      <c r="D574" s="503" t="s">
        <v>1811</v>
      </c>
      <c r="E574" s="502"/>
      <c r="F574" s="484" t="s">
        <v>1329</v>
      </c>
      <c r="G574" s="504">
        <v>15</v>
      </c>
      <c r="H574" s="505">
        <v>318</v>
      </c>
      <c r="I574" s="612">
        <f t="shared" ref="I574:I578" si="20">H574*G574</f>
        <v>4770</v>
      </c>
    </row>
    <row r="575" spans="1:9" x14ac:dyDescent="0.2">
      <c r="A575" s="484"/>
      <c r="B575" s="485"/>
      <c r="C575" s="502"/>
      <c r="D575" s="503"/>
      <c r="E575" s="502"/>
      <c r="F575" s="484"/>
      <c r="G575" s="504"/>
      <c r="H575" s="535"/>
      <c r="I575" s="612"/>
    </row>
    <row r="576" spans="1:9" ht="51" x14ac:dyDescent="0.2">
      <c r="A576" s="484" t="s">
        <v>1812</v>
      </c>
      <c r="B576" s="485"/>
      <c r="C576" s="502" t="s">
        <v>1813</v>
      </c>
      <c r="D576" s="503" t="s">
        <v>1814</v>
      </c>
      <c r="E576" s="502"/>
      <c r="F576" s="484" t="s">
        <v>1329</v>
      </c>
      <c r="G576" s="504">
        <v>10</v>
      </c>
      <c r="H576" s="505">
        <v>263</v>
      </c>
      <c r="I576" s="612">
        <f t="shared" si="20"/>
        <v>2630</v>
      </c>
    </row>
    <row r="577" spans="1:9" x14ac:dyDescent="0.2">
      <c r="A577" s="484"/>
      <c r="B577" s="485"/>
      <c r="C577" s="502"/>
      <c r="D577" s="503"/>
      <c r="E577" s="502"/>
      <c r="F577" s="484"/>
      <c r="G577" s="504"/>
      <c r="H577" s="535"/>
      <c r="I577" s="612"/>
    </row>
    <row r="578" spans="1:9" ht="25.5" x14ac:dyDescent="0.2">
      <c r="A578" s="484" t="s">
        <v>1815</v>
      </c>
      <c r="B578" s="485"/>
      <c r="C578" s="502" t="s">
        <v>1816</v>
      </c>
      <c r="D578" s="503" t="s">
        <v>1817</v>
      </c>
      <c r="E578" s="502"/>
      <c r="F578" s="484" t="s">
        <v>1329</v>
      </c>
      <c r="G578" s="504">
        <v>4</v>
      </c>
      <c r="H578" s="505">
        <v>164</v>
      </c>
      <c r="I578" s="612">
        <f t="shared" si="20"/>
        <v>656</v>
      </c>
    </row>
    <row r="579" spans="1:9" x14ac:dyDescent="0.2">
      <c r="A579" s="484"/>
      <c r="B579" s="485"/>
      <c r="C579" s="502"/>
      <c r="D579" s="503"/>
      <c r="E579" s="502"/>
      <c r="F579" s="484"/>
      <c r="G579" s="504"/>
      <c r="H579" s="535"/>
      <c r="I579" s="612"/>
    </row>
    <row r="580" spans="1:9" x14ac:dyDescent="0.2">
      <c r="A580" s="484"/>
      <c r="B580" s="485"/>
      <c r="C580" s="502"/>
      <c r="D580" s="503"/>
      <c r="E580" s="502"/>
      <c r="F580" s="484"/>
      <c r="G580" s="504"/>
      <c r="H580" s="535"/>
      <c r="I580" s="612"/>
    </row>
    <row r="581" spans="1:9" s="516" customFormat="1" x14ac:dyDescent="0.2">
      <c r="A581" s="510"/>
      <c r="B581" s="511"/>
      <c r="C581" s="512"/>
      <c r="D581" s="513"/>
      <c r="E581" s="512"/>
      <c r="F581" s="514"/>
      <c r="G581" s="545"/>
      <c r="H581" s="994"/>
      <c r="I581" s="994"/>
    </row>
    <row r="582" spans="1:9" s="516" customFormat="1" x14ac:dyDescent="0.2">
      <c r="A582" s="517"/>
      <c r="B582" s="518"/>
      <c r="C582" s="519" t="s">
        <v>1285</v>
      </c>
      <c r="D582" s="520" t="s">
        <v>1286</v>
      </c>
      <c r="E582" s="519"/>
      <c r="F582" s="521"/>
      <c r="G582" s="546"/>
      <c r="H582" s="505"/>
      <c r="I582" s="508">
        <f>SUM(I571:I578)</f>
        <v>8816</v>
      </c>
    </row>
    <row r="583" spans="1:9" s="516" customFormat="1" x14ac:dyDescent="0.2">
      <c r="A583" s="523"/>
      <c r="B583" s="524"/>
      <c r="C583" s="525"/>
      <c r="D583" s="526"/>
      <c r="E583" s="525"/>
      <c r="F583" s="527"/>
      <c r="G583" s="523"/>
      <c r="H583" s="995"/>
      <c r="I583" s="996"/>
    </row>
    <row r="584" spans="1:9" x14ac:dyDescent="0.2">
      <c r="A584" s="484"/>
      <c r="B584" s="485"/>
      <c r="C584" s="502"/>
      <c r="D584" s="503"/>
      <c r="E584" s="502"/>
      <c r="F584" s="484"/>
      <c r="G584" s="504"/>
      <c r="H584" s="535"/>
      <c r="I584" s="612"/>
    </row>
    <row r="585" spans="1:9" x14ac:dyDescent="0.2">
      <c r="A585" s="484"/>
      <c r="B585" s="485"/>
      <c r="C585" s="604" t="s">
        <v>1803</v>
      </c>
      <c r="D585" s="605" t="s">
        <v>1804</v>
      </c>
      <c r="E585" s="502"/>
      <c r="F585" s="484"/>
      <c r="G585" s="504"/>
      <c r="H585" s="535"/>
      <c r="I585" s="612"/>
    </row>
    <row r="586" spans="1:9" x14ac:dyDescent="0.2">
      <c r="A586" s="484"/>
      <c r="B586" s="485"/>
      <c r="C586" s="502"/>
      <c r="D586" s="503"/>
      <c r="E586" s="502"/>
      <c r="F586" s="484"/>
      <c r="G586" s="504"/>
      <c r="H586" s="535"/>
      <c r="I586" s="612"/>
    </row>
    <row r="587" spans="1:9" ht="25.5" x14ac:dyDescent="0.2">
      <c r="A587" s="484" t="s">
        <v>1818</v>
      </c>
      <c r="B587" s="485"/>
      <c r="C587" s="502" t="s">
        <v>1819</v>
      </c>
      <c r="D587" s="503" t="s">
        <v>1820</v>
      </c>
      <c r="E587" s="502"/>
      <c r="F587" s="484"/>
      <c r="G587" s="504"/>
      <c r="H587" s="535"/>
      <c r="I587" s="612"/>
    </row>
    <row r="588" spans="1:9" x14ac:dyDescent="0.2">
      <c r="A588" s="484"/>
      <c r="B588" s="485"/>
      <c r="C588" s="502"/>
      <c r="D588" s="503"/>
      <c r="E588" s="502"/>
      <c r="F588" s="484"/>
      <c r="G588" s="504"/>
      <c r="H588" s="535"/>
      <c r="I588" s="612"/>
    </row>
    <row r="589" spans="1:9" ht="63.75" x14ac:dyDescent="0.2">
      <c r="A589" s="484" t="s">
        <v>1821</v>
      </c>
      <c r="B589" s="485"/>
      <c r="C589" s="502" t="s">
        <v>1822</v>
      </c>
      <c r="D589" s="503" t="s">
        <v>1823</v>
      </c>
      <c r="E589" s="502"/>
      <c r="F589" s="484" t="s">
        <v>1329</v>
      </c>
      <c r="G589" s="504">
        <v>5</v>
      </c>
      <c r="H589" s="505">
        <v>712</v>
      </c>
      <c r="I589" s="612">
        <f t="shared" ref="I589:I593" si="21">H589*G589</f>
        <v>3560</v>
      </c>
    </row>
    <row r="590" spans="1:9" x14ac:dyDescent="0.2">
      <c r="A590" s="484"/>
      <c r="B590" s="485"/>
      <c r="C590" s="502"/>
      <c r="D590" s="503"/>
      <c r="E590" s="502"/>
      <c r="F590" s="484"/>
      <c r="G590" s="504"/>
      <c r="H590" s="535"/>
      <c r="I590" s="612"/>
    </row>
    <row r="591" spans="1:9" ht="63.75" x14ac:dyDescent="0.2">
      <c r="A591" s="484" t="s">
        <v>1824</v>
      </c>
      <c r="B591" s="485"/>
      <c r="C591" s="502" t="s">
        <v>1825</v>
      </c>
      <c r="D591" s="503" t="s">
        <v>1826</v>
      </c>
      <c r="E591" s="502"/>
      <c r="F591" s="484" t="s">
        <v>1329</v>
      </c>
      <c r="G591" s="504">
        <v>1</v>
      </c>
      <c r="H591" s="505">
        <v>1041</v>
      </c>
      <c r="I591" s="612">
        <f t="shared" si="21"/>
        <v>1041</v>
      </c>
    </row>
    <row r="592" spans="1:9" x14ac:dyDescent="0.2">
      <c r="A592" s="484"/>
      <c r="B592" s="485"/>
      <c r="C592" s="502"/>
      <c r="D592" s="503"/>
      <c r="E592" s="502"/>
      <c r="F592" s="484"/>
      <c r="G592" s="504"/>
      <c r="H592" s="535"/>
      <c r="I592" s="612"/>
    </row>
    <row r="593" spans="1:9" ht="51" x14ac:dyDescent="0.2">
      <c r="A593" s="484" t="s">
        <v>1827</v>
      </c>
      <c r="B593" s="485"/>
      <c r="C593" s="502" t="s">
        <v>1828</v>
      </c>
      <c r="D593" s="503" t="s">
        <v>1829</v>
      </c>
      <c r="E593" s="502"/>
      <c r="F593" s="484" t="s">
        <v>1329</v>
      </c>
      <c r="G593" s="504">
        <v>7</v>
      </c>
      <c r="H593" s="505">
        <v>586</v>
      </c>
      <c r="I593" s="612">
        <f t="shared" si="21"/>
        <v>4102</v>
      </c>
    </row>
    <row r="594" spans="1:9" x14ac:dyDescent="0.2">
      <c r="A594" s="484"/>
      <c r="B594" s="485"/>
      <c r="C594" s="502"/>
      <c r="D594" s="503"/>
      <c r="E594" s="502"/>
      <c r="F594" s="484"/>
      <c r="G594" s="504"/>
      <c r="H594" s="535"/>
      <c r="I594" s="612"/>
    </row>
    <row r="595" spans="1:9" x14ac:dyDescent="0.2">
      <c r="A595" s="484"/>
      <c r="B595" s="485"/>
      <c r="C595" s="502"/>
      <c r="D595" s="503"/>
      <c r="E595" s="502"/>
      <c r="F595" s="484"/>
      <c r="G595" s="504"/>
      <c r="H595" s="535"/>
      <c r="I595" s="612"/>
    </row>
    <row r="596" spans="1:9" x14ac:dyDescent="0.2">
      <c r="A596" s="484"/>
      <c r="B596" s="485"/>
      <c r="C596" s="502"/>
      <c r="D596" s="503"/>
      <c r="E596" s="502"/>
      <c r="F596" s="484"/>
      <c r="G596" s="504"/>
      <c r="H596" s="535"/>
      <c r="I596" s="612"/>
    </row>
    <row r="597" spans="1:9" s="516" customFormat="1" x14ac:dyDescent="0.2">
      <c r="A597" s="510"/>
      <c r="B597" s="511"/>
      <c r="C597" s="512"/>
      <c r="D597" s="513"/>
      <c r="E597" s="512"/>
      <c r="F597" s="514"/>
      <c r="G597" s="545"/>
      <c r="H597" s="994"/>
      <c r="I597" s="994"/>
    </row>
    <row r="598" spans="1:9" s="516" customFormat="1" x14ac:dyDescent="0.2">
      <c r="A598" s="517"/>
      <c r="B598" s="518"/>
      <c r="C598" s="519" t="s">
        <v>1285</v>
      </c>
      <c r="D598" s="520" t="s">
        <v>1286</v>
      </c>
      <c r="E598" s="519"/>
      <c r="F598" s="521"/>
      <c r="G598" s="546"/>
      <c r="H598" s="505"/>
      <c r="I598" s="508">
        <f>SUM(I589:I593)</f>
        <v>8703</v>
      </c>
    </row>
    <row r="599" spans="1:9" s="516" customFormat="1" x14ac:dyDescent="0.2">
      <c r="A599" s="523"/>
      <c r="B599" s="524"/>
      <c r="C599" s="525"/>
      <c r="D599" s="526"/>
      <c r="E599" s="525"/>
      <c r="F599" s="527"/>
      <c r="G599" s="523"/>
      <c r="H599" s="995"/>
      <c r="I599" s="996"/>
    </row>
    <row r="600" spans="1:9" x14ac:dyDescent="0.2">
      <c r="A600" s="484"/>
      <c r="B600" s="485"/>
      <c r="C600" s="502"/>
      <c r="D600" s="503"/>
      <c r="E600" s="502"/>
      <c r="F600" s="484"/>
      <c r="G600" s="504"/>
      <c r="H600" s="535"/>
      <c r="I600" s="612"/>
    </row>
    <row r="601" spans="1:9" x14ac:dyDescent="0.2">
      <c r="A601" s="484"/>
      <c r="B601" s="485"/>
      <c r="C601" s="604" t="s">
        <v>1803</v>
      </c>
      <c r="D601" s="605" t="s">
        <v>1804</v>
      </c>
      <c r="E601" s="502"/>
      <c r="F601" s="484"/>
      <c r="G601" s="504"/>
      <c r="H601" s="535"/>
      <c r="I601" s="612"/>
    </row>
    <row r="602" spans="1:9" x14ac:dyDescent="0.2">
      <c r="A602" s="484"/>
      <c r="B602" s="485"/>
      <c r="C602" s="502"/>
      <c r="D602" s="503"/>
      <c r="E602" s="502"/>
      <c r="F602" s="484"/>
      <c r="G602" s="504"/>
      <c r="H602" s="535"/>
      <c r="I602" s="612"/>
    </row>
    <row r="603" spans="1:9" ht="51" x14ac:dyDescent="0.2">
      <c r="A603" s="484" t="s">
        <v>1830</v>
      </c>
      <c r="B603" s="485"/>
      <c r="C603" s="502" t="s">
        <v>1831</v>
      </c>
      <c r="D603" s="503" t="s">
        <v>1832</v>
      </c>
      <c r="E603" s="502"/>
      <c r="F603" s="484" t="s">
        <v>1329</v>
      </c>
      <c r="G603" s="504">
        <v>13</v>
      </c>
      <c r="H603" s="505">
        <v>66</v>
      </c>
      <c r="I603" s="612">
        <f t="shared" ref="I603:I611" si="22">H603*G603</f>
        <v>858</v>
      </c>
    </row>
    <row r="604" spans="1:9" x14ac:dyDescent="0.2">
      <c r="A604" s="484"/>
      <c r="B604" s="485"/>
      <c r="C604" s="502"/>
      <c r="D604" s="503"/>
      <c r="E604" s="502"/>
      <c r="F604" s="484"/>
      <c r="G604" s="504"/>
      <c r="H604" s="535"/>
      <c r="I604" s="612"/>
    </row>
    <row r="605" spans="1:9" ht="51" x14ac:dyDescent="0.2">
      <c r="A605" s="484" t="s">
        <v>1833</v>
      </c>
      <c r="B605" s="485"/>
      <c r="C605" s="502" t="s">
        <v>1834</v>
      </c>
      <c r="D605" s="503" t="s">
        <v>1835</v>
      </c>
      <c r="E605" s="502"/>
      <c r="F605" s="484" t="s">
        <v>1329</v>
      </c>
      <c r="G605" s="504">
        <v>12</v>
      </c>
      <c r="H605" s="505">
        <v>337</v>
      </c>
      <c r="I605" s="612">
        <f t="shared" si="22"/>
        <v>4044</v>
      </c>
    </row>
    <row r="606" spans="1:9" x14ac:dyDescent="0.2">
      <c r="A606" s="484"/>
      <c r="B606" s="485"/>
      <c r="C606" s="502"/>
      <c r="D606" s="503"/>
      <c r="E606" s="502"/>
      <c r="F606" s="484"/>
      <c r="G606" s="504"/>
      <c r="H606" s="535"/>
      <c r="I606" s="612"/>
    </row>
    <row r="607" spans="1:9" ht="51" x14ac:dyDescent="0.2">
      <c r="A607" s="484" t="s">
        <v>1836</v>
      </c>
      <c r="B607" s="485"/>
      <c r="C607" s="502" t="s">
        <v>1837</v>
      </c>
      <c r="D607" s="503" t="s">
        <v>1838</v>
      </c>
      <c r="E607" s="502"/>
      <c r="F607" s="484" t="s">
        <v>1329</v>
      </c>
      <c r="G607" s="504">
        <v>1</v>
      </c>
      <c r="H607" s="505">
        <v>603</v>
      </c>
      <c r="I607" s="612">
        <f t="shared" si="22"/>
        <v>603</v>
      </c>
    </row>
    <row r="608" spans="1:9" x14ac:dyDescent="0.2">
      <c r="A608" s="484"/>
      <c r="B608" s="485"/>
      <c r="C608" s="502"/>
      <c r="D608" s="503"/>
      <c r="E608" s="502"/>
      <c r="F608" s="484"/>
      <c r="G608" s="504"/>
      <c r="H608" s="535"/>
      <c r="I608" s="612"/>
    </row>
    <row r="609" spans="1:9" ht="63.75" x14ac:dyDescent="0.2">
      <c r="A609" s="484" t="s">
        <v>1839</v>
      </c>
      <c r="B609" s="485"/>
      <c r="C609" s="502" t="s">
        <v>1840</v>
      </c>
      <c r="D609" s="503" t="s">
        <v>1841</v>
      </c>
      <c r="E609" s="502"/>
      <c r="F609" s="484" t="s">
        <v>1329</v>
      </c>
      <c r="G609" s="504">
        <v>1</v>
      </c>
      <c r="H609" s="505">
        <v>1205</v>
      </c>
      <c r="I609" s="612">
        <f t="shared" si="22"/>
        <v>1205</v>
      </c>
    </row>
    <row r="610" spans="1:9" x14ac:dyDescent="0.2">
      <c r="A610" s="484"/>
      <c r="B610" s="485"/>
      <c r="C610" s="502"/>
      <c r="D610" s="503"/>
      <c r="E610" s="502"/>
      <c r="F610" s="484"/>
      <c r="G610" s="504"/>
      <c r="H610" s="535"/>
      <c r="I610" s="612"/>
    </row>
    <row r="611" spans="1:9" ht="38.25" x14ac:dyDescent="0.2">
      <c r="A611" s="484" t="s">
        <v>1842</v>
      </c>
      <c r="B611" s="485"/>
      <c r="C611" s="502" t="s">
        <v>1843</v>
      </c>
      <c r="D611" s="503" t="s">
        <v>1844</v>
      </c>
      <c r="E611" s="502"/>
      <c r="F611" s="484" t="s">
        <v>1329</v>
      </c>
      <c r="G611" s="504">
        <v>2</v>
      </c>
      <c r="H611" s="505">
        <v>383</v>
      </c>
      <c r="I611" s="612">
        <f t="shared" si="22"/>
        <v>766</v>
      </c>
    </row>
    <row r="612" spans="1:9" x14ac:dyDescent="0.2">
      <c r="A612" s="484"/>
      <c r="B612" s="485"/>
      <c r="C612" s="502"/>
      <c r="D612" s="503"/>
      <c r="E612" s="502"/>
      <c r="F612" s="484"/>
      <c r="G612" s="504"/>
      <c r="H612" s="535"/>
      <c r="I612" s="612"/>
    </row>
    <row r="613" spans="1:9" x14ac:dyDescent="0.2">
      <c r="A613" s="484"/>
      <c r="B613" s="485"/>
      <c r="C613" s="502"/>
      <c r="D613" s="503"/>
      <c r="E613" s="502"/>
      <c r="F613" s="484"/>
      <c r="G613" s="504"/>
      <c r="H613" s="535"/>
      <c r="I613" s="612"/>
    </row>
    <row r="614" spans="1:9" s="516" customFormat="1" x14ac:dyDescent="0.2">
      <c r="A614" s="510"/>
      <c r="B614" s="511"/>
      <c r="C614" s="512"/>
      <c r="D614" s="513"/>
      <c r="E614" s="512"/>
      <c r="F614" s="514"/>
      <c r="G614" s="545"/>
      <c r="H614" s="994"/>
      <c r="I614" s="994"/>
    </row>
    <row r="615" spans="1:9" s="516" customFormat="1" x14ac:dyDescent="0.2">
      <c r="A615" s="517"/>
      <c r="B615" s="518"/>
      <c r="C615" s="519" t="s">
        <v>1285</v>
      </c>
      <c r="D615" s="520" t="s">
        <v>1286</v>
      </c>
      <c r="E615" s="519"/>
      <c r="F615" s="521"/>
      <c r="G615" s="546"/>
      <c r="H615" s="505"/>
      <c r="I615" s="508">
        <f>SUM(I603:I612)</f>
        <v>7476</v>
      </c>
    </row>
    <row r="616" spans="1:9" s="516" customFormat="1" x14ac:dyDescent="0.2">
      <c r="A616" s="523"/>
      <c r="B616" s="524"/>
      <c r="C616" s="525"/>
      <c r="D616" s="526"/>
      <c r="E616" s="525"/>
      <c r="F616" s="527"/>
      <c r="G616" s="523"/>
      <c r="H616" s="995"/>
      <c r="I616" s="996"/>
    </row>
    <row r="617" spans="1:9" s="516" customFormat="1" x14ac:dyDescent="0.2">
      <c r="A617" s="529"/>
      <c r="B617" s="518"/>
      <c r="C617" s="530"/>
      <c r="D617" s="531"/>
      <c r="E617" s="530"/>
      <c r="F617" s="514"/>
      <c r="G617" s="532"/>
      <c r="H617" s="505"/>
      <c r="I617" s="997"/>
    </row>
    <row r="618" spans="1:9" x14ac:dyDescent="0.2">
      <c r="A618" s="492">
        <v>15.4</v>
      </c>
      <c r="B618" s="485"/>
      <c r="C618" s="533" t="s">
        <v>1845</v>
      </c>
      <c r="D618" s="534" t="s">
        <v>1846</v>
      </c>
      <c r="E618" s="533"/>
      <c r="F618" s="484"/>
      <c r="G618" s="509"/>
      <c r="H618" s="535"/>
      <c r="I618" s="504"/>
    </row>
    <row r="619" spans="1:9" x14ac:dyDescent="0.2">
      <c r="A619" s="484"/>
      <c r="B619" s="485"/>
      <c r="C619" s="497"/>
      <c r="D619" s="498"/>
      <c r="E619" s="497"/>
      <c r="F619" s="484"/>
      <c r="G619" s="509"/>
      <c r="H619" s="535"/>
      <c r="I619" s="504"/>
    </row>
    <row r="620" spans="1:9" s="600" customFormat="1" ht="38.25" x14ac:dyDescent="0.2">
      <c r="A620" s="484" t="s">
        <v>1847</v>
      </c>
      <c r="B620" s="599"/>
      <c r="C620" s="497" t="s">
        <v>1848</v>
      </c>
      <c r="D620" s="498" t="s">
        <v>1849</v>
      </c>
      <c r="E620" s="497"/>
      <c r="F620" s="484"/>
      <c r="G620" s="504"/>
      <c r="H620" s="535"/>
      <c r="I620" s="504"/>
    </row>
    <row r="621" spans="1:9" s="507" customFormat="1" x14ac:dyDescent="0.2">
      <c r="A621" s="484" t="s">
        <v>1850</v>
      </c>
      <c r="B621" s="485"/>
      <c r="C621" s="502" t="s">
        <v>1851</v>
      </c>
      <c r="D621" s="503" t="s">
        <v>1852</v>
      </c>
      <c r="E621" s="502"/>
      <c r="F621" s="484" t="s">
        <v>1299</v>
      </c>
      <c r="G621" s="504">
        <v>260</v>
      </c>
      <c r="H621" s="505">
        <v>161</v>
      </c>
      <c r="I621" s="612">
        <f t="shared" ref="I621:I648" si="23">H621*G621</f>
        <v>41860</v>
      </c>
    </row>
    <row r="622" spans="1:9" s="507" customFormat="1" x14ac:dyDescent="0.2">
      <c r="A622" s="484" t="s">
        <v>1853</v>
      </c>
      <c r="B622" s="485"/>
      <c r="C622" s="502" t="s">
        <v>1854</v>
      </c>
      <c r="D622" s="503" t="s">
        <v>1855</v>
      </c>
      <c r="E622" s="502"/>
      <c r="F622" s="484" t="s">
        <v>1299</v>
      </c>
      <c r="G622" s="504">
        <v>1255</v>
      </c>
      <c r="H622" s="505">
        <v>187</v>
      </c>
      <c r="I622" s="612">
        <f t="shared" si="23"/>
        <v>234685</v>
      </c>
    </row>
    <row r="623" spans="1:9" x14ac:dyDescent="0.2">
      <c r="A623" s="484"/>
      <c r="B623" s="485"/>
      <c r="C623" s="497"/>
      <c r="D623" s="498"/>
      <c r="E623" s="497"/>
      <c r="F623" s="484"/>
      <c r="G623" s="504"/>
      <c r="H623" s="535"/>
      <c r="I623" s="612"/>
    </row>
    <row r="624" spans="1:9" s="600" customFormat="1" ht="38.25" x14ac:dyDescent="0.2">
      <c r="A624" s="484" t="s">
        <v>1856</v>
      </c>
      <c r="B624" s="599"/>
      <c r="C624" s="497" t="s">
        <v>1857</v>
      </c>
      <c r="D624" s="498" t="s">
        <v>1858</v>
      </c>
      <c r="E624" s="497"/>
      <c r="F624" s="484"/>
      <c r="G624" s="504"/>
      <c r="H624" s="535"/>
      <c r="I624" s="612"/>
    </row>
    <row r="625" spans="1:9" x14ac:dyDescent="0.2">
      <c r="A625" s="484"/>
      <c r="B625" s="485"/>
      <c r="C625" s="497"/>
      <c r="D625" s="498"/>
      <c r="E625" s="497"/>
      <c r="F625" s="484"/>
      <c r="G625" s="509"/>
      <c r="H625" s="535"/>
      <c r="I625" s="612"/>
    </row>
    <row r="626" spans="1:9" s="507" customFormat="1" x14ac:dyDescent="0.2">
      <c r="A626" s="484" t="s">
        <v>1859</v>
      </c>
      <c r="B626" s="485"/>
      <c r="C626" s="502" t="s">
        <v>1860</v>
      </c>
      <c r="D626" s="503" t="s">
        <v>1861</v>
      </c>
      <c r="E626" s="502"/>
      <c r="F626" s="484" t="s">
        <v>1299</v>
      </c>
      <c r="G626" s="504">
        <v>40</v>
      </c>
      <c r="H626" s="505">
        <v>198</v>
      </c>
      <c r="I626" s="612">
        <f t="shared" si="23"/>
        <v>7920</v>
      </c>
    </row>
    <row r="627" spans="1:9" s="507" customFormat="1" x14ac:dyDescent="0.2">
      <c r="A627" s="484"/>
      <c r="B627" s="485"/>
      <c r="C627" s="502"/>
      <c r="D627" s="503"/>
      <c r="E627" s="502"/>
      <c r="F627" s="484"/>
      <c r="G627" s="504"/>
      <c r="H627" s="535"/>
      <c r="I627" s="612"/>
    </row>
    <row r="628" spans="1:9" s="507" customFormat="1" x14ac:dyDescent="0.2">
      <c r="A628" s="484" t="s">
        <v>1859</v>
      </c>
      <c r="B628" s="485"/>
      <c r="C628" s="502" t="s">
        <v>1862</v>
      </c>
      <c r="D628" s="503" t="s">
        <v>1863</v>
      </c>
      <c r="E628" s="502"/>
      <c r="F628" s="484" t="s">
        <v>1299</v>
      </c>
      <c r="G628" s="504">
        <v>5</v>
      </c>
      <c r="H628" s="505">
        <v>210</v>
      </c>
      <c r="I628" s="612">
        <f t="shared" si="23"/>
        <v>1050</v>
      </c>
    </row>
    <row r="629" spans="1:9" s="507" customFormat="1" x14ac:dyDescent="0.2">
      <c r="A629" s="484"/>
      <c r="B629" s="485"/>
      <c r="C629" s="502"/>
      <c r="D629" s="503"/>
      <c r="E629" s="502"/>
      <c r="F629" s="484"/>
      <c r="G629" s="504"/>
      <c r="H629" s="535"/>
      <c r="I629" s="612"/>
    </row>
    <row r="630" spans="1:9" s="507" customFormat="1" x14ac:dyDescent="0.2">
      <c r="A630" s="484" t="s">
        <v>1859</v>
      </c>
      <c r="B630" s="485"/>
      <c r="C630" s="502" t="s">
        <v>1864</v>
      </c>
      <c r="D630" s="503" t="s">
        <v>1865</v>
      </c>
      <c r="E630" s="502"/>
      <c r="F630" s="484" t="s">
        <v>1299</v>
      </c>
      <c r="G630" s="504">
        <v>5</v>
      </c>
      <c r="H630" s="505">
        <v>238</v>
      </c>
      <c r="I630" s="612">
        <f t="shared" si="23"/>
        <v>1190</v>
      </c>
    </row>
    <row r="631" spans="1:9" s="507" customFormat="1" x14ac:dyDescent="0.2">
      <c r="A631" s="484"/>
      <c r="B631" s="485"/>
      <c r="C631" s="502"/>
      <c r="D631" s="503"/>
      <c r="E631" s="502"/>
      <c r="F631" s="484"/>
      <c r="G631" s="504"/>
      <c r="H631" s="535"/>
      <c r="I631" s="612"/>
    </row>
    <row r="632" spans="1:9" s="507" customFormat="1" x14ac:dyDescent="0.2">
      <c r="A632" s="484" t="s">
        <v>1859</v>
      </c>
      <c r="B632" s="485"/>
      <c r="C632" s="502" t="s">
        <v>1866</v>
      </c>
      <c r="D632" s="503" t="s">
        <v>1867</v>
      </c>
      <c r="E632" s="502"/>
      <c r="F632" s="484" t="s">
        <v>1299</v>
      </c>
      <c r="G632" s="504">
        <v>1200</v>
      </c>
      <c r="H632" s="505">
        <v>251</v>
      </c>
      <c r="I632" s="612">
        <f t="shared" si="23"/>
        <v>301200</v>
      </c>
    </row>
    <row r="633" spans="1:9" s="507" customFormat="1" x14ac:dyDescent="0.2">
      <c r="A633" s="484"/>
      <c r="B633" s="485"/>
      <c r="C633" s="502"/>
      <c r="D633" s="503"/>
      <c r="E633" s="502"/>
      <c r="F633" s="484"/>
      <c r="G633" s="504"/>
      <c r="H633" s="535"/>
      <c r="I633" s="612"/>
    </row>
    <row r="634" spans="1:9" s="507" customFormat="1" x14ac:dyDescent="0.2">
      <c r="A634" s="484" t="s">
        <v>1859</v>
      </c>
      <c r="B634" s="485"/>
      <c r="C634" s="502" t="s">
        <v>1868</v>
      </c>
      <c r="D634" s="503" t="s">
        <v>1869</v>
      </c>
      <c r="E634" s="502"/>
      <c r="F634" s="484" t="s">
        <v>1299</v>
      </c>
      <c r="G634" s="504">
        <v>400</v>
      </c>
      <c r="H634" s="505">
        <v>263</v>
      </c>
      <c r="I634" s="612">
        <f t="shared" si="23"/>
        <v>105200</v>
      </c>
    </row>
    <row r="635" spans="1:9" s="507" customFormat="1" x14ac:dyDescent="0.2">
      <c r="A635" s="484"/>
      <c r="B635" s="485"/>
      <c r="C635" s="502"/>
      <c r="D635" s="503"/>
      <c r="E635" s="502"/>
      <c r="F635" s="484"/>
      <c r="G635" s="504"/>
      <c r="H635" s="535"/>
      <c r="I635" s="612"/>
    </row>
    <row r="636" spans="1:9" s="507" customFormat="1" x14ac:dyDescent="0.2">
      <c r="A636" s="484" t="s">
        <v>1859</v>
      </c>
      <c r="B636" s="485"/>
      <c r="C636" s="502" t="s">
        <v>1870</v>
      </c>
      <c r="D636" s="503" t="s">
        <v>1871</v>
      </c>
      <c r="E636" s="502"/>
      <c r="F636" s="484" t="s">
        <v>1299</v>
      </c>
      <c r="G636" s="504">
        <v>40</v>
      </c>
      <c r="H636" s="505">
        <v>290</v>
      </c>
      <c r="I636" s="612">
        <f t="shared" si="23"/>
        <v>11600</v>
      </c>
    </row>
    <row r="637" spans="1:9" s="507" customFormat="1" x14ac:dyDescent="0.2">
      <c r="A637" s="484"/>
      <c r="B637" s="485"/>
      <c r="C637" s="502"/>
      <c r="D637" s="503"/>
      <c r="E637" s="502"/>
      <c r="F637" s="484"/>
      <c r="G637" s="504"/>
      <c r="H637" s="535"/>
      <c r="I637" s="612"/>
    </row>
    <row r="638" spans="1:9" s="507" customFormat="1" x14ac:dyDescent="0.2">
      <c r="A638" s="484" t="s">
        <v>1859</v>
      </c>
      <c r="B638" s="485"/>
      <c r="C638" s="502" t="s">
        <v>1872</v>
      </c>
      <c r="D638" s="503" t="s">
        <v>1873</v>
      </c>
      <c r="E638" s="502"/>
      <c r="F638" s="484" t="s">
        <v>1299</v>
      </c>
      <c r="G638" s="504">
        <v>1300</v>
      </c>
      <c r="H638" s="505">
        <v>328</v>
      </c>
      <c r="I638" s="612">
        <f t="shared" si="23"/>
        <v>426400</v>
      </c>
    </row>
    <row r="639" spans="1:9" s="507" customFormat="1" x14ac:dyDescent="0.2">
      <c r="A639" s="484"/>
      <c r="B639" s="485"/>
      <c r="C639" s="502"/>
      <c r="D639" s="503"/>
      <c r="E639" s="502"/>
      <c r="F639" s="484"/>
      <c r="G639" s="504"/>
      <c r="H639" s="535"/>
      <c r="I639" s="612"/>
    </row>
    <row r="640" spans="1:9" s="507" customFormat="1" x14ac:dyDescent="0.2">
      <c r="A640" s="484" t="s">
        <v>1859</v>
      </c>
      <c r="B640" s="485"/>
      <c r="C640" s="502" t="s">
        <v>1874</v>
      </c>
      <c r="D640" s="503" t="s">
        <v>1875</v>
      </c>
      <c r="E640" s="502"/>
      <c r="F640" s="484" t="s">
        <v>1299</v>
      </c>
      <c r="G640" s="504">
        <v>350</v>
      </c>
      <c r="H640" s="505">
        <v>340</v>
      </c>
      <c r="I640" s="612">
        <f t="shared" si="23"/>
        <v>119000</v>
      </c>
    </row>
    <row r="641" spans="1:9" s="507" customFormat="1" x14ac:dyDescent="0.2">
      <c r="A641" s="484"/>
      <c r="B641" s="485"/>
      <c r="C641" s="502"/>
      <c r="D641" s="503"/>
      <c r="E641" s="502"/>
      <c r="F641" s="484"/>
      <c r="G641" s="504"/>
      <c r="H641" s="535"/>
      <c r="I641" s="612"/>
    </row>
    <row r="642" spans="1:9" s="507" customFormat="1" x14ac:dyDescent="0.2">
      <c r="A642" s="484" t="s">
        <v>1859</v>
      </c>
      <c r="B642" s="485"/>
      <c r="C642" s="502" t="s">
        <v>1876</v>
      </c>
      <c r="D642" s="503" t="s">
        <v>1877</v>
      </c>
      <c r="E642" s="502"/>
      <c r="F642" s="484" t="s">
        <v>1299</v>
      </c>
      <c r="G642" s="504">
        <v>100</v>
      </c>
      <c r="H642" s="505">
        <v>367</v>
      </c>
      <c r="I642" s="612">
        <f t="shared" si="23"/>
        <v>36700</v>
      </c>
    </row>
    <row r="643" spans="1:9" x14ac:dyDescent="0.2">
      <c r="A643" s="484"/>
      <c r="B643" s="485"/>
      <c r="C643" s="497"/>
      <c r="D643" s="541"/>
      <c r="E643" s="542"/>
      <c r="F643" s="484"/>
      <c r="G643" s="504"/>
      <c r="H643" s="535"/>
      <c r="I643" s="612"/>
    </row>
    <row r="644" spans="1:9" s="507" customFormat="1" ht="25.5" x14ac:dyDescent="0.2">
      <c r="A644" s="484" t="s">
        <v>1878</v>
      </c>
      <c r="B644" s="485"/>
      <c r="C644" s="502" t="s">
        <v>1879</v>
      </c>
      <c r="D644" s="539" t="s">
        <v>1880</v>
      </c>
      <c r="E644" s="540"/>
      <c r="F644" s="549"/>
      <c r="G644" s="499"/>
      <c r="H644" s="535"/>
      <c r="I644" s="612"/>
    </row>
    <row r="645" spans="1:9" s="507" customFormat="1" x14ac:dyDescent="0.2">
      <c r="A645" s="484" t="s">
        <v>1881</v>
      </c>
      <c r="B645" s="485"/>
      <c r="C645" s="502" t="s">
        <v>1882</v>
      </c>
      <c r="D645" s="539" t="s">
        <v>1883</v>
      </c>
      <c r="E645" s="540"/>
      <c r="F645" s="549" t="s">
        <v>1329</v>
      </c>
      <c r="G645" s="499">
        <v>13</v>
      </c>
      <c r="H645" s="505">
        <v>3862</v>
      </c>
      <c r="I645" s="612">
        <f t="shared" si="23"/>
        <v>50206</v>
      </c>
    </row>
    <row r="646" spans="1:9" s="507" customFormat="1" x14ac:dyDescent="0.2">
      <c r="A646" s="484" t="s">
        <v>1884</v>
      </c>
      <c r="B646" s="485"/>
      <c r="C646" s="502" t="s">
        <v>1885</v>
      </c>
      <c r="D646" s="539" t="s">
        <v>1886</v>
      </c>
      <c r="E646" s="540"/>
      <c r="F646" s="549" t="s">
        <v>1329</v>
      </c>
      <c r="G646" s="499">
        <v>44</v>
      </c>
      <c r="H646" s="505">
        <v>6294</v>
      </c>
      <c r="I646" s="612">
        <f t="shared" si="23"/>
        <v>276936</v>
      </c>
    </row>
    <row r="647" spans="1:9" x14ac:dyDescent="0.2">
      <c r="A647" s="484"/>
      <c r="B647" s="485"/>
      <c r="C647" s="497"/>
      <c r="D647" s="541"/>
      <c r="E647" s="542"/>
      <c r="F647" s="484"/>
      <c r="G647" s="499"/>
      <c r="H647" s="535"/>
      <c r="I647" s="612"/>
    </row>
    <row r="648" spans="1:9" s="507" customFormat="1" ht="25.5" x14ac:dyDescent="0.2">
      <c r="A648" s="484" t="s">
        <v>1887</v>
      </c>
      <c r="B648" s="485"/>
      <c r="C648" s="502" t="s">
        <v>1786</v>
      </c>
      <c r="D648" s="539" t="s">
        <v>1787</v>
      </c>
      <c r="E648" s="540"/>
      <c r="F648" s="549" t="s">
        <v>1329</v>
      </c>
      <c r="G648" s="499">
        <v>11</v>
      </c>
      <c r="H648" s="505">
        <v>8898</v>
      </c>
      <c r="I648" s="612">
        <f t="shared" si="23"/>
        <v>97878</v>
      </c>
    </row>
    <row r="649" spans="1:9" s="507" customFormat="1" x14ac:dyDescent="0.2">
      <c r="A649" s="484"/>
      <c r="B649" s="485"/>
      <c r="C649" s="502"/>
      <c r="D649" s="539"/>
      <c r="E649" s="540"/>
      <c r="F649" s="549"/>
      <c r="G649" s="499"/>
      <c r="H649" s="535"/>
      <c r="I649" s="504"/>
    </row>
    <row r="650" spans="1:9" s="516" customFormat="1" x14ac:dyDescent="0.2">
      <c r="A650" s="510"/>
      <c r="B650" s="511"/>
      <c r="C650" s="512"/>
      <c r="D650" s="513"/>
      <c r="E650" s="512"/>
      <c r="F650" s="514"/>
      <c r="G650" s="545"/>
      <c r="H650" s="994"/>
      <c r="I650" s="994"/>
    </row>
    <row r="651" spans="1:9" s="516" customFormat="1" x14ac:dyDescent="0.2">
      <c r="A651" s="517"/>
      <c r="B651" s="518"/>
      <c r="C651" s="519" t="s">
        <v>1285</v>
      </c>
      <c r="D651" s="520" t="s">
        <v>1286</v>
      </c>
      <c r="E651" s="519"/>
      <c r="F651" s="521"/>
      <c r="G651" s="546"/>
      <c r="H651" s="505"/>
      <c r="I651" s="508">
        <f>SUM(I621:I648)</f>
        <v>1711825</v>
      </c>
    </row>
    <row r="652" spans="1:9" s="516" customFormat="1" x14ac:dyDescent="0.2">
      <c r="A652" s="523"/>
      <c r="B652" s="524"/>
      <c r="C652" s="525"/>
      <c r="D652" s="526"/>
      <c r="E652" s="525"/>
      <c r="F652" s="527"/>
      <c r="G652" s="523"/>
      <c r="H652" s="995"/>
      <c r="I652" s="996"/>
    </row>
    <row r="653" spans="1:9" ht="9" customHeight="1" x14ac:dyDescent="0.2">
      <c r="A653" s="484"/>
      <c r="B653" s="485"/>
      <c r="C653" s="607"/>
      <c r="D653" s="608"/>
      <c r="E653" s="607"/>
      <c r="F653" s="549"/>
      <c r="G653" s="499"/>
      <c r="H653" s="535"/>
      <c r="I653" s="504"/>
    </row>
    <row r="654" spans="1:9" ht="14.25" customHeight="1" x14ac:dyDescent="0.2">
      <c r="A654" s="492">
        <v>15.5</v>
      </c>
      <c r="B654" s="485"/>
      <c r="C654" s="533" t="s">
        <v>1888</v>
      </c>
      <c r="D654" s="609" t="s">
        <v>1889</v>
      </c>
      <c r="E654" s="610"/>
      <c r="F654" s="484"/>
      <c r="G654" s="499"/>
      <c r="H654" s="535"/>
      <c r="I654" s="504"/>
    </row>
    <row r="655" spans="1:9" ht="14.25" customHeight="1" x14ac:dyDescent="0.2">
      <c r="A655" s="484"/>
      <c r="B655" s="485"/>
      <c r="C655" s="574"/>
      <c r="D655" s="541"/>
      <c r="E655" s="542"/>
      <c r="F655" s="484"/>
      <c r="G655" s="499"/>
      <c r="H655" s="535"/>
      <c r="I655" s="504"/>
    </row>
    <row r="656" spans="1:9" ht="38.25" x14ac:dyDescent="0.2">
      <c r="A656" s="484" t="s">
        <v>1890</v>
      </c>
      <c r="B656" s="485"/>
      <c r="C656" s="574" t="s">
        <v>1891</v>
      </c>
      <c r="D656" s="541" t="s">
        <v>1892</v>
      </c>
      <c r="E656" s="542"/>
      <c r="F656" s="484"/>
      <c r="G656" s="499"/>
      <c r="H656" s="535"/>
      <c r="I656" s="504"/>
    </row>
    <row r="657" spans="1:9" ht="14.25" customHeight="1" x14ac:dyDescent="0.2">
      <c r="A657" s="484"/>
      <c r="B657" s="485"/>
      <c r="C657" s="497"/>
      <c r="D657" s="498"/>
      <c r="E657" s="497"/>
      <c r="F657" s="484"/>
      <c r="G657" s="499"/>
      <c r="H657" s="535"/>
      <c r="I657" s="504"/>
    </row>
    <row r="658" spans="1:9" x14ac:dyDescent="0.2">
      <c r="A658" s="484" t="s">
        <v>1893</v>
      </c>
      <c r="B658" s="485"/>
      <c r="C658" s="533" t="s">
        <v>1894</v>
      </c>
      <c r="D658" s="566" t="s">
        <v>1895</v>
      </c>
      <c r="E658" s="567"/>
      <c r="F658" s="549"/>
      <c r="G658" s="499"/>
      <c r="H658" s="535"/>
      <c r="I658" s="504"/>
    </row>
    <row r="659" spans="1:9" ht="14.25" customHeight="1" x14ac:dyDescent="0.2">
      <c r="A659" s="484"/>
      <c r="B659" s="485"/>
      <c r="C659" s="497"/>
      <c r="D659" s="498"/>
      <c r="E659" s="497"/>
      <c r="F659" s="484"/>
      <c r="G659" s="499"/>
      <c r="H659" s="535"/>
      <c r="I659" s="504"/>
    </row>
    <row r="660" spans="1:9" ht="14.25" customHeight="1" x14ac:dyDescent="0.2">
      <c r="A660" s="484" t="s">
        <v>1896</v>
      </c>
      <c r="B660" s="485"/>
      <c r="C660" s="497" t="s">
        <v>1897</v>
      </c>
      <c r="D660" s="498" t="s">
        <v>930</v>
      </c>
      <c r="E660" s="497"/>
      <c r="F660" s="484" t="s">
        <v>52</v>
      </c>
      <c r="G660" s="499">
        <v>120</v>
      </c>
      <c r="H660" s="505">
        <v>49</v>
      </c>
      <c r="I660" s="612">
        <f t="shared" ref="I660:I680" si="24">H660*G660</f>
        <v>5880</v>
      </c>
    </row>
    <row r="661" spans="1:9" ht="14.25" customHeight="1" x14ac:dyDescent="0.2">
      <c r="A661" s="484"/>
      <c r="B661" s="485"/>
      <c r="C661" s="497"/>
      <c r="D661" s="498"/>
      <c r="E661" s="497"/>
      <c r="F661" s="484"/>
      <c r="G661" s="499"/>
      <c r="H661" s="535"/>
      <c r="I661" s="612"/>
    </row>
    <row r="662" spans="1:9" ht="14.25" customHeight="1" x14ac:dyDescent="0.2">
      <c r="A662" s="484" t="s">
        <v>1898</v>
      </c>
      <c r="B662" s="485"/>
      <c r="C662" s="497" t="s">
        <v>1899</v>
      </c>
      <c r="D662" s="498" t="s">
        <v>933</v>
      </c>
      <c r="E662" s="497"/>
      <c r="F662" s="484" t="s">
        <v>52</v>
      </c>
      <c r="G662" s="499">
        <v>130</v>
      </c>
      <c r="H662" s="505">
        <v>44</v>
      </c>
      <c r="I662" s="612">
        <f t="shared" si="24"/>
        <v>5720</v>
      </c>
    </row>
    <row r="663" spans="1:9" ht="14.25" customHeight="1" x14ac:dyDescent="0.2">
      <c r="A663" s="484"/>
      <c r="B663" s="485"/>
      <c r="C663" s="497"/>
      <c r="D663" s="498"/>
      <c r="E663" s="497"/>
      <c r="F663" s="484"/>
      <c r="G663" s="499"/>
      <c r="H663" s="535"/>
      <c r="I663" s="612"/>
    </row>
    <row r="664" spans="1:9" ht="14.25" customHeight="1" x14ac:dyDescent="0.2">
      <c r="A664" s="484" t="s">
        <v>1900</v>
      </c>
      <c r="B664" s="485"/>
      <c r="C664" s="497" t="s">
        <v>1901</v>
      </c>
      <c r="D664" s="498" t="s">
        <v>1902</v>
      </c>
      <c r="E664" s="497"/>
      <c r="F664" s="484" t="s">
        <v>52</v>
      </c>
      <c r="G664" s="499">
        <v>300</v>
      </c>
      <c r="H664" s="505">
        <v>38</v>
      </c>
      <c r="I664" s="612">
        <f t="shared" si="24"/>
        <v>11400</v>
      </c>
    </row>
    <row r="665" spans="1:9" ht="14.25" customHeight="1" x14ac:dyDescent="0.2">
      <c r="A665" s="484"/>
      <c r="B665" s="485"/>
      <c r="C665" s="497"/>
      <c r="D665" s="498"/>
      <c r="E665" s="497"/>
      <c r="F665" s="484"/>
      <c r="G665" s="499"/>
      <c r="H665" s="535"/>
      <c r="I665" s="612"/>
    </row>
    <row r="666" spans="1:9" x14ac:dyDescent="0.2">
      <c r="A666" s="484" t="s">
        <v>1903</v>
      </c>
      <c r="B666" s="485"/>
      <c r="C666" s="533" t="s">
        <v>1904</v>
      </c>
      <c r="D666" s="566" t="s">
        <v>1905</v>
      </c>
      <c r="E666" s="567"/>
      <c r="F666" s="549"/>
      <c r="G666" s="499"/>
      <c r="H666" s="535"/>
      <c r="I666" s="612"/>
    </row>
    <row r="667" spans="1:9" ht="14.25" customHeight="1" x14ac:dyDescent="0.2">
      <c r="A667" s="484"/>
      <c r="B667" s="485"/>
      <c r="C667" s="497"/>
      <c r="D667" s="498"/>
      <c r="E667" s="497"/>
      <c r="F667" s="484"/>
      <c r="G667" s="499"/>
      <c r="H667" s="535"/>
      <c r="I667" s="612"/>
    </row>
    <row r="668" spans="1:9" ht="14.25" customHeight="1" x14ac:dyDescent="0.2">
      <c r="A668" s="484" t="s">
        <v>1906</v>
      </c>
      <c r="B668" s="485"/>
      <c r="C668" s="497" t="s">
        <v>1907</v>
      </c>
      <c r="D668" s="498" t="s">
        <v>1908</v>
      </c>
      <c r="E668" s="497"/>
      <c r="F668" s="484" t="s">
        <v>1329</v>
      </c>
      <c r="G668" s="499">
        <v>1</v>
      </c>
      <c r="H668" s="505">
        <v>659</v>
      </c>
      <c r="I668" s="612">
        <f t="shared" si="24"/>
        <v>659</v>
      </c>
    </row>
    <row r="669" spans="1:9" ht="14.25" customHeight="1" x14ac:dyDescent="0.2">
      <c r="A669" s="484"/>
      <c r="B669" s="485"/>
      <c r="C669" s="497"/>
      <c r="D669" s="498"/>
      <c r="E669" s="497"/>
      <c r="F669" s="484"/>
      <c r="G669" s="499"/>
      <c r="H669" s="535"/>
      <c r="I669" s="612"/>
    </row>
    <row r="670" spans="1:9" ht="14.25" customHeight="1" x14ac:dyDescent="0.2">
      <c r="A670" s="484" t="s">
        <v>1909</v>
      </c>
      <c r="B670" s="485"/>
      <c r="C670" s="497" t="s">
        <v>1910</v>
      </c>
      <c r="D670" s="498" t="s">
        <v>1911</v>
      </c>
      <c r="E670" s="497"/>
      <c r="F670" s="484" t="s">
        <v>1329</v>
      </c>
      <c r="G670" s="499">
        <v>2</v>
      </c>
      <c r="H670" s="505">
        <v>467</v>
      </c>
      <c r="I670" s="612">
        <f t="shared" si="24"/>
        <v>934</v>
      </c>
    </row>
    <row r="671" spans="1:9" ht="14.25" customHeight="1" x14ac:dyDescent="0.2">
      <c r="A671" s="484"/>
      <c r="B671" s="485"/>
      <c r="C671" s="497"/>
      <c r="D671" s="498"/>
      <c r="E671" s="497"/>
      <c r="F671" s="484"/>
      <c r="G671" s="499"/>
      <c r="H671" s="535"/>
      <c r="I671" s="612"/>
    </row>
    <row r="672" spans="1:9" x14ac:dyDescent="0.2">
      <c r="A672" s="484" t="s">
        <v>1912</v>
      </c>
      <c r="B672" s="485"/>
      <c r="C672" s="533" t="s">
        <v>1913</v>
      </c>
      <c r="D672" s="566" t="s">
        <v>1914</v>
      </c>
      <c r="E672" s="567"/>
      <c r="F672" s="549"/>
      <c r="G672" s="499"/>
      <c r="H672" s="535"/>
      <c r="I672" s="612"/>
    </row>
    <row r="673" spans="1:9" ht="14.25" customHeight="1" x14ac:dyDescent="0.2">
      <c r="A673" s="484"/>
      <c r="B673" s="485"/>
      <c r="C673" s="497"/>
      <c r="D673" s="498"/>
      <c r="E673" s="497"/>
      <c r="F673" s="484"/>
      <c r="G673" s="499"/>
      <c r="H673" s="535"/>
      <c r="I673" s="612"/>
    </row>
    <row r="674" spans="1:9" ht="14.25" customHeight="1" x14ac:dyDescent="0.2">
      <c r="A674" s="484" t="s">
        <v>1915</v>
      </c>
      <c r="B674" s="485"/>
      <c r="C674" s="497" t="s">
        <v>1916</v>
      </c>
      <c r="D674" s="498" t="s">
        <v>1917</v>
      </c>
      <c r="E674" s="497"/>
      <c r="F674" s="484" t="s">
        <v>1329</v>
      </c>
      <c r="G674" s="499">
        <v>205</v>
      </c>
      <c r="H674" s="505">
        <v>57</v>
      </c>
      <c r="I674" s="612">
        <f t="shared" si="24"/>
        <v>11685</v>
      </c>
    </row>
    <row r="675" spans="1:9" ht="14.25" customHeight="1" x14ac:dyDescent="0.2">
      <c r="A675" s="484"/>
      <c r="B675" s="485"/>
      <c r="C675" s="497"/>
      <c r="D675" s="498"/>
      <c r="E675" s="497"/>
      <c r="F675" s="484"/>
      <c r="G675" s="499"/>
      <c r="H675" s="535"/>
      <c r="I675" s="612"/>
    </row>
    <row r="676" spans="1:9" ht="11.25" customHeight="1" x14ac:dyDescent="0.2">
      <c r="A676" s="484" t="s">
        <v>1918</v>
      </c>
      <c r="B676" s="485"/>
      <c r="C676" s="497" t="s">
        <v>1919</v>
      </c>
      <c r="D676" s="498" t="s">
        <v>1920</v>
      </c>
      <c r="E676" s="497"/>
      <c r="F676" s="484" t="s">
        <v>1329</v>
      </c>
      <c r="G676" s="499">
        <v>220</v>
      </c>
      <c r="H676" s="505">
        <v>57</v>
      </c>
      <c r="I676" s="612">
        <f t="shared" si="24"/>
        <v>12540</v>
      </c>
    </row>
    <row r="677" spans="1:9" ht="11.25" customHeight="1" x14ac:dyDescent="0.2">
      <c r="A677" s="484"/>
      <c r="B677" s="485"/>
      <c r="C677" s="497"/>
      <c r="D677" s="498"/>
      <c r="E677" s="497"/>
      <c r="F677" s="484"/>
      <c r="G677" s="499"/>
      <c r="H677" s="535"/>
      <c r="I677" s="612"/>
    </row>
    <row r="678" spans="1:9" ht="11.25" customHeight="1" x14ac:dyDescent="0.2">
      <c r="A678" s="484" t="s">
        <v>1921</v>
      </c>
      <c r="B678" s="485"/>
      <c r="C678" s="497" t="s">
        <v>1922</v>
      </c>
      <c r="D678" s="498" t="s">
        <v>1923</v>
      </c>
      <c r="E678" s="497"/>
      <c r="F678" s="549" t="s">
        <v>1329</v>
      </c>
      <c r="G678" s="499">
        <v>1</v>
      </c>
      <c r="H678" s="505">
        <v>1152</v>
      </c>
      <c r="I678" s="612">
        <f t="shared" si="24"/>
        <v>1152</v>
      </c>
    </row>
    <row r="679" spans="1:9" ht="11.25" customHeight="1" x14ac:dyDescent="0.2">
      <c r="A679" s="484"/>
      <c r="B679" s="485"/>
      <c r="C679" s="497"/>
      <c r="D679" s="498"/>
      <c r="E679" s="497"/>
      <c r="F679" s="484"/>
      <c r="G679" s="499"/>
      <c r="H679" s="535"/>
      <c r="I679" s="612"/>
    </row>
    <row r="680" spans="1:9" ht="14.25" customHeight="1" x14ac:dyDescent="0.2">
      <c r="A680" s="484" t="s">
        <v>1924</v>
      </c>
      <c r="B680" s="485"/>
      <c r="C680" s="497" t="s">
        <v>1925</v>
      </c>
      <c r="D680" s="498" t="s">
        <v>1926</v>
      </c>
      <c r="E680" s="497"/>
      <c r="F680" s="484" t="s">
        <v>1329</v>
      </c>
      <c r="G680" s="499">
        <v>1</v>
      </c>
      <c r="H680" s="505">
        <v>1436</v>
      </c>
      <c r="I680" s="612">
        <f t="shared" si="24"/>
        <v>1436</v>
      </c>
    </row>
    <row r="681" spans="1:9" ht="14.25" customHeight="1" x14ac:dyDescent="0.2">
      <c r="A681" s="484"/>
      <c r="B681" s="485"/>
      <c r="C681" s="497"/>
      <c r="D681" s="498"/>
      <c r="E681" s="497"/>
      <c r="F681" s="484"/>
      <c r="G681" s="499"/>
      <c r="H681" s="535"/>
      <c r="I681" s="504"/>
    </row>
    <row r="682" spans="1:9" s="516" customFormat="1" x14ac:dyDescent="0.2">
      <c r="A682" s="510"/>
      <c r="B682" s="511"/>
      <c r="C682" s="512"/>
      <c r="D682" s="513"/>
      <c r="E682" s="512"/>
      <c r="F682" s="514"/>
      <c r="G682" s="545"/>
      <c r="H682" s="994"/>
      <c r="I682" s="994"/>
    </row>
    <row r="683" spans="1:9" s="516" customFormat="1" x14ac:dyDescent="0.2">
      <c r="A683" s="517"/>
      <c r="B683" s="518"/>
      <c r="C683" s="519" t="s">
        <v>1285</v>
      </c>
      <c r="D683" s="520" t="s">
        <v>1286</v>
      </c>
      <c r="E683" s="519"/>
      <c r="F683" s="521"/>
      <c r="G683" s="546"/>
      <c r="H683" s="505"/>
      <c r="I683" s="508">
        <f>SUM(I658:I680)</f>
        <v>51406</v>
      </c>
    </row>
    <row r="684" spans="1:9" s="516" customFormat="1" x14ac:dyDescent="0.2">
      <c r="A684" s="523"/>
      <c r="B684" s="524"/>
      <c r="C684" s="525"/>
      <c r="D684" s="526"/>
      <c r="E684" s="525"/>
      <c r="F684" s="527"/>
      <c r="G684" s="523"/>
      <c r="H684" s="995"/>
      <c r="I684" s="996"/>
    </row>
    <row r="685" spans="1:9" ht="9" customHeight="1" x14ac:dyDescent="0.2">
      <c r="A685" s="484"/>
      <c r="B685" s="485"/>
      <c r="C685" s="607"/>
      <c r="D685" s="608"/>
      <c r="E685" s="607"/>
      <c r="F685" s="549"/>
      <c r="G685" s="499"/>
      <c r="H685" s="535"/>
      <c r="I685" s="504"/>
    </row>
    <row r="686" spans="1:9" ht="14.25" customHeight="1" x14ac:dyDescent="0.2">
      <c r="A686" s="492">
        <v>15.5</v>
      </c>
      <c r="B686" s="485"/>
      <c r="C686" s="533" t="s">
        <v>1927</v>
      </c>
      <c r="D686" s="609" t="s">
        <v>1928</v>
      </c>
      <c r="E686" s="610"/>
      <c r="F686" s="484"/>
      <c r="G686" s="499"/>
      <c r="H686" s="535"/>
      <c r="I686" s="504"/>
    </row>
    <row r="687" spans="1:9" ht="14.25" customHeight="1" x14ac:dyDescent="0.2">
      <c r="A687" s="492"/>
      <c r="B687" s="485"/>
      <c r="C687" s="611"/>
      <c r="D687" s="609"/>
      <c r="E687" s="610"/>
      <c r="F687" s="484"/>
      <c r="G687" s="499"/>
      <c r="H687" s="535"/>
      <c r="I687" s="504"/>
    </row>
    <row r="688" spans="1:9" x14ac:dyDescent="0.2">
      <c r="A688" s="484" t="s">
        <v>1890</v>
      </c>
      <c r="B688" s="485"/>
      <c r="C688" s="497" t="s">
        <v>1929</v>
      </c>
      <c r="D688" s="498" t="s">
        <v>1930</v>
      </c>
      <c r="E688" s="497"/>
      <c r="F688" s="484" t="s">
        <v>1329</v>
      </c>
      <c r="G688" s="499">
        <v>7</v>
      </c>
      <c r="H688" s="505">
        <v>1309</v>
      </c>
      <c r="I688" s="612">
        <f t="shared" ref="I688:I692" si="25">H688*G688</f>
        <v>9163</v>
      </c>
    </row>
    <row r="689" spans="1:9" ht="14.25" customHeight="1" x14ac:dyDescent="0.2">
      <c r="A689" s="484"/>
      <c r="B689" s="485"/>
      <c r="C689" s="497"/>
      <c r="D689" s="498"/>
      <c r="E689" s="497"/>
      <c r="F689" s="484"/>
      <c r="G689" s="499"/>
      <c r="H689" s="535"/>
      <c r="I689" s="612"/>
    </row>
    <row r="690" spans="1:9" ht="51" x14ac:dyDescent="0.2">
      <c r="A690" s="484" t="s">
        <v>1893</v>
      </c>
      <c r="B690" s="485"/>
      <c r="C690" s="497" t="s">
        <v>1931</v>
      </c>
      <c r="D690" s="498" t="s">
        <v>1932</v>
      </c>
      <c r="E690" s="497"/>
      <c r="F690" s="484" t="s">
        <v>1329</v>
      </c>
      <c r="G690" s="499">
        <v>1</v>
      </c>
      <c r="H690" s="505">
        <v>19722</v>
      </c>
      <c r="I690" s="612">
        <f t="shared" si="25"/>
        <v>19722</v>
      </c>
    </row>
    <row r="691" spans="1:9" ht="14.25" customHeight="1" x14ac:dyDescent="0.2">
      <c r="A691" s="484"/>
      <c r="B691" s="485"/>
      <c r="C691" s="497"/>
      <c r="D691" s="498"/>
      <c r="E691" s="497"/>
      <c r="F691" s="484"/>
      <c r="G691" s="499"/>
      <c r="H691" s="535"/>
      <c r="I691" s="612"/>
    </row>
    <row r="692" spans="1:9" ht="51" x14ac:dyDescent="0.2">
      <c r="A692" s="484" t="s">
        <v>1903</v>
      </c>
      <c r="B692" s="485"/>
      <c r="C692" s="497" t="s">
        <v>1933</v>
      </c>
      <c r="D692" s="498" t="s">
        <v>1934</v>
      </c>
      <c r="E692" s="497"/>
      <c r="F692" s="484" t="s">
        <v>1451</v>
      </c>
      <c r="G692" s="499">
        <v>500</v>
      </c>
      <c r="H692" s="505">
        <v>18</v>
      </c>
      <c r="I692" s="612">
        <f t="shared" si="25"/>
        <v>9000</v>
      </c>
    </row>
    <row r="693" spans="1:9" ht="14.25" customHeight="1" x14ac:dyDescent="0.2">
      <c r="A693" s="484"/>
      <c r="B693" s="485"/>
      <c r="C693" s="497"/>
      <c r="D693" s="498"/>
      <c r="E693" s="497"/>
      <c r="F693" s="484"/>
      <c r="G693" s="499"/>
      <c r="H693" s="535"/>
      <c r="I693" s="504"/>
    </row>
    <row r="694" spans="1:9" s="516" customFormat="1" x14ac:dyDescent="0.2">
      <c r="A694" s="510"/>
      <c r="B694" s="511"/>
      <c r="C694" s="512"/>
      <c r="D694" s="513"/>
      <c r="E694" s="512"/>
      <c r="F694" s="514"/>
      <c r="G694" s="545"/>
      <c r="H694" s="994"/>
      <c r="I694" s="994"/>
    </row>
    <row r="695" spans="1:9" s="516" customFormat="1" x14ac:dyDescent="0.2">
      <c r="A695" s="517"/>
      <c r="B695" s="518"/>
      <c r="C695" s="519" t="s">
        <v>1285</v>
      </c>
      <c r="D695" s="520" t="s">
        <v>1286</v>
      </c>
      <c r="E695" s="519"/>
      <c r="F695" s="521"/>
      <c r="G695" s="546"/>
      <c r="H695" s="505"/>
      <c r="I695" s="508">
        <f>SUM(I687:I692)</f>
        <v>37885</v>
      </c>
    </row>
    <row r="696" spans="1:9" s="516" customFormat="1" x14ac:dyDescent="0.2">
      <c r="A696" s="523"/>
      <c r="B696" s="524"/>
      <c r="C696" s="525"/>
      <c r="D696" s="526"/>
      <c r="E696" s="525"/>
      <c r="F696" s="527"/>
      <c r="G696" s="523"/>
      <c r="H696" s="995"/>
      <c r="I696" s="996"/>
    </row>
    <row r="697" spans="1:9" x14ac:dyDescent="0.2">
      <c r="A697" s="484"/>
      <c r="B697" s="485"/>
      <c r="C697" s="502"/>
      <c r="D697" s="503"/>
      <c r="E697" s="502"/>
      <c r="F697" s="484"/>
      <c r="G697" s="504"/>
      <c r="H697" s="535"/>
      <c r="I697" s="612"/>
    </row>
    <row r="698" spans="1:9" x14ac:dyDescent="0.2">
      <c r="A698" s="492">
        <v>15.6</v>
      </c>
      <c r="B698" s="485"/>
      <c r="C698" s="604" t="s">
        <v>1935</v>
      </c>
      <c r="D698" s="605" t="s">
        <v>1936</v>
      </c>
      <c r="E698" s="502"/>
      <c r="F698" s="484"/>
      <c r="G698" s="504"/>
      <c r="H698" s="535"/>
      <c r="I698" s="612"/>
    </row>
    <row r="699" spans="1:9" x14ac:dyDescent="0.2">
      <c r="A699" s="484"/>
      <c r="B699" s="485"/>
      <c r="C699" s="502"/>
      <c r="D699" s="503"/>
      <c r="E699" s="502"/>
      <c r="F699" s="484"/>
      <c r="G699" s="504"/>
      <c r="H699" s="535"/>
      <c r="I699" s="612"/>
    </row>
    <row r="700" spans="1:9" ht="140.25" x14ac:dyDescent="0.2">
      <c r="A700" s="484" t="s">
        <v>1937</v>
      </c>
      <c r="B700" s="485"/>
      <c r="C700" s="502" t="s">
        <v>1938</v>
      </c>
      <c r="D700" s="503" t="s">
        <v>1939</v>
      </c>
      <c r="E700" s="502"/>
      <c r="F700" s="484"/>
      <c r="G700" s="504"/>
      <c r="H700" s="535"/>
      <c r="I700" s="612"/>
    </row>
    <row r="701" spans="1:9" x14ac:dyDescent="0.2">
      <c r="A701" s="484"/>
      <c r="B701" s="485"/>
      <c r="C701" s="502"/>
      <c r="D701" s="503"/>
      <c r="E701" s="502"/>
      <c r="F701" s="484"/>
      <c r="G701" s="504"/>
      <c r="H701" s="535"/>
      <c r="I701" s="612"/>
    </row>
    <row r="702" spans="1:9" ht="25.5" x14ac:dyDescent="0.2">
      <c r="A702" s="484" t="s">
        <v>1940</v>
      </c>
      <c r="B702" s="485"/>
      <c r="C702" s="502" t="s">
        <v>1941</v>
      </c>
      <c r="D702" s="503" t="s">
        <v>1942</v>
      </c>
      <c r="E702" s="502"/>
      <c r="F702" s="484" t="s">
        <v>1329</v>
      </c>
      <c r="G702" s="504">
        <v>1</v>
      </c>
      <c r="H702" s="505">
        <v>431723</v>
      </c>
      <c r="I702" s="612">
        <f t="shared" ref="I702:I708" si="26">H702*G702</f>
        <v>431723</v>
      </c>
    </row>
    <row r="703" spans="1:9" x14ac:dyDescent="0.2">
      <c r="A703" s="484"/>
      <c r="B703" s="485"/>
      <c r="C703" s="502"/>
      <c r="D703" s="503"/>
      <c r="E703" s="502"/>
      <c r="F703" s="484"/>
      <c r="G703" s="504"/>
      <c r="H703" s="535"/>
      <c r="I703" s="612"/>
    </row>
    <row r="704" spans="1:9" ht="51" x14ac:dyDescent="0.2">
      <c r="A704" s="484" t="s">
        <v>1943</v>
      </c>
      <c r="B704" s="485"/>
      <c r="C704" s="502" t="s">
        <v>1944</v>
      </c>
      <c r="D704" s="503" t="s">
        <v>1945</v>
      </c>
      <c r="E704" s="502"/>
      <c r="F704" s="484"/>
      <c r="G704" s="504"/>
      <c r="H704" s="535"/>
      <c r="I704" s="612"/>
    </row>
    <row r="705" spans="1:9" x14ac:dyDescent="0.2">
      <c r="A705" s="484"/>
      <c r="B705" s="485"/>
      <c r="C705" s="502"/>
      <c r="D705" s="503"/>
      <c r="E705" s="502"/>
      <c r="F705" s="484"/>
      <c r="G705" s="504"/>
      <c r="H705" s="535"/>
      <c r="I705" s="612"/>
    </row>
    <row r="706" spans="1:9" x14ac:dyDescent="0.2">
      <c r="A706" s="484" t="s">
        <v>1946</v>
      </c>
      <c r="B706" s="485"/>
      <c r="C706" s="502" t="s">
        <v>1947</v>
      </c>
      <c r="D706" s="503" t="s">
        <v>1948</v>
      </c>
      <c r="E706" s="502"/>
      <c r="F706" s="484" t="s">
        <v>1329</v>
      </c>
      <c r="G706" s="504">
        <v>1</v>
      </c>
      <c r="H706" s="505">
        <v>2266</v>
      </c>
      <c r="I706" s="612">
        <f t="shared" si="26"/>
        <v>2266</v>
      </c>
    </row>
    <row r="707" spans="1:9" x14ac:dyDescent="0.2">
      <c r="A707" s="484"/>
      <c r="B707" s="485"/>
      <c r="C707" s="502"/>
      <c r="D707" s="503"/>
      <c r="E707" s="502"/>
      <c r="F707" s="484"/>
      <c r="G707" s="504"/>
      <c r="H707" s="535"/>
      <c r="I707" s="612"/>
    </row>
    <row r="708" spans="1:9" x14ac:dyDescent="0.2">
      <c r="A708" s="484" t="s">
        <v>1949</v>
      </c>
      <c r="B708" s="485"/>
      <c r="C708" s="502" t="s">
        <v>1950</v>
      </c>
      <c r="D708" s="503" t="s">
        <v>1951</v>
      </c>
      <c r="E708" s="502"/>
      <c r="F708" s="484" t="s">
        <v>1329</v>
      </c>
      <c r="G708" s="504">
        <v>1</v>
      </c>
      <c r="H708" s="505">
        <v>1680</v>
      </c>
      <c r="I708" s="612">
        <f t="shared" si="26"/>
        <v>1680</v>
      </c>
    </row>
    <row r="709" spans="1:9" x14ac:dyDescent="0.2">
      <c r="A709" s="484"/>
      <c r="B709" s="485"/>
      <c r="C709" s="502"/>
      <c r="D709" s="503"/>
      <c r="E709" s="502"/>
      <c r="F709" s="484"/>
      <c r="G709" s="504"/>
      <c r="H709" s="535"/>
      <c r="I709" s="612"/>
    </row>
    <row r="710" spans="1:9" s="516" customFormat="1" x14ac:dyDescent="0.2">
      <c r="A710" s="510"/>
      <c r="B710" s="511"/>
      <c r="C710" s="512"/>
      <c r="D710" s="513"/>
      <c r="E710" s="512"/>
      <c r="F710" s="514"/>
      <c r="G710" s="545"/>
      <c r="H710" s="994"/>
      <c r="I710" s="994"/>
    </row>
    <row r="711" spans="1:9" s="516" customFormat="1" x14ac:dyDescent="0.2">
      <c r="A711" s="517"/>
      <c r="B711" s="518"/>
      <c r="C711" s="519" t="s">
        <v>1285</v>
      </c>
      <c r="D711" s="520" t="s">
        <v>1286</v>
      </c>
      <c r="E711" s="519"/>
      <c r="F711" s="521"/>
      <c r="G711" s="546"/>
      <c r="H711" s="505"/>
      <c r="I711" s="508">
        <f>SUM(I702:I710)</f>
        <v>435669</v>
      </c>
    </row>
    <row r="712" spans="1:9" s="516" customFormat="1" x14ac:dyDescent="0.2">
      <c r="A712" s="523"/>
      <c r="B712" s="524"/>
      <c r="C712" s="525"/>
      <c r="D712" s="526"/>
      <c r="E712" s="525"/>
      <c r="F712" s="527"/>
      <c r="G712" s="523"/>
      <c r="H712" s="995"/>
      <c r="I712" s="996"/>
    </row>
    <row r="713" spans="1:9" x14ac:dyDescent="0.2">
      <c r="A713" s="484"/>
      <c r="B713" s="485"/>
      <c r="C713" s="502"/>
      <c r="D713" s="503"/>
      <c r="E713" s="502"/>
      <c r="F713" s="484"/>
      <c r="G713" s="504"/>
      <c r="H713" s="535"/>
      <c r="I713" s="612"/>
    </row>
    <row r="714" spans="1:9" ht="25.5" x14ac:dyDescent="0.2">
      <c r="A714" s="484"/>
      <c r="B714" s="485"/>
      <c r="C714" s="604" t="s">
        <v>1952</v>
      </c>
      <c r="D714" s="605" t="s">
        <v>1953</v>
      </c>
      <c r="E714" s="502"/>
      <c r="F714" s="484"/>
      <c r="G714" s="504"/>
      <c r="H714" s="535"/>
      <c r="I714" s="612"/>
    </row>
    <row r="715" spans="1:9" x14ac:dyDescent="0.2">
      <c r="A715" s="484"/>
      <c r="B715" s="485"/>
      <c r="C715" s="604"/>
      <c r="D715" s="605"/>
      <c r="E715" s="502"/>
      <c r="F715" s="484"/>
      <c r="G715" s="504"/>
      <c r="H715" s="535"/>
      <c r="I715" s="612"/>
    </row>
    <row r="716" spans="1:9" s="507" customFormat="1" x14ac:dyDescent="0.2">
      <c r="A716" s="484" t="s">
        <v>1954</v>
      </c>
      <c r="B716" s="485"/>
      <c r="C716" s="502" t="s">
        <v>1955</v>
      </c>
      <c r="D716" s="503" t="s">
        <v>1956</v>
      </c>
      <c r="E716" s="502"/>
      <c r="F716" s="484" t="s">
        <v>1329</v>
      </c>
      <c r="G716" s="504">
        <v>1</v>
      </c>
      <c r="H716" s="505">
        <v>4198</v>
      </c>
      <c r="I716" s="612">
        <f t="shared" ref="I716:I724" si="27">H716*G716</f>
        <v>4198</v>
      </c>
    </row>
    <row r="717" spans="1:9" x14ac:dyDescent="0.2">
      <c r="A717" s="484"/>
      <c r="B717" s="485"/>
      <c r="C717" s="502"/>
      <c r="D717" s="503"/>
      <c r="E717" s="502"/>
      <c r="F717" s="484"/>
      <c r="G717" s="504"/>
      <c r="H717" s="535"/>
      <c r="I717" s="612"/>
    </row>
    <row r="718" spans="1:9" s="507" customFormat="1" x14ac:dyDescent="0.2">
      <c r="A718" s="484" t="s">
        <v>1957</v>
      </c>
      <c r="B718" s="485"/>
      <c r="C718" s="502" t="s">
        <v>1958</v>
      </c>
      <c r="D718" s="503" t="s">
        <v>1959</v>
      </c>
      <c r="E718" s="502"/>
      <c r="F718" s="484" t="s">
        <v>1329</v>
      </c>
      <c r="G718" s="504">
        <v>1</v>
      </c>
      <c r="H718" s="505">
        <v>2266</v>
      </c>
      <c r="I718" s="612">
        <f t="shared" si="27"/>
        <v>2266</v>
      </c>
    </row>
    <row r="719" spans="1:9" x14ac:dyDescent="0.2">
      <c r="A719" s="484"/>
      <c r="B719" s="485"/>
      <c r="C719" s="502"/>
      <c r="D719" s="503"/>
      <c r="E719" s="502"/>
      <c r="F719" s="484"/>
      <c r="G719" s="504"/>
      <c r="H719" s="535"/>
      <c r="I719" s="612"/>
    </row>
    <row r="720" spans="1:9" s="507" customFormat="1" ht="38.25" x14ac:dyDescent="0.2">
      <c r="A720" s="484" t="s">
        <v>1960</v>
      </c>
      <c r="B720" s="485"/>
      <c r="C720" s="502" t="s">
        <v>1961</v>
      </c>
      <c r="D720" s="503" t="s">
        <v>1962</v>
      </c>
      <c r="E720" s="502"/>
      <c r="F720" s="484" t="s">
        <v>1329</v>
      </c>
      <c r="G720" s="504">
        <v>1</v>
      </c>
      <c r="H720" s="505">
        <v>3783</v>
      </c>
      <c r="I720" s="612">
        <f t="shared" si="27"/>
        <v>3783</v>
      </c>
    </row>
    <row r="721" spans="1:9" x14ac:dyDescent="0.2">
      <c r="A721" s="484"/>
      <c r="B721" s="485"/>
      <c r="C721" s="502"/>
      <c r="D721" s="503"/>
      <c r="E721" s="502"/>
      <c r="F721" s="484"/>
      <c r="G721" s="504"/>
      <c r="H721" s="535"/>
      <c r="I721" s="612"/>
    </row>
    <row r="722" spans="1:9" ht="63.75" x14ac:dyDescent="0.2">
      <c r="A722" s="484" t="s">
        <v>1963</v>
      </c>
      <c r="B722" s="485"/>
      <c r="C722" s="502" t="s">
        <v>1964</v>
      </c>
      <c r="D722" s="503" t="s">
        <v>1965</v>
      </c>
      <c r="E722" s="502"/>
      <c r="F722" s="484"/>
      <c r="G722" s="504"/>
      <c r="H722" s="535"/>
      <c r="I722" s="612"/>
    </row>
    <row r="723" spans="1:9" x14ac:dyDescent="0.2">
      <c r="A723" s="484"/>
      <c r="B723" s="485"/>
      <c r="C723" s="502"/>
      <c r="D723" s="503"/>
      <c r="E723" s="502"/>
      <c r="F723" s="484"/>
      <c r="G723" s="504"/>
      <c r="H723" s="535"/>
      <c r="I723" s="612"/>
    </row>
    <row r="724" spans="1:9" s="507" customFormat="1" x14ac:dyDescent="0.2">
      <c r="A724" s="484" t="s">
        <v>1966</v>
      </c>
      <c r="B724" s="485"/>
      <c r="C724" s="502" t="s">
        <v>1967</v>
      </c>
      <c r="D724" s="503" t="s">
        <v>1968</v>
      </c>
      <c r="E724" s="502"/>
      <c r="F724" s="484" t="s">
        <v>1329</v>
      </c>
      <c r="G724" s="504">
        <v>1</v>
      </c>
      <c r="H724" s="505">
        <v>1680</v>
      </c>
      <c r="I724" s="612">
        <f t="shared" si="27"/>
        <v>1680</v>
      </c>
    </row>
    <row r="725" spans="1:9" s="507" customFormat="1" x14ac:dyDescent="0.2">
      <c r="A725" s="484"/>
      <c r="B725" s="485"/>
      <c r="C725" s="502"/>
      <c r="D725" s="503"/>
      <c r="E725" s="502"/>
      <c r="F725" s="484"/>
      <c r="G725" s="504"/>
      <c r="H725" s="535"/>
      <c r="I725" s="612"/>
    </row>
    <row r="726" spans="1:9" s="516" customFormat="1" x14ac:dyDescent="0.2">
      <c r="A726" s="510"/>
      <c r="B726" s="511"/>
      <c r="C726" s="512"/>
      <c r="D726" s="513"/>
      <c r="E726" s="512"/>
      <c r="F726" s="514"/>
      <c r="G726" s="545"/>
      <c r="H726" s="994"/>
      <c r="I726" s="994"/>
    </row>
    <row r="727" spans="1:9" s="516" customFormat="1" x14ac:dyDescent="0.2">
      <c r="A727" s="517"/>
      <c r="B727" s="518"/>
      <c r="C727" s="519" t="s">
        <v>1285</v>
      </c>
      <c r="D727" s="520" t="s">
        <v>1286</v>
      </c>
      <c r="E727" s="519"/>
      <c r="F727" s="521"/>
      <c r="G727" s="546"/>
      <c r="H727" s="505"/>
      <c r="I727" s="508">
        <f>SUM(I715:I724)</f>
        <v>11927</v>
      </c>
    </row>
    <row r="728" spans="1:9" s="516" customFormat="1" x14ac:dyDescent="0.2">
      <c r="A728" s="523"/>
      <c r="B728" s="524"/>
      <c r="C728" s="525"/>
      <c r="D728" s="526"/>
      <c r="E728" s="525"/>
      <c r="F728" s="527"/>
      <c r="G728" s="523"/>
      <c r="H728" s="995"/>
      <c r="I728" s="996"/>
    </row>
    <row r="729" spans="1:9" x14ac:dyDescent="0.2">
      <c r="A729" s="484"/>
      <c r="B729" s="485"/>
      <c r="C729" s="502"/>
      <c r="D729" s="503"/>
      <c r="E729" s="502"/>
      <c r="F729" s="484"/>
      <c r="G729" s="504"/>
      <c r="H729" s="535"/>
      <c r="I729" s="612"/>
    </row>
    <row r="730" spans="1:9" ht="25.5" x14ac:dyDescent="0.2">
      <c r="A730" s="484"/>
      <c r="B730" s="485"/>
      <c r="C730" s="604" t="s">
        <v>1952</v>
      </c>
      <c r="D730" s="605" t="s">
        <v>1953</v>
      </c>
      <c r="E730" s="502"/>
      <c r="F730" s="484"/>
      <c r="G730" s="504"/>
      <c r="H730" s="535"/>
      <c r="I730" s="612"/>
    </row>
    <row r="731" spans="1:9" x14ac:dyDescent="0.2">
      <c r="A731" s="484"/>
      <c r="B731" s="485"/>
      <c r="C731" s="613"/>
      <c r="D731" s="614"/>
      <c r="E731" s="502"/>
      <c r="F731" s="484"/>
      <c r="G731" s="504"/>
      <c r="H731" s="535"/>
      <c r="I731" s="612"/>
    </row>
    <row r="732" spans="1:9" ht="114.75" x14ac:dyDescent="0.2">
      <c r="A732" s="484" t="s">
        <v>1969</v>
      </c>
      <c r="B732" s="485"/>
      <c r="C732" s="502" t="s">
        <v>1970</v>
      </c>
      <c r="D732" s="503" t="s">
        <v>1971</v>
      </c>
      <c r="E732" s="502"/>
      <c r="F732" s="484"/>
      <c r="G732" s="504"/>
      <c r="H732" s="535"/>
      <c r="I732" s="612"/>
    </row>
    <row r="733" spans="1:9" x14ac:dyDescent="0.2">
      <c r="A733" s="484"/>
      <c r="B733" s="485"/>
      <c r="C733" s="502"/>
      <c r="D733" s="503"/>
      <c r="E733" s="502"/>
      <c r="F733" s="484"/>
      <c r="G733" s="504"/>
      <c r="H733" s="535"/>
      <c r="I733" s="612"/>
    </row>
    <row r="734" spans="1:9" s="507" customFormat="1" x14ac:dyDescent="0.2">
      <c r="A734" s="484" t="s">
        <v>1972</v>
      </c>
      <c r="B734" s="485"/>
      <c r="C734" s="502" t="s">
        <v>1973</v>
      </c>
      <c r="D734" s="503" t="s">
        <v>1974</v>
      </c>
      <c r="E734" s="502"/>
      <c r="F734" s="484" t="s">
        <v>1329</v>
      </c>
      <c r="G734" s="504">
        <v>7</v>
      </c>
      <c r="H734" s="505">
        <v>11165</v>
      </c>
      <c r="I734" s="612">
        <f t="shared" ref="I734:I736" si="28">H734*G734</f>
        <v>78155</v>
      </c>
    </row>
    <row r="735" spans="1:9" x14ac:dyDescent="0.2">
      <c r="A735" s="484"/>
      <c r="B735" s="485"/>
      <c r="C735" s="502"/>
      <c r="D735" s="503"/>
      <c r="E735" s="502"/>
      <c r="F735" s="484"/>
      <c r="G735" s="504"/>
      <c r="H735" s="535"/>
      <c r="I735" s="612"/>
    </row>
    <row r="736" spans="1:9" s="507" customFormat="1" x14ac:dyDescent="0.2">
      <c r="A736" s="484" t="s">
        <v>1975</v>
      </c>
      <c r="B736" s="485"/>
      <c r="C736" s="502" t="s">
        <v>1976</v>
      </c>
      <c r="D736" s="503" t="s">
        <v>1977</v>
      </c>
      <c r="E736" s="502"/>
      <c r="F736" s="484" t="s">
        <v>1329</v>
      </c>
      <c r="G736" s="504">
        <v>1</v>
      </c>
      <c r="H736" s="505">
        <v>3214</v>
      </c>
      <c r="I736" s="612">
        <f t="shared" si="28"/>
        <v>3214</v>
      </c>
    </row>
    <row r="737" spans="1:9" x14ac:dyDescent="0.2">
      <c r="A737" s="484"/>
      <c r="B737" s="485"/>
      <c r="C737" s="502"/>
      <c r="D737" s="503"/>
      <c r="E737" s="502"/>
      <c r="F737" s="484"/>
      <c r="G737" s="504"/>
      <c r="H737" s="535"/>
      <c r="I737" s="612"/>
    </row>
    <row r="738" spans="1:9" s="516" customFormat="1" x14ac:dyDescent="0.2">
      <c r="A738" s="510"/>
      <c r="B738" s="511"/>
      <c r="C738" s="512"/>
      <c r="D738" s="513"/>
      <c r="E738" s="512"/>
      <c r="F738" s="514"/>
      <c r="G738" s="545"/>
      <c r="H738" s="994"/>
      <c r="I738" s="994"/>
    </row>
    <row r="739" spans="1:9" s="516" customFormat="1" x14ac:dyDescent="0.2">
      <c r="A739" s="517"/>
      <c r="B739" s="518"/>
      <c r="C739" s="519" t="s">
        <v>1285</v>
      </c>
      <c r="D739" s="520" t="s">
        <v>1286</v>
      </c>
      <c r="E739" s="519"/>
      <c r="F739" s="521"/>
      <c r="G739" s="546"/>
      <c r="H739" s="505"/>
      <c r="I739" s="508">
        <f>SUM(I732:I736)</f>
        <v>81369</v>
      </c>
    </row>
    <row r="740" spans="1:9" s="516" customFormat="1" x14ac:dyDescent="0.2">
      <c r="A740" s="523"/>
      <c r="B740" s="524"/>
      <c r="C740" s="525"/>
      <c r="D740" s="526"/>
      <c r="E740" s="525"/>
      <c r="F740" s="527"/>
      <c r="G740" s="523"/>
      <c r="H740" s="995"/>
      <c r="I740" s="996"/>
    </row>
    <row r="741" spans="1:9" x14ac:dyDescent="0.2">
      <c r="A741" s="484"/>
      <c r="B741" s="485"/>
      <c r="C741" s="502"/>
      <c r="D741" s="503"/>
      <c r="E741" s="502"/>
      <c r="F741" s="484"/>
      <c r="G741" s="504"/>
      <c r="H741" s="535"/>
      <c r="I741" s="612"/>
    </row>
    <row r="742" spans="1:9" ht="25.5" x14ac:dyDescent="0.2">
      <c r="A742" s="484"/>
      <c r="B742" s="485"/>
      <c r="C742" s="604" t="s">
        <v>1952</v>
      </c>
      <c r="D742" s="605" t="s">
        <v>1953</v>
      </c>
      <c r="E742" s="502"/>
      <c r="F742" s="484"/>
      <c r="G742" s="504"/>
      <c r="H742" s="535"/>
      <c r="I742" s="612"/>
    </row>
    <row r="743" spans="1:9" x14ac:dyDescent="0.2">
      <c r="A743" s="484"/>
      <c r="B743" s="485"/>
      <c r="C743" s="502"/>
      <c r="D743" s="503"/>
      <c r="E743" s="502"/>
      <c r="F743" s="484"/>
      <c r="G743" s="504"/>
      <c r="H743" s="535"/>
      <c r="I743" s="612"/>
    </row>
    <row r="744" spans="1:9" ht="102" x14ac:dyDescent="0.2">
      <c r="A744" s="484" t="s">
        <v>1978</v>
      </c>
      <c r="B744" s="485"/>
      <c r="C744" s="502" t="s">
        <v>1979</v>
      </c>
      <c r="D744" s="503" t="s">
        <v>1980</v>
      </c>
      <c r="E744" s="502"/>
      <c r="F744" s="484"/>
      <c r="G744" s="504"/>
      <c r="H744" s="535"/>
      <c r="I744" s="612"/>
    </row>
    <row r="745" spans="1:9" s="507" customFormat="1" x14ac:dyDescent="0.2">
      <c r="A745" s="484" t="s">
        <v>1981</v>
      </c>
      <c r="B745" s="485"/>
      <c r="C745" s="502" t="s">
        <v>1982</v>
      </c>
      <c r="D745" s="503" t="s">
        <v>1983</v>
      </c>
      <c r="E745" s="502"/>
      <c r="F745" s="484" t="s">
        <v>1329</v>
      </c>
      <c r="G745" s="504">
        <v>1</v>
      </c>
      <c r="H745" s="505">
        <v>3214</v>
      </c>
      <c r="I745" s="612">
        <f t="shared" ref="I745:I750" si="29">H745*G745</f>
        <v>3214</v>
      </c>
    </row>
    <row r="746" spans="1:9" x14ac:dyDescent="0.2">
      <c r="A746" s="484"/>
      <c r="B746" s="485"/>
      <c r="C746" s="502"/>
      <c r="D746" s="503"/>
      <c r="E746" s="502"/>
      <c r="F746" s="484"/>
      <c r="G746" s="504"/>
      <c r="H746" s="535"/>
      <c r="I746" s="612"/>
    </row>
    <row r="747" spans="1:9" s="507" customFormat="1" x14ac:dyDescent="0.2">
      <c r="A747" s="484" t="s">
        <v>1984</v>
      </c>
      <c r="B747" s="485"/>
      <c r="C747" s="502" t="s">
        <v>1985</v>
      </c>
      <c r="D747" s="503" t="s">
        <v>1986</v>
      </c>
      <c r="E747" s="502"/>
      <c r="F747" s="484" t="s">
        <v>1329</v>
      </c>
      <c r="G747" s="504">
        <v>1</v>
      </c>
      <c r="H747" s="505">
        <v>2847</v>
      </c>
      <c r="I747" s="612">
        <f t="shared" si="29"/>
        <v>2847</v>
      </c>
    </row>
    <row r="748" spans="1:9" s="507" customFormat="1" x14ac:dyDescent="0.2">
      <c r="A748" s="484"/>
      <c r="B748" s="485"/>
      <c r="C748" s="502"/>
      <c r="D748" s="503"/>
      <c r="E748" s="502"/>
      <c r="F748" s="484"/>
      <c r="G748" s="504"/>
      <c r="H748" s="535"/>
      <c r="I748" s="612"/>
    </row>
    <row r="749" spans="1:9" x14ac:dyDescent="0.2">
      <c r="A749" s="484"/>
      <c r="B749" s="485"/>
      <c r="C749" s="502"/>
      <c r="D749" s="503"/>
      <c r="E749" s="502"/>
      <c r="F749" s="484"/>
      <c r="G749" s="504"/>
      <c r="H749" s="535"/>
      <c r="I749" s="612"/>
    </row>
    <row r="750" spans="1:9" s="507" customFormat="1" ht="76.5" x14ac:dyDescent="0.2">
      <c r="A750" s="484" t="s">
        <v>1987</v>
      </c>
      <c r="B750" s="485"/>
      <c r="C750" s="502" t="s">
        <v>1988</v>
      </c>
      <c r="D750" s="503" t="s">
        <v>1989</v>
      </c>
      <c r="E750" s="502"/>
      <c r="F750" s="484" t="s">
        <v>1990</v>
      </c>
      <c r="G750" s="504">
        <v>1772</v>
      </c>
      <c r="H750" s="505">
        <v>27</v>
      </c>
      <c r="I750" s="612">
        <f t="shared" si="29"/>
        <v>47844</v>
      </c>
    </row>
    <row r="751" spans="1:9" x14ac:dyDescent="0.2">
      <c r="A751" s="484"/>
      <c r="B751" s="485"/>
      <c r="C751" s="502"/>
      <c r="D751" s="503"/>
      <c r="E751" s="502"/>
      <c r="F751" s="484"/>
      <c r="G751" s="504"/>
      <c r="H751" s="535"/>
      <c r="I751" s="612"/>
    </row>
    <row r="752" spans="1:9" s="516" customFormat="1" x14ac:dyDescent="0.2">
      <c r="A752" s="510"/>
      <c r="B752" s="511"/>
      <c r="C752" s="512"/>
      <c r="D752" s="513"/>
      <c r="E752" s="512"/>
      <c r="F752" s="514"/>
      <c r="G752" s="545"/>
      <c r="H752" s="994"/>
      <c r="I752" s="994"/>
    </row>
    <row r="753" spans="1:9" s="516" customFormat="1" x14ac:dyDescent="0.2">
      <c r="A753" s="517"/>
      <c r="B753" s="518"/>
      <c r="C753" s="519" t="s">
        <v>1285</v>
      </c>
      <c r="D753" s="520" t="s">
        <v>1286</v>
      </c>
      <c r="E753" s="519"/>
      <c r="F753" s="521"/>
      <c r="G753" s="546"/>
      <c r="H753" s="505"/>
      <c r="I753" s="508">
        <f>SUM(I744:I750)</f>
        <v>53905</v>
      </c>
    </row>
    <row r="754" spans="1:9" s="516" customFormat="1" x14ac:dyDescent="0.2">
      <c r="A754" s="523"/>
      <c r="B754" s="524"/>
      <c r="C754" s="525"/>
      <c r="D754" s="526"/>
      <c r="E754" s="525"/>
      <c r="F754" s="527"/>
      <c r="G754" s="523"/>
      <c r="H754" s="995"/>
      <c r="I754" s="996"/>
    </row>
    <row r="755" spans="1:9" x14ac:dyDescent="0.2">
      <c r="A755" s="484"/>
      <c r="B755" s="485"/>
      <c r="C755" s="502"/>
      <c r="D755" s="503"/>
      <c r="E755" s="502"/>
      <c r="F755" s="484"/>
      <c r="G755" s="504"/>
      <c r="H755" s="535"/>
      <c r="I755" s="612"/>
    </row>
    <row r="756" spans="1:9" ht="25.5" x14ac:dyDescent="0.2">
      <c r="A756" s="484"/>
      <c r="B756" s="485"/>
      <c r="C756" s="604" t="s">
        <v>1952</v>
      </c>
      <c r="D756" s="605" t="s">
        <v>1953</v>
      </c>
      <c r="E756" s="502"/>
      <c r="F756" s="484"/>
      <c r="G756" s="504"/>
      <c r="H756" s="535"/>
      <c r="I756" s="612"/>
    </row>
    <row r="757" spans="1:9" x14ac:dyDescent="0.2">
      <c r="A757" s="484"/>
      <c r="B757" s="485"/>
      <c r="C757" s="604"/>
      <c r="D757" s="605"/>
      <c r="E757" s="502"/>
      <c r="F757" s="484"/>
      <c r="G757" s="504"/>
      <c r="H757" s="535"/>
      <c r="I757" s="612"/>
    </row>
    <row r="758" spans="1:9" s="507" customFormat="1" ht="25.5" x14ac:dyDescent="0.2">
      <c r="A758" s="484" t="s">
        <v>1991</v>
      </c>
      <c r="B758" s="485"/>
      <c r="C758" s="502" t="s">
        <v>1992</v>
      </c>
      <c r="D758" s="503" t="s">
        <v>1993</v>
      </c>
      <c r="E758" s="502"/>
      <c r="F758" s="484" t="s">
        <v>107</v>
      </c>
      <c r="G758" s="504">
        <v>310</v>
      </c>
      <c r="H758" s="505">
        <v>27</v>
      </c>
      <c r="I758" s="612">
        <f t="shared" ref="I758:I764" si="30">H758*G758</f>
        <v>8370</v>
      </c>
    </row>
    <row r="759" spans="1:9" s="507" customFormat="1" x14ac:dyDescent="0.2">
      <c r="A759" s="484"/>
      <c r="B759" s="485"/>
      <c r="C759" s="502"/>
      <c r="D759" s="503"/>
      <c r="E759" s="502"/>
      <c r="F759" s="484"/>
      <c r="G759" s="504"/>
      <c r="H759" s="535"/>
      <c r="I759" s="612"/>
    </row>
    <row r="760" spans="1:9" s="507" customFormat="1" ht="38.25" x14ac:dyDescent="0.2">
      <c r="A760" s="484" t="s">
        <v>1994</v>
      </c>
      <c r="B760" s="485"/>
      <c r="C760" s="502" t="s">
        <v>1995</v>
      </c>
      <c r="D760" s="503" t="s">
        <v>1996</v>
      </c>
      <c r="E760" s="502"/>
      <c r="F760" s="484" t="s">
        <v>107</v>
      </c>
      <c r="G760" s="504">
        <v>26</v>
      </c>
      <c r="H760" s="505">
        <v>33</v>
      </c>
      <c r="I760" s="612">
        <f t="shared" si="30"/>
        <v>858</v>
      </c>
    </row>
    <row r="761" spans="1:9" x14ac:dyDescent="0.2">
      <c r="A761" s="484"/>
      <c r="B761" s="485"/>
      <c r="C761" s="502"/>
      <c r="D761" s="503"/>
      <c r="E761" s="502"/>
      <c r="F761" s="484"/>
      <c r="G761" s="504"/>
      <c r="H761" s="535"/>
      <c r="I761" s="612"/>
    </row>
    <row r="762" spans="1:9" ht="38.25" x14ac:dyDescent="0.2">
      <c r="A762" s="484" t="s">
        <v>1997</v>
      </c>
      <c r="B762" s="485"/>
      <c r="C762" s="502" t="s">
        <v>1998</v>
      </c>
      <c r="D762" s="503" t="s">
        <v>1999</v>
      </c>
      <c r="E762" s="502"/>
      <c r="F762" s="484"/>
      <c r="G762" s="504"/>
      <c r="H762" s="535"/>
      <c r="I762" s="612"/>
    </row>
    <row r="763" spans="1:9" x14ac:dyDescent="0.2">
      <c r="A763" s="484"/>
      <c r="B763" s="485"/>
      <c r="C763" s="502"/>
      <c r="D763" s="503"/>
      <c r="E763" s="502"/>
      <c r="F763" s="484"/>
      <c r="G763" s="504"/>
      <c r="H763" s="535"/>
      <c r="I763" s="612"/>
    </row>
    <row r="764" spans="1:9" x14ac:dyDescent="0.2">
      <c r="A764" s="484" t="s">
        <v>2000</v>
      </c>
      <c r="B764" s="485"/>
      <c r="C764" s="502" t="s">
        <v>2001</v>
      </c>
      <c r="D764" s="503" t="s">
        <v>2002</v>
      </c>
      <c r="E764" s="502"/>
      <c r="F764" s="484" t="s">
        <v>1329</v>
      </c>
      <c r="G764" s="504">
        <v>14</v>
      </c>
      <c r="H764" s="505">
        <v>116</v>
      </c>
      <c r="I764" s="612">
        <f t="shared" si="30"/>
        <v>1624</v>
      </c>
    </row>
    <row r="765" spans="1:9" x14ac:dyDescent="0.2">
      <c r="A765" s="484"/>
      <c r="B765" s="485"/>
      <c r="C765" s="502"/>
      <c r="D765" s="503"/>
      <c r="E765" s="502"/>
      <c r="F765" s="484"/>
      <c r="G765" s="504"/>
      <c r="H765" s="535"/>
      <c r="I765" s="612"/>
    </row>
    <row r="766" spans="1:9" s="516" customFormat="1" x14ac:dyDescent="0.2">
      <c r="A766" s="510"/>
      <c r="B766" s="511"/>
      <c r="C766" s="512"/>
      <c r="D766" s="513"/>
      <c r="E766" s="512"/>
      <c r="F766" s="514"/>
      <c r="G766" s="545"/>
      <c r="H766" s="994"/>
      <c r="I766" s="994"/>
    </row>
    <row r="767" spans="1:9" s="516" customFormat="1" x14ac:dyDescent="0.2">
      <c r="A767" s="517"/>
      <c r="B767" s="518"/>
      <c r="C767" s="519" t="s">
        <v>1285</v>
      </c>
      <c r="D767" s="520" t="s">
        <v>1286</v>
      </c>
      <c r="E767" s="519"/>
      <c r="F767" s="521"/>
      <c r="G767" s="546"/>
      <c r="H767" s="505"/>
      <c r="I767" s="508">
        <f>SUM(I756:I764)</f>
        <v>10852</v>
      </c>
    </row>
    <row r="768" spans="1:9" s="516" customFormat="1" x14ac:dyDescent="0.2">
      <c r="A768" s="523"/>
      <c r="B768" s="524"/>
      <c r="C768" s="525"/>
      <c r="D768" s="526"/>
      <c r="E768" s="525"/>
      <c r="F768" s="527"/>
      <c r="G768" s="523"/>
      <c r="H768" s="995"/>
      <c r="I768" s="996"/>
    </row>
    <row r="769" spans="1:9" x14ac:dyDescent="0.2">
      <c r="A769" s="484"/>
      <c r="B769" s="485"/>
      <c r="C769" s="502"/>
      <c r="D769" s="503"/>
      <c r="E769" s="502"/>
      <c r="F769" s="484"/>
      <c r="G769" s="504"/>
      <c r="H769" s="535"/>
      <c r="I769" s="612"/>
    </row>
    <row r="770" spans="1:9" ht="25.5" x14ac:dyDescent="0.2">
      <c r="A770" s="484"/>
      <c r="B770" s="485"/>
      <c r="C770" s="604" t="s">
        <v>1952</v>
      </c>
      <c r="D770" s="605" t="s">
        <v>1953</v>
      </c>
      <c r="E770" s="502"/>
      <c r="F770" s="484"/>
      <c r="G770" s="504"/>
      <c r="H770" s="535"/>
      <c r="I770" s="612"/>
    </row>
    <row r="771" spans="1:9" x14ac:dyDescent="0.2">
      <c r="A771" s="484"/>
      <c r="B771" s="485"/>
      <c r="C771" s="502"/>
      <c r="D771" s="503"/>
      <c r="E771" s="502"/>
      <c r="F771" s="484"/>
      <c r="G771" s="504"/>
      <c r="H771" s="535"/>
      <c r="I771" s="612"/>
    </row>
    <row r="772" spans="1:9" ht="25.5" x14ac:dyDescent="0.2">
      <c r="A772" s="484" t="s">
        <v>2003</v>
      </c>
      <c r="B772" s="485"/>
      <c r="C772" s="502" t="s">
        <v>2004</v>
      </c>
      <c r="D772" s="503" t="s">
        <v>2005</v>
      </c>
      <c r="E772" s="502"/>
      <c r="F772" s="484"/>
      <c r="G772" s="504"/>
      <c r="H772" s="535"/>
      <c r="I772" s="612"/>
    </row>
    <row r="773" spans="1:9" x14ac:dyDescent="0.2">
      <c r="A773" s="484"/>
      <c r="B773" s="485"/>
      <c r="C773" s="502"/>
      <c r="D773" s="503"/>
      <c r="E773" s="502"/>
      <c r="F773" s="484"/>
      <c r="G773" s="504"/>
      <c r="H773" s="535"/>
      <c r="I773" s="612"/>
    </row>
    <row r="774" spans="1:9" x14ac:dyDescent="0.2">
      <c r="A774" s="484" t="s">
        <v>2006</v>
      </c>
      <c r="B774" s="485"/>
      <c r="C774" s="502" t="s">
        <v>2007</v>
      </c>
      <c r="D774" s="503" t="s">
        <v>2008</v>
      </c>
      <c r="E774" s="502"/>
      <c r="F774" s="484" t="s">
        <v>1329</v>
      </c>
      <c r="G774" s="504">
        <v>6</v>
      </c>
      <c r="H774" s="505">
        <v>330</v>
      </c>
      <c r="I774" s="612">
        <f t="shared" ref="I774:I778" si="31">H774*G774</f>
        <v>1980</v>
      </c>
    </row>
    <row r="775" spans="1:9" x14ac:dyDescent="0.2">
      <c r="A775" s="484"/>
      <c r="B775" s="485"/>
      <c r="C775" s="502"/>
      <c r="D775" s="503"/>
      <c r="E775" s="502"/>
      <c r="F775" s="484"/>
      <c r="G775" s="504"/>
      <c r="H775" s="535"/>
      <c r="I775" s="612"/>
    </row>
    <row r="776" spans="1:9" ht="63.75" x14ac:dyDescent="0.2">
      <c r="A776" s="484" t="s">
        <v>2009</v>
      </c>
      <c r="B776" s="485"/>
      <c r="C776" s="502" t="s">
        <v>2010</v>
      </c>
      <c r="D776" s="503" t="s">
        <v>2011</v>
      </c>
      <c r="E776" s="502"/>
      <c r="F776" s="484"/>
      <c r="G776" s="504"/>
      <c r="H776" s="535"/>
      <c r="I776" s="612"/>
    </row>
    <row r="777" spans="1:9" x14ac:dyDescent="0.2">
      <c r="A777" s="484"/>
      <c r="B777" s="485"/>
      <c r="C777" s="502"/>
      <c r="D777" s="503"/>
      <c r="E777" s="502"/>
      <c r="F777" s="484"/>
      <c r="G777" s="504"/>
      <c r="H777" s="535"/>
      <c r="I777" s="612"/>
    </row>
    <row r="778" spans="1:9" x14ac:dyDescent="0.2">
      <c r="A778" s="484" t="s">
        <v>2012</v>
      </c>
      <c r="B778" s="485"/>
      <c r="C778" s="502" t="s">
        <v>2013</v>
      </c>
      <c r="D778" s="503" t="s">
        <v>2014</v>
      </c>
      <c r="E778" s="502"/>
      <c r="F778" s="484" t="s">
        <v>1507</v>
      </c>
      <c r="G778" s="504">
        <v>16</v>
      </c>
      <c r="H778" s="505">
        <v>539</v>
      </c>
      <c r="I778" s="612">
        <f t="shared" si="31"/>
        <v>8624</v>
      </c>
    </row>
    <row r="779" spans="1:9" x14ac:dyDescent="0.2">
      <c r="A779" s="484"/>
      <c r="B779" s="485"/>
      <c r="C779" s="502"/>
      <c r="D779" s="503"/>
      <c r="E779" s="502"/>
      <c r="F779" s="484"/>
      <c r="G779" s="504"/>
      <c r="H779" s="535"/>
      <c r="I779" s="612"/>
    </row>
    <row r="780" spans="1:9" s="516" customFormat="1" x14ac:dyDescent="0.2">
      <c r="A780" s="510"/>
      <c r="B780" s="511"/>
      <c r="C780" s="512"/>
      <c r="D780" s="513"/>
      <c r="E780" s="512"/>
      <c r="F780" s="514"/>
      <c r="G780" s="545"/>
      <c r="H780" s="994"/>
      <c r="I780" s="994"/>
    </row>
    <row r="781" spans="1:9" s="516" customFormat="1" x14ac:dyDescent="0.2">
      <c r="A781" s="517"/>
      <c r="B781" s="518"/>
      <c r="C781" s="519" t="s">
        <v>1285</v>
      </c>
      <c r="D781" s="520" t="s">
        <v>1286</v>
      </c>
      <c r="E781" s="519"/>
      <c r="F781" s="521"/>
      <c r="G781" s="546"/>
      <c r="H781" s="505"/>
      <c r="I781" s="508">
        <f>SUM(I772:I778)</f>
        <v>10604</v>
      </c>
    </row>
    <row r="782" spans="1:9" s="516" customFormat="1" x14ac:dyDescent="0.2">
      <c r="A782" s="523"/>
      <c r="B782" s="524"/>
      <c r="C782" s="525"/>
      <c r="D782" s="526"/>
      <c r="E782" s="525"/>
      <c r="F782" s="527"/>
      <c r="G782" s="523"/>
      <c r="H782" s="995"/>
      <c r="I782" s="996"/>
    </row>
    <row r="783" spans="1:9" s="516" customFormat="1" x14ac:dyDescent="0.2">
      <c r="A783" s="529"/>
      <c r="B783" s="518"/>
      <c r="C783" s="530"/>
      <c r="D783" s="531"/>
      <c r="E783" s="530"/>
      <c r="F783" s="514"/>
      <c r="G783" s="550"/>
      <c r="H783" s="505"/>
      <c r="I783" s="997"/>
    </row>
    <row r="784" spans="1:9" ht="25.5" x14ac:dyDescent="0.2">
      <c r="A784" s="484"/>
      <c r="B784" s="485"/>
      <c r="C784" s="604" t="s">
        <v>1952</v>
      </c>
      <c r="D784" s="605" t="s">
        <v>1953</v>
      </c>
      <c r="E784" s="502"/>
      <c r="F784" s="484"/>
      <c r="G784" s="504"/>
      <c r="H784" s="535"/>
      <c r="I784" s="612"/>
    </row>
    <row r="785" spans="1:9" x14ac:dyDescent="0.2">
      <c r="A785" s="484"/>
      <c r="B785" s="485"/>
      <c r="C785" s="604"/>
      <c r="D785" s="605"/>
      <c r="E785" s="502"/>
      <c r="F785" s="484"/>
      <c r="G785" s="504"/>
      <c r="H785" s="535"/>
      <c r="I785" s="612"/>
    </row>
    <row r="786" spans="1:9" ht="38.25" x14ac:dyDescent="0.2">
      <c r="A786" s="484" t="s">
        <v>2015</v>
      </c>
      <c r="B786" s="485"/>
      <c r="C786" s="502" t="s">
        <v>2016</v>
      </c>
      <c r="D786" s="503" t="s">
        <v>2017</v>
      </c>
      <c r="E786" s="502"/>
      <c r="F786" s="484"/>
      <c r="G786" s="504"/>
      <c r="H786" s="535"/>
      <c r="I786" s="612"/>
    </row>
    <row r="787" spans="1:9" x14ac:dyDescent="0.2">
      <c r="A787" s="484"/>
      <c r="B787" s="485"/>
      <c r="C787" s="502"/>
      <c r="D787" s="503"/>
      <c r="E787" s="502"/>
      <c r="F787" s="484"/>
      <c r="G787" s="504"/>
      <c r="H787" s="535"/>
      <c r="I787" s="612"/>
    </row>
    <row r="788" spans="1:9" x14ac:dyDescent="0.2">
      <c r="A788" s="484" t="s">
        <v>2018</v>
      </c>
      <c r="B788" s="485"/>
      <c r="C788" s="502" t="s">
        <v>2019</v>
      </c>
      <c r="D788" s="503" t="s">
        <v>2020</v>
      </c>
      <c r="E788" s="502"/>
      <c r="F788" s="484" t="s">
        <v>1507</v>
      </c>
      <c r="G788" s="504">
        <v>16</v>
      </c>
      <c r="H788" s="505">
        <v>188</v>
      </c>
      <c r="I788" s="612">
        <f t="shared" ref="I788:I794" si="32">H788*G788</f>
        <v>3008</v>
      </c>
    </row>
    <row r="789" spans="1:9" x14ac:dyDescent="0.2">
      <c r="A789" s="484"/>
      <c r="B789" s="485"/>
      <c r="C789" s="502"/>
      <c r="D789" s="503"/>
      <c r="E789" s="502"/>
      <c r="F789" s="484"/>
      <c r="G789" s="504"/>
      <c r="H789" s="535"/>
      <c r="I789" s="612"/>
    </row>
    <row r="790" spans="1:9" ht="63.75" x14ac:dyDescent="0.2">
      <c r="A790" s="484" t="s">
        <v>2021</v>
      </c>
      <c r="B790" s="485"/>
      <c r="C790" s="502" t="s">
        <v>2022</v>
      </c>
      <c r="D790" s="503" t="s">
        <v>2023</v>
      </c>
      <c r="E790" s="502"/>
      <c r="F790" s="484"/>
      <c r="G790" s="504"/>
      <c r="H790" s="535"/>
      <c r="I790" s="612"/>
    </row>
    <row r="791" spans="1:9" x14ac:dyDescent="0.2">
      <c r="A791" s="484"/>
      <c r="B791" s="485"/>
      <c r="C791" s="502"/>
      <c r="D791" s="503"/>
      <c r="E791" s="502"/>
      <c r="F791" s="484"/>
      <c r="G791" s="504"/>
      <c r="H791" s="535"/>
      <c r="I791" s="612"/>
    </row>
    <row r="792" spans="1:9" x14ac:dyDescent="0.2">
      <c r="A792" s="484" t="s">
        <v>2024</v>
      </c>
      <c r="B792" s="485"/>
      <c r="C792" s="502" t="s">
        <v>2025</v>
      </c>
      <c r="D792" s="503" t="s">
        <v>2026</v>
      </c>
      <c r="E792" s="502"/>
      <c r="F792" s="484" t="s">
        <v>1507</v>
      </c>
      <c r="G792" s="504">
        <v>75</v>
      </c>
      <c r="H792" s="505">
        <v>702</v>
      </c>
      <c r="I792" s="612">
        <f t="shared" si="32"/>
        <v>52650</v>
      </c>
    </row>
    <row r="793" spans="1:9" x14ac:dyDescent="0.2">
      <c r="A793" s="484"/>
      <c r="B793" s="485"/>
      <c r="C793" s="502"/>
      <c r="D793" s="503"/>
      <c r="E793" s="502"/>
      <c r="F793" s="484"/>
      <c r="G793" s="504"/>
      <c r="H793" s="535"/>
      <c r="I793" s="612"/>
    </row>
    <row r="794" spans="1:9" x14ac:dyDescent="0.2">
      <c r="A794" s="484" t="s">
        <v>2027</v>
      </c>
      <c r="B794" s="485"/>
      <c r="C794" s="502" t="s">
        <v>2028</v>
      </c>
      <c r="D794" s="503" t="s">
        <v>2029</v>
      </c>
      <c r="E794" s="502"/>
      <c r="F794" s="484" t="s">
        <v>1507</v>
      </c>
      <c r="G794" s="504">
        <v>4</v>
      </c>
      <c r="H794" s="505">
        <v>799</v>
      </c>
      <c r="I794" s="612">
        <f t="shared" si="32"/>
        <v>3196</v>
      </c>
    </row>
    <row r="795" spans="1:9" x14ac:dyDescent="0.2">
      <c r="A795" s="484"/>
      <c r="B795" s="485"/>
      <c r="C795" s="502"/>
      <c r="D795" s="503"/>
      <c r="E795" s="502"/>
      <c r="F795" s="484"/>
      <c r="G795" s="504"/>
      <c r="H795" s="535"/>
      <c r="I795" s="612"/>
    </row>
    <row r="796" spans="1:9" x14ac:dyDescent="0.2">
      <c r="A796" s="484"/>
      <c r="B796" s="485"/>
      <c r="C796" s="502"/>
      <c r="D796" s="503"/>
      <c r="E796" s="502"/>
      <c r="F796" s="484"/>
      <c r="G796" s="504"/>
      <c r="H796" s="535"/>
      <c r="I796" s="612"/>
    </row>
    <row r="797" spans="1:9" s="516" customFormat="1" x14ac:dyDescent="0.2">
      <c r="A797" s="510"/>
      <c r="B797" s="511"/>
      <c r="C797" s="512"/>
      <c r="D797" s="513"/>
      <c r="E797" s="512"/>
      <c r="F797" s="514"/>
      <c r="G797" s="545"/>
      <c r="H797" s="994"/>
      <c r="I797" s="994"/>
    </row>
    <row r="798" spans="1:9" s="516" customFormat="1" x14ac:dyDescent="0.2">
      <c r="A798" s="517"/>
      <c r="B798" s="518"/>
      <c r="C798" s="519" t="s">
        <v>1285</v>
      </c>
      <c r="D798" s="520" t="s">
        <v>1286</v>
      </c>
      <c r="E798" s="519"/>
      <c r="F798" s="521"/>
      <c r="G798" s="546"/>
      <c r="H798" s="505"/>
      <c r="I798" s="508">
        <f>SUM(I788:I795)</f>
        <v>58854</v>
      </c>
    </row>
    <row r="799" spans="1:9" s="516" customFormat="1" x14ac:dyDescent="0.2">
      <c r="A799" s="523"/>
      <c r="B799" s="524"/>
      <c r="C799" s="525"/>
      <c r="D799" s="526"/>
      <c r="E799" s="525"/>
      <c r="F799" s="527"/>
      <c r="G799" s="523"/>
      <c r="H799" s="995"/>
      <c r="I799" s="996"/>
    </row>
    <row r="800" spans="1:9" x14ac:dyDescent="0.2">
      <c r="A800" s="484"/>
      <c r="B800" s="485"/>
      <c r="C800" s="502"/>
      <c r="D800" s="503"/>
      <c r="E800" s="502"/>
      <c r="F800" s="484"/>
      <c r="G800" s="504"/>
      <c r="H800" s="535"/>
      <c r="I800" s="612"/>
    </row>
    <row r="801" spans="1:9" ht="25.5" x14ac:dyDescent="0.2">
      <c r="A801" s="484"/>
      <c r="B801" s="485"/>
      <c r="C801" s="604" t="s">
        <v>1952</v>
      </c>
      <c r="D801" s="605" t="s">
        <v>1953</v>
      </c>
      <c r="E801" s="502"/>
      <c r="F801" s="484"/>
      <c r="G801" s="504"/>
      <c r="H801" s="535"/>
      <c r="I801" s="612"/>
    </row>
    <row r="802" spans="1:9" x14ac:dyDescent="0.2">
      <c r="A802" s="484"/>
      <c r="B802" s="485"/>
      <c r="C802" s="502"/>
      <c r="D802" s="503"/>
      <c r="E802" s="502"/>
      <c r="F802" s="484"/>
      <c r="G802" s="504"/>
      <c r="H802" s="535"/>
      <c r="I802" s="612"/>
    </row>
    <row r="803" spans="1:9" ht="51" x14ac:dyDescent="0.2">
      <c r="A803" s="484" t="s">
        <v>2030</v>
      </c>
      <c r="B803" s="485"/>
      <c r="C803" s="502" t="s">
        <v>2031</v>
      </c>
      <c r="D803" s="503" t="s">
        <v>2032</v>
      </c>
      <c r="E803" s="502"/>
      <c r="F803" s="484"/>
      <c r="G803" s="504"/>
      <c r="H803" s="535"/>
      <c r="I803" s="612"/>
    </row>
    <row r="804" spans="1:9" x14ac:dyDescent="0.2">
      <c r="A804" s="484"/>
      <c r="B804" s="485"/>
      <c r="C804" s="502"/>
      <c r="D804" s="503"/>
      <c r="E804" s="502"/>
      <c r="F804" s="484"/>
      <c r="G804" s="504"/>
      <c r="H804" s="535"/>
      <c r="I804" s="612"/>
    </row>
    <row r="805" spans="1:9" x14ac:dyDescent="0.2">
      <c r="A805" s="484" t="s">
        <v>2033</v>
      </c>
      <c r="B805" s="485"/>
      <c r="C805" s="502" t="s">
        <v>2034</v>
      </c>
      <c r="D805" s="503" t="s">
        <v>2035</v>
      </c>
      <c r="E805" s="502"/>
      <c r="F805" s="484" t="s">
        <v>1507</v>
      </c>
      <c r="G805" s="504">
        <v>60</v>
      </c>
      <c r="H805" s="505">
        <v>277</v>
      </c>
      <c r="I805" s="612">
        <f t="shared" ref="I805:I812" si="33">H805*G805</f>
        <v>16620</v>
      </c>
    </row>
    <row r="806" spans="1:9" x14ac:dyDescent="0.2">
      <c r="A806" s="484"/>
      <c r="B806" s="485"/>
      <c r="C806" s="502"/>
      <c r="D806" s="503"/>
      <c r="E806" s="502"/>
      <c r="F806" s="484"/>
      <c r="G806" s="504"/>
      <c r="H806" s="535"/>
      <c r="I806" s="612"/>
    </row>
    <row r="807" spans="1:9" x14ac:dyDescent="0.2">
      <c r="A807" s="484" t="s">
        <v>2036</v>
      </c>
      <c r="B807" s="485"/>
      <c r="C807" s="502" t="s">
        <v>2037</v>
      </c>
      <c r="D807" s="503" t="s">
        <v>2038</v>
      </c>
      <c r="E807" s="502"/>
      <c r="F807" s="484" t="s">
        <v>1507</v>
      </c>
      <c r="G807" s="504">
        <v>4</v>
      </c>
      <c r="H807" s="505">
        <v>337</v>
      </c>
      <c r="I807" s="612">
        <f t="shared" si="33"/>
        <v>1348</v>
      </c>
    </row>
    <row r="808" spans="1:9" x14ac:dyDescent="0.2">
      <c r="A808" s="484"/>
      <c r="B808" s="485"/>
      <c r="C808" s="502"/>
      <c r="D808" s="503"/>
      <c r="E808" s="502"/>
      <c r="F808" s="484"/>
      <c r="G808" s="504"/>
      <c r="H808" s="535"/>
      <c r="I808" s="612"/>
    </row>
    <row r="809" spans="1:9" x14ac:dyDescent="0.2">
      <c r="A809" s="484"/>
      <c r="B809" s="485"/>
      <c r="C809" s="502"/>
      <c r="D809" s="503"/>
      <c r="E809" s="502"/>
      <c r="F809" s="484"/>
      <c r="G809" s="504"/>
      <c r="H809" s="535"/>
      <c r="I809" s="612"/>
    </row>
    <row r="810" spans="1:9" ht="63.75" x14ac:dyDescent="0.2">
      <c r="A810" s="484">
        <v>15.7</v>
      </c>
      <c r="B810" s="485"/>
      <c r="C810" s="502" t="s">
        <v>2039</v>
      </c>
      <c r="D810" s="503" t="s">
        <v>2040</v>
      </c>
      <c r="E810" s="502"/>
      <c r="F810" s="484"/>
      <c r="G810" s="496"/>
      <c r="H810" s="535"/>
      <c r="I810" s="612"/>
    </row>
    <row r="811" spans="1:9" x14ac:dyDescent="0.2">
      <c r="A811" s="484"/>
      <c r="B811" s="485"/>
      <c r="C811" s="502"/>
      <c r="D811" s="503"/>
      <c r="E811" s="502"/>
      <c r="F811" s="484"/>
      <c r="G811" s="504"/>
      <c r="H811" s="535"/>
      <c r="I811" s="612"/>
    </row>
    <row r="812" spans="1:9" x14ac:dyDescent="0.2">
      <c r="A812" s="484" t="s">
        <v>2041</v>
      </c>
      <c r="B812" s="485"/>
      <c r="C812" s="502" t="s">
        <v>2042</v>
      </c>
      <c r="D812" s="503" t="s">
        <v>2043</v>
      </c>
      <c r="E812" s="502"/>
      <c r="F812" s="484" t="s">
        <v>1329</v>
      </c>
      <c r="G812" s="496">
        <v>1</v>
      </c>
      <c r="H812" s="505">
        <v>18999</v>
      </c>
      <c r="I812" s="612">
        <f t="shared" si="33"/>
        <v>18999</v>
      </c>
    </row>
    <row r="813" spans="1:9" x14ac:dyDescent="0.2">
      <c r="A813" s="484"/>
      <c r="B813" s="485"/>
      <c r="C813" s="502"/>
      <c r="D813" s="503"/>
      <c r="E813" s="502"/>
      <c r="F813" s="484"/>
      <c r="G813" s="504"/>
      <c r="H813" s="535"/>
      <c r="I813" s="612"/>
    </row>
    <row r="814" spans="1:9" x14ac:dyDescent="0.2">
      <c r="A814" s="484"/>
      <c r="B814" s="485"/>
      <c r="C814" s="502"/>
      <c r="D814" s="503"/>
      <c r="E814" s="502"/>
      <c r="F814" s="484"/>
      <c r="G814" s="504"/>
      <c r="H814" s="535"/>
      <c r="I814" s="612"/>
    </row>
    <row r="815" spans="1:9" x14ac:dyDescent="0.2">
      <c r="A815" s="484"/>
      <c r="B815" s="485"/>
      <c r="C815" s="502"/>
      <c r="D815" s="503"/>
      <c r="E815" s="502"/>
      <c r="F815" s="484"/>
      <c r="G815" s="504"/>
      <c r="H815" s="535"/>
      <c r="I815" s="612"/>
    </row>
    <row r="816" spans="1:9" x14ac:dyDescent="0.2">
      <c r="A816" s="484"/>
      <c r="B816" s="485"/>
      <c r="C816" s="502"/>
      <c r="D816" s="503"/>
      <c r="E816" s="502"/>
      <c r="F816" s="484"/>
      <c r="G816" s="504"/>
      <c r="H816" s="535"/>
      <c r="I816" s="612"/>
    </row>
    <row r="817" spans="1:9" s="516" customFormat="1" x14ac:dyDescent="0.2">
      <c r="A817" s="510"/>
      <c r="B817" s="511"/>
      <c r="C817" s="512"/>
      <c r="D817" s="513"/>
      <c r="E817" s="512"/>
      <c r="F817" s="514"/>
      <c r="G817" s="545"/>
      <c r="H817" s="994"/>
      <c r="I817" s="994"/>
    </row>
    <row r="818" spans="1:9" s="516" customFormat="1" x14ac:dyDescent="0.2">
      <c r="A818" s="517"/>
      <c r="B818" s="518"/>
      <c r="C818" s="519" t="s">
        <v>1285</v>
      </c>
      <c r="D818" s="520" t="s">
        <v>1286</v>
      </c>
      <c r="E818" s="519"/>
      <c r="F818" s="521"/>
      <c r="G818" s="546"/>
      <c r="H818" s="505"/>
      <c r="I818" s="508">
        <f>SUM(I804:I814)</f>
        <v>36967</v>
      </c>
    </row>
    <row r="819" spans="1:9" s="516" customFormat="1" x14ac:dyDescent="0.2">
      <c r="A819" s="523"/>
      <c r="B819" s="524"/>
      <c r="C819" s="525"/>
      <c r="D819" s="526"/>
      <c r="E819" s="525"/>
      <c r="F819" s="527"/>
      <c r="G819" s="523"/>
      <c r="H819" s="995"/>
      <c r="I819" s="996"/>
    </row>
    <row r="820" spans="1:9" s="516" customFormat="1" x14ac:dyDescent="0.2">
      <c r="A820" s="529"/>
      <c r="B820" s="518"/>
      <c r="C820" s="530"/>
      <c r="D820" s="531"/>
      <c r="E820" s="530"/>
      <c r="F820" s="514"/>
      <c r="G820" s="532"/>
      <c r="H820" s="505"/>
      <c r="I820" s="997"/>
    </row>
    <row r="821" spans="1:9" s="620" customFormat="1" x14ac:dyDescent="0.2">
      <c r="A821" s="615">
        <v>16</v>
      </c>
      <c r="B821" s="616"/>
      <c r="C821" s="617" t="s">
        <v>2044</v>
      </c>
      <c r="D821" s="618" t="s">
        <v>2045</v>
      </c>
      <c r="E821" s="596"/>
      <c r="F821" s="484"/>
      <c r="G821" s="619"/>
      <c r="H821" s="535"/>
      <c r="I821" s="535"/>
    </row>
    <row r="822" spans="1:9" s="620" customFormat="1" x14ac:dyDescent="0.2">
      <c r="A822" s="615"/>
      <c r="B822" s="616"/>
      <c r="C822" s="621"/>
      <c r="D822" s="597"/>
      <c r="E822" s="596"/>
      <c r="F822" s="484"/>
      <c r="G822" s="619"/>
      <c r="H822" s="535"/>
      <c r="I822" s="535"/>
    </row>
    <row r="823" spans="1:9" ht="14.25" customHeight="1" x14ac:dyDescent="0.2">
      <c r="A823" s="492">
        <v>16.100000000000001</v>
      </c>
      <c r="B823" s="485"/>
      <c r="C823" s="622" t="s">
        <v>2046</v>
      </c>
      <c r="D823" s="609" t="s">
        <v>199</v>
      </c>
      <c r="E823" s="610"/>
      <c r="F823" s="484"/>
      <c r="G823" s="499"/>
      <c r="H823" s="535"/>
      <c r="I823" s="504"/>
    </row>
    <row r="824" spans="1:9" x14ac:dyDescent="0.2">
      <c r="A824" s="484"/>
      <c r="B824" s="485"/>
      <c r="C824" s="497"/>
      <c r="D824" s="498"/>
      <c r="E824" s="497"/>
      <c r="F824" s="484"/>
      <c r="G824" s="509"/>
      <c r="H824" s="535"/>
      <c r="I824" s="504"/>
    </row>
    <row r="825" spans="1:9" s="507" customFormat="1" ht="76.5" x14ac:dyDescent="0.2">
      <c r="A825" s="484" t="s">
        <v>2047</v>
      </c>
      <c r="B825" s="485"/>
      <c r="C825" s="502" t="s">
        <v>2048</v>
      </c>
      <c r="D825" s="503" t="s">
        <v>2049</v>
      </c>
      <c r="E825" s="502"/>
      <c r="F825" s="549" t="s">
        <v>1329</v>
      </c>
      <c r="G825" s="499">
        <v>1</v>
      </c>
      <c r="H825" s="505">
        <v>9752</v>
      </c>
      <c r="I825" s="612">
        <f t="shared" ref="I825:I832" si="34">H825*G825</f>
        <v>9752</v>
      </c>
    </row>
    <row r="826" spans="1:9" x14ac:dyDescent="0.2">
      <c r="A826" s="484"/>
      <c r="B826" s="485"/>
      <c r="C826" s="497"/>
      <c r="D826" s="498"/>
      <c r="E826" s="497"/>
      <c r="F826" s="484"/>
      <c r="G826" s="504"/>
      <c r="H826" s="535"/>
      <c r="I826" s="612"/>
    </row>
    <row r="827" spans="1:9" ht="51" x14ac:dyDescent="0.2">
      <c r="A827" s="484" t="s">
        <v>2050</v>
      </c>
      <c r="B827" s="485"/>
      <c r="C827" s="497" t="s">
        <v>2051</v>
      </c>
      <c r="D827" s="498" t="s">
        <v>2052</v>
      </c>
      <c r="E827" s="497"/>
      <c r="F827" s="484"/>
      <c r="G827" s="504"/>
      <c r="H827" s="535"/>
      <c r="I827" s="612"/>
    </row>
    <row r="828" spans="1:9" s="507" customFormat="1" x14ac:dyDescent="0.2">
      <c r="A828" s="484" t="s">
        <v>2053</v>
      </c>
      <c r="B828" s="485"/>
      <c r="C828" s="502" t="s">
        <v>2054</v>
      </c>
      <c r="D828" s="503" t="s">
        <v>2055</v>
      </c>
      <c r="E828" s="502"/>
      <c r="F828" s="484" t="s">
        <v>1299</v>
      </c>
      <c r="G828" s="504">
        <v>10</v>
      </c>
      <c r="H828" s="505">
        <v>64</v>
      </c>
      <c r="I828" s="612">
        <f t="shared" si="34"/>
        <v>640</v>
      </c>
    </row>
    <row r="829" spans="1:9" x14ac:dyDescent="0.2">
      <c r="A829" s="484"/>
      <c r="B829" s="485"/>
      <c r="C829" s="497"/>
      <c r="D829" s="498"/>
      <c r="E829" s="497"/>
      <c r="F829" s="484"/>
      <c r="G829" s="504"/>
      <c r="H829" s="535"/>
      <c r="I829" s="612"/>
    </row>
    <row r="830" spans="1:9" s="507" customFormat="1" ht="25.5" x14ac:dyDescent="0.2">
      <c r="A830" s="484" t="s">
        <v>2056</v>
      </c>
      <c r="B830" s="485"/>
      <c r="C830" s="502" t="s">
        <v>2057</v>
      </c>
      <c r="D830" s="503" t="s">
        <v>2058</v>
      </c>
      <c r="E830" s="502"/>
      <c r="F830" s="484" t="s">
        <v>1299</v>
      </c>
      <c r="G830" s="504">
        <v>720</v>
      </c>
      <c r="H830" s="505">
        <v>38</v>
      </c>
      <c r="I830" s="612">
        <f t="shared" si="34"/>
        <v>27360</v>
      </c>
    </row>
    <row r="831" spans="1:9" x14ac:dyDescent="0.2">
      <c r="A831" s="484"/>
      <c r="B831" s="485"/>
      <c r="C831" s="497"/>
      <c r="D831" s="541"/>
      <c r="E831" s="542"/>
      <c r="F831" s="484"/>
      <c r="G831" s="504"/>
      <c r="H831" s="535"/>
      <c r="I831" s="612"/>
    </row>
    <row r="832" spans="1:9" s="507" customFormat="1" ht="51" x14ac:dyDescent="0.2">
      <c r="A832" s="484" t="s">
        <v>2059</v>
      </c>
      <c r="B832" s="485"/>
      <c r="C832" s="502" t="s">
        <v>2060</v>
      </c>
      <c r="D832" s="539" t="s">
        <v>2061</v>
      </c>
      <c r="E832" s="540"/>
      <c r="F832" s="549" t="s">
        <v>1329</v>
      </c>
      <c r="G832" s="499">
        <v>6</v>
      </c>
      <c r="H832" s="505">
        <v>1808</v>
      </c>
      <c r="I832" s="612">
        <f t="shared" si="34"/>
        <v>10848</v>
      </c>
    </row>
    <row r="833" spans="1:9" x14ac:dyDescent="0.2">
      <c r="A833" s="484"/>
      <c r="B833" s="485"/>
      <c r="C833" s="497"/>
      <c r="D833" s="541"/>
      <c r="E833" s="542"/>
      <c r="F833" s="549"/>
      <c r="G833" s="499"/>
      <c r="H833" s="535"/>
      <c r="I833" s="504"/>
    </row>
    <row r="834" spans="1:9" s="516" customFormat="1" x14ac:dyDescent="0.2">
      <c r="A834" s="510"/>
      <c r="B834" s="511"/>
      <c r="C834" s="512"/>
      <c r="D834" s="513"/>
      <c r="E834" s="512"/>
      <c r="F834" s="514"/>
      <c r="G834" s="545"/>
      <c r="H834" s="994"/>
      <c r="I834" s="994"/>
    </row>
    <row r="835" spans="1:9" s="516" customFormat="1" x14ac:dyDescent="0.2">
      <c r="A835" s="517"/>
      <c r="B835" s="518"/>
      <c r="C835" s="519" t="s">
        <v>1285</v>
      </c>
      <c r="D835" s="520" t="s">
        <v>1286</v>
      </c>
      <c r="E835" s="519"/>
      <c r="F835" s="521"/>
      <c r="G835" s="546"/>
      <c r="H835" s="505"/>
      <c r="I835" s="508">
        <f>SUM(I825:I832)</f>
        <v>48600</v>
      </c>
    </row>
    <row r="836" spans="1:9" s="516" customFormat="1" x14ac:dyDescent="0.2">
      <c r="A836" s="523"/>
      <c r="B836" s="524"/>
      <c r="C836" s="525"/>
      <c r="D836" s="526"/>
      <c r="E836" s="525"/>
      <c r="F836" s="527"/>
      <c r="G836" s="523"/>
      <c r="H836" s="995"/>
      <c r="I836" s="996"/>
    </row>
    <row r="837" spans="1:9" x14ac:dyDescent="0.2">
      <c r="A837" s="492"/>
      <c r="B837" s="485"/>
      <c r="C837" s="596"/>
      <c r="D837" s="597"/>
      <c r="E837" s="596"/>
      <c r="F837" s="484"/>
      <c r="G837" s="496"/>
      <c r="H837" s="535"/>
      <c r="I837" s="612"/>
    </row>
    <row r="838" spans="1:9" ht="14.25" customHeight="1" x14ac:dyDescent="0.2">
      <c r="A838" s="492">
        <v>16.100000000000001</v>
      </c>
      <c r="B838" s="485"/>
      <c r="C838" s="622" t="s">
        <v>2062</v>
      </c>
      <c r="D838" s="609" t="s">
        <v>2063</v>
      </c>
      <c r="E838" s="610"/>
      <c r="F838" s="484"/>
      <c r="G838" s="499"/>
      <c r="H838" s="535"/>
      <c r="I838" s="504"/>
    </row>
    <row r="839" spans="1:9" ht="14.25" customHeight="1" x14ac:dyDescent="0.2">
      <c r="A839" s="492"/>
      <c r="B839" s="485"/>
      <c r="C839" s="611"/>
      <c r="D839" s="609"/>
      <c r="E839" s="610"/>
      <c r="F839" s="484"/>
      <c r="G839" s="499"/>
      <c r="H839" s="535"/>
      <c r="I839" s="504"/>
    </row>
    <row r="840" spans="1:9" s="507" customFormat="1" ht="38.25" x14ac:dyDescent="0.2">
      <c r="A840" s="484" t="s">
        <v>2064</v>
      </c>
      <c r="B840" s="485"/>
      <c r="C840" s="502" t="s">
        <v>2065</v>
      </c>
      <c r="D840" s="539" t="s">
        <v>2066</v>
      </c>
      <c r="E840" s="540"/>
      <c r="F840" s="549" t="s">
        <v>1329</v>
      </c>
      <c r="G840" s="499">
        <v>20</v>
      </c>
      <c r="H840" s="505">
        <v>1753</v>
      </c>
      <c r="I840" s="612">
        <f t="shared" ref="I840:I848" si="35">H840*G840</f>
        <v>35060</v>
      </c>
    </row>
    <row r="841" spans="1:9" x14ac:dyDescent="0.2">
      <c r="A841" s="484"/>
      <c r="B841" s="485"/>
      <c r="C841" s="497"/>
      <c r="D841" s="541"/>
      <c r="E841" s="542"/>
      <c r="F841" s="484"/>
      <c r="G841" s="499"/>
      <c r="H841" s="535"/>
      <c r="I841" s="612"/>
    </row>
    <row r="842" spans="1:9" s="507" customFormat="1" ht="51" x14ac:dyDescent="0.2">
      <c r="A842" s="484" t="s">
        <v>2067</v>
      </c>
      <c r="B842" s="485"/>
      <c r="C842" s="502" t="s">
        <v>2068</v>
      </c>
      <c r="D842" s="539" t="s">
        <v>2069</v>
      </c>
      <c r="E842" s="540"/>
      <c r="F842" s="549" t="s">
        <v>1329</v>
      </c>
      <c r="G842" s="499">
        <v>32</v>
      </c>
      <c r="H842" s="505">
        <v>981</v>
      </c>
      <c r="I842" s="612">
        <f t="shared" si="35"/>
        <v>31392</v>
      </c>
    </row>
    <row r="843" spans="1:9" x14ac:dyDescent="0.2">
      <c r="A843" s="484"/>
      <c r="B843" s="485"/>
      <c r="C843" s="497"/>
      <c r="D843" s="541"/>
      <c r="E843" s="542"/>
      <c r="F843" s="484"/>
      <c r="G843" s="499"/>
      <c r="H843" s="535"/>
      <c r="I843" s="612"/>
    </row>
    <row r="844" spans="1:9" s="507" customFormat="1" ht="51" x14ac:dyDescent="0.2">
      <c r="A844" s="484" t="s">
        <v>2070</v>
      </c>
      <c r="B844" s="485"/>
      <c r="C844" s="502" t="s">
        <v>2071</v>
      </c>
      <c r="D844" s="539" t="s">
        <v>2072</v>
      </c>
      <c r="E844" s="540"/>
      <c r="F844" s="549" t="s">
        <v>1329</v>
      </c>
      <c r="G844" s="499">
        <v>1</v>
      </c>
      <c r="H844" s="505">
        <v>8218</v>
      </c>
      <c r="I844" s="612">
        <f t="shared" si="35"/>
        <v>8218</v>
      </c>
    </row>
    <row r="845" spans="1:9" x14ac:dyDescent="0.2">
      <c r="A845" s="484"/>
      <c r="B845" s="485"/>
      <c r="C845" s="497"/>
      <c r="D845" s="541"/>
      <c r="E845" s="542"/>
      <c r="F845" s="484"/>
      <c r="G845" s="499"/>
      <c r="H845" s="535"/>
      <c r="I845" s="612"/>
    </row>
    <row r="846" spans="1:9" s="507" customFormat="1" ht="51" x14ac:dyDescent="0.2">
      <c r="A846" s="484" t="s">
        <v>2073</v>
      </c>
      <c r="B846" s="485"/>
      <c r="C846" s="502" t="s">
        <v>2074</v>
      </c>
      <c r="D846" s="539" t="s">
        <v>2075</v>
      </c>
      <c r="E846" s="540"/>
      <c r="F846" s="549" t="s">
        <v>1329</v>
      </c>
      <c r="G846" s="499">
        <v>5</v>
      </c>
      <c r="H846" s="505">
        <v>1041</v>
      </c>
      <c r="I846" s="612">
        <f t="shared" si="35"/>
        <v>5205</v>
      </c>
    </row>
    <row r="847" spans="1:9" x14ac:dyDescent="0.2">
      <c r="A847" s="484"/>
      <c r="B847" s="485"/>
      <c r="C847" s="497"/>
      <c r="D847" s="541"/>
      <c r="E847" s="542"/>
      <c r="F847" s="549"/>
      <c r="G847" s="499"/>
      <c r="H847" s="535"/>
      <c r="I847" s="612"/>
    </row>
    <row r="848" spans="1:9" s="507" customFormat="1" ht="25.5" x14ac:dyDescent="0.2">
      <c r="A848" s="484" t="s">
        <v>2076</v>
      </c>
      <c r="B848" s="485"/>
      <c r="C848" s="502" t="s">
        <v>2077</v>
      </c>
      <c r="D848" s="539" t="s">
        <v>2078</v>
      </c>
      <c r="E848" s="540"/>
      <c r="F848" s="549" t="s">
        <v>1299</v>
      </c>
      <c r="G848" s="499">
        <v>30</v>
      </c>
      <c r="H848" s="505">
        <v>271</v>
      </c>
      <c r="I848" s="1010">
        <f t="shared" si="35"/>
        <v>8130</v>
      </c>
    </row>
    <row r="849" spans="1:9" s="570" customFormat="1" x14ac:dyDescent="0.2">
      <c r="A849" s="492"/>
      <c r="B849" s="487"/>
      <c r="C849" s="500"/>
      <c r="D849" s="501"/>
      <c r="E849" s="500"/>
      <c r="F849" s="492"/>
      <c r="G849" s="508"/>
      <c r="H849" s="505"/>
      <c r="I849" s="508"/>
    </row>
    <row r="850" spans="1:9" s="516" customFormat="1" x14ac:dyDescent="0.2">
      <c r="A850" s="510"/>
      <c r="B850" s="511"/>
      <c r="C850" s="512"/>
      <c r="D850" s="513"/>
      <c r="E850" s="512"/>
      <c r="F850" s="514"/>
      <c r="G850" s="545"/>
      <c r="H850" s="994"/>
      <c r="I850" s="994"/>
    </row>
    <row r="851" spans="1:9" s="516" customFormat="1" x14ac:dyDescent="0.2">
      <c r="A851" s="517"/>
      <c r="B851" s="518"/>
      <c r="C851" s="519" t="s">
        <v>1285</v>
      </c>
      <c r="D851" s="520" t="s">
        <v>1286</v>
      </c>
      <c r="E851" s="519"/>
      <c r="F851" s="521"/>
      <c r="G851" s="546"/>
      <c r="H851" s="505"/>
      <c r="I851" s="508">
        <f>SUM(I840:I848)</f>
        <v>88005</v>
      </c>
    </row>
    <row r="852" spans="1:9" s="516" customFormat="1" x14ac:dyDescent="0.2">
      <c r="A852" s="523"/>
      <c r="B852" s="524"/>
      <c r="C852" s="525"/>
      <c r="D852" s="526"/>
      <c r="E852" s="525"/>
      <c r="F852" s="527"/>
      <c r="G852" s="523"/>
      <c r="H852" s="995"/>
      <c r="I852" s="996"/>
    </row>
    <row r="853" spans="1:9" s="516" customFormat="1" x14ac:dyDescent="0.2">
      <c r="A853" s="529"/>
      <c r="B853" s="518"/>
      <c r="C853" s="530"/>
      <c r="D853" s="531"/>
      <c r="E853" s="530"/>
      <c r="F853" s="514"/>
      <c r="G853" s="532"/>
      <c r="H853" s="505"/>
      <c r="I853" s="997"/>
    </row>
    <row r="854" spans="1:9" ht="14.25" customHeight="1" x14ac:dyDescent="0.2">
      <c r="A854" s="492">
        <v>16.2</v>
      </c>
      <c r="B854" s="485"/>
      <c r="C854" s="622" t="s">
        <v>280</v>
      </c>
      <c r="D854" s="609" t="s">
        <v>279</v>
      </c>
      <c r="E854" s="610"/>
      <c r="F854" s="484"/>
      <c r="G854" s="499"/>
      <c r="H854" s="535"/>
      <c r="I854" s="504"/>
    </row>
    <row r="855" spans="1:9" x14ac:dyDescent="0.2">
      <c r="A855" s="484"/>
      <c r="B855" s="485"/>
      <c r="C855" s="497"/>
      <c r="D855" s="498"/>
      <c r="E855" s="497"/>
      <c r="F855" s="484"/>
      <c r="G855" s="509"/>
      <c r="H855" s="535"/>
      <c r="I855" s="504"/>
    </row>
    <row r="856" spans="1:9" s="507" customFormat="1" ht="76.5" x14ac:dyDescent="0.2">
      <c r="A856" s="484" t="s">
        <v>2079</v>
      </c>
      <c r="B856" s="485"/>
      <c r="C856" s="502" t="s">
        <v>2080</v>
      </c>
      <c r="D856" s="503" t="s">
        <v>2081</v>
      </c>
      <c r="E856" s="502"/>
      <c r="F856" s="549" t="s">
        <v>1329</v>
      </c>
      <c r="G856" s="499">
        <v>2</v>
      </c>
      <c r="H856" s="505">
        <v>14123</v>
      </c>
      <c r="I856" s="1010">
        <f t="shared" ref="I856:I864" si="36">H856*G856</f>
        <v>28246</v>
      </c>
    </row>
    <row r="857" spans="1:9" x14ac:dyDescent="0.2">
      <c r="A857" s="484"/>
      <c r="B857" s="485"/>
      <c r="C857" s="497"/>
      <c r="D857" s="498"/>
      <c r="E857" s="497"/>
      <c r="F857" s="484"/>
      <c r="G857" s="504"/>
      <c r="H857" s="535"/>
      <c r="I857" s="1010"/>
    </row>
    <row r="858" spans="1:9" ht="14.25" customHeight="1" x14ac:dyDescent="0.2">
      <c r="A858" s="492"/>
      <c r="B858" s="485"/>
      <c r="C858" s="622"/>
      <c r="D858" s="609"/>
      <c r="E858" s="610"/>
      <c r="F858" s="484"/>
      <c r="G858" s="499"/>
      <c r="H858" s="535"/>
      <c r="I858" s="1010"/>
    </row>
    <row r="859" spans="1:9" s="507" customFormat="1" ht="89.25" x14ac:dyDescent="0.2">
      <c r="A859" s="484" t="s">
        <v>2082</v>
      </c>
      <c r="B859" s="485"/>
      <c r="C859" s="502" t="s">
        <v>2083</v>
      </c>
      <c r="D859" s="503" t="s">
        <v>2084</v>
      </c>
      <c r="E859" s="502"/>
      <c r="F859" s="549" t="s">
        <v>1329</v>
      </c>
      <c r="G859" s="499">
        <v>1</v>
      </c>
      <c r="H859" s="505">
        <v>7712</v>
      </c>
      <c r="I859" s="1010">
        <f t="shared" si="36"/>
        <v>7712</v>
      </c>
    </row>
    <row r="860" spans="1:9" x14ac:dyDescent="0.2">
      <c r="A860" s="484"/>
      <c r="B860" s="485"/>
      <c r="C860" s="497"/>
      <c r="D860" s="498"/>
      <c r="E860" s="497"/>
      <c r="F860" s="484"/>
      <c r="G860" s="504"/>
      <c r="H860" s="535"/>
      <c r="I860" s="1010"/>
    </row>
    <row r="861" spans="1:9" s="507" customFormat="1" ht="76.5" x14ac:dyDescent="0.2">
      <c r="A861" s="484" t="s">
        <v>2085</v>
      </c>
      <c r="B861" s="485"/>
      <c r="C861" s="502" t="s">
        <v>2086</v>
      </c>
      <c r="D861" s="503" t="s">
        <v>2087</v>
      </c>
      <c r="E861" s="502"/>
      <c r="F861" s="484" t="s">
        <v>1299</v>
      </c>
      <c r="G861" s="504">
        <v>80</v>
      </c>
      <c r="H861" s="505">
        <v>504</v>
      </c>
      <c r="I861" s="1010">
        <f t="shared" si="36"/>
        <v>40320</v>
      </c>
    </row>
    <row r="862" spans="1:9" x14ac:dyDescent="0.2">
      <c r="A862" s="484"/>
      <c r="B862" s="485"/>
      <c r="C862" s="497"/>
      <c r="D862" s="498"/>
      <c r="E862" s="497"/>
      <c r="F862" s="484"/>
      <c r="G862" s="504"/>
      <c r="H862" s="535"/>
      <c r="I862" s="612"/>
    </row>
    <row r="863" spans="1:9" x14ac:dyDescent="0.2">
      <c r="A863" s="484"/>
      <c r="B863" s="485"/>
      <c r="C863" s="595"/>
      <c r="D863" s="606"/>
      <c r="E863" s="595"/>
      <c r="F863" s="484"/>
      <c r="G863" s="496"/>
      <c r="H863" s="535"/>
      <c r="I863" s="612"/>
    </row>
    <row r="864" spans="1:9" s="507" customFormat="1" ht="89.25" x14ac:dyDescent="0.2">
      <c r="A864" s="484" t="s">
        <v>2088</v>
      </c>
      <c r="B864" s="485"/>
      <c r="C864" s="502" t="s">
        <v>2089</v>
      </c>
      <c r="D864" s="503" t="s">
        <v>2090</v>
      </c>
      <c r="E864" s="502"/>
      <c r="F864" s="484" t="s">
        <v>1299</v>
      </c>
      <c r="G864" s="504">
        <v>15</v>
      </c>
      <c r="H864" s="505">
        <v>271</v>
      </c>
      <c r="I864" s="1010">
        <f t="shared" si="36"/>
        <v>4065</v>
      </c>
    </row>
    <row r="865" spans="1:9" s="570" customFormat="1" x14ac:dyDescent="0.2">
      <c r="A865" s="492"/>
      <c r="B865" s="487"/>
      <c r="C865" s="500"/>
      <c r="D865" s="501"/>
      <c r="E865" s="500"/>
      <c r="F865" s="492"/>
      <c r="G865" s="508"/>
      <c r="H865" s="505"/>
      <c r="I865" s="508"/>
    </row>
    <row r="866" spans="1:9" s="516" customFormat="1" x14ac:dyDescent="0.2">
      <c r="A866" s="510"/>
      <c r="B866" s="511"/>
      <c r="C866" s="512"/>
      <c r="D866" s="513"/>
      <c r="E866" s="512"/>
      <c r="F866" s="514"/>
      <c r="G866" s="545"/>
      <c r="H866" s="994"/>
      <c r="I866" s="994"/>
    </row>
    <row r="867" spans="1:9" s="516" customFormat="1" x14ac:dyDescent="0.2">
      <c r="A867" s="517"/>
      <c r="B867" s="518"/>
      <c r="C867" s="519" t="s">
        <v>1285</v>
      </c>
      <c r="D867" s="520" t="s">
        <v>1286</v>
      </c>
      <c r="E867" s="519"/>
      <c r="F867" s="521"/>
      <c r="G867" s="546"/>
      <c r="H867" s="505"/>
      <c r="I867" s="508">
        <f>SUM(I855:I864)</f>
        <v>80343</v>
      </c>
    </row>
    <row r="868" spans="1:9" s="516" customFormat="1" x14ac:dyDescent="0.2">
      <c r="A868" s="523"/>
      <c r="B868" s="524"/>
      <c r="C868" s="525"/>
      <c r="D868" s="526"/>
      <c r="E868" s="525"/>
      <c r="F868" s="527"/>
      <c r="G868" s="523"/>
      <c r="H868" s="995"/>
      <c r="I868" s="996"/>
    </row>
    <row r="869" spans="1:9" x14ac:dyDescent="0.2">
      <c r="A869" s="484"/>
      <c r="B869" s="485"/>
      <c r="C869" s="502"/>
      <c r="D869" s="503"/>
      <c r="E869" s="502"/>
      <c r="F869" s="484"/>
      <c r="G869" s="496"/>
      <c r="H869" s="535"/>
      <c r="I869" s="612"/>
    </row>
    <row r="870" spans="1:9" x14ac:dyDescent="0.2">
      <c r="A870" s="492">
        <v>16.3</v>
      </c>
      <c r="B870" s="485"/>
      <c r="C870" s="604" t="s">
        <v>2091</v>
      </c>
      <c r="D870" s="605" t="s">
        <v>2092</v>
      </c>
      <c r="E870" s="502"/>
      <c r="F870" s="484"/>
      <c r="G870" s="496"/>
      <c r="H870" s="535"/>
      <c r="I870" s="612"/>
    </row>
    <row r="871" spans="1:9" x14ac:dyDescent="0.2">
      <c r="A871" s="484"/>
      <c r="B871" s="485"/>
      <c r="C871" s="502"/>
      <c r="D871" s="503"/>
      <c r="E871" s="502"/>
      <c r="F871" s="484"/>
      <c r="G871" s="496"/>
      <c r="H871" s="535"/>
      <c r="I871" s="612"/>
    </row>
    <row r="872" spans="1:9" ht="76.5" x14ac:dyDescent="0.2">
      <c r="A872" s="484" t="s">
        <v>2093</v>
      </c>
      <c r="B872" s="485"/>
      <c r="C872" s="502" t="s">
        <v>2094</v>
      </c>
      <c r="D872" s="503" t="s">
        <v>2095</v>
      </c>
      <c r="E872" s="502"/>
      <c r="F872" s="484"/>
      <c r="G872" s="496"/>
      <c r="H872" s="535"/>
      <c r="I872" s="612"/>
    </row>
    <row r="873" spans="1:9" s="507" customFormat="1" x14ac:dyDescent="0.2">
      <c r="A873" s="484"/>
      <c r="B873" s="485"/>
      <c r="C873" s="502"/>
      <c r="D873" s="503"/>
      <c r="E873" s="502"/>
      <c r="F873" s="484"/>
      <c r="G873" s="496"/>
      <c r="H873" s="535"/>
      <c r="I873" s="612"/>
    </row>
    <row r="874" spans="1:9" x14ac:dyDescent="0.2">
      <c r="A874" s="484" t="s">
        <v>2096</v>
      </c>
      <c r="B874" s="485"/>
      <c r="C874" s="502" t="s">
        <v>2097</v>
      </c>
      <c r="D874" s="503" t="s">
        <v>2098</v>
      </c>
      <c r="E874" s="502"/>
      <c r="F874" s="484" t="s">
        <v>1507</v>
      </c>
      <c r="G874" s="496">
        <f>128+50+10</f>
        <v>188</v>
      </c>
      <c r="H874" s="505">
        <v>57</v>
      </c>
      <c r="I874" s="612">
        <f t="shared" ref="I874:I884" si="37">H874*G874</f>
        <v>10716</v>
      </c>
    </row>
    <row r="875" spans="1:9" x14ac:dyDescent="0.2">
      <c r="A875" s="484"/>
      <c r="B875" s="485"/>
      <c r="C875" s="502"/>
      <c r="D875" s="503"/>
      <c r="E875" s="502"/>
      <c r="F875" s="484"/>
      <c r="G875" s="496"/>
      <c r="H875" s="535"/>
      <c r="I875" s="612"/>
    </row>
    <row r="876" spans="1:9" x14ac:dyDescent="0.2">
      <c r="A876" s="484" t="s">
        <v>2099</v>
      </c>
      <c r="B876" s="485"/>
      <c r="C876" s="502" t="s">
        <v>2100</v>
      </c>
      <c r="D876" s="503" t="s">
        <v>2101</v>
      </c>
      <c r="E876" s="502"/>
      <c r="F876" s="484" t="s">
        <v>1507</v>
      </c>
      <c r="G876" s="496">
        <f>50+10</f>
        <v>60</v>
      </c>
      <c r="H876" s="505">
        <v>33</v>
      </c>
      <c r="I876" s="612">
        <f t="shared" si="37"/>
        <v>1980</v>
      </c>
    </row>
    <row r="877" spans="1:9" s="507" customFormat="1" x14ac:dyDescent="0.2">
      <c r="A877" s="484"/>
      <c r="B877" s="485"/>
      <c r="C877" s="502"/>
      <c r="D877" s="503"/>
      <c r="E877" s="502"/>
      <c r="F877" s="484"/>
      <c r="G877" s="496"/>
      <c r="H877" s="535"/>
      <c r="I877" s="612"/>
    </row>
    <row r="878" spans="1:9" x14ac:dyDescent="0.2">
      <c r="A878" s="484" t="s">
        <v>2102</v>
      </c>
      <c r="B878" s="485"/>
      <c r="C878" s="502" t="s">
        <v>2103</v>
      </c>
      <c r="D878" s="503" t="s">
        <v>2104</v>
      </c>
      <c r="E878" s="502"/>
      <c r="F878" s="484" t="s">
        <v>1329</v>
      </c>
      <c r="G878" s="496">
        <f>4+1+1</f>
        <v>6</v>
      </c>
      <c r="H878" s="505">
        <v>822</v>
      </c>
      <c r="I878" s="612">
        <f t="shared" si="37"/>
        <v>4932</v>
      </c>
    </row>
    <row r="879" spans="1:9" x14ac:dyDescent="0.2">
      <c r="A879" s="484"/>
      <c r="B879" s="485"/>
      <c r="C879" s="502"/>
      <c r="D879" s="503"/>
      <c r="E879" s="502"/>
      <c r="F879" s="484"/>
      <c r="G879" s="496"/>
      <c r="H879" s="535"/>
      <c r="I879" s="612"/>
    </row>
    <row r="880" spans="1:9" x14ac:dyDescent="0.2">
      <c r="A880" s="484" t="s">
        <v>2105</v>
      </c>
      <c r="B880" s="485"/>
      <c r="C880" s="502" t="s">
        <v>2106</v>
      </c>
      <c r="D880" s="503" t="s">
        <v>2107</v>
      </c>
      <c r="E880" s="502"/>
      <c r="F880" s="484" t="s">
        <v>1329</v>
      </c>
      <c r="G880" s="496">
        <f>8+1</f>
        <v>9</v>
      </c>
      <c r="H880" s="505">
        <v>383</v>
      </c>
      <c r="I880" s="612">
        <f t="shared" si="37"/>
        <v>3447</v>
      </c>
    </row>
    <row r="881" spans="1:9" x14ac:dyDescent="0.2">
      <c r="A881" s="484"/>
      <c r="B881" s="485"/>
      <c r="C881" s="502"/>
      <c r="D881" s="503"/>
      <c r="E881" s="502"/>
      <c r="F881" s="484"/>
      <c r="G881" s="496"/>
      <c r="H881" s="535"/>
      <c r="I881" s="612"/>
    </row>
    <row r="882" spans="1:9" x14ac:dyDescent="0.2">
      <c r="A882" s="484" t="s">
        <v>2108</v>
      </c>
      <c r="B882" s="485"/>
      <c r="C882" s="502" t="s">
        <v>2109</v>
      </c>
      <c r="D882" s="503" t="s">
        <v>2110</v>
      </c>
      <c r="E882" s="502"/>
      <c r="F882" s="484" t="s">
        <v>1329</v>
      </c>
      <c r="G882" s="496">
        <f>30+8</f>
        <v>38</v>
      </c>
      <c r="H882" s="505">
        <v>137</v>
      </c>
      <c r="I882" s="612">
        <f t="shared" si="37"/>
        <v>5206</v>
      </c>
    </row>
    <row r="883" spans="1:9" x14ac:dyDescent="0.2">
      <c r="A883" s="484"/>
      <c r="B883" s="485"/>
      <c r="C883" s="502"/>
      <c r="D883" s="503"/>
      <c r="E883" s="502"/>
      <c r="F883" s="484"/>
      <c r="G883" s="496"/>
      <c r="H883" s="535"/>
      <c r="I883" s="612"/>
    </row>
    <row r="884" spans="1:9" x14ac:dyDescent="0.2">
      <c r="A884" s="484" t="s">
        <v>2111</v>
      </c>
      <c r="B884" s="485"/>
      <c r="C884" s="502" t="s">
        <v>2112</v>
      </c>
      <c r="D884" s="503" t="s">
        <v>2113</v>
      </c>
      <c r="E884" s="502"/>
      <c r="F884" s="484" t="s">
        <v>1329</v>
      </c>
      <c r="G884" s="496">
        <f>1+1</f>
        <v>2</v>
      </c>
      <c r="H884" s="505">
        <v>274</v>
      </c>
      <c r="I884" s="612">
        <f t="shared" si="37"/>
        <v>548</v>
      </c>
    </row>
    <row r="885" spans="1:9" x14ac:dyDescent="0.2">
      <c r="A885" s="484"/>
      <c r="B885" s="485"/>
      <c r="C885" s="502"/>
      <c r="D885" s="503"/>
      <c r="E885" s="502"/>
      <c r="F885" s="484"/>
      <c r="G885" s="496"/>
      <c r="H885" s="535"/>
      <c r="I885" s="612"/>
    </row>
    <row r="886" spans="1:9" x14ac:dyDescent="0.2">
      <c r="A886" s="484"/>
      <c r="B886" s="485"/>
      <c r="C886" s="502"/>
      <c r="D886" s="503"/>
      <c r="E886" s="502"/>
      <c r="F886" s="484"/>
      <c r="G886" s="496"/>
      <c r="H886" s="535"/>
      <c r="I886" s="612"/>
    </row>
    <row r="887" spans="1:9" s="516" customFormat="1" x14ac:dyDescent="0.2">
      <c r="A887" s="510"/>
      <c r="B887" s="511"/>
      <c r="C887" s="512"/>
      <c r="D887" s="513"/>
      <c r="E887" s="512"/>
      <c r="F887" s="514"/>
      <c r="G887" s="545"/>
      <c r="H887" s="994"/>
      <c r="I887" s="994"/>
    </row>
    <row r="888" spans="1:9" s="516" customFormat="1" x14ac:dyDescent="0.2">
      <c r="A888" s="517"/>
      <c r="B888" s="518"/>
      <c r="C888" s="519" t="s">
        <v>1285</v>
      </c>
      <c r="D888" s="520" t="s">
        <v>1286</v>
      </c>
      <c r="E888" s="519"/>
      <c r="F888" s="521"/>
      <c r="G888" s="546"/>
      <c r="H888" s="505"/>
      <c r="I888" s="508">
        <f>SUM(I874:I885)</f>
        <v>26829</v>
      </c>
    </row>
    <row r="889" spans="1:9" s="516" customFormat="1" x14ac:dyDescent="0.2">
      <c r="A889" s="523"/>
      <c r="B889" s="524"/>
      <c r="C889" s="525"/>
      <c r="D889" s="526"/>
      <c r="E889" s="525"/>
      <c r="F889" s="527"/>
      <c r="G889" s="523"/>
      <c r="H889" s="995"/>
      <c r="I889" s="996"/>
    </row>
    <row r="890" spans="1:9" s="507" customFormat="1" x14ac:dyDescent="0.2">
      <c r="A890" s="484"/>
      <c r="B890" s="485"/>
      <c r="C890" s="502"/>
      <c r="D890" s="503"/>
      <c r="E890" s="502"/>
      <c r="F890" s="484"/>
      <c r="G890" s="496"/>
      <c r="H890" s="535"/>
      <c r="I890" s="612"/>
    </row>
    <row r="891" spans="1:9" x14ac:dyDescent="0.2">
      <c r="A891" s="484">
        <v>16.399999999999999</v>
      </c>
      <c r="B891" s="485"/>
      <c r="C891" s="604" t="s">
        <v>2114</v>
      </c>
      <c r="D891" s="605" t="s">
        <v>2115</v>
      </c>
      <c r="E891" s="502"/>
      <c r="F891" s="484"/>
      <c r="G891" s="496"/>
      <c r="H891" s="535"/>
      <c r="I891" s="612"/>
    </row>
    <row r="892" spans="1:9" x14ac:dyDescent="0.2">
      <c r="A892" s="484"/>
      <c r="B892" s="485"/>
      <c r="C892" s="502"/>
      <c r="D892" s="503"/>
      <c r="E892" s="502"/>
      <c r="F892" s="484"/>
      <c r="G892" s="496"/>
      <c r="H892" s="535"/>
      <c r="I892" s="612"/>
    </row>
    <row r="893" spans="1:9" ht="63.75" x14ac:dyDescent="0.2">
      <c r="A893" s="484"/>
      <c r="B893" s="485"/>
      <c r="C893" s="502" t="s">
        <v>2116</v>
      </c>
      <c r="D893" s="503" t="s">
        <v>2117</v>
      </c>
      <c r="E893" s="502"/>
      <c r="F893" s="484"/>
      <c r="G893" s="496"/>
      <c r="H893" s="535"/>
      <c r="I893" s="612"/>
    </row>
    <row r="894" spans="1:9" s="507" customFormat="1" x14ac:dyDescent="0.2">
      <c r="A894" s="484"/>
      <c r="B894" s="485"/>
      <c r="C894" s="502"/>
      <c r="D894" s="503"/>
      <c r="E894" s="502"/>
      <c r="F894" s="484"/>
      <c r="G894" s="496"/>
      <c r="H894" s="535"/>
      <c r="I894" s="612"/>
    </row>
    <row r="895" spans="1:9" x14ac:dyDescent="0.2">
      <c r="A895" s="484" t="s">
        <v>2118</v>
      </c>
      <c r="B895" s="485"/>
      <c r="C895" s="502" t="s">
        <v>2119</v>
      </c>
      <c r="D895" s="503" t="s">
        <v>2120</v>
      </c>
      <c r="E895" s="502"/>
      <c r="F895" s="484" t="s">
        <v>1507</v>
      </c>
      <c r="G895" s="496">
        <f>240+50+25</f>
        <v>315</v>
      </c>
      <c r="H895" s="505">
        <v>49</v>
      </c>
      <c r="I895" s="612">
        <f t="shared" ref="I895:I898" si="38">H895*G895</f>
        <v>15435</v>
      </c>
    </row>
    <row r="896" spans="1:9" x14ac:dyDescent="0.2">
      <c r="A896" s="484" t="s">
        <v>2121</v>
      </c>
      <c r="B896" s="485"/>
      <c r="C896" s="502" t="s">
        <v>2122</v>
      </c>
      <c r="D896" s="503" t="s">
        <v>2123</v>
      </c>
      <c r="E896" s="502"/>
      <c r="F896" s="484" t="s">
        <v>1329</v>
      </c>
      <c r="G896" s="496">
        <f>14+1+1</f>
        <v>16</v>
      </c>
      <c r="H896" s="505">
        <v>383</v>
      </c>
      <c r="I896" s="612">
        <f t="shared" si="38"/>
        <v>6128</v>
      </c>
    </row>
    <row r="897" spans="1:9" x14ac:dyDescent="0.2">
      <c r="A897" s="484" t="s">
        <v>2124</v>
      </c>
      <c r="B897" s="485"/>
      <c r="C897" s="502" t="s">
        <v>2125</v>
      </c>
      <c r="D897" s="503" t="s">
        <v>2126</v>
      </c>
      <c r="E897" s="502"/>
      <c r="F897" s="484" t="s">
        <v>1507</v>
      </c>
      <c r="G897" s="496">
        <f>110+20+15</f>
        <v>145</v>
      </c>
      <c r="H897" s="505">
        <v>33</v>
      </c>
      <c r="I897" s="612">
        <f t="shared" si="38"/>
        <v>4785</v>
      </c>
    </row>
    <row r="898" spans="1:9" x14ac:dyDescent="0.2">
      <c r="A898" s="484" t="s">
        <v>2127</v>
      </c>
      <c r="B898" s="485"/>
      <c r="C898" s="502" t="s">
        <v>2128</v>
      </c>
      <c r="D898" s="503" t="s">
        <v>2129</v>
      </c>
      <c r="E898" s="502"/>
      <c r="F898" s="484" t="s">
        <v>1329</v>
      </c>
      <c r="G898" s="496">
        <f>12+4</f>
        <v>16</v>
      </c>
      <c r="H898" s="505">
        <v>82</v>
      </c>
      <c r="I898" s="612">
        <f t="shared" si="38"/>
        <v>1312</v>
      </c>
    </row>
    <row r="899" spans="1:9" x14ac:dyDescent="0.2">
      <c r="A899" s="484"/>
      <c r="B899" s="485"/>
      <c r="C899" s="502"/>
      <c r="D899" s="503"/>
      <c r="E899" s="502"/>
      <c r="F899" s="484"/>
      <c r="G899" s="496"/>
      <c r="H899" s="535"/>
      <c r="I899" s="612"/>
    </row>
    <row r="900" spans="1:9" x14ac:dyDescent="0.2">
      <c r="A900" s="484"/>
      <c r="B900" s="485"/>
      <c r="C900" s="502"/>
      <c r="D900" s="503"/>
      <c r="E900" s="502"/>
      <c r="F900" s="484"/>
      <c r="G900" s="496"/>
      <c r="H900" s="535"/>
      <c r="I900" s="612"/>
    </row>
    <row r="901" spans="1:9" x14ac:dyDescent="0.2">
      <c r="A901" s="484"/>
      <c r="B901" s="485"/>
      <c r="C901" s="502"/>
      <c r="D901" s="503"/>
      <c r="E901" s="502"/>
      <c r="F901" s="484"/>
      <c r="G901" s="496"/>
      <c r="H901" s="535"/>
      <c r="I901" s="612"/>
    </row>
    <row r="902" spans="1:9" x14ac:dyDescent="0.2">
      <c r="A902" s="484"/>
      <c r="B902" s="485"/>
      <c r="C902" s="502"/>
      <c r="D902" s="503"/>
      <c r="E902" s="502"/>
      <c r="F902" s="484"/>
      <c r="G902" s="496"/>
      <c r="H902" s="535"/>
      <c r="I902" s="612"/>
    </row>
    <row r="903" spans="1:9" x14ac:dyDescent="0.2">
      <c r="A903" s="484"/>
      <c r="B903" s="485"/>
      <c r="C903" s="502"/>
      <c r="D903" s="503"/>
      <c r="E903" s="502"/>
      <c r="F903" s="484"/>
      <c r="G903" s="496"/>
      <c r="H903" s="535"/>
      <c r="I903" s="612"/>
    </row>
    <row r="904" spans="1:9" s="516" customFormat="1" x14ac:dyDescent="0.2">
      <c r="A904" s="510"/>
      <c r="B904" s="511"/>
      <c r="C904" s="512"/>
      <c r="D904" s="513"/>
      <c r="E904" s="512"/>
      <c r="F904" s="514"/>
      <c r="G904" s="545"/>
      <c r="H904" s="994"/>
      <c r="I904" s="994"/>
    </row>
    <row r="905" spans="1:9" s="516" customFormat="1" x14ac:dyDescent="0.2">
      <c r="A905" s="517"/>
      <c r="B905" s="518"/>
      <c r="C905" s="519" t="s">
        <v>1285</v>
      </c>
      <c r="D905" s="520" t="s">
        <v>1286</v>
      </c>
      <c r="E905" s="519"/>
      <c r="F905" s="521"/>
      <c r="G905" s="546"/>
      <c r="H905" s="505"/>
      <c r="I905" s="508">
        <f>SUM(I893:I901)</f>
        <v>27660</v>
      </c>
    </row>
    <row r="906" spans="1:9" s="516" customFormat="1" x14ac:dyDescent="0.2">
      <c r="A906" s="523"/>
      <c r="B906" s="524"/>
      <c r="C906" s="525"/>
      <c r="D906" s="526"/>
      <c r="E906" s="525"/>
      <c r="F906" s="527"/>
      <c r="G906" s="523"/>
      <c r="H906" s="995"/>
      <c r="I906" s="996"/>
    </row>
    <row r="907" spans="1:9" s="516" customFormat="1" x14ac:dyDescent="0.2">
      <c r="A907" s="529"/>
      <c r="B907" s="518"/>
      <c r="C907" s="530"/>
      <c r="D907" s="531"/>
      <c r="E907" s="530"/>
      <c r="F907" s="514"/>
      <c r="G907" s="550"/>
      <c r="H907" s="505"/>
      <c r="I907" s="997"/>
    </row>
    <row r="908" spans="1:9" x14ac:dyDescent="0.2">
      <c r="A908" s="484">
        <v>16.5</v>
      </c>
      <c r="B908" s="485"/>
      <c r="C908" s="604" t="s">
        <v>2130</v>
      </c>
      <c r="D908" s="605" t="s">
        <v>2131</v>
      </c>
      <c r="E908" s="502"/>
      <c r="F908" s="484"/>
      <c r="G908" s="496"/>
      <c r="H908" s="535"/>
      <c r="I908" s="612"/>
    </row>
    <row r="909" spans="1:9" x14ac:dyDescent="0.2">
      <c r="A909" s="484"/>
      <c r="B909" s="485"/>
      <c r="C909" s="502"/>
      <c r="D909" s="503"/>
      <c r="E909" s="502"/>
      <c r="F909" s="484"/>
      <c r="G909" s="496"/>
      <c r="H909" s="535"/>
      <c r="I909" s="612"/>
    </row>
    <row r="910" spans="1:9" ht="63.75" x14ac:dyDescent="0.2">
      <c r="A910" s="484"/>
      <c r="B910" s="485"/>
      <c r="C910" s="502" t="s">
        <v>2132</v>
      </c>
      <c r="D910" s="503" t="s">
        <v>2133</v>
      </c>
      <c r="E910" s="502"/>
      <c r="F910" s="484"/>
      <c r="G910" s="496"/>
      <c r="H910" s="535"/>
      <c r="I910" s="612"/>
    </row>
    <row r="911" spans="1:9" x14ac:dyDescent="0.2">
      <c r="A911" s="484"/>
      <c r="B911" s="485"/>
      <c r="C911" s="502"/>
      <c r="D911" s="503"/>
      <c r="E911" s="502"/>
      <c r="F911" s="484"/>
      <c r="G911" s="496"/>
      <c r="H911" s="535"/>
      <c r="I911" s="612"/>
    </row>
    <row r="912" spans="1:9" s="507" customFormat="1" ht="25.5" x14ac:dyDescent="0.2">
      <c r="A912" s="484" t="s">
        <v>2134</v>
      </c>
      <c r="B912" s="485"/>
      <c r="C912" s="502" t="s">
        <v>2135</v>
      </c>
      <c r="D912" s="503" t="s">
        <v>2136</v>
      </c>
      <c r="E912" s="502"/>
      <c r="F912" s="484" t="s">
        <v>1329</v>
      </c>
      <c r="G912" s="496">
        <v>19</v>
      </c>
      <c r="H912" s="505">
        <v>241</v>
      </c>
      <c r="I912" s="612">
        <f t="shared" ref="I912:I926" si="39">H912*G912</f>
        <v>4579</v>
      </c>
    </row>
    <row r="913" spans="1:9" x14ac:dyDescent="0.2">
      <c r="A913" s="484"/>
      <c r="B913" s="485"/>
      <c r="C913" s="502"/>
      <c r="D913" s="503"/>
      <c r="E913" s="502"/>
      <c r="F913" s="484"/>
      <c r="G913" s="496"/>
      <c r="H913" s="535"/>
      <c r="I913" s="612"/>
    </row>
    <row r="914" spans="1:9" ht="38.25" x14ac:dyDescent="0.2">
      <c r="A914" s="484" t="s">
        <v>2137</v>
      </c>
      <c r="B914" s="485"/>
      <c r="C914" s="502" t="s">
        <v>2138</v>
      </c>
      <c r="D914" s="544" t="s">
        <v>2139</v>
      </c>
      <c r="E914" s="502"/>
      <c r="F914" s="484" t="s">
        <v>1329</v>
      </c>
      <c r="G914" s="496">
        <v>1</v>
      </c>
      <c r="H914" s="505">
        <v>241</v>
      </c>
      <c r="I914" s="612">
        <f t="shared" si="39"/>
        <v>241</v>
      </c>
    </row>
    <row r="915" spans="1:9" x14ac:dyDescent="0.2">
      <c r="A915" s="484"/>
      <c r="B915" s="485"/>
      <c r="C915" s="502"/>
      <c r="D915" s="503"/>
      <c r="E915" s="502"/>
      <c r="F915" s="484"/>
      <c r="G915" s="496"/>
      <c r="H915" s="535"/>
      <c r="I915" s="612"/>
    </row>
    <row r="916" spans="1:9" x14ac:dyDescent="0.2">
      <c r="A916" s="484" t="s">
        <v>2140</v>
      </c>
      <c r="B916" s="485"/>
      <c r="C916" s="502" t="s">
        <v>2141</v>
      </c>
      <c r="D916" s="503" t="s">
        <v>2142</v>
      </c>
      <c r="E916" s="502"/>
      <c r="F916" s="484" t="s">
        <v>1329</v>
      </c>
      <c r="G916" s="496">
        <v>1</v>
      </c>
      <c r="H916" s="505">
        <v>197</v>
      </c>
      <c r="I916" s="612">
        <f t="shared" si="39"/>
        <v>197</v>
      </c>
    </row>
    <row r="917" spans="1:9" x14ac:dyDescent="0.2">
      <c r="A917" s="484"/>
      <c r="B917" s="485"/>
      <c r="C917" s="502"/>
      <c r="D917" s="503"/>
      <c r="E917" s="502"/>
      <c r="F917" s="484"/>
      <c r="G917" s="496"/>
      <c r="H917" s="535"/>
      <c r="I917" s="612"/>
    </row>
    <row r="918" spans="1:9" x14ac:dyDescent="0.2">
      <c r="A918" s="484" t="s">
        <v>2143</v>
      </c>
      <c r="B918" s="485"/>
      <c r="C918" s="502" t="s">
        <v>2144</v>
      </c>
      <c r="D918" s="503" t="s">
        <v>2145</v>
      </c>
      <c r="E918" s="623"/>
      <c r="F918" s="484" t="s">
        <v>1329</v>
      </c>
      <c r="G918" s="496">
        <v>1</v>
      </c>
      <c r="H918" s="505">
        <v>192</v>
      </c>
      <c r="I918" s="612">
        <f t="shared" si="39"/>
        <v>192</v>
      </c>
    </row>
    <row r="919" spans="1:9" x14ac:dyDescent="0.2">
      <c r="A919" s="484"/>
      <c r="B919" s="485"/>
      <c r="C919" s="502"/>
      <c r="D919" s="503"/>
      <c r="E919" s="502"/>
      <c r="F919" s="484"/>
      <c r="G919" s="496"/>
      <c r="H919" s="535"/>
      <c r="I919" s="612"/>
    </row>
    <row r="920" spans="1:9" ht="25.5" x14ac:dyDescent="0.2">
      <c r="A920" s="484" t="s">
        <v>2146</v>
      </c>
      <c r="B920" s="485"/>
      <c r="C920" s="502" t="s">
        <v>2147</v>
      </c>
      <c r="D920" s="503" t="s">
        <v>2148</v>
      </c>
      <c r="E920" s="502"/>
      <c r="F920" s="484" t="s">
        <v>1329</v>
      </c>
      <c r="G920" s="496">
        <v>1</v>
      </c>
      <c r="H920" s="505">
        <v>252</v>
      </c>
      <c r="I920" s="612">
        <f t="shared" si="39"/>
        <v>252</v>
      </c>
    </row>
    <row r="921" spans="1:9" x14ac:dyDescent="0.2">
      <c r="A921" s="484"/>
      <c r="B921" s="485"/>
      <c r="C921" s="502"/>
      <c r="D921" s="503"/>
      <c r="E921" s="502"/>
      <c r="F921" s="484"/>
      <c r="G921" s="496"/>
      <c r="H921" s="535"/>
      <c r="I921" s="612"/>
    </row>
    <row r="922" spans="1:9" ht="51" x14ac:dyDescent="0.2">
      <c r="A922" s="484" t="s">
        <v>2149</v>
      </c>
      <c r="B922" s="485"/>
      <c r="C922" s="502" t="s">
        <v>2150</v>
      </c>
      <c r="D922" s="503" t="s">
        <v>2151</v>
      </c>
      <c r="E922" s="502"/>
      <c r="F922" s="484" t="s">
        <v>1329</v>
      </c>
      <c r="G922" s="496">
        <v>1</v>
      </c>
      <c r="H922" s="505">
        <v>15887</v>
      </c>
      <c r="I922" s="612">
        <f t="shared" si="39"/>
        <v>15887</v>
      </c>
    </row>
    <row r="923" spans="1:9" s="507" customFormat="1" x14ac:dyDescent="0.2">
      <c r="A923" s="484"/>
      <c r="B923" s="485"/>
      <c r="C923" s="502"/>
      <c r="D923" s="503"/>
      <c r="E923" s="502"/>
      <c r="F923" s="484"/>
      <c r="G923" s="496"/>
      <c r="H923" s="535"/>
      <c r="I923" s="612"/>
    </row>
    <row r="924" spans="1:9" x14ac:dyDescent="0.2">
      <c r="A924" s="484" t="s">
        <v>2152</v>
      </c>
      <c r="B924" s="485"/>
      <c r="C924" s="502" t="s">
        <v>2153</v>
      </c>
      <c r="D924" s="503" t="s">
        <v>2154</v>
      </c>
      <c r="E924" s="502"/>
      <c r="F924" s="484" t="s">
        <v>1329</v>
      </c>
      <c r="G924" s="496">
        <v>2</v>
      </c>
      <c r="H924" s="505">
        <v>383</v>
      </c>
      <c r="I924" s="612">
        <f t="shared" si="39"/>
        <v>766</v>
      </c>
    </row>
    <row r="925" spans="1:9" x14ac:dyDescent="0.2">
      <c r="A925" s="484"/>
      <c r="B925" s="485"/>
      <c r="C925" s="502"/>
      <c r="D925" s="503"/>
      <c r="E925" s="502"/>
      <c r="F925" s="484"/>
      <c r="G925" s="496"/>
      <c r="H925" s="535"/>
      <c r="I925" s="612"/>
    </row>
    <row r="926" spans="1:9" x14ac:dyDescent="0.2">
      <c r="A926" s="484" t="s">
        <v>2155</v>
      </c>
      <c r="B926" s="485"/>
      <c r="C926" s="502" t="s">
        <v>2156</v>
      </c>
      <c r="D926" s="503" t="s">
        <v>2157</v>
      </c>
      <c r="E926" s="502"/>
      <c r="F926" s="484" t="s">
        <v>2158</v>
      </c>
      <c r="G926" s="496">
        <v>32</v>
      </c>
      <c r="H926" s="505">
        <v>276</v>
      </c>
      <c r="I926" s="612">
        <f t="shared" si="39"/>
        <v>8832</v>
      </c>
    </row>
    <row r="927" spans="1:9" x14ac:dyDescent="0.2">
      <c r="A927" s="484"/>
      <c r="B927" s="485"/>
      <c r="C927" s="502"/>
      <c r="D927" s="503"/>
      <c r="E927" s="502"/>
      <c r="F927" s="484"/>
      <c r="G927" s="496"/>
      <c r="H927" s="535"/>
      <c r="I927" s="612"/>
    </row>
    <row r="928" spans="1:9" s="516" customFormat="1" x14ac:dyDescent="0.2">
      <c r="A928" s="510"/>
      <c r="B928" s="511"/>
      <c r="C928" s="512"/>
      <c r="D928" s="513"/>
      <c r="E928" s="512"/>
      <c r="F928" s="514"/>
      <c r="G928" s="545"/>
      <c r="H928" s="994"/>
      <c r="I928" s="994"/>
    </row>
    <row r="929" spans="1:9" s="516" customFormat="1" x14ac:dyDescent="0.2">
      <c r="A929" s="517"/>
      <c r="B929" s="518"/>
      <c r="C929" s="519" t="s">
        <v>1285</v>
      </c>
      <c r="D929" s="520" t="s">
        <v>1286</v>
      </c>
      <c r="E929" s="519"/>
      <c r="F929" s="521"/>
      <c r="G929" s="546"/>
      <c r="H929" s="505"/>
      <c r="I929" s="508">
        <f>SUM(I912:I926)</f>
        <v>30946</v>
      </c>
    </row>
    <row r="930" spans="1:9" s="516" customFormat="1" x14ac:dyDescent="0.2">
      <c r="A930" s="523"/>
      <c r="B930" s="524"/>
      <c r="C930" s="525"/>
      <c r="D930" s="526"/>
      <c r="E930" s="525"/>
      <c r="F930" s="527"/>
      <c r="G930" s="523"/>
      <c r="H930" s="995"/>
      <c r="I930" s="996"/>
    </row>
    <row r="931" spans="1:9" x14ac:dyDescent="0.2">
      <c r="A931" s="484"/>
      <c r="B931" s="485"/>
      <c r="C931" s="502"/>
      <c r="D931" s="503"/>
      <c r="E931" s="502"/>
      <c r="F931" s="484"/>
      <c r="G931" s="496"/>
      <c r="H931" s="535"/>
      <c r="I931" s="612"/>
    </row>
    <row r="932" spans="1:9" x14ac:dyDescent="0.2">
      <c r="A932" s="484">
        <v>16.600000000000001</v>
      </c>
      <c r="B932" s="485"/>
      <c r="C932" s="604" t="s">
        <v>2159</v>
      </c>
      <c r="D932" s="605" t="s">
        <v>2160</v>
      </c>
      <c r="E932" s="502"/>
      <c r="F932" s="484"/>
      <c r="G932" s="496"/>
      <c r="H932" s="535"/>
      <c r="I932" s="612"/>
    </row>
    <row r="933" spans="1:9" x14ac:dyDescent="0.2">
      <c r="A933" s="484"/>
      <c r="B933" s="485"/>
      <c r="C933" s="604"/>
      <c r="D933" s="605"/>
      <c r="E933" s="502"/>
      <c r="F933" s="484"/>
      <c r="G933" s="496"/>
      <c r="H933" s="535"/>
      <c r="I933" s="612"/>
    </row>
    <row r="934" spans="1:9" ht="63.75" x14ac:dyDescent="0.2">
      <c r="A934" s="484"/>
      <c r="B934" s="485"/>
      <c r="C934" s="502" t="s">
        <v>2161</v>
      </c>
      <c r="D934" s="503" t="s">
        <v>2162</v>
      </c>
      <c r="E934" s="502"/>
      <c r="F934" s="484"/>
      <c r="G934" s="496"/>
      <c r="H934" s="535"/>
      <c r="I934" s="612"/>
    </row>
    <row r="935" spans="1:9" x14ac:dyDescent="0.2">
      <c r="A935" s="484"/>
      <c r="B935" s="485"/>
      <c r="C935" s="502"/>
      <c r="D935" s="503"/>
      <c r="E935" s="502"/>
      <c r="F935" s="484"/>
      <c r="G935" s="496"/>
      <c r="H935" s="535"/>
      <c r="I935" s="612"/>
    </row>
    <row r="936" spans="1:9" s="507" customFormat="1" ht="38.25" x14ac:dyDescent="0.2">
      <c r="A936" s="484" t="s">
        <v>2163</v>
      </c>
      <c r="B936" s="485"/>
      <c r="C936" s="502" t="s">
        <v>2164</v>
      </c>
      <c r="D936" s="503" t="s">
        <v>2165</v>
      </c>
      <c r="E936" s="502"/>
      <c r="F936" s="484" t="s">
        <v>1329</v>
      </c>
      <c r="G936" s="496">
        <f>144+17</f>
        <v>161</v>
      </c>
      <c r="H936" s="505">
        <v>203</v>
      </c>
      <c r="I936" s="612">
        <f t="shared" ref="I936:I945" si="40">H936*G936</f>
        <v>32683</v>
      </c>
    </row>
    <row r="937" spans="1:9" s="507" customFormat="1" ht="59.25" customHeight="1" x14ac:dyDescent="0.2">
      <c r="A937" s="484" t="s">
        <v>2166</v>
      </c>
      <c r="B937" s="485"/>
      <c r="C937" s="502" t="s">
        <v>2167</v>
      </c>
      <c r="D937" s="503" t="s">
        <v>2168</v>
      </c>
      <c r="E937" s="502"/>
      <c r="F937" s="484" t="s">
        <v>1329</v>
      </c>
      <c r="G937" s="496">
        <v>6</v>
      </c>
      <c r="H937" s="505">
        <v>712</v>
      </c>
      <c r="I937" s="612">
        <f t="shared" si="40"/>
        <v>4272</v>
      </c>
    </row>
    <row r="938" spans="1:9" x14ac:dyDescent="0.2">
      <c r="A938" s="484"/>
      <c r="B938" s="485"/>
      <c r="C938" s="502"/>
      <c r="D938" s="503"/>
      <c r="E938" s="502"/>
      <c r="F938" s="484"/>
      <c r="G938" s="496"/>
      <c r="H938" s="535"/>
      <c r="I938" s="612"/>
    </row>
    <row r="939" spans="1:9" s="507" customFormat="1" ht="38.25" x14ac:dyDescent="0.2">
      <c r="A939" s="484" t="s">
        <v>2169</v>
      </c>
      <c r="B939" s="485"/>
      <c r="C939" s="502" t="s">
        <v>2170</v>
      </c>
      <c r="D939" s="503" t="s">
        <v>2171</v>
      </c>
      <c r="E939" s="502"/>
      <c r="F939" s="484" t="s">
        <v>1329</v>
      </c>
      <c r="G939" s="496">
        <v>28</v>
      </c>
      <c r="H939" s="505">
        <v>877</v>
      </c>
      <c r="I939" s="612">
        <f t="shared" si="40"/>
        <v>24556</v>
      </c>
    </row>
    <row r="940" spans="1:9" x14ac:dyDescent="0.2">
      <c r="A940" s="484"/>
      <c r="B940" s="485"/>
      <c r="C940" s="502"/>
      <c r="D940" s="503"/>
      <c r="E940" s="502"/>
      <c r="F940" s="484"/>
      <c r="G940" s="496"/>
      <c r="H940" s="535"/>
      <c r="I940" s="612"/>
    </row>
    <row r="941" spans="1:9" s="507" customFormat="1" ht="38.25" x14ac:dyDescent="0.2">
      <c r="A941" s="484" t="s">
        <v>2172</v>
      </c>
      <c r="B941" s="485"/>
      <c r="C941" s="502" t="s">
        <v>2173</v>
      </c>
      <c r="D941" s="503" t="s">
        <v>2174</v>
      </c>
      <c r="E941" s="502"/>
      <c r="F941" s="484" t="s">
        <v>1329</v>
      </c>
      <c r="G941" s="496">
        <f>6+1</f>
        <v>7</v>
      </c>
      <c r="H941" s="505">
        <v>931</v>
      </c>
      <c r="I941" s="612">
        <f t="shared" si="40"/>
        <v>6517</v>
      </c>
    </row>
    <row r="942" spans="1:9" x14ac:dyDescent="0.2">
      <c r="A942" s="484"/>
      <c r="B942" s="485"/>
      <c r="C942" s="502"/>
      <c r="D942" s="503"/>
      <c r="E942" s="502"/>
      <c r="F942" s="484"/>
      <c r="G942" s="496"/>
      <c r="H942" s="535"/>
      <c r="I942" s="612"/>
    </row>
    <row r="943" spans="1:9" s="507" customFormat="1" ht="38.25" x14ac:dyDescent="0.2">
      <c r="A943" s="484" t="s">
        <v>2175</v>
      </c>
      <c r="B943" s="485"/>
      <c r="C943" s="502" t="s">
        <v>2176</v>
      </c>
      <c r="D943" s="503" t="s">
        <v>2177</v>
      </c>
      <c r="E943" s="502"/>
      <c r="F943" s="484" t="s">
        <v>1329</v>
      </c>
      <c r="G943" s="496">
        <v>32</v>
      </c>
      <c r="H943" s="505">
        <v>844</v>
      </c>
      <c r="I943" s="612">
        <f t="shared" si="40"/>
        <v>27008</v>
      </c>
    </row>
    <row r="944" spans="1:9" s="507" customFormat="1" x14ac:dyDescent="0.2">
      <c r="A944" s="484"/>
      <c r="B944" s="485"/>
      <c r="C944" s="502"/>
      <c r="D944" s="503"/>
      <c r="E944" s="502"/>
      <c r="F944" s="484"/>
      <c r="G944" s="496"/>
      <c r="H944" s="535"/>
      <c r="I944" s="612"/>
    </row>
    <row r="945" spans="1:9" s="507" customFormat="1" ht="38.25" x14ac:dyDescent="0.2">
      <c r="A945" s="484" t="s">
        <v>2178</v>
      </c>
      <c r="B945" s="485"/>
      <c r="C945" s="502" t="s">
        <v>2179</v>
      </c>
      <c r="D945" s="503" t="s">
        <v>2180</v>
      </c>
      <c r="E945" s="502"/>
      <c r="F945" s="484" t="s">
        <v>1329</v>
      </c>
      <c r="G945" s="496">
        <f>15+9</f>
        <v>24</v>
      </c>
      <c r="H945" s="505">
        <v>603</v>
      </c>
      <c r="I945" s="612">
        <f t="shared" si="40"/>
        <v>14472</v>
      </c>
    </row>
    <row r="946" spans="1:9" s="507" customFormat="1" x14ac:dyDescent="0.2">
      <c r="A946" s="484"/>
      <c r="B946" s="485"/>
      <c r="C946" s="502"/>
      <c r="D946" s="503"/>
      <c r="E946" s="502"/>
      <c r="F946" s="484"/>
      <c r="G946" s="496"/>
      <c r="H946" s="535"/>
      <c r="I946" s="612"/>
    </row>
    <row r="947" spans="1:9" s="516" customFormat="1" x14ac:dyDescent="0.2">
      <c r="A947" s="510"/>
      <c r="B947" s="511"/>
      <c r="C947" s="512"/>
      <c r="D947" s="513"/>
      <c r="E947" s="512"/>
      <c r="F947" s="514"/>
      <c r="G947" s="545"/>
      <c r="H947" s="994"/>
      <c r="I947" s="994"/>
    </row>
    <row r="948" spans="1:9" s="516" customFormat="1" x14ac:dyDescent="0.2">
      <c r="A948" s="517"/>
      <c r="B948" s="518"/>
      <c r="C948" s="519" t="s">
        <v>1285</v>
      </c>
      <c r="D948" s="520" t="s">
        <v>1286</v>
      </c>
      <c r="E948" s="519"/>
      <c r="F948" s="521"/>
      <c r="G948" s="546"/>
      <c r="H948" s="505"/>
      <c r="I948" s="508">
        <f>SUM(I936:I945)</f>
        <v>109508</v>
      </c>
    </row>
    <row r="949" spans="1:9" s="516" customFormat="1" x14ac:dyDescent="0.2">
      <c r="A949" s="523"/>
      <c r="B949" s="524"/>
      <c r="C949" s="525"/>
      <c r="D949" s="526"/>
      <c r="E949" s="525"/>
      <c r="F949" s="527"/>
      <c r="G949" s="523"/>
      <c r="H949" s="995"/>
      <c r="I949" s="996"/>
    </row>
    <row r="950" spans="1:9" x14ac:dyDescent="0.2">
      <c r="A950" s="484"/>
      <c r="B950" s="485"/>
      <c r="C950" s="502"/>
      <c r="D950" s="503"/>
      <c r="E950" s="502"/>
      <c r="F950" s="484"/>
      <c r="G950" s="496"/>
      <c r="H950" s="535"/>
      <c r="I950" s="612"/>
    </row>
    <row r="951" spans="1:9" x14ac:dyDescent="0.2">
      <c r="A951" s="484">
        <v>16.600000000000001</v>
      </c>
      <c r="B951" s="485"/>
      <c r="C951" s="604" t="s">
        <v>2181</v>
      </c>
      <c r="D951" s="605" t="s">
        <v>2182</v>
      </c>
      <c r="E951" s="502"/>
      <c r="F951" s="484"/>
      <c r="G951" s="496"/>
      <c r="H951" s="535"/>
      <c r="I951" s="612"/>
    </row>
    <row r="952" spans="1:9" s="507" customFormat="1" ht="38.25" x14ac:dyDescent="0.2">
      <c r="A952" s="484" t="s">
        <v>2183</v>
      </c>
      <c r="B952" s="485"/>
      <c r="C952" s="502" t="s">
        <v>2184</v>
      </c>
      <c r="D952" s="503" t="s">
        <v>2185</v>
      </c>
      <c r="E952" s="502"/>
      <c r="F952" s="484" t="s">
        <v>1329</v>
      </c>
      <c r="G952" s="496">
        <v>3</v>
      </c>
      <c r="H952" s="505">
        <v>493</v>
      </c>
      <c r="I952" s="612">
        <f t="shared" ref="I952:I969" si="41">H952*G952</f>
        <v>1479</v>
      </c>
    </row>
    <row r="953" spans="1:9" x14ac:dyDescent="0.2">
      <c r="A953" s="484"/>
      <c r="B953" s="485"/>
      <c r="C953" s="502"/>
      <c r="D953" s="503"/>
      <c r="E953" s="502"/>
      <c r="F953" s="484"/>
      <c r="G953" s="496"/>
      <c r="H953" s="535"/>
      <c r="I953" s="612"/>
    </row>
    <row r="954" spans="1:9" s="507" customFormat="1" ht="38.25" x14ac:dyDescent="0.2">
      <c r="A954" s="484" t="s">
        <v>2186</v>
      </c>
      <c r="B954" s="485"/>
      <c r="C954" s="502" t="s">
        <v>2187</v>
      </c>
      <c r="D954" s="503" t="s">
        <v>2188</v>
      </c>
      <c r="E954" s="502"/>
      <c r="F954" s="484" t="s">
        <v>1329</v>
      </c>
      <c r="G954" s="496">
        <v>12</v>
      </c>
      <c r="H954" s="505">
        <v>657</v>
      </c>
      <c r="I954" s="612">
        <f t="shared" si="41"/>
        <v>7884</v>
      </c>
    </row>
    <row r="955" spans="1:9" x14ac:dyDescent="0.2">
      <c r="A955" s="484"/>
      <c r="B955" s="485"/>
      <c r="C955" s="502"/>
      <c r="D955" s="503"/>
      <c r="E955" s="502"/>
      <c r="F955" s="484"/>
      <c r="G955" s="496"/>
      <c r="H955" s="535"/>
      <c r="I955" s="612"/>
    </row>
    <row r="956" spans="1:9" s="507" customFormat="1" x14ac:dyDescent="0.2">
      <c r="A956" s="484" t="s">
        <v>2189</v>
      </c>
      <c r="B956" s="485"/>
      <c r="C956" s="502" t="s">
        <v>2190</v>
      </c>
      <c r="D956" s="503" t="s">
        <v>2191</v>
      </c>
      <c r="E956" s="502"/>
      <c r="F956" s="484" t="s">
        <v>1329</v>
      </c>
      <c r="G956" s="496">
        <v>2</v>
      </c>
      <c r="H956" s="505">
        <v>712</v>
      </c>
      <c r="I956" s="612">
        <f t="shared" si="41"/>
        <v>1424</v>
      </c>
    </row>
    <row r="957" spans="1:9" x14ac:dyDescent="0.2">
      <c r="A957" s="484"/>
      <c r="B957" s="485"/>
      <c r="C957" s="502"/>
      <c r="D957" s="503"/>
      <c r="E957" s="502"/>
      <c r="F957" s="484"/>
      <c r="G957" s="496"/>
      <c r="H957" s="535"/>
      <c r="I957" s="612"/>
    </row>
    <row r="958" spans="1:9" s="507" customFormat="1" ht="25.5" x14ac:dyDescent="0.2">
      <c r="A958" s="484" t="s">
        <v>2192</v>
      </c>
      <c r="B958" s="485"/>
      <c r="C958" s="502" t="s">
        <v>2193</v>
      </c>
      <c r="D958" s="503" t="s">
        <v>2194</v>
      </c>
      <c r="E958" s="502"/>
      <c r="F958" s="484" t="s">
        <v>1329</v>
      </c>
      <c r="G958" s="496">
        <v>1</v>
      </c>
      <c r="H958" s="505">
        <v>1370</v>
      </c>
      <c r="I958" s="612">
        <f t="shared" si="41"/>
        <v>1370</v>
      </c>
    </row>
    <row r="959" spans="1:9" x14ac:dyDescent="0.2">
      <c r="A959" s="484"/>
      <c r="B959" s="485"/>
      <c r="C959" s="502"/>
      <c r="D959" s="503"/>
      <c r="E959" s="502"/>
      <c r="F959" s="484"/>
      <c r="G959" s="496"/>
      <c r="H959" s="535"/>
      <c r="I959" s="612"/>
    </row>
    <row r="960" spans="1:9" s="507" customFormat="1" ht="25.5" x14ac:dyDescent="0.2">
      <c r="A960" s="484" t="s">
        <v>2195</v>
      </c>
      <c r="B960" s="485"/>
      <c r="C960" s="502" t="s">
        <v>2196</v>
      </c>
      <c r="D960" s="503" t="s">
        <v>2197</v>
      </c>
      <c r="E960" s="502"/>
      <c r="F960" s="484" t="s">
        <v>1329</v>
      </c>
      <c r="G960" s="496">
        <v>6</v>
      </c>
      <c r="H960" s="505">
        <v>767</v>
      </c>
      <c r="I960" s="612">
        <f t="shared" si="41"/>
        <v>4602</v>
      </c>
    </row>
    <row r="961" spans="1:9" x14ac:dyDescent="0.2">
      <c r="A961" s="484"/>
      <c r="B961" s="485"/>
      <c r="C961" s="502"/>
      <c r="D961" s="503"/>
      <c r="E961" s="502"/>
      <c r="F961" s="484"/>
      <c r="G961" s="496"/>
      <c r="H961" s="535"/>
      <c r="I961" s="612"/>
    </row>
    <row r="962" spans="1:9" s="507" customFormat="1" ht="38.25" x14ac:dyDescent="0.2">
      <c r="A962" s="484" t="s">
        <v>2198</v>
      </c>
      <c r="B962" s="485"/>
      <c r="C962" s="502" t="s">
        <v>2199</v>
      </c>
      <c r="D962" s="503" t="s">
        <v>2200</v>
      </c>
      <c r="E962" s="502"/>
      <c r="F962" s="484" t="s">
        <v>1329</v>
      </c>
      <c r="G962" s="496">
        <v>5</v>
      </c>
      <c r="H962" s="505">
        <v>1205</v>
      </c>
      <c r="I962" s="612">
        <f t="shared" si="41"/>
        <v>6025</v>
      </c>
    </row>
    <row r="963" spans="1:9" s="507" customFormat="1" ht="38.25" x14ac:dyDescent="0.2">
      <c r="A963" s="484" t="s">
        <v>2201</v>
      </c>
      <c r="B963" s="485"/>
      <c r="C963" s="502" t="s">
        <v>2202</v>
      </c>
      <c r="D963" s="503" t="s">
        <v>2203</v>
      </c>
      <c r="E963" s="502"/>
      <c r="F963" s="484" t="s">
        <v>1507</v>
      </c>
      <c r="G963" s="496">
        <v>240</v>
      </c>
      <c r="H963" s="505">
        <v>82</v>
      </c>
      <c r="I963" s="612">
        <f t="shared" si="41"/>
        <v>19680</v>
      </c>
    </row>
    <row r="964" spans="1:9" x14ac:dyDescent="0.2">
      <c r="A964" s="484"/>
      <c r="B964" s="485"/>
      <c r="C964" s="502"/>
      <c r="D964" s="503"/>
      <c r="E964" s="502"/>
      <c r="F964" s="484"/>
      <c r="G964" s="496"/>
      <c r="H964" s="535"/>
      <c r="I964" s="612"/>
    </row>
    <row r="965" spans="1:9" s="507" customFormat="1" ht="38.25" x14ac:dyDescent="0.2">
      <c r="A965" s="484" t="s">
        <v>2204</v>
      </c>
      <c r="B965" s="485"/>
      <c r="C965" s="502" t="s">
        <v>2205</v>
      </c>
      <c r="D965" s="503" t="s">
        <v>2206</v>
      </c>
      <c r="E965" s="502"/>
      <c r="F965" s="484" t="s">
        <v>1329</v>
      </c>
      <c r="G965" s="496">
        <v>7</v>
      </c>
      <c r="H965" s="505">
        <v>603</v>
      </c>
      <c r="I965" s="612">
        <f t="shared" si="41"/>
        <v>4221</v>
      </c>
    </row>
    <row r="966" spans="1:9" x14ac:dyDescent="0.2">
      <c r="A966" s="484"/>
      <c r="B966" s="485"/>
      <c r="C966" s="595"/>
      <c r="D966" s="503"/>
      <c r="E966" s="502"/>
      <c r="F966" s="484"/>
      <c r="G966" s="496"/>
      <c r="H966" s="535"/>
      <c r="I966" s="612"/>
    </row>
    <row r="967" spans="1:9" x14ac:dyDescent="0.2">
      <c r="A967" s="484" t="s">
        <v>2207</v>
      </c>
      <c r="B967" s="485"/>
      <c r="C967" s="502" t="s">
        <v>2208</v>
      </c>
      <c r="D967" s="503" t="s">
        <v>2209</v>
      </c>
      <c r="E967" s="502"/>
      <c r="F967" s="484" t="s">
        <v>1329</v>
      </c>
      <c r="G967" s="496">
        <v>1</v>
      </c>
      <c r="H967" s="505">
        <v>16435</v>
      </c>
      <c r="I967" s="612">
        <f t="shared" si="41"/>
        <v>16435</v>
      </c>
    </row>
    <row r="968" spans="1:9" x14ac:dyDescent="0.2">
      <c r="A968" s="484"/>
      <c r="B968" s="485"/>
      <c r="C968" s="502"/>
      <c r="D968" s="503"/>
      <c r="E968" s="502"/>
      <c r="F968" s="484"/>
      <c r="G968" s="496"/>
      <c r="H968" s="535"/>
      <c r="I968" s="612"/>
    </row>
    <row r="969" spans="1:9" s="507" customFormat="1" ht="38.25" x14ac:dyDescent="0.2">
      <c r="A969" s="484" t="s">
        <v>2210</v>
      </c>
      <c r="B969" s="485"/>
      <c r="C969" s="502" t="s">
        <v>2211</v>
      </c>
      <c r="D969" s="503" t="s">
        <v>2212</v>
      </c>
      <c r="E969" s="502"/>
      <c r="F969" s="484" t="s">
        <v>1329</v>
      </c>
      <c r="G969" s="496">
        <v>4</v>
      </c>
      <c r="H969" s="505">
        <v>975</v>
      </c>
      <c r="I969" s="612">
        <f t="shared" si="41"/>
        <v>3900</v>
      </c>
    </row>
    <row r="970" spans="1:9" s="507" customFormat="1" x14ac:dyDescent="0.2">
      <c r="A970" s="484"/>
      <c r="B970" s="485"/>
      <c r="C970" s="502"/>
      <c r="D970" s="503"/>
      <c r="E970" s="502"/>
      <c r="F970" s="484"/>
      <c r="G970" s="496"/>
      <c r="H970" s="535"/>
      <c r="I970" s="612"/>
    </row>
    <row r="971" spans="1:9" s="516" customFormat="1" x14ac:dyDescent="0.2">
      <c r="A971" s="510"/>
      <c r="B971" s="511"/>
      <c r="C971" s="512"/>
      <c r="D971" s="513"/>
      <c r="E971" s="512"/>
      <c r="F971" s="514"/>
      <c r="G971" s="545"/>
      <c r="H971" s="994"/>
      <c r="I971" s="994"/>
    </row>
    <row r="972" spans="1:9" s="516" customFormat="1" x14ac:dyDescent="0.2">
      <c r="A972" s="517"/>
      <c r="B972" s="518"/>
      <c r="C972" s="519" t="s">
        <v>1285</v>
      </c>
      <c r="D972" s="520" t="s">
        <v>1286</v>
      </c>
      <c r="E972" s="519"/>
      <c r="F972" s="521"/>
      <c r="G972" s="546"/>
      <c r="H972" s="505"/>
      <c r="I972" s="508">
        <f>SUM(I952:I970)</f>
        <v>67020</v>
      </c>
    </row>
    <row r="973" spans="1:9" s="516" customFormat="1" x14ac:dyDescent="0.2">
      <c r="A973" s="523"/>
      <c r="B973" s="524"/>
      <c r="C973" s="525"/>
      <c r="D973" s="526"/>
      <c r="E973" s="525"/>
      <c r="F973" s="527"/>
      <c r="G973" s="523"/>
      <c r="H973" s="995"/>
      <c r="I973" s="996"/>
    </row>
    <row r="974" spans="1:9" x14ac:dyDescent="0.2">
      <c r="A974" s="484"/>
      <c r="B974" s="485"/>
      <c r="C974" s="502"/>
      <c r="D974" s="503"/>
      <c r="E974" s="502"/>
      <c r="F974" s="484"/>
      <c r="G974" s="496"/>
      <c r="H974" s="535"/>
      <c r="I974" s="612"/>
    </row>
    <row r="975" spans="1:9" x14ac:dyDescent="0.2">
      <c r="A975" s="484">
        <v>16.600000000000001</v>
      </c>
      <c r="B975" s="485"/>
      <c r="C975" s="604" t="s">
        <v>2181</v>
      </c>
      <c r="D975" s="605" t="s">
        <v>2182</v>
      </c>
      <c r="E975" s="502"/>
      <c r="F975" s="484"/>
      <c r="G975" s="496"/>
      <c r="H975" s="535"/>
      <c r="I975" s="612"/>
    </row>
    <row r="976" spans="1:9" x14ac:dyDescent="0.2">
      <c r="A976" s="484"/>
      <c r="B976" s="485"/>
      <c r="C976" s="502"/>
      <c r="D976" s="503"/>
      <c r="E976" s="502"/>
      <c r="F976" s="484"/>
      <c r="G976" s="496"/>
      <c r="H976" s="535"/>
      <c r="I976" s="612"/>
    </row>
    <row r="977" spans="1:9" x14ac:dyDescent="0.2">
      <c r="A977" s="484"/>
      <c r="B977" s="485"/>
      <c r="C977" s="502"/>
      <c r="D977" s="503"/>
      <c r="E977" s="502"/>
      <c r="F977" s="484"/>
      <c r="G977" s="496"/>
      <c r="H977" s="535"/>
      <c r="I977" s="612"/>
    </row>
    <row r="978" spans="1:9" s="507" customFormat="1" ht="25.5" x14ac:dyDescent="0.2">
      <c r="A978" s="484" t="s">
        <v>2213</v>
      </c>
      <c r="B978" s="485"/>
      <c r="C978" s="502" t="s">
        <v>2214</v>
      </c>
      <c r="D978" s="503" t="s">
        <v>2215</v>
      </c>
      <c r="E978" s="502"/>
      <c r="F978" s="484" t="s">
        <v>1329</v>
      </c>
      <c r="G978" s="496">
        <v>1</v>
      </c>
      <c r="H978" s="505">
        <v>1041</v>
      </c>
      <c r="I978" s="612">
        <f t="shared" ref="I978:I987" si="42">H978*G978</f>
        <v>1041</v>
      </c>
    </row>
    <row r="979" spans="1:9" x14ac:dyDescent="0.2">
      <c r="A979" s="484"/>
      <c r="B979" s="485"/>
      <c r="C979" s="502"/>
      <c r="D979" s="503"/>
      <c r="E979" s="502"/>
      <c r="F979" s="484"/>
      <c r="G979" s="496"/>
      <c r="H979" s="535"/>
      <c r="I979" s="612"/>
    </row>
    <row r="980" spans="1:9" s="507" customFormat="1" ht="38.25" x14ac:dyDescent="0.2">
      <c r="A980" s="484" t="s">
        <v>2216</v>
      </c>
      <c r="B980" s="485"/>
      <c r="C980" s="502" t="s">
        <v>2217</v>
      </c>
      <c r="D980" s="503" t="s">
        <v>2218</v>
      </c>
      <c r="E980" s="502"/>
      <c r="F980" s="484" t="s">
        <v>1329</v>
      </c>
      <c r="G980" s="496">
        <v>4</v>
      </c>
      <c r="H980" s="505">
        <v>2410</v>
      </c>
      <c r="I980" s="612">
        <f t="shared" si="42"/>
        <v>9640</v>
      </c>
    </row>
    <row r="981" spans="1:9" x14ac:dyDescent="0.2">
      <c r="A981" s="484"/>
      <c r="B981" s="485"/>
      <c r="C981" s="502"/>
      <c r="D981" s="503"/>
      <c r="E981" s="502"/>
      <c r="F981" s="484"/>
      <c r="G981" s="496"/>
      <c r="H981" s="535"/>
      <c r="I981" s="612"/>
    </row>
    <row r="982" spans="1:9" s="507" customFormat="1" ht="38.25" x14ac:dyDescent="0.2">
      <c r="A982" s="484" t="s">
        <v>2219</v>
      </c>
      <c r="B982" s="485"/>
      <c r="C982" s="502" t="s">
        <v>2220</v>
      </c>
      <c r="D982" s="503" t="s">
        <v>2221</v>
      </c>
      <c r="E982" s="502"/>
      <c r="F982" s="484" t="s">
        <v>1329</v>
      </c>
      <c r="G982" s="496">
        <v>17</v>
      </c>
      <c r="H982" s="505">
        <v>1370</v>
      </c>
      <c r="I982" s="612">
        <f t="shared" si="42"/>
        <v>23290</v>
      </c>
    </row>
    <row r="983" spans="1:9" x14ac:dyDescent="0.2">
      <c r="A983" s="484"/>
      <c r="B983" s="485"/>
      <c r="C983" s="502"/>
      <c r="D983" s="503"/>
      <c r="E983" s="502"/>
      <c r="F983" s="484"/>
      <c r="G983" s="496"/>
      <c r="H983" s="535"/>
      <c r="I983" s="612"/>
    </row>
    <row r="984" spans="1:9" x14ac:dyDescent="0.2">
      <c r="A984" s="484"/>
      <c r="B984" s="485"/>
      <c r="C984" s="595"/>
      <c r="D984" s="503"/>
      <c r="E984" s="502"/>
      <c r="F984" s="484"/>
      <c r="G984" s="496"/>
      <c r="H984" s="535"/>
      <c r="I984" s="612"/>
    </row>
    <row r="985" spans="1:9" s="480" customFormat="1" ht="38.25" x14ac:dyDescent="0.2">
      <c r="A985" s="484" t="s">
        <v>2222</v>
      </c>
      <c r="B985" s="485"/>
      <c r="C985" s="502" t="s">
        <v>2164</v>
      </c>
      <c r="D985" s="624" t="s">
        <v>2165</v>
      </c>
      <c r="E985" s="625"/>
      <c r="F985" s="484" t="s">
        <v>1329</v>
      </c>
      <c r="G985" s="484">
        <v>4</v>
      </c>
      <c r="H985" s="505">
        <v>203</v>
      </c>
      <c r="I985" s="612">
        <f t="shared" si="42"/>
        <v>812</v>
      </c>
    </row>
    <row r="986" spans="1:9" x14ac:dyDescent="0.2">
      <c r="A986" s="484"/>
      <c r="B986" s="485"/>
      <c r="C986" s="595"/>
      <c r="D986" s="503"/>
      <c r="E986" s="502"/>
      <c r="F986" s="484"/>
      <c r="G986" s="496"/>
      <c r="H986" s="535"/>
      <c r="I986" s="612"/>
    </row>
    <row r="987" spans="1:9" s="480" customFormat="1" ht="38.25" x14ac:dyDescent="0.2">
      <c r="A987" s="484" t="s">
        <v>2223</v>
      </c>
      <c r="B987" s="485"/>
      <c r="C987" s="502" t="s">
        <v>2199</v>
      </c>
      <c r="D987" s="624" t="s">
        <v>2224</v>
      </c>
      <c r="E987" s="625"/>
      <c r="F987" s="484" t="s">
        <v>1329</v>
      </c>
      <c r="G987" s="484">
        <v>4</v>
      </c>
      <c r="H987" s="505">
        <v>1041</v>
      </c>
      <c r="I987" s="612">
        <f t="shared" si="42"/>
        <v>4164</v>
      </c>
    </row>
    <row r="988" spans="1:9" x14ac:dyDescent="0.2">
      <c r="A988" s="484"/>
      <c r="B988" s="485"/>
      <c r="C988" s="595"/>
      <c r="D988" s="503"/>
      <c r="E988" s="502"/>
      <c r="F988" s="484"/>
      <c r="G988" s="496"/>
      <c r="H988" s="535"/>
      <c r="I988" s="612"/>
    </row>
    <row r="989" spans="1:9" x14ac:dyDescent="0.2">
      <c r="A989" s="484"/>
      <c r="B989" s="485"/>
      <c r="C989" s="595"/>
      <c r="D989" s="503"/>
      <c r="E989" s="502"/>
      <c r="F989" s="484"/>
      <c r="G989" s="496"/>
      <c r="H989" s="535"/>
      <c r="I989" s="612"/>
    </row>
    <row r="990" spans="1:9" s="516" customFormat="1" x14ac:dyDescent="0.2">
      <c r="A990" s="510"/>
      <c r="B990" s="511"/>
      <c r="C990" s="512"/>
      <c r="D990" s="513"/>
      <c r="E990" s="512"/>
      <c r="F990" s="514"/>
      <c r="G990" s="545"/>
      <c r="H990" s="994"/>
      <c r="I990" s="994"/>
    </row>
    <row r="991" spans="1:9" s="516" customFormat="1" x14ac:dyDescent="0.2">
      <c r="A991" s="517"/>
      <c r="B991" s="518"/>
      <c r="C991" s="519" t="s">
        <v>1285</v>
      </c>
      <c r="D991" s="520" t="s">
        <v>1286</v>
      </c>
      <c r="E991" s="519"/>
      <c r="F991" s="521"/>
      <c r="G991" s="546"/>
      <c r="H991" s="505"/>
      <c r="I991" s="508">
        <f>SUM(I978:I987)</f>
        <v>38947</v>
      </c>
    </row>
    <row r="992" spans="1:9" s="516" customFormat="1" x14ac:dyDescent="0.2">
      <c r="A992" s="523"/>
      <c r="B992" s="524"/>
      <c r="C992" s="525"/>
      <c r="D992" s="526"/>
      <c r="E992" s="525"/>
      <c r="F992" s="527"/>
      <c r="G992" s="523"/>
      <c r="H992" s="995"/>
      <c r="I992" s="996"/>
    </row>
    <row r="993" spans="1:9" x14ac:dyDescent="0.2">
      <c r="A993" s="484"/>
      <c r="B993" s="485"/>
      <c r="C993" s="595"/>
      <c r="D993" s="503"/>
      <c r="E993" s="502"/>
      <c r="F993" s="484"/>
      <c r="G993" s="496"/>
      <c r="H993" s="535"/>
      <c r="I993" s="612"/>
    </row>
    <row r="994" spans="1:9" x14ac:dyDescent="0.2">
      <c r="A994" s="484">
        <v>16.7</v>
      </c>
      <c r="B994" s="485"/>
      <c r="C994" s="604" t="s">
        <v>2225</v>
      </c>
      <c r="D994" s="605" t="s">
        <v>2226</v>
      </c>
      <c r="E994" s="502"/>
      <c r="F994" s="484"/>
      <c r="G994" s="496"/>
      <c r="H994" s="535"/>
      <c r="I994" s="612"/>
    </row>
    <row r="995" spans="1:9" x14ac:dyDescent="0.2">
      <c r="A995" s="484"/>
      <c r="B995" s="485"/>
      <c r="C995" s="502"/>
      <c r="D995" s="503"/>
      <c r="E995" s="502"/>
      <c r="F995" s="484"/>
      <c r="G995" s="496"/>
      <c r="H995" s="535"/>
      <c r="I995" s="612"/>
    </row>
    <row r="996" spans="1:9" ht="89.25" x14ac:dyDescent="0.2">
      <c r="A996" s="484" t="s">
        <v>2227</v>
      </c>
      <c r="B996" s="485"/>
      <c r="C996" s="502" t="s">
        <v>2228</v>
      </c>
      <c r="D996" s="503" t="s">
        <v>2229</v>
      </c>
      <c r="E996" s="502"/>
      <c r="F996" s="484"/>
      <c r="G996" s="496"/>
      <c r="H996" s="535"/>
      <c r="I996" s="612"/>
    </row>
    <row r="997" spans="1:9" x14ac:dyDescent="0.2">
      <c r="A997" s="484"/>
      <c r="B997" s="485"/>
      <c r="C997" s="502"/>
      <c r="D997" s="503"/>
      <c r="E997" s="502"/>
      <c r="F997" s="484"/>
      <c r="G997" s="496"/>
      <c r="H997" s="535"/>
      <c r="I997" s="612"/>
    </row>
    <row r="998" spans="1:9" s="507" customFormat="1" ht="25.5" x14ac:dyDescent="0.2">
      <c r="A998" s="484" t="s">
        <v>2230</v>
      </c>
      <c r="B998" s="485"/>
      <c r="C998" s="502" t="s">
        <v>2231</v>
      </c>
      <c r="D998" s="503" t="s">
        <v>2232</v>
      </c>
      <c r="E998" s="502"/>
      <c r="F998" s="484" t="s">
        <v>1329</v>
      </c>
      <c r="G998" s="496">
        <f>6+3</f>
        <v>9</v>
      </c>
      <c r="H998" s="505">
        <v>247</v>
      </c>
      <c r="I998" s="612">
        <f t="shared" ref="I998:I1016" si="43">H998*G998</f>
        <v>2223</v>
      </c>
    </row>
    <row r="999" spans="1:9" x14ac:dyDescent="0.2">
      <c r="A999" s="484"/>
      <c r="B999" s="485"/>
      <c r="C999" s="502"/>
      <c r="D999" s="503"/>
      <c r="E999" s="502"/>
      <c r="F999" s="484"/>
      <c r="G999" s="496"/>
      <c r="H999" s="535"/>
      <c r="I999" s="612"/>
    </row>
    <row r="1000" spans="1:9" s="507" customFormat="1" ht="25.5" x14ac:dyDescent="0.2">
      <c r="A1000" s="484" t="s">
        <v>2233</v>
      </c>
      <c r="B1000" s="485"/>
      <c r="C1000" s="502" t="s">
        <v>2234</v>
      </c>
      <c r="D1000" s="503" t="s">
        <v>2235</v>
      </c>
      <c r="E1000" s="502"/>
      <c r="F1000" s="484" t="s">
        <v>1329</v>
      </c>
      <c r="G1000" s="496">
        <f>27+3</f>
        <v>30</v>
      </c>
      <c r="H1000" s="505">
        <v>241</v>
      </c>
      <c r="I1000" s="612">
        <f t="shared" si="43"/>
        <v>7230</v>
      </c>
    </row>
    <row r="1001" spans="1:9" x14ac:dyDescent="0.2">
      <c r="A1001" s="484"/>
      <c r="B1001" s="485"/>
      <c r="C1001" s="502"/>
      <c r="D1001" s="503"/>
      <c r="E1001" s="502"/>
      <c r="F1001" s="484"/>
      <c r="G1001" s="496"/>
      <c r="H1001" s="535"/>
      <c r="I1001" s="612"/>
    </row>
    <row r="1002" spans="1:9" s="507" customFormat="1" x14ac:dyDescent="0.2">
      <c r="A1002" s="484" t="s">
        <v>2236</v>
      </c>
      <c r="B1002" s="485"/>
      <c r="C1002" s="502" t="s">
        <v>2237</v>
      </c>
      <c r="D1002" s="503" t="s">
        <v>2238</v>
      </c>
      <c r="E1002" s="502"/>
      <c r="F1002" s="484" t="s">
        <v>1329</v>
      </c>
      <c r="G1002" s="496">
        <f>1+1</f>
        <v>2</v>
      </c>
      <c r="H1002" s="505">
        <v>307</v>
      </c>
      <c r="I1002" s="612">
        <f t="shared" si="43"/>
        <v>614</v>
      </c>
    </row>
    <row r="1003" spans="1:9" s="507" customFormat="1" x14ac:dyDescent="0.2">
      <c r="A1003" s="484"/>
      <c r="B1003" s="485"/>
      <c r="C1003" s="502"/>
      <c r="D1003" s="503"/>
      <c r="E1003" s="502"/>
      <c r="F1003" s="484"/>
      <c r="G1003" s="496"/>
      <c r="H1003" s="535"/>
      <c r="I1003" s="612"/>
    </row>
    <row r="1004" spans="1:9" s="507" customFormat="1" x14ac:dyDescent="0.2">
      <c r="A1004" s="484" t="s">
        <v>2239</v>
      </c>
      <c r="B1004" s="485"/>
      <c r="C1004" s="502" t="s">
        <v>2240</v>
      </c>
      <c r="D1004" s="503" t="s">
        <v>2241</v>
      </c>
      <c r="E1004" s="502"/>
      <c r="F1004" s="484" t="s">
        <v>1329</v>
      </c>
      <c r="G1004" s="496">
        <v>2</v>
      </c>
      <c r="H1004" s="505">
        <v>307</v>
      </c>
      <c r="I1004" s="612">
        <f t="shared" si="43"/>
        <v>614</v>
      </c>
    </row>
    <row r="1005" spans="1:9" x14ac:dyDescent="0.2">
      <c r="A1005" s="484"/>
      <c r="B1005" s="485"/>
      <c r="C1005" s="502"/>
      <c r="D1005" s="503"/>
      <c r="E1005" s="502"/>
      <c r="F1005" s="484"/>
      <c r="G1005" s="496"/>
      <c r="H1005" s="535"/>
      <c r="I1005" s="612"/>
    </row>
    <row r="1006" spans="1:9" x14ac:dyDescent="0.2">
      <c r="A1006" s="484" t="s">
        <v>2242</v>
      </c>
      <c r="B1006" s="485"/>
      <c r="C1006" s="502" t="s">
        <v>2243</v>
      </c>
      <c r="D1006" s="503" t="s">
        <v>2244</v>
      </c>
      <c r="E1006" s="502"/>
      <c r="F1006" s="484" t="s">
        <v>1329</v>
      </c>
      <c r="G1006" s="496">
        <f>2+4</f>
        <v>6</v>
      </c>
      <c r="H1006" s="505">
        <v>307</v>
      </c>
      <c r="I1006" s="612">
        <f t="shared" si="43"/>
        <v>1842</v>
      </c>
    </row>
    <row r="1007" spans="1:9" x14ac:dyDescent="0.2">
      <c r="A1007" s="484"/>
      <c r="B1007" s="485"/>
      <c r="C1007" s="502"/>
      <c r="D1007" s="503"/>
      <c r="E1007" s="502"/>
      <c r="F1007" s="484"/>
      <c r="G1007" s="496"/>
      <c r="H1007" s="535"/>
      <c r="I1007" s="612"/>
    </row>
    <row r="1008" spans="1:9" x14ac:dyDescent="0.2">
      <c r="A1008" s="484" t="s">
        <v>2245</v>
      </c>
      <c r="B1008" s="485"/>
      <c r="C1008" s="502" t="s">
        <v>2246</v>
      </c>
      <c r="D1008" s="503" t="s">
        <v>2247</v>
      </c>
      <c r="E1008" s="502"/>
      <c r="F1008" s="484" t="s">
        <v>1329</v>
      </c>
      <c r="G1008" s="496">
        <v>6</v>
      </c>
      <c r="H1008" s="505">
        <v>307</v>
      </c>
      <c r="I1008" s="612">
        <f t="shared" si="43"/>
        <v>1842</v>
      </c>
    </row>
    <row r="1009" spans="1:9" x14ac:dyDescent="0.2">
      <c r="A1009" s="484"/>
      <c r="B1009" s="485"/>
      <c r="C1009" s="502"/>
      <c r="D1009" s="503"/>
      <c r="E1009" s="502"/>
      <c r="F1009" s="484"/>
      <c r="G1009" s="496"/>
      <c r="H1009" s="535"/>
      <c r="I1009" s="612"/>
    </row>
    <row r="1010" spans="1:9" ht="25.5" x14ac:dyDescent="0.2">
      <c r="A1010" s="484" t="s">
        <v>2248</v>
      </c>
      <c r="B1010" s="485"/>
      <c r="C1010" s="502" t="s">
        <v>2249</v>
      </c>
      <c r="D1010" s="503" t="s">
        <v>2250</v>
      </c>
      <c r="E1010" s="502"/>
      <c r="F1010" s="484" t="s">
        <v>1329</v>
      </c>
      <c r="G1010" s="496">
        <f>2+2</f>
        <v>4</v>
      </c>
      <c r="H1010" s="505">
        <v>356</v>
      </c>
      <c r="I1010" s="612">
        <f t="shared" si="43"/>
        <v>1424</v>
      </c>
    </row>
    <row r="1011" spans="1:9" x14ac:dyDescent="0.2">
      <c r="A1011" s="484"/>
      <c r="B1011" s="485"/>
      <c r="C1011" s="502"/>
      <c r="D1011" s="503"/>
      <c r="E1011" s="502"/>
      <c r="F1011" s="484"/>
      <c r="G1011" s="496"/>
      <c r="H1011" s="535"/>
      <c r="I1011" s="612"/>
    </row>
    <row r="1012" spans="1:9" ht="25.5" x14ac:dyDescent="0.2">
      <c r="A1012" s="484" t="s">
        <v>2251</v>
      </c>
      <c r="B1012" s="485"/>
      <c r="C1012" s="502" t="s">
        <v>2252</v>
      </c>
      <c r="D1012" s="503" t="s">
        <v>2253</v>
      </c>
      <c r="E1012" s="502"/>
      <c r="F1012" s="484" t="s">
        <v>1329</v>
      </c>
      <c r="G1012" s="496">
        <v>10</v>
      </c>
      <c r="H1012" s="505">
        <v>416</v>
      </c>
      <c r="I1012" s="612">
        <f t="shared" si="43"/>
        <v>4160</v>
      </c>
    </row>
    <row r="1013" spans="1:9" x14ac:dyDescent="0.2">
      <c r="A1013" s="484"/>
      <c r="B1013" s="485"/>
      <c r="C1013" s="502"/>
      <c r="D1013" s="503"/>
      <c r="E1013" s="502"/>
      <c r="F1013" s="484"/>
      <c r="G1013" s="496"/>
      <c r="H1013" s="535"/>
      <c r="I1013" s="612"/>
    </row>
    <row r="1014" spans="1:9" x14ac:dyDescent="0.2">
      <c r="A1014" s="484" t="s">
        <v>2254</v>
      </c>
      <c r="B1014" s="485"/>
      <c r="C1014" s="502" t="s">
        <v>2255</v>
      </c>
      <c r="D1014" s="503" t="s">
        <v>2256</v>
      </c>
      <c r="E1014" s="502"/>
      <c r="F1014" s="484" t="s">
        <v>1329</v>
      </c>
      <c r="G1014" s="496">
        <f>4+1</f>
        <v>5</v>
      </c>
      <c r="H1014" s="505">
        <v>104</v>
      </c>
      <c r="I1014" s="612">
        <f t="shared" si="43"/>
        <v>520</v>
      </c>
    </row>
    <row r="1015" spans="1:9" x14ac:dyDescent="0.2">
      <c r="A1015" s="484"/>
      <c r="B1015" s="485"/>
      <c r="C1015" s="502"/>
      <c r="D1015" s="503"/>
      <c r="E1015" s="502"/>
      <c r="F1015" s="484"/>
      <c r="G1015" s="496"/>
      <c r="H1015" s="535"/>
      <c r="I1015" s="612"/>
    </row>
    <row r="1016" spans="1:9" x14ac:dyDescent="0.2">
      <c r="A1016" s="484" t="s">
        <v>2257</v>
      </c>
      <c r="B1016" s="485"/>
      <c r="C1016" s="502" t="s">
        <v>2258</v>
      </c>
      <c r="D1016" s="503" t="s">
        <v>2259</v>
      </c>
      <c r="E1016" s="502"/>
      <c r="F1016" s="484" t="s">
        <v>1329</v>
      </c>
      <c r="G1016" s="496">
        <f>4+2</f>
        <v>6</v>
      </c>
      <c r="H1016" s="505">
        <v>121</v>
      </c>
      <c r="I1016" s="612">
        <f t="shared" si="43"/>
        <v>726</v>
      </c>
    </row>
    <row r="1017" spans="1:9" x14ac:dyDescent="0.2">
      <c r="A1017" s="484"/>
      <c r="B1017" s="485"/>
      <c r="C1017" s="502"/>
      <c r="D1017" s="503"/>
      <c r="E1017" s="502"/>
      <c r="F1017" s="484"/>
      <c r="G1017" s="496"/>
      <c r="H1017" s="535"/>
      <c r="I1017" s="612"/>
    </row>
    <row r="1018" spans="1:9" s="516" customFormat="1" x14ac:dyDescent="0.2">
      <c r="A1018" s="510"/>
      <c r="B1018" s="511"/>
      <c r="C1018" s="512"/>
      <c r="D1018" s="513"/>
      <c r="E1018" s="512"/>
      <c r="F1018" s="514"/>
      <c r="G1018" s="545"/>
      <c r="H1018" s="994"/>
      <c r="I1018" s="994"/>
    </row>
    <row r="1019" spans="1:9" s="516" customFormat="1" x14ac:dyDescent="0.2">
      <c r="A1019" s="517"/>
      <c r="B1019" s="518"/>
      <c r="C1019" s="519" t="s">
        <v>1285</v>
      </c>
      <c r="D1019" s="520" t="s">
        <v>1286</v>
      </c>
      <c r="E1019" s="519"/>
      <c r="F1019" s="521"/>
      <c r="G1019" s="546"/>
      <c r="H1019" s="505"/>
      <c r="I1019" s="508">
        <f>SUM(I997:I1016)</f>
        <v>21195</v>
      </c>
    </row>
    <row r="1020" spans="1:9" s="516" customFormat="1" x14ac:dyDescent="0.2">
      <c r="A1020" s="523"/>
      <c r="B1020" s="524"/>
      <c r="C1020" s="525"/>
      <c r="D1020" s="526"/>
      <c r="E1020" s="525"/>
      <c r="F1020" s="527"/>
      <c r="G1020" s="523"/>
      <c r="H1020" s="995"/>
      <c r="I1020" s="996"/>
    </row>
    <row r="1021" spans="1:9" x14ac:dyDescent="0.2">
      <c r="A1021" s="484"/>
      <c r="B1021" s="485"/>
      <c r="C1021" s="502"/>
      <c r="D1021" s="503"/>
      <c r="E1021" s="502"/>
      <c r="F1021" s="484"/>
      <c r="G1021" s="496"/>
      <c r="H1021" s="535"/>
      <c r="I1021" s="612"/>
    </row>
    <row r="1022" spans="1:9" x14ac:dyDescent="0.2">
      <c r="A1022" s="484">
        <v>16.8</v>
      </c>
      <c r="B1022" s="485"/>
      <c r="C1022" s="604" t="s">
        <v>2260</v>
      </c>
      <c r="D1022" s="605" t="s">
        <v>2261</v>
      </c>
      <c r="E1022" s="502"/>
      <c r="F1022" s="484"/>
      <c r="G1022" s="496"/>
      <c r="H1022" s="535"/>
      <c r="I1022" s="612"/>
    </row>
    <row r="1023" spans="1:9" x14ac:dyDescent="0.2">
      <c r="A1023" s="484"/>
      <c r="B1023" s="485"/>
      <c r="C1023" s="502"/>
      <c r="D1023" s="503"/>
      <c r="E1023" s="502"/>
      <c r="F1023" s="484"/>
      <c r="G1023" s="496"/>
      <c r="H1023" s="535"/>
      <c r="I1023" s="612"/>
    </row>
    <row r="1024" spans="1:9" ht="63.75" x14ac:dyDescent="0.2">
      <c r="A1024" s="484" t="s">
        <v>2262</v>
      </c>
      <c r="B1024" s="485"/>
      <c r="C1024" s="502" t="s">
        <v>2263</v>
      </c>
      <c r="D1024" s="503" t="s">
        <v>2264</v>
      </c>
      <c r="E1024" s="502"/>
      <c r="F1024" s="484"/>
      <c r="G1024" s="496"/>
      <c r="H1024" s="535"/>
      <c r="I1024" s="612"/>
    </row>
    <row r="1025" spans="1:9" x14ac:dyDescent="0.2">
      <c r="A1025" s="484"/>
      <c r="B1025" s="485"/>
      <c r="C1025" s="502"/>
      <c r="D1025" s="503"/>
      <c r="E1025" s="502"/>
      <c r="F1025" s="484"/>
      <c r="G1025" s="496"/>
      <c r="H1025" s="535"/>
      <c r="I1025" s="612"/>
    </row>
    <row r="1026" spans="1:9" s="507" customFormat="1" ht="63.75" x14ac:dyDescent="0.2">
      <c r="A1026" s="484" t="s">
        <v>2265</v>
      </c>
      <c r="B1026" s="485"/>
      <c r="C1026" s="502" t="s">
        <v>2266</v>
      </c>
      <c r="D1026" s="503" t="s">
        <v>2267</v>
      </c>
      <c r="E1026" s="502"/>
      <c r="F1026" s="484" t="s">
        <v>1329</v>
      </c>
      <c r="G1026" s="496">
        <v>1</v>
      </c>
      <c r="H1026" s="505">
        <v>52593</v>
      </c>
      <c r="I1026" s="612">
        <f t="shared" ref="I1026:I1032" si="44">H1026*G1026</f>
        <v>52593</v>
      </c>
    </row>
    <row r="1027" spans="1:9" x14ac:dyDescent="0.2">
      <c r="A1027" s="484"/>
      <c r="B1027" s="485"/>
      <c r="C1027" s="502"/>
      <c r="D1027" s="503"/>
      <c r="E1027" s="502"/>
      <c r="F1027" s="484"/>
      <c r="G1027" s="496"/>
      <c r="H1027" s="535"/>
      <c r="I1027" s="612"/>
    </row>
    <row r="1028" spans="1:9" s="507" customFormat="1" ht="63.75" x14ac:dyDescent="0.2">
      <c r="A1028" s="484" t="s">
        <v>2268</v>
      </c>
      <c r="B1028" s="485"/>
      <c r="C1028" s="502" t="s">
        <v>2269</v>
      </c>
      <c r="D1028" s="503" t="s">
        <v>2270</v>
      </c>
      <c r="E1028" s="502"/>
      <c r="F1028" s="484" t="s">
        <v>1329</v>
      </c>
      <c r="G1028" s="496">
        <v>1</v>
      </c>
      <c r="H1028" s="505">
        <v>3506</v>
      </c>
      <c r="I1028" s="612">
        <f t="shared" si="44"/>
        <v>3506</v>
      </c>
    </row>
    <row r="1029" spans="1:9" x14ac:dyDescent="0.2">
      <c r="A1029" s="484"/>
      <c r="B1029" s="485"/>
      <c r="C1029" s="502"/>
      <c r="D1029" s="503"/>
      <c r="E1029" s="502"/>
      <c r="F1029" s="484"/>
      <c r="G1029" s="496"/>
      <c r="H1029" s="535"/>
      <c r="I1029" s="612"/>
    </row>
    <row r="1030" spans="1:9" s="507" customFormat="1" ht="63.75" x14ac:dyDescent="0.2">
      <c r="A1030" s="484" t="s">
        <v>2271</v>
      </c>
      <c r="B1030" s="485"/>
      <c r="C1030" s="502" t="s">
        <v>2272</v>
      </c>
      <c r="D1030" s="503" t="s">
        <v>2273</v>
      </c>
      <c r="E1030" s="502"/>
      <c r="F1030" s="484" t="s">
        <v>1329</v>
      </c>
      <c r="G1030" s="496">
        <v>1</v>
      </c>
      <c r="H1030" s="505">
        <v>4164</v>
      </c>
      <c r="I1030" s="612">
        <f t="shared" si="44"/>
        <v>4164</v>
      </c>
    </row>
    <row r="1031" spans="1:9" x14ac:dyDescent="0.2">
      <c r="A1031" s="484"/>
      <c r="B1031" s="485"/>
      <c r="C1031" s="502"/>
      <c r="D1031" s="503"/>
      <c r="E1031" s="502"/>
      <c r="F1031" s="484"/>
      <c r="G1031" s="496"/>
      <c r="H1031" s="535"/>
      <c r="I1031" s="612"/>
    </row>
    <row r="1032" spans="1:9" s="507" customFormat="1" ht="63.75" x14ac:dyDescent="0.2">
      <c r="A1032" s="484" t="s">
        <v>2274</v>
      </c>
      <c r="B1032" s="485"/>
      <c r="C1032" s="502" t="s">
        <v>2275</v>
      </c>
      <c r="D1032" s="503" t="s">
        <v>2276</v>
      </c>
      <c r="E1032" s="502"/>
      <c r="F1032" s="484" t="s">
        <v>1329</v>
      </c>
      <c r="G1032" s="496">
        <v>1</v>
      </c>
      <c r="H1032" s="505">
        <v>3287</v>
      </c>
      <c r="I1032" s="612">
        <f t="shared" si="44"/>
        <v>3287</v>
      </c>
    </row>
    <row r="1033" spans="1:9" x14ac:dyDescent="0.2">
      <c r="A1033" s="484"/>
      <c r="B1033" s="485"/>
      <c r="C1033" s="502"/>
      <c r="D1033" s="503"/>
      <c r="E1033" s="502"/>
      <c r="F1033" s="484"/>
      <c r="G1033" s="496"/>
      <c r="H1033" s="535"/>
      <c r="I1033" s="612"/>
    </row>
    <row r="1034" spans="1:9" s="516" customFormat="1" x14ac:dyDescent="0.2">
      <c r="A1034" s="510"/>
      <c r="B1034" s="511"/>
      <c r="C1034" s="512"/>
      <c r="D1034" s="513"/>
      <c r="E1034" s="512"/>
      <c r="F1034" s="514"/>
      <c r="G1034" s="545"/>
      <c r="H1034" s="994"/>
      <c r="I1034" s="994"/>
    </row>
    <row r="1035" spans="1:9" s="516" customFormat="1" x14ac:dyDescent="0.2">
      <c r="A1035" s="517"/>
      <c r="B1035" s="518"/>
      <c r="C1035" s="519" t="s">
        <v>1285</v>
      </c>
      <c r="D1035" s="520" t="s">
        <v>1286</v>
      </c>
      <c r="E1035" s="519"/>
      <c r="F1035" s="521"/>
      <c r="G1035" s="546"/>
      <c r="H1035" s="505"/>
      <c r="I1035" s="508">
        <f>SUM(I1026:I1032)</f>
        <v>63550</v>
      </c>
    </row>
    <row r="1036" spans="1:9" s="516" customFormat="1" x14ac:dyDescent="0.2">
      <c r="A1036" s="523"/>
      <c r="B1036" s="524"/>
      <c r="C1036" s="525"/>
      <c r="D1036" s="526"/>
      <c r="E1036" s="525"/>
      <c r="F1036" s="527"/>
      <c r="G1036" s="523"/>
      <c r="H1036" s="995"/>
      <c r="I1036" s="996"/>
    </row>
    <row r="1037" spans="1:9" s="516" customFormat="1" x14ac:dyDescent="0.2">
      <c r="A1037" s="550"/>
      <c r="B1037" s="518"/>
      <c r="C1037" s="530"/>
      <c r="D1037" s="531"/>
      <c r="E1037" s="530"/>
      <c r="F1037" s="521"/>
      <c r="G1037" s="550"/>
      <c r="H1037" s="505"/>
      <c r="I1037" s="997"/>
    </row>
    <row r="1038" spans="1:9" x14ac:dyDescent="0.2">
      <c r="A1038" s="592" t="s">
        <v>2277</v>
      </c>
      <c r="B1038" s="485"/>
      <c r="C1038" s="604" t="s">
        <v>2278</v>
      </c>
      <c r="D1038" s="605" t="s">
        <v>2279</v>
      </c>
      <c r="E1038" s="502"/>
      <c r="F1038" s="484"/>
      <c r="G1038" s="496"/>
      <c r="H1038" s="535"/>
      <c r="I1038" s="612"/>
    </row>
    <row r="1039" spans="1:9" x14ac:dyDescent="0.2">
      <c r="A1039" s="592"/>
      <c r="B1039" s="485"/>
      <c r="C1039" s="502"/>
      <c r="D1039" s="503"/>
      <c r="E1039" s="502"/>
      <c r="F1039" s="484"/>
      <c r="G1039" s="496"/>
      <c r="H1039" s="535"/>
      <c r="I1039" s="612"/>
    </row>
    <row r="1040" spans="1:9" ht="63.75" x14ac:dyDescent="0.2">
      <c r="A1040" s="484"/>
      <c r="B1040" s="485"/>
      <c r="C1040" s="502" t="s">
        <v>2280</v>
      </c>
      <c r="D1040" s="503" t="s">
        <v>2281</v>
      </c>
      <c r="E1040" s="502"/>
      <c r="F1040" s="484"/>
      <c r="G1040" s="496"/>
      <c r="H1040" s="535"/>
      <c r="I1040" s="612"/>
    </row>
    <row r="1041" spans="1:9" x14ac:dyDescent="0.2">
      <c r="A1041" s="484"/>
      <c r="B1041" s="485"/>
      <c r="C1041" s="502"/>
      <c r="D1041" s="503"/>
      <c r="E1041" s="502"/>
      <c r="F1041" s="484"/>
      <c r="G1041" s="496"/>
      <c r="H1041" s="535"/>
      <c r="I1041" s="612"/>
    </row>
    <row r="1042" spans="1:9" x14ac:dyDescent="0.2">
      <c r="A1042" s="484" t="s">
        <v>2282</v>
      </c>
      <c r="B1042" s="485"/>
      <c r="C1042" s="502" t="s">
        <v>2283</v>
      </c>
      <c r="D1042" s="503" t="s">
        <v>2284</v>
      </c>
      <c r="E1042" s="502"/>
      <c r="F1042" s="484" t="s">
        <v>1329</v>
      </c>
      <c r="G1042" s="496">
        <v>6</v>
      </c>
      <c r="H1042" s="505">
        <v>986</v>
      </c>
      <c r="I1042" s="612">
        <f t="shared" ref="I1042:I1047" si="45">H1042*G1042</f>
        <v>5916</v>
      </c>
    </row>
    <row r="1043" spans="1:9" x14ac:dyDescent="0.2">
      <c r="A1043" s="484" t="s">
        <v>2285</v>
      </c>
      <c r="B1043" s="485"/>
      <c r="C1043" s="502" t="s">
        <v>2286</v>
      </c>
      <c r="D1043" s="503" t="s">
        <v>2287</v>
      </c>
      <c r="E1043" s="502"/>
      <c r="F1043" s="484" t="s">
        <v>1329</v>
      </c>
      <c r="G1043" s="496">
        <v>2</v>
      </c>
      <c r="H1043" s="505">
        <v>986</v>
      </c>
      <c r="I1043" s="612">
        <f t="shared" si="45"/>
        <v>1972</v>
      </c>
    </row>
    <row r="1044" spans="1:9" x14ac:dyDescent="0.2">
      <c r="A1044" s="484" t="s">
        <v>2288</v>
      </c>
      <c r="B1044" s="485"/>
      <c r="C1044" s="502" t="s">
        <v>2289</v>
      </c>
      <c r="D1044" s="503" t="s">
        <v>2290</v>
      </c>
      <c r="E1044" s="502"/>
      <c r="F1044" s="484" t="s">
        <v>1329</v>
      </c>
      <c r="G1044" s="496">
        <v>2</v>
      </c>
      <c r="H1044" s="505">
        <v>1315</v>
      </c>
      <c r="I1044" s="612">
        <f t="shared" si="45"/>
        <v>2630</v>
      </c>
    </row>
    <row r="1045" spans="1:9" x14ac:dyDescent="0.2">
      <c r="A1045" s="484" t="s">
        <v>2291</v>
      </c>
      <c r="B1045" s="485"/>
      <c r="C1045" s="502" t="s">
        <v>2292</v>
      </c>
      <c r="D1045" s="503" t="s">
        <v>2293</v>
      </c>
      <c r="E1045" s="502"/>
      <c r="F1045" s="484" t="s">
        <v>1329</v>
      </c>
      <c r="G1045" s="496">
        <v>1</v>
      </c>
      <c r="H1045" s="505">
        <v>55</v>
      </c>
      <c r="I1045" s="612">
        <f t="shared" si="45"/>
        <v>55</v>
      </c>
    </row>
    <row r="1046" spans="1:9" x14ac:dyDescent="0.2">
      <c r="A1046" s="484" t="s">
        <v>2294</v>
      </c>
      <c r="B1046" s="485"/>
      <c r="C1046" s="502" t="s">
        <v>2295</v>
      </c>
      <c r="D1046" s="503" t="s">
        <v>2296</v>
      </c>
      <c r="E1046" s="502"/>
      <c r="F1046" s="484" t="s">
        <v>1329</v>
      </c>
      <c r="G1046" s="496">
        <v>1</v>
      </c>
      <c r="H1046" s="505">
        <v>9752</v>
      </c>
      <c r="I1046" s="612">
        <f t="shared" si="45"/>
        <v>9752</v>
      </c>
    </row>
    <row r="1047" spans="1:9" s="507" customFormat="1" ht="38.25" x14ac:dyDescent="0.2">
      <c r="A1047" s="484" t="s">
        <v>2297</v>
      </c>
      <c r="B1047" s="485"/>
      <c r="C1047" s="502" t="s">
        <v>2298</v>
      </c>
      <c r="D1047" s="503" t="s">
        <v>2299</v>
      </c>
      <c r="E1047" s="502"/>
      <c r="F1047" s="484" t="s">
        <v>1329</v>
      </c>
      <c r="G1047" s="496">
        <v>12</v>
      </c>
      <c r="H1047" s="505">
        <v>203</v>
      </c>
      <c r="I1047" s="612">
        <f t="shared" si="45"/>
        <v>2436</v>
      </c>
    </row>
    <row r="1048" spans="1:9" s="507" customFormat="1" x14ac:dyDescent="0.2">
      <c r="A1048" s="484"/>
      <c r="B1048" s="485"/>
      <c r="C1048" s="502"/>
      <c r="D1048" s="503"/>
      <c r="E1048" s="502"/>
      <c r="F1048" s="484"/>
      <c r="G1048" s="496"/>
      <c r="H1048" s="535"/>
      <c r="I1048" s="612"/>
    </row>
    <row r="1049" spans="1:9" s="516" customFormat="1" x14ac:dyDescent="0.2">
      <c r="A1049" s="510"/>
      <c r="B1049" s="511"/>
      <c r="C1049" s="512"/>
      <c r="D1049" s="513"/>
      <c r="E1049" s="512"/>
      <c r="F1049" s="514"/>
      <c r="G1049" s="545"/>
      <c r="H1049" s="994"/>
      <c r="I1049" s="994"/>
    </row>
    <row r="1050" spans="1:9" s="516" customFormat="1" x14ac:dyDescent="0.2">
      <c r="A1050" s="517"/>
      <c r="B1050" s="518"/>
      <c r="C1050" s="519" t="s">
        <v>1285</v>
      </c>
      <c r="D1050" s="520" t="s">
        <v>1286</v>
      </c>
      <c r="E1050" s="519"/>
      <c r="F1050" s="521"/>
      <c r="G1050" s="546"/>
      <c r="H1050" s="505"/>
      <c r="I1050" s="508">
        <f>SUM(I1040:I1047)</f>
        <v>22761</v>
      </c>
    </row>
    <row r="1051" spans="1:9" s="516" customFormat="1" x14ac:dyDescent="0.2">
      <c r="A1051" s="523"/>
      <c r="B1051" s="524"/>
      <c r="C1051" s="525"/>
      <c r="D1051" s="526"/>
      <c r="E1051" s="525"/>
      <c r="F1051" s="527"/>
      <c r="G1051" s="523"/>
      <c r="H1051" s="995"/>
      <c r="I1051" s="996"/>
    </row>
    <row r="1052" spans="1:9" s="516" customFormat="1" x14ac:dyDescent="0.2">
      <c r="A1052" s="550"/>
      <c r="B1052" s="518"/>
      <c r="C1052" s="530"/>
      <c r="D1052" s="531"/>
      <c r="E1052" s="530"/>
      <c r="F1052" s="521"/>
      <c r="G1052" s="550"/>
      <c r="H1052" s="505"/>
      <c r="I1052" s="997"/>
    </row>
    <row r="1053" spans="1:9" s="570" customFormat="1" x14ac:dyDescent="0.2">
      <c r="A1053" s="626" t="s">
        <v>2300</v>
      </c>
      <c r="B1053" s="487"/>
      <c r="C1053" s="604" t="s">
        <v>2278</v>
      </c>
      <c r="D1053" s="605" t="s">
        <v>2279</v>
      </c>
      <c r="E1053" s="613"/>
      <c r="F1053" s="492"/>
      <c r="G1053" s="627"/>
      <c r="H1053" s="505"/>
      <c r="I1053" s="1007"/>
    </row>
    <row r="1054" spans="1:9" x14ac:dyDescent="0.2">
      <c r="A1054" s="592"/>
      <c r="B1054" s="485"/>
      <c r="C1054" s="502"/>
      <c r="D1054" s="503"/>
      <c r="E1054" s="502"/>
      <c r="F1054" s="484"/>
      <c r="G1054" s="496"/>
      <c r="H1054" s="535"/>
      <c r="I1054" s="612"/>
    </row>
    <row r="1055" spans="1:9" ht="63.75" x14ac:dyDescent="0.2">
      <c r="A1055" s="484"/>
      <c r="B1055" s="485"/>
      <c r="C1055" s="502" t="s">
        <v>2280</v>
      </c>
      <c r="D1055" s="503" t="s">
        <v>2281</v>
      </c>
      <c r="E1055" s="502"/>
      <c r="F1055" s="484"/>
      <c r="G1055" s="496"/>
      <c r="H1055" s="535"/>
      <c r="I1055" s="612"/>
    </row>
    <row r="1056" spans="1:9" x14ac:dyDescent="0.2">
      <c r="A1056" s="484"/>
      <c r="B1056" s="485"/>
      <c r="C1056" s="502"/>
      <c r="D1056" s="503"/>
      <c r="E1056" s="502"/>
      <c r="F1056" s="484"/>
      <c r="G1056" s="496"/>
      <c r="H1056" s="535"/>
      <c r="I1056" s="612"/>
    </row>
    <row r="1057" spans="1:9" x14ac:dyDescent="0.2">
      <c r="A1057" s="484" t="s">
        <v>2301</v>
      </c>
      <c r="B1057" s="485"/>
      <c r="C1057" s="502" t="s">
        <v>2283</v>
      </c>
      <c r="D1057" s="503" t="s">
        <v>2284</v>
      </c>
      <c r="E1057" s="502"/>
      <c r="F1057" s="484" t="s">
        <v>1329</v>
      </c>
      <c r="G1057" s="496">
        <v>6</v>
      </c>
      <c r="H1057" s="505">
        <v>986</v>
      </c>
      <c r="I1057" s="612">
        <f t="shared" ref="I1057:I1062" si="46">H1057*G1057</f>
        <v>5916</v>
      </c>
    </row>
    <row r="1058" spans="1:9" x14ac:dyDescent="0.2">
      <c r="A1058" s="484" t="s">
        <v>2302</v>
      </c>
      <c r="B1058" s="485"/>
      <c r="C1058" s="502" t="s">
        <v>2286</v>
      </c>
      <c r="D1058" s="503" t="s">
        <v>2287</v>
      </c>
      <c r="E1058" s="502"/>
      <c r="F1058" s="484" t="s">
        <v>1329</v>
      </c>
      <c r="G1058" s="496">
        <v>2</v>
      </c>
      <c r="H1058" s="505">
        <v>986</v>
      </c>
      <c r="I1058" s="612">
        <f t="shared" si="46"/>
        <v>1972</v>
      </c>
    </row>
    <row r="1059" spans="1:9" x14ac:dyDescent="0.2">
      <c r="A1059" s="484" t="s">
        <v>2303</v>
      </c>
      <c r="B1059" s="485"/>
      <c r="C1059" s="502" t="s">
        <v>2289</v>
      </c>
      <c r="D1059" s="503" t="s">
        <v>2290</v>
      </c>
      <c r="E1059" s="502"/>
      <c r="F1059" s="484" t="s">
        <v>1329</v>
      </c>
      <c r="G1059" s="496">
        <v>2</v>
      </c>
      <c r="H1059" s="505">
        <v>1315</v>
      </c>
      <c r="I1059" s="612">
        <f t="shared" si="46"/>
        <v>2630</v>
      </c>
    </row>
    <row r="1060" spans="1:9" x14ac:dyDescent="0.2">
      <c r="A1060" s="484" t="s">
        <v>2304</v>
      </c>
      <c r="B1060" s="485"/>
      <c r="C1060" s="502" t="s">
        <v>2292</v>
      </c>
      <c r="D1060" s="503" t="s">
        <v>2293</v>
      </c>
      <c r="E1060" s="502"/>
      <c r="F1060" s="484" t="s">
        <v>1329</v>
      </c>
      <c r="G1060" s="496">
        <v>1</v>
      </c>
      <c r="H1060" s="505">
        <v>55</v>
      </c>
      <c r="I1060" s="612">
        <f t="shared" si="46"/>
        <v>55</v>
      </c>
    </row>
    <row r="1061" spans="1:9" x14ac:dyDescent="0.2">
      <c r="A1061" s="484" t="s">
        <v>2305</v>
      </c>
      <c r="B1061" s="485"/>
      <c r="C1061" s="502" t="s">
        <v>2295</v>
      </c>
      <c r="D1061" s="503" t="s">
        <v>2296</v>
      </c>
      <c r="E1061" s="502"/>
      <c r="F1061" s="484" t="s">
        <v>1329</v>
      </c>
      <c r="G1061" s="496">
        <v>1</v>
      </c>
      <c r="H1061" s="505">
        <v>9752</v>
      </c>
      <c r="I1061" s="612">
        <f t="shared" si="46"/>
        <v>9752</v>
      </c>
    </row>
    <row r="1062" spans="1:9" s="507" customFormat="1" ht="38.25" x14ac:dyDescent="0.2">
      <c r="A1062" s="484" t="s">
        <v>2306</v>
      </c>
      <c r="B1062" s="485"/>
      <c r="C1062" s="502" t="s">
        <v>2298</v>
      </c>
      <c r="D1062" s="503" t="s">
        <v>2307</v>
      </c>
      <c r="E1062" s="502"/>
      <c r="F1062" s="484" t="s">
        <v>1329</v>
      </c>
      <c r="G1062" s="496">
        <v>12</v>
      </c>
      <c r="H1062" s="505">
        <v>203</v>
      </c>
      <c r="I1062" s="612">
        <f t="shared" si="46"/>
        <v>2436</v>
      </c>
    </row>
    <row r="1063" spans="1:9" s="507" customFormat="1" x14ac:dyDescent="0.2">
      <c r="A1063" s="484"/>
      <c r="B1063" s="485"/>
      <c r="C1063" s="502"/>
      <c r="D1063" s="503"/>
      <c r="E1063" s="502"/>
      <c r="F1063" s="484"/>
      <c r="G1063" s="496"/>
      <c r="H1063" s="535"/>
      <c r="I1063" s="612"/>
    </row>
    <row r="1064" spans="1:9" s="516" customFormat="1" x14ac:dyDescent="0.2">
      <c r="A1064" s="510"/>
      <c r="B1064" s="511"/>
      <c r="C1064" s="512"/>
      <c r="D1064" s="513"/>
      <c r="E1064" s="512"/>
      <c r="F1064" s="514"/>
      <c r="G1064" s="545"/>
      <c r="H1064" s="994"/>
      <c r="I1064" s="994"/>
    </row>
    <row r="1065" spans="1:9" s="516" customFormat="1" x14ac:dyDescent="0.2">
      <c r="A1065" s="517"/>
      <c r="B1065" s="518"/>
      <c r="C1065" s="519" t="s">
        <v>1285</v>
      </c>
      <c r="D1065" s="520" t="s">
        <v>1286</v>
      </c>
      <c r="E1065" s="519"/>
      <c r="F1065" s="521"/>
      <c r="G1065" s="546"/>
      <c r="H1065" s="505"/>
      <c r="I1065" s="508">
        <f>SUM(I1057:I1062)</f>
        <v>22761</v>
      </c>
    </row>
    <row r="1066" spans="1:9" s="516" customFormat="1" x14ac:dyDescent="0.2">
      <c r="A1066" s="523"/>
      <c r="B1066" s="524"/>
      <c r="C1066" s="525"/>
      <c r="D1066" s="526"/>
      <c r="E1066" s="525"/>
      <c r="F1066" s="527"/>
      <c r="G1066" s="523"/>
      <c r="H1066" s="995"/>
      <c r="I1066" s="996"/>
    </row>
    <row r="1067" spans="1:9" s="516" customFormat="1" x14ac:dyDescent="0.2">
      <c r="A1067" s="550"/>
      <c r="B1067" s="518"/>
      <c r="C1067" s="530"/>
      <c r="D1067" s="531"/>
      <c r="E1067" s="530"/>
      <c r="F1067" s="521"/>
      <c r="G1067" s="550"/>
      <c r="H1067" s="505"/>
      <c r="I1067" s="997"/>
    </row>
    <row r="1068" spans="1:9" x14ac:dyDescent="0.2">
      <c r="A1068" s="626" t="s">
        <v>2308</v>
      </c>
      <c r="B1068" s="485"/>
      <c r="C1068" s="604" t="s">
        <v>2309</v>
      </c>
      <c r="D1068" s="605" t="s">
        <v>2310</v>
      </c>
      <c r="E1068" s="502"/>
      <c r="F1068" s="484"/>
      <c r="G1068" s="496"/>
      <c r="H1068" s="535"/>
      <c r="I1068" s="612"/>
    </row>
    <row r="1069" spans="1:9" s="516" customFormat="1" x14ac:dyDescent="0.2">
      <c r="A1069" s="550"/>
      <c r="B1069" s="518"/>
      <c r="C1069" s="530"/>
      <c r="D1069" s="531"/>
      <c r="E1069" s="530"/>
      <c r="F1069" s="521"/>
      <c r="G1069" s="550"/>
      <c r="H1069" s="505"/>
      <c r="I1069" s="997"/>
    </row>
    <row r="1070" spans="1:9" ht="102" x14ac:dyDescent="0.2">
      <c r="A1070" s="592" t="s">
        <v>2311</v>
      </c>
      <c r="B1070" s="485"/>
      <c r="C1070" s="502" t="s">
        <v>2312</v>
      </c>
      <c r="D1070" s="503" t="s">
        <v>2313</v>
      </c>
      <c r="E1070" s="502"/>
      <c r="F1070" s="484"/>
      <c r="G1070" s="496"/>
      <c r="H1070" s="535"/>
      <c r="I1070" s="612"/>
    </row>
    <row r="1071" spans="1:9" x14ac:dyDescent="0.2">
      <c r="A1071" s="592"/>
      <c r="B1071" s="485"/>
      <c r="C1071" s="502"/>
      <c r="D1071" s="503"/>
      <c r="E1071" s="502"/>
      <c r="F1071" s="484"/>
      <c r="G1071" s="496"/>
      <c r="H1071" s="535"/>
      <c r="I1071" s="612"/>
    </row>
    <row r="1072" spans="1:9" ht="38.25" x14ac:dyDescent="0.2">
      <c r="A1072" s="484" t="s">
        <v>2314</v>
      </c>
      <c r="B1072" s="485"/>
      <c r="C1072" s="502" t="s">
        <v>2315</v>
      </c>
      <c r="D1072" s="503" t="s">
        <v>2316</v>
      </c>
      <c r="E1072" s="502"/>
      <c r="F1072" s="484" t="s">
        <v>1329</v>
      </c>
      <c r="G1072" s="496">
        <v>6</v>
      </c>
      <c r="H1072" s="505">
        <v>5259</v>
      </c>
      <c r="I1072" s="612">
        <f t="shared" ref="I1072:I1074" si="47">H1072*G1072</f>
        <v>31554</v>
      </c>
    </row>
    <row r="1073" spans="1:9" x14ac:dyDescent="0.2">
      <c r="A1073" s="484"/>
      <c r="B1073" s="485"/>
      <c r="C1073" s="502"/>
      <c r="D1073" s="503"/>
      <c r="E1073" s="502"/>
      <c r="F1073" s="484"/>
      <c r="G1073" s="496"/>
      <c r="H1073" s="535"/>
      <c r="I1073" s="612"/>
    </row>
    <row r="1074" spans="1:9" ht="38.25" x14ac:dyDescent="0.2">
      <c r="A1074" s="484" t="s">
        <v>2317</v>
      </c>
      <c r="B1074" s="485"/>
      <c r="C1074" s="502" t="s">
        <v>2318</v>
      </c>
      <c r="D1074" s="503" t="s">
        <v>2319</v>
      </c>
      <c r="E1074" s="502"/>
      <c r="F1074" s="484" t="s">
        <v>1329</v>
      </c>
      <c r="G1074" s="496">
        <v>16</v>
      </c>
      <c r="H1074" s="505">
        <v>8985</v>
      </c>
      <c r="I1074" s="612">
        <f t="shared" si="47"/>
        <v>143760</v>
      </c>
    </row>
    <row r="1075" spans="1:9" x14ac:dyDescent="0.2">
      <c r="A1075" s="484"/>
      <c r="B1075" s="485"/>
      <c r="C1075" s="502"/>
      <c r="D1075" s="503"/>
      <c r="E1075" s="502"/>
      <c r="F1075" s="484"/>
      <c r="G1075" s="496"/>
      <c r="H1075" s="535"/>
      <c r="I1075" s="612"/>
    </row>
    <row r="1076" spans="1:9" s="516" customFormat="1" x14ac:dyDescent="0.2">
      <c r="A1076" s="510"/>
      <c r="B1076" s="511"/>
      <c r="C1076" s="512"/>
      <c r="D1076" s="513"/>
      <c r="E1076" s="512"/>
      <c r="F1076" s="514"/>
      <c r="G1076" s="545"/>
      <c r="H1076" s="994"/>
      <c r="I1076" s="994"/>
    </row>
    <row r="1077" spans="1:9" s="516" customFormat="1" x14ac:dyDescent="0.2">
      <c r="A1077" s="517"/>
      <c r="B1077" s="518"/>
      <c r="C1077" s="519" t="s">
        <v>1285</v>
      </c>
      <c r="D1077" s="520" t="s">
        <v>1286</v>
      </c>
      <c r="E1077" s="519"/>
      <c r="F1077" s="521"/>
      <c r="G1077" s="546"/>
      <c r="H1077" s="505"/>
      <c r="I1077" s="508">
        <f>SUM(I1072:I1075)</f>
        <v>175314</v>
      </c>
    </row>
    <row r="1078" spans="1:9" s="516" customFormat="1" x14ac:dyDescent="0.2">
      <c r="A1078" s="523"/>
      <c r="B1078" s="524"/>
      <c r="C1078" s="525"/>
      <c r="D1078" s="526"/>
      <c r="E1078" s="525"/>
      <c r="F1078" s="527"/>
      <c r="G1078" s="523"/>
      <c r="H1078" s="995"/>
      <c r="I1078" s="996"/>
    </row>
    <row r="1079" spans="1:9" s="516" customFormat="1" x14ac:dyDescent="0.2">
      <c r="A1079" s="550"/>
      <c r="B1079" s="518"/>
      <c r="C1079" s="530"/>
      <c r="D1079" s="531"/>
      <c r="E1079" s="530"/>
      <c r="F1079" s="521"/>
      <c r="G1079" s="550"/>
      <c r="H1079" s="505"/>
      <c r="I1079" s="997"/>
    </row>
    <row r="1080" spans="1:9" x14ac:dyDescent="0.2">
      <c r="A1080" s="626" t="s">
        <v>2308</v>
      </c>
      <c r="B1080" s="485"/>
      <c r="C1080" s="604" t="s">
        <v>2320</v>
      </c>
      <c r="D1080" s="605" t="s">
        <v>2321</v>
      </c>
      <c r="E1080" s="502"/>
      <c r="F1080" s="484"/>
      <c r="G1080" s="496"/>
      <c r="H1080" s="535"/>
      <c r="I1080" s="612"/>
    </row>
    <row r="1081" spans="1:9" x14ac:dyDescent="0.2">
      <c r="A1081" s="626"/>
      <c r="B1081" s="485"/>
      <c r="C1081" s="604"/>
      <c r="D1081" s="605"/>
      <c r="E1081" s="502"/>
      <c r="F1081" s="484"/>
      <c r="G1081" s="496"/>
      <c r="H1081" s="535"/>
      <c r="I1081" s="612"/>
    </row>
    <row r="1082" spans="1:9" ht="38.25" x14ac:dyDescent="0.2">
      <c r="A1082" s="484" t="s">
        <v>2322</v>
      </c>
      <c r="B1082" s="485"/>
      <c r="C1082" s="502" t="s">
        <v>2323</v>
      </c>
      <c r="D1082" s="503" t="s">
        <v>2324</v>
      </c>
      <c r="E1082" s="502"/>
      <c r="F1082" s="484" t="s">
        <v>1329</v>
      </c>
      <c r="G1082" s="496">
        <v>4</v>
      </c>
      <c r="H1082" s="505">
        <v>5259</v>
      </c>
      <c r="I1082" s="612">
        <f t="shared" ref="I1082:I1090" si="48">H1082*G1082</f>
        <v>21036</v>
      </c>
    </row>
    <row r="1083" spans="1:9" x14ac:dyDescent="0.2">
      <c r="A1083" s="484"/>
      <c r="B1083" s="485"/>
      <c r="C1083" s="502"/>
      <c r="D1083" s="503"/>
      <c r="E1083" s="502"/>
      <c r="F1083" s="484"/>
      <c r="G1083" s="496"/>
      <c r="H1083" s="535"/>
      <c r="I1083" s="612"/>
    </row>
    <row r="1084" spans="1:9" ht="38.25" x14ac:dyDescent="0.2">
      <c r="A1084" s="484" t="s">
        <v>2325</v>
      </c>
      <c r="B1084" s="485"/>
      <c r="C1084" s="502" t="s">
        <v>2326</v>
      </c>
      <c r="D1084" s="503" t="s">
        <v>2327</v>
      </c>
      <c r="E1084" s="502"/>
      <c r="F1084" s="484" t="s">
        <v>52</v>
      </c>
      <c r="G1084" s="496">
        <v>250</v>
      </c>
      <c r="H1084" s="505">
        <v>16</v>
      </c>
      <c r="I1084" s="612">
        <f t="shared" si="48"/>
        <v>4000</v>
      </c>
    </row>
    <row r="1085" spans="1:9" x14ac:dyDescent="0.2">
      <c r="A1085" s="484"/>
      <c r="B1085" s="485"/>
      <c r="C1085" s="502"/>
      <c r="D1085" s="503"/>
      <c r="E1085" s="502"/>
      <c r="F1085" s="484"/>
      <c r="G1085" s="496"/>
      <c r="H1085" s="535"/>
      <c r="I1085" s="612"/>
    </row>
    <row r="1086" spans="1:9" ht="51" x14ac:dyDescent="0.2">
      <c r="A1086" s="484" t="s">
        <v>2328</v>
      </c>
      <c r="B1086" s="485"/>
      <c r="C1086" s="502" t="s">
        <v>2329</v>
      </c>
      <c r="D1086" s="503" t="s">
        <v>2330</v>
      </c>
      <c r="E1086" s="502"/>
      <c r="F1086" s="484" t="s">
        <v>52</v>
      </c>
      <c r="G1086" s="496">
        <v>50</v>
      </c>
      <c r="H1086" s="505">
        <v>24</v>
      </c>
      <c r="I1086" s="612">
        <f t="shared" si="48"/>
        <v>1200</v>
      </c>
    </row>
    <row r="1087" spans="1:9" x14ac:dyDescent="0.2">
      <c r="A1087" s="484"/>
      <c r="B1087" s="485"/>
      <c r="C1087" s="502"/>
      <c r="D1087" s="503"/>
      <c r="E1087" s="502"/>
      <c r="F1087" s="484"/>
      <c r="G1087" s="496"/>
      <c r="H1087" s="535"/>
      <c r="I1087" s="612"/>
    </row>
    <row r="1088" spans="1:9" ht="38.25" x14ac:dyDescent="0.2">
      <c r="A1088" s="484" t="s">
        <v>2331</v>
      </c>
      <c r="B1088" s="485"/>
      <c r="C1088" s="502" t="s">
        <v>2332</v>
      </c>
      <c r="D1088" s="503" t="s">
        <v>2333</v>
      </c>
      <c r="E1088" s="502"/>
      <c r="F1088" s="484" t="s">
        <v>1329</v>
      </c>
      <c r="G1088" s="496">
        <v>1</v>
      </c>
      <c r="H1088" s="505">
        <v>150477</v>
      </c>
      <c r="I1088" s="612">
        <f t="shared" si="48"/>
        <v>150477</v>
      </c>
    </row>
    <row r="1089" spans="1:9" x14ac:dyDescent="0.2">
      <c r="A1089" s="484"/>
      <c r="B1089" s="485"/>
      <c r="C1089" s="502"/>
      <c r="D1089" s="503"/>
      <c r="E1089" s="502"/>
      <c r="F1089" s="484"/>
      <c r="G1089" s="496"/>
      <c r="H1089" s="535"/>
      <c r="I1089" s="612"/>
    </row>
    <row r="1090" spans="1:9" s="507" customFormat="1" ht="38.25" x14ac:dyDescent="0.2">
      <c r="A1090" s="484" t="s">
        <v>2334</v>
      </c>
      <c r="B1090" s="485"/>
      <c r="C1090" s="502" t="s">
        <v>2335</v>
      </c>
      <c r="D1090" s="503" t="s">
        <v>2336</v>
      </c>
      <c r="E1090" s="502"/>
      <c r="F1090" s="484" t="s">
        <v>1329</v>
      </c>
      <c r="G1090" s="496">
        <v>1</v>
      </c>
      <c r="H1090" s="505">
        <v>59628</v>
      </c>
      <c r="I1090" s="612">
        <f t="shared" si="48"/>
        <v>59628</v>
      </c>
    </row>
    <row r="1091" spans="1:9" s="507" customFormat="1" x14ac:dyDescent="0.2">
      <c r="A1091" s="484"/>
      <c r="B1091" s="485"/>
      <c r="C1091" s="502"/>
      <c r="D1091" s="503"/>
      <c r="E1091" s="502"/>
      <c r="F1091" s="484"/>
      <c r="G1091" s="496"/>
      <c r="H1091" s="535"/>
      <c r="I1091" s="612"/>
    </row>
    <row r="1092" spans="1:9" s="516" customFormat="1" x14ac:dyDescent="0.2">
      <c r="A1092" s="510"/>
      <c r="B1092" s="511"/>
      <c r="C1092" s="512"/>
      <c r="D1092" s="513"/>
      <c r="E1092" s="512"/>
      <c r="F1092" s="514"/>
      <c r="G1092" s="545"/>
      <c r="H1092" s="994"/>
      <c r="I1092" s="994"/>
    </row>
    <row r="1093" spans="1:9" s="516" customFormat="1" x14ac:dyDescent="0.2">
      <c r="A1093" s="517"/>
      <c r="B1093" s="518"/>
      <c r="C1093" s="519" t="s">
        <v>1285</v>
      </c>
      <c r="D1093" s="520" t="s">
        <v>1286</v>
      </c>
      <c r="E1093" s="519"/>
      <c r="F1093" s="521"/>
      <c r="G1093" s="546"/>
      <c r="H1093" s="505"/>
      <c r="I1093" s="508">
        <f>SUM(I1081:I1090)</f>
        <v>236341</v>
      </c>
    </row>
    <row r="1094" spans="1:9" s="516" customFormat="1" x14ac:dyDescent="0.2">
      <c r="A1094" s="523"/>
      <c r="B1094" s="524"/>
      <c r="C1094" s="525"/>
      <c r="D1094" s="526"/>
      <c r="E1094" s="525"/>
      <c r="F1094" s="527"/>
      <c r="G1094" s="523"/>
      <c r="H1094" s="995"/>
      <c r="I1094" s="996"/>
    </row>
    <row r="1095" spans="1:9" s="516" customFormat="1" x14ac:dyDescent="0.2">
      <c r="A1095" s="550"/>
      <c r="B1095" s="518"/>
      <c r="C1095" s="530"/>
      <c r="D1095" s="531"/>
      <c r="E1095" s="530"/>
      <c r="F1095" s="521"/>
      <c r="G1095" s="550"/>
      <c r="H1095" s="505"/>
      <c r="I1095" s="997"/>
    </row>
    <row r="1096" spans="1:9" x14ac:dyDescent="0.2">
      <c r="A1096" s="626" t="s">
        <v>2308</v>
      </c>
      <c r="B1096" s="485"/>
      <c r="C1096" s="604" t="s">
        <v>2320</v>
      </c>
      <c r="D1096" s="605" t="s">
        <v>2321</v>
      </c>
      <c r="E1096" s="502"/>
      <c r="F1096" s="484"/>
      <c r="G1096" s="496"/>
      <c r="H1096" s="535"/>
      <c r="I1096" s="612"/>
    </row>
    <row r="1097" spans="1:9" x14ac:dyDescent="0.2">
      <c r="A1097" s="626"/>
      <c r="B1097" s="485"/>
      <c r="C1097" s="604"/>
      <c r="D1097" s="605"/>
      <c r="E1097" s="502"/>
      <c r="F1097" s="484"/>
      <c r="G1097" s="496"/>
      <c r="H1097" s="535"/>
      <c r="I1097" s="612"/>
    </row>
    <row r="1098" spans="1:9" s="507" customFormat="1" ht="51" x14ac:dyDescent="0.2">
      <c r="A1098" s="484" t="s">
        <v>2337</v>
      </c>
      <c r="B1098" s="485"/>
      <c r="C1098" s="502" t="s">
        <v>2338</v>
      </c>
      <c r="D1098" s="503" t="s">
        <v>2339</v>
      </c>
      <c r="E1098" s="502"/>
      <c r="F1098" s="484" t="s">
        <v>1329</v>
      </c>
      <c r="G1098" s="496">
        <v>1</v>
      </c>
      <c r="H1098" s="505">
        <v>24611</v>
      </c>
      <c r="I1098" s="612">
        <f t="shared" ref="I1098:I1103" si="49">H1098*G1098</f>
        <v>24611</v>
      </c>
    </row>
    <row r="1099" spans="1:9" s="507" customFormat="1" x14ac:dyDescent="0.2">
      <c r="A1099" s="484"/>
      <c r="B1099" s="485"/>
      <c r="C1099" s="502"/>
      <c r="D1099" s="503"/>
      <c r="E1099" s="502"/>
      <c r="F1099" s="484"/>
      <c r="G1099" s="496"/>
      <c r="H1099" s="535"/>
      <c r="I1099" s="612"/>
    </row>
    <row r="1100" spans="1:9" s="507" customFormat="1" ht="51" x14ac:dyDescent="0.2">
      <c r="A1100" s="484" t="s">
        <v>2340</v>
      </c>
      <c r="B1100" s="485"/>
      <c r="C1100" s="502" t="s">
        <v>2341</v>
      </c>
      <c r="D1100" s="503" t="s">
        <v>2342</v>
      </c>
      <c r="E1100" s="502"/>
      <c r="F1100" s="484" t="s">
        <v>52</v>
      </c>
      <c r="G1100" s="496">
        <v>50</v>
      </c>
      <c r="H1100" s="505">
        <v>271</v>
      </c>
      <c r="I1100" s="612">
        <f t="shared" si="49"/>
        <v>13550</v>
      </c>
    </row>
    <row r="1101" spans="1:9" s="507" customFormat="1" x14ac:dyDescent="0.2">
      <c r="A1101" s="484"/>
      <c r="B1101" s="485"/>
      <c r="C1101" s="502"/>
      <c r="D1101" s="503"/>
      <c r="E1101" s="502"/>
      <c r="F1101" s="484"/>
      <c r="G1101" s="496"/>
      <c r="H1101" s="535"/>
      <c r="I1101" s="612"/>
    </row>
    <row r="1102" spans="1:9" s="507" customFormat="1" x14ac:dyDescent="0.2">
      <c r="A1102" s="484"/>
      <c r="B1102" s="485"/>
      <c r="C1102" s="502"/>
      <c r="D1102" s="503"/>
      <c r="E1102" s="502"/>
      <c r="F1102" s="484"/>
      <c r="G1102" s="496"/>
      <c r="H1102" s="535"/>
      <c r="I1102" s="612"/>
    </row>
    <row r="1103" spans="1:9" s="507" customFormat="1" ht="76.5" x14ac:dyDescent="0.2">
      <c r="A1103" s="484" t="s">
        <v>2343</v>
      </c>
      <c r="B1103" s="485"/>
      <c r="C1103" s="502" t="s">
        <v>2344</v>
      </c>
      <c r="D1103" s="503" t="s">
        <v>2345</v>
      </c>
      <c r="E1103" s="502"/>
      <c r="F1103" s="484" t="s">
        <v>1748</v>
      </c>
      <c r="G1103" s="496">
        <v>1</v>
      </c>
      <c r="H1103" s="505">
        <v>6574</v>
      </c>
      <c r="I1103" s="612">
        <f t="shared" si="49"/>
        <v>6574</v>
      </c>
    </row>
    <row r="1104" spans="1:9" s="507" customFormat="1" x14ac:dyDescent="0.2">
      <c r="A1104" s="484"/>
      <c r="B1104" s="485"/>
      <c r="C1104" s="502"/>
      <c r="D1104" s="503"/>
      <c r="E1104" s="502"/>
      <c r="F1104" s="484"/>
      <c r="G1104" s="496"/>
      <c r="H1104" s="535"/>
      <c r="I1104" s="612"/>
    </row>
    <row r="1105" spans="1:9" s="516" customFormat="1" x14ac:dyDescent="0.2">
      <c r="A1105" s="510"/>
      <c r="B1105" s="511"/>
      <c r="C1105" s="512"/>
      <c r="D1105" s="513"/>
      <c r="E1105" s="512"/>
      <c r="F1105" s="514"/>
      <c r="G1105" s="545"/>
      <c r="H1105" s="994"/>
      <c r="I1105" s="994"/>
    </row>
    <row r="1106" spans="1:9" s="516" customFormat="1" x14ac:dyDescent="0.2">
      <c r="A1106" s="517"/>
      <c r="B1106" s="518"/>
      <c r="C1106" s="519" t="s">
        <v>1285</v>
      </c>
      <c r="D1106" s="520" t="s">
        <v>1286</v>
      </c>
      <c r="E1106" s="519"/>
      <c r="F1106" s="521"/>
      <c r="G1106" s="546"/>
      <c r="H1106" s="505"/>
      <c r="I1106" s="508">
        <f>SUM(I1098:I1103)</f>
        <v>44735</v>
      </c>
    </row>
    <row r="1107" spans="1:9" s="516" customFormat="1" x14ac:dyDescent="0.2">
      <c r="A1107" s="523"/>
      <c r="B1107" s="524"/>
      <c r="C1107" s="525"/>
      <c r="D1107" s="526"/>
      <c r="E1107" s="525"/>
      <c r="F1107" s="527"/>
      <c r="G1107" s="523"/>
      <c r="H1107" s="995"/>
      <c r="I1107" s="996"/>
    </row>
    <row r="1108" spans="1:9" s="507" customFormat="1" x14ac:dyDescent="0.2">
      <c r="A1108" s="484"/>
      <c r="B1108" s="485"/>
      <c r="C1108" s="502"/>
      <c r="D1108" s="503"/>
      <c r="E1108" s="502"/>
      <c r="F1108" s="484"/>
      <c r="G1108" s="496"/>
      <c r="H1108" s="535"/>
      <c r="I1108" s="612"/>
    </row>
    <row r="1109" spans="1:9" x14ac:dyDescent="0.2">
      <c r="A1109" s="626" t="s">
        <v>2308</v>
      </c>
      <c r="B1109" s="485"/>
      <c r="C1109" s="604" t="s">
        <v>2320</v>
      </c>
      <c r="D1109" s="605" t="s">
        <v>2321</v>
      </c>
      <c r="E1109" s="502"/>
      <c r="F1109" s="484"/>
      <c r="G1109" s="496"/>
      <c r="H1109" s="535"/>
      <c r="I1109" s="612"/>
    </row>
    <row r="1110" spans="1:9" x14ac:dyDescent="0.2">
      <c r="A1110" s="615" t="s">
        <v>2346</v>
      </c>
      <c r="B1110" s="485"/>
      <c r="C1110" s="604" t="s">
        <v>2347</v>
      </c>
      <c r="D1110" s="605" t="s">
        <v>2348</v>
      </c>
      <c r="E1110" s="502"/>
      <c r="F1110" s="484"/>
      <c r="G1110" s="496"/>
      <c r="H1110" s="535"/>
      <c r="I1110" s="612"/>
    </row>
    <row r="1111" spans="1:9" x14ac:dyDescent="0.2">
      <c r="A1111" s="484"/>
      <c r="B1111" s="485"/>
      <c r="C1111" s="502"/>
      <c r="D1111" s="503"/>
      <c r="E1111" s="502"/>
      <c r="F1111" s="484"/>
      <c r="G1111" s="496"/>
      <c r="H1111" s="535"/>
      <c r="I1111" s="612"/>
    </row>
    <row r="1112" spans="1:9" ht="76.5" x14ac:dyDescent="0.2">
      <c r="A1112" s="484" t="s">
        <v>2349</v>
      </c>
      <c r="B1112" s="485"/>
      <c r="C1112" s="502" t="s">
        <v>2350</v>
      </c>
      <c r="D1112" s="503" t="s">
        <v>2351</v>
      </c>
      <c r="E1112" s="502"/>
      <c r="F1112" s="484" t="s">
        <v>1748</v>
      </c>
      <c r="G1112" s="496">
        <v>1</v>
      </c>
      <c r="H1112" s="505">
        <v>38349</v>
      </c>
      <c r="I1112" s="612">
        <f t="shared" ref="I1112:I1120" si="50">H1112*G1112</f>
        <v>38349</v>
      </c>
    </row>
    <row r="1113" spans="1:9" s="507" customFormat="1" x14ac:dyDescent="0.2">
      <c r="A1113" s="484"/>
      <c r="B1113" s="485"/>
      <c r="C1113" s="502"/>
      <c r="D1113" s="503"/>
      <c r="E1113" s="502"/>
      <c r="F1113" s="484"/>
      <c r="G1113" s="496"/>
      <c r="H1113" s="535"/>
      <c r="I1113" s="612"/>
    </row>
    <row r="1114" spans="1:9" x14ac:dyDescent="0.2">
      <c r="A1114" s="615" t="s">
        <v>2352</v>
      </c>
      <c r="B1114" s="485"/>
      <c r="C1114" s="604" t="s">
        <v>2353</v>
      </c>
      <c r="D1114" s="605" t="s">
        <v>2354</v>
      </c>
      <c r="E1114" s="502"/>
      <c r="F1114" s="484"/>
      <c r="G1114" s="496"/>
      <c r="H1114" s="535"/>
      <c r="I1114" s="612"/>
    </row>
    <row r="1115" spans="1:9" x14ac:dyDescent="0.2">
      <c r="A1115" s="484"/>
      <c r="B1115" s="485"/>
      <c r="C1115" s="502"/>
      <c r="D1115" s="503"/>
      <c r="E1115" s="502"/>
      <c r="F1115" s="484"/>
      <c r="G1115" s="496"/>
      <c r="H1115" s="535"/>
      <c r="I1115" s="612"/>
    </row>
    <row r="1116" spans="1:9" ht="89.25" x14ac:dyDescent="0.2">
      <c r="A1116" s="484"/>
      <c r="B1116" s="485"/>
      <c r="C1116" s="502" t="s">
        <v>2355</v>
      </c>
      <c r="D1116" s="503" t="s">
        <v>2356</v>
      </c>
      <c r="E1116" s="502"/>
      <c r="F1116" s="484"/>
      <c r="G1116" s="496"/>
      <c r="H1116" s="535"/>
      <c r="I1116" s="612"/>
    </row>
    <row r="1117" spans="1:9" s="507" customFormat="1" x14ac:dyDescent="0.2">
      <c r="A1117" s="484"/>
      <c r="B1117" s="485"/>
      <c r="C1117" s="502"/>
      <c r="D1117" s="503"/>
      <c r="E1117" s="502"/>
      <c r="F1117" s="484"/>
      <c r="G1117" s="496"/>
      <c r="H1117" s="535"/>
      <c r="I1117" s="612"/>
    </row>
    <row r="1118" spans="1:9" x14ac:dyDescent="0.2">
      <c r="A1118" s="484" t="s">
        <v>2357</v>
      </c>
      <c r="B1118" s="485"/>
      <c r="C1118" s="502" t="s">
        <v>2358</v>
      </c>
      <c r="D1118" s="503" t="s">
        <v>2359</v>
      </c>
      <c r="E1118" s="502"/>
      <c r="F1118" s="484" t="s">
        <v>1760</v>
      </c>
      <c r="G1118" s="496">
        <v>2</v>
      </c>
      <c r="H1118" s="505">
        <v>38349</v>
      </c>
      <c r="I1118" s="612">
        <f t="shared" si="50"/>
        <v>76698</v>
      </c>
    </row>
    <row r="1119" spans="1:9" x14ac:dyDescent="0.2">
      <c r="A1119" s="484"/>
      <c r="B1119" s="485"/>
      <c r="C1119" s="502"/>
      <c r="D1119" s="503"/>
      <c r="E1119" s="502"/>
      <c r="F1119" s="484"/>
      <c r="G1119" s="496"/>
      <c r="H1119" s="535"/>
      <c r="I1119" s="612"/>
    </row>
    <row r="1120" spans="1:9" x14ac:dyDescent="0.2">
      <c r="A1120" s="484" t="s">
        <v>2360</v>
      </c>
      <c r="B1120" s="485"/>
      <c r="C1120" s="502" t="s">
        <v>2361</v>
      </c>
      <c r="D1120" s="503" t="s">
        <v>2362</v>
      </c>
      <c r="E1120" s="502"/>
      <c r="F1120" s="484" t="s">
        <v>1329</v>
      </c>
      <c r="G1120" s="496">
        <v>1</v>
      </c>
      <c r="H1120" s="505">
        <v>19722</v>
      </c>
      <c r="I1120" s="612">
        <f t="shared" si="50"/>
        <v>19722</v>
      </c>
    </row>
    <row r="1121" spans="1:9" x14ac:dyDescent="0.2">
      <c r="A1121" s="484"/>
      <c r="B1121" s="485"/>
      <c r="C1121" s="502"/>
      <c r="D1121" s="503"/>
      <c r="E1121" s="502"/>
      <c r="F1121" s="484"/>
      <c r="G1121" s="496"/>
      <c r="H1121" s="535"/>
      <c r="I1121" s="612"/>
    </row>
    <row r="1122" spans="1:9" s="516" customFormat="1" x14ac:dyDescent="0.2">
      <c r="A1122" s="510"/>
      <c r="B1122" s="511"/>
      <c r="C1122" s="512"/>
      <c r="D1122" s="513"/>
      <c r="E1122" s="512"/>
      <c r="F1122" s="514"/>
      <c r="G1122" s="545"/>
      <c r="H1122" s="994"/>
      <c r="I1122" s="994"/>
    </row>
    <row r="1123" spans="1:9" s="516" customFormat="1" x14ac:dyDescent="0.2">
      <c r="A1123" s="517"/>
      <c r="B1123" s="518"/>
      <c r="C1123" s="519" t="s">
        <v>1285</v>
      </c>
      <c r="D1123" s="520" t="s">
        <v>1286</v>
      </c>
      <c r="E1123" s="519"/>
      <c r="F1123" s="521"/>
      <c r="G1123" s="546"/>
      <c r="H1123" s="505"/>
      <c r="I1123" s="508">
        <f>SUM(I1112:I1120)</f>
        <v>134769</v>
      </c>
    </row>
    <row r="1124" spans="1:9" s="516" customFormat="1" x14ac:dyDescent="0.2">
      <c r="A1124" s="523"/>
      <c r="B1124" s="524"/>
      <c r="C1124" s="525"/>
      <c r="D1124" s="526"/>
      <c r="E1124" s="525"/>
      <c r="F1124" s="527"/>
      <c r="G1124" s="523"/>
      <c r="H1124" s="995"/>
      <c r="I1124" s="996"/>
    </row>
    <row r="1125" spans="1:9" x14ac:dyDescent="0.2">
      <c r="A1125" s="479"/>
      <c r="B1125" s="477"/>
      <c r="C1125" s="628"/>
      <c r="D1125" s="629"/>
      <c r="E1125" s="630"/>
      <c r="F1125" s="479"/>
      <c r="G1125" s="631"/>
      <c r="H1125" s="1002"/>
      <c r="I1125" s="1008"/>
    </row>
    <row r="1126" spans="1:9" x14ac:dyDescent="0.2">
      <c r="A1126" s="484"/>
      <c r="B1126" s="485"/>
      <c r="C1126" s="632" t="s">
        <v>2363</v>
      </c>
      <c r="D1126" s="633" t="s">
        <v>2364</v>
      </c>
      <c r="E1126" s="634"/>
      <c r="F1126" s="484"/>
      <c r="G1126" s="496"/>
      <c r="H1126" s="535"/>
      <c r="I1126" s="612"/>
    </row>
    <row r="1127" spans="1:9" x14ac:dyDescent="0.2">
      <c r="A1127" s="484"/>
      <c r="B1127" s="485"/>
      <c r="C1127" s="595"/>
      <c r="D1127" s="503"/>
      <c r="E1127" s="502"/>
      <c r="F1127" s="484"/>
      <c r="G1127" s="496"/>
      <c r="H1127" s="535"/>
      <c r="I1127" s="612"/>
    </row>
    <row r="1128" spans="1:9" x14ac:dyDescent="0.2">
      <c r="A1128" s="484"/>
      <c r="B1128" s="485"/>
      <c r="C1128" s="595" t="s">
        <v>2365</v>
      </c>
      <c r="D1128" s="563" t="s">
        <v>2366</v>
      </c>
      <c r="E1128" s="564"/>
      <c r="F1128" s="484"/>
      <c r="G1128" s="496"/>
      <c r="H1128" s="535"/>
      <c r="I1128" s="504">
        <f>I27</f>
        <v>4221308</v>
      </c>
    </row>
    <row r="1129" spans="1:9" x14ac:dyDescent="0.2">
      <c r="A1129" s="484"/>
      <c r="B1129" s="485"/>
      <c r="C1129" s="595" t="s">
        <v>2367</v>
      </c>
      <c r="D1129" s="563" t="s">
        <v>2368</v>
      </c>
      <c r="E1129" s="564"/>
      <c r="F1129" s="484"/>
      <c r="G1129" s="496"/>
      <c r="H1129" s="535"/>
      <c r="I1129" s="504">
        <f>I46</f>
        <v>827317</v>
      </c>
    </row>
    <row r="1130" spans="1:9" x14ac:dyDescent="0.2">
      <c r="A1130" s="484"/>
      <c r="B1130" s="485"/>
      <c r="C1130" s="595" t="s">
        <v>2369</v>
      </c>
      <c r="D1130" s="563" t="s">
        <v>2370</v>
      </c>
      <c r="E1130" s="564"/>
      <c r="F1130" s="484"/>
      <c r="G1130" s="496"/>
      <c r="H1130" s="535"/>
      <c r="I1130" s="504">
        <f>I66</f>
        <v>9438297</v>
      </c>
    </row>
    <row r="1131" spans="1:9" x14ac:dyDescent="0.2">
      <c r="A1131" s="484"/>
      <c r="B1131" s="485"/>
      <c r="C1131" s="595" t="s">
        <v>2371</v>
      </c>
      <c r="D1131" s="563" t="s">
        <v>2372</v>
      </c>
      <c r="E1131" s="564"/>
      <c r="F1131" s="484"/>
      <c r="G1131" s="496"/>
      <c r="H1131" s="535"/>
      <c r="I1131" s="504">
        <f>I95</f>
        <v>174115</v>
      </c>
    </row>
    <row r="1132" spans="1:9" x14ac:dyDescent="0.2">
      <c r="A1132" s="484"/>
      <c r="B1132" s="485"/>
      <c r="C1132" s="595" t="s">
        <v>2373</v>
      </c>
      <c r="D1132" s="563" t="s">
        <v>2374</v>
      </c>
      <c r="E1132" s="564"/>
      <c r="F1132" s="484"/>
      <c r="G1132" s="496"/>
      <c r="H1132" s="535"/>
      <c r="I1132" s="504">
        <f>I117</f>
        <v>443689</v>
      </c>
    </row>
    <row r="1133" spans="1:9" x14ac:dyDescent="0.2">
      <c r="A1133" s="484"/>
      <c r="B1133" s="485"/>
      <c r="C1133" s="595" t="s">
        <v>2375</v>
      </c>
      <c r="D1133" s="563" t="s">
        <v>2376</v>
      </c>
      <c r="E1133" s="564"/>
      <c r="F1133" s="484"/>
      <c r="G1133" s="496"/>
      <c r="H1133" s="535"/>
      <c r="I1133" s="504">
        <f>I131</f>
        <v>300498</v>
      </c>
    </row>
    <row r="1134" spans="1:9" x14ac:dyDescent="0.2">
      <c r="A1134" s="484"/>
      <c r="B1134" s="485"/>
      <c r="C1134" s="595" t="s">
        <v>2377</v>
      </c>
      <c r="D1134" s="563" t="s">
        <v>2378</v>
      </c>
      <c r="E1134" s="564"/>
      <c r="F1134" s="484"/>
      <c r="G1134" s="496"/>
      <c r="H1134" s="535"/>
      <c r="I1134" s="504">
        <f>I146</f>
        <v>213542</v>
      </c>
    </row>
    <row r="1135" spans="1:9" x14ac:dyDescent="0.2">
      <c r="A1135" s="484"/>
      <c r="B1135" s="485"/>
      <c r="C1135" s="595" t="s">
        <v>2379</v>
      </c>
      <c r="D1135" s="563" t="s">
        <v>2380</v>
      </c>
      <c r="E1135" s="564"/>
      <c r="F1135" s="484"/>
      <c r="G1135" s="496"/>
      <c r="H1135" s="535"/>
      <c r="I1135" s="504">
        <f>I165</f>
        <v>75512</v>
      </c>
    </row>
    <row r="1136" spans="1:9" x14ac:dyDescent="0.2">
      <c r="A1136" s="484"/>
      <c r="B1136" s="485"/>
      <c r="C1136" s="595" t="s">
        <v>2381</v>
      </c>
      <c r="D1136" s="563" t="s">
        <v>2382</v>
      </c>
      <c r="E1136" s="564"/>
      <c r="F1136" s="484"/>
      <c r="G1136" s="496"/>
      <c r="H1136" s="535"/>
      <c r="I1136" s="504">
        <f>I182</f>
        <v>44856</v>
      </c>
    </row>
    <row r="1137" spans="1:9" x14ac:dyDescent="0.2">
      <c r="A1137" s="484"/>
      <c r="B1137" s="485"/>
      <c r="C1137" s="595" t="s">
        <v>2383</v>
      </c>
      <c r="D1137" s="563" t="s">
        <v>2384</v>
      </c>
      <c r="E1137" s="564"/>
      <c r="F1137" s="484"/>
      <c r="G1137" s="496"/>
      <c r="H1137" s="535"/>
      <c r="I1137" s="504">
        <f>I193</f>
        <v>105045</v>
      </c>
    </row>
    <row r="1138" spans="1:9" x14ac:dyDescent="0.2">
      <c r="A1138" s="484"/>
      <c r="B1138" s="485"/>
      <c r="C1138" s="595" t="s">
        <v>2385</v>
      </c>
      <c r="D1138" s="563" t="s">
        <v>2386</v>
      </c>
      <c r="E1138" s="564"/>
      <c r="F1138" s="484"/>
      <c r="G1138" s="496"/>
      <c r="H1138" s="535"/>
      <c r="I1138" s="504">
        <f>I213</f>
        <v>54704</v>
      </c>
    </row>
    <row r="1139" spans="1:9" x14ac:dyDescent="0.2">
      <c r="A1139" s="484"/>
      <c r="B1139" s="485"/>
      <c r="C1139" s="595" t="s">
        <v>2387</v>
      </c>
      <c r="D1139" s="563" t="s">
        <v>2388</v>
      </c>
      <c r="E1139" s="564"/>
      <c r="F1139" s="484"/>
      <c r="G1139" s="496"/>
      <c r="H1139" s="535"/>
      <c r="I1139" s="504">
        <f>I240</f>
        <v>150004</v>
      </c>
    </row>
    <row r="1140" spans="1:9" x14ac:dyDescent="0.2">
      <c r="A1140" s="484"/>
      <c r="B1140" s="485"/>
      <c r="C1140" s="595" t="s">
        <v>2389</v>
      </c>
      <c r="D1140" s="563" t="s">
        <v>2390</v>
      </c>
      <c r="E1140" s="564"/>
      <c r="F1140" s="484"/>
      <c r="G1140" s="496"/>
      <c r="H1140" s="535"/>
      <c r="I1140" s="504">
        <f>I254</f>
        <v>64935</v>
      </c>
    </row>
    <row r="1141" spans="1:9" x14ac:dyDescent="0.2">
      <c r="A1141" s="484"/>
      <c r="B1141" s="485"/>
      <c r="C1141" s="595" t="s">
        <v>2391</v>
      </c>
      <c r="D1141" s="563" t="s">
        <v>2392</v>
      </c>
      <c r="E1141" s="564"/>
      <c r="F1141" s="484"/>
      <c r="G1141" s="496"/>
      <c r="H1141" s="535"/>
      <c r="I1141" s="504">
        <f>I270</f>
        <v>69892</v>
      </c>
    </row>
    <row r="1142" spans="1:9" x14ac:dyDescent="0.2">
      <c r="A1142" s="484"/>
      <c r="B1142" s="485"/>
      <c r="C1142" s="595" t="s">
        <v>2393</v>
      </c>
      <c r="D1142" s="563" t="s">
        <v>2394</v>
      </c>
      <c r="E1142" s="564"/>
      <c r="F1142" s="484"/>
      <c r="G1142" s="496"/>
      <c r="H1142" s="535"/>
      <c r="I1142" s="504">
        <f>I282</f>
        <v>7452</v>
      </c>
    </row>
    <row r="1143" spans="1:9" x14ac:dyDescent="0.2">
      <c r="A1143" s="484"/>
      <c r="B1143" s="485"/>
      <c r="C1143" s="595" t="s">
        <v>2395</v>
      </c>
      <c r="D1143" s="563" t="s">
        <v>2396</v>
      </c>
      <c r="E1143" s="564"/>
      <c r="F1143" s="484"/>
      <c r="G1143" s="496"/>
      <c r="H1143" s="535"/>
      <c r="I1143" s="504">
        <f>I296</f>
        <v>107913</v>
      </c>
    </row>
    <row r="1144" spans="1:9" x14ac:dyDescent="0.2">
      <c r="A1144" s="484"/>
      <c r="B1144" s="485"/>
      <c r="C1144" s="595" t="s">
        <v>2397</v>
      </c>
      <c r="D1144" s="563" t="s">
        <v>2398</v>
      </c>
      <c r="E1144" s="564"/>
      <c r="F1144" s="484"/>
      <c r="G1144" s="496"/>
      <c r="H1144" s="535"/>
      <c r="I1144" s="504">
        <f>I310</f>
        <v>5996</v>
      </c>
    </row>
    <row r="1145" spans="1:9" x14ac:dyDescent="0.2">
      <c r="A1145" s="484"/>
      <c r="B1145" s="485"/>
      <c r="C1145" s="595" t="s">
        <v>2399</v>
      </c>
      <c r="D1145" s="563" t="s">
        <v>2400</v>
      </c>
      <c r="E1145" s="564"/>
      <c r="F1145" s="484"/>
      <c r="G1145" s="496"/>
      <c r="H1145" s="535"/>
      <c r="I1145" s="504">
        <f>I328</f>
        <v>56910</v>
      </c>
    </row>
    <row r="1146" spans="1:9" x14ac:dyDescent="0.2">
      <c r="A1146" s="484"/>
      <c r="B1146" s="485"/>
      <c r="C1146" s="595" t="s">
        <v>2401</v>
      </c>
      <c r="D1146" s="563" t="s">
        <v>2402</v>
      </c>
      <c r="E1146" s="564"/>
      <c r="F1146" s="484"/>
      <c r="G1146" s="496"/>
      <c r="H1146" s="535"/>
      <c r="I1146" s="504">
        <f>I343</f>
        <v>165658</v>
      </c>
    </row>
    <row r="1147" spans="1:9" x14ac:dyDescent="0.2">
      <c r="A1147" s="484"/>
      <c r="B1147" s="485"/>
      <c r="C1147" s="595" t="s">
        <v>2403</v>
      </c>
      <c r="D1147" s="563" t="s">
        <v>2404</v>
      </c>
      <c r="E1147" s="564"/>
      <c r="F1147" s="484"/>
      <c r="G1147" s="496"/>
      <c r="H1147" s="535"/>
      <c r="I1147" s="504">
        <f>I361</f>
        <v>16607</v>
      </c>
    </row>
    <row r="1148" spans="1:9" x14ac:dyDescent="0.2">
      <c r="A1148" s="484"/>
      <c r="B1148" s="485"/>
      <c r="C1148" s="595" t="s">
        <v>2405</v>
      </c>
      <c r="D1148" s="563" t="s">
        <v>2406</v>
      </c>
      <c r="E1148" s="564"/>
      <c r="F1148" s="484"/>
      <c r="G1148" s="496"/>
      <c r="H1148" s="535"/>
      <c r="I1148" s="504">
        <f>I382</f>
        <v>910665</v>
      </c>
    </row>
    <row r="1149" spans="1:9" x14ac:dyDescent="0.2">
      <c r="A1149" s="484"/>
      <c r="B1149" s="485"/>
      <c r="C1149" s="595" t="s">
        <v>2407</v>
      </c>
      <c r="D1149" s="563" t="s">
        <v>2408</v>
      </c>
      <c r="E1149" s="564"/>
      <c r="F1149" s="484"/>
      <c r="G1149" s="496"/>
      <c r="H1149" s="535"/>
      <c r="I1149" s="504">
        <f>I400</f>
        <v>69594</v>
      </c>
    </row>
    <row r="1150" spans="1:9" x14ac:dyDescent="0.2">
      <c r="A1150" s="484"/>
      <c r="B1150" s="485"/>
      <c r="C1150" s="595" t="s">
        <v>2409</v>
      </c>
      <c r="D1150" s="563" t="s">
        <v>2410</v>
      </c>
      <c r="E1150" s="564"/>
      <c r="F1150" s="484"/>
      <c r="G1150" s="496"/>
      <c r="H1150" s="535"/>
      <c r="I1150" s="504">
        <f>I418</f>
        <v>4654</v>
      </c>
    </row>
    <row r="1151" spans="1:9" s="516" customFormat="1" x14ac:dyDescent="0.2">
      <c r="A1151" s="510"/>
      <c r="B1151" s="511"/>
      <c r="C1151" s="512"/>
      <c r="D1151" s="513"/>
      <c r="E1151" s="512"/>
      <c r="F1151" s="514"/>
      <c r="G1151" s="545"/>
      <c r="H1151" s="994"/>
      <c r="I1151" s="994"/>
    </row>
    <row r="1152" spans="1:9" s="516" customFormat="1" x14ac:dyDescent="0.2">
      <c r="A1152" s="517"/>
      <c r="B1152" s="518"/>
      <c r="C1152" s="519" t="s">
        <v>1285</v>
      </c>
      <c r="D1152" s="520" t="s">
        <v>1286</v>
      </c>
      <c r="E1152" s="519"/>
      <c r="F1152" s="521"/>
      <c r="G1152" s="546"/>
      <c r="H1152" s="505"/>
      <c r="I1152" s="508"/>
    </row>
    <row r="1153" spans="1:9" s="516" customFormat="1" x14ac:dyDescent="0.2">
      <c r="A1153" s="523"/>
      <c r="B1153" s="524"/>
      <c r="C1153" s="525"/>
      <c r="D1153" s="526"/>
      <c r="E1153" s="525"/>
      <c r="F1153" s="527"/>
      <c r="G1153" s="523"/>
      <c r="H1153" s="995"/>
      <c r="I1153" s="996"/>
    </row>
    <row r="1154" spans="1:9" x14ac:dyDescent="0.2">
      <c r="A1154" s="484"/>
      <c r="B1154" s="485"/>
      <c r="C1154" s="595"/>
      <c r="D1154" s="563"/>
      <c r="E1154" s="564"/>
      <c r="F1154" s="484"/>
      <c r="G1154" s="496"/>
      <c r="H1154" s="535"/>
      <c r="I1154" s="612"/>
    </row>
    <row r="1155" spans="1:9" x14ac:dyDescent="0.2">
      <c r="A1155" s="484"/>
      <c r="B1155" s="485"/>
      <c r="C1155" s="632" t="s">
        <v>2363</v>
      </c>
      <c r="D1155" s="633" t="s">
        <v>2364</v>
      </c>
      <c r="E1155" s="634"/>
      <c r="F1155" s="484"/>
      <c r="G1155" s="496"/>
      <c r="H1155" s="535"/>
      <c r="I1155" s="612"/>
    </row>
    <row r="1156" spans="1:9" x14ac:dyDescent="0.2">
      <c r="A1156" s="484"/>
      <c r="B1156" s="485"/>
      <c r="C1156" s="632"/>
      <c r="D1156" s="633"/>
      <c r="E1156" s="634"/>
      <c r="F1156" s="484"/>
      <c r="G1156" s="496"/>
      <c r="H1156" s="535"/>
      <c r="I1156" s="612"/>
    </row>
    <row r="1157" spans="1:9" x14ac:dyDescent="0.2">
      <c r="A1157" s="484"/>
      <c r="B1157" s="485"/>
      <c r="C1157" s="595" t="s">
        <v>2411</v>
      </c>
      <c r="D1157" s="563" t="s">
        <v>2412</v>
      </c>
      <c r="E1157" s="564"/>
      <c r="F1157" s="484"/>
      <c r="G1157" s="496"/>
      <c r="H1157" s="535"/>
      <c r="I1157" s="504">
        <f>I430</f>
        <v>7785</v>
      </c>
    </row>
    <row r="1158" spans="1:9" x14ac:dyDescent="0.2">
      <c r="A1158" s="484"/>
      <c r="B1158" s="485"/>
      <c r="C1158" s="595" t="s">
        <v>2413</v>
      </c>
      <c r="D1158" s="563" t="s">
        <v>2414</v>
      </c>
      <c r="E1158" s="564"/>
      <c r="F1158" s="484"/>
      <c r="G1158" s="496"/>
      <c r="H1158" s="535"/>
      <c r="I1158" s="504">
        <f>I446</f>
        <v>388681</v>
      </c>
    </row>
    <row r="1159" spans="1:9" x14ac:dyDescent="0.2">
      <c r="A1159" s="484"/>
      <c r="B1159" s="485"/>
      <c r="C1159" s="595" t="s">
        <v>2415</v>
      </c>
      <c r="D1159" s="563" t="s">
        <v>2416</v>
      </c>
      <c r="E1159" s="564"/>
      <c r="F1159" s="484"/>
      <c r="G1159" s="496"/>
      <c r="H1159" s="535"/>
      <c r="I1159" s="504">
        <f>I465</f>
        <v>12500</v>
      </c>
    </row>
    <row r="1160" spans="1:9" x14ac:dyDescent="0.2">
      <c r="A1160" s="484"/>
      <c r="B1160" s="485"/>
      <c r="C1160" s="595" t="s">
        <v>2417</v>
      </c>
      <c r="D1160" s="563" t="s">
        <v>2418</v>
      </c>
      <c r="E1160" s="564"/>
      <c r="F1160" s="484"/>
      <c r="G1160" s="496"/>
      <c r="H1160" s="535"/>
      <c r="I1160" s="504">
        <f>I486</f>
        <v>54394</v>
      </c>
    </row>
    <row r="1161" spans="1:9" x14ac:dyDescent="0.2">
      <c r="A1161" s="484"/>
      <c r="B1161" s="485"/>
      <c r="C1161" s="595" t="s">
        <v>2419</v>
      </c>
      <c r="D1161" s="563" t="s">
        <v>2420</v>
      </c>
      <c r="E1161" s="564"/>
      <c r="F1161" s="484"/>
      <c r="G1161" s="496"/>
      <c r="H1161" s="535"/>
      <c r="I1161" s="504">
        <f>I506</f>
        <v>14406</v>
      </c>
    </row>
    <row r="1162" spans="1:9" x14ac:dyDescent="0.2">
      <c r="A1162" s="484"/>
      <c r="B1162" s="485"/>
      <c r="C1162" s="595" t="s">
        <v>2421</v>
      </c>
      <c r="D1162" s="563" t="s">
        <v>2422</v>
      </c>
      <c r="E1162" s="564"/>
      <c r="F1162" s="484"/>
      <c r="G1162" s="496"/>
      <c r="H1162" s="535"/>
      <c r="I1162" s="504">
        <f>I520</f>
        <v>16710</v>
      </c>
    </row>
    <row r="1163" spans="1:9" x14ac:dyDescent="0.2">
      <c r="A1163" s="484"/>
      <c r="B1163" s="485"/>
      <c r="C1163" s="595" t="s">
        <v>2423</v>
      </c>
      <c r="D1163" s="563" t="s">
        <v>2424</v>
      </c>
      <c r="E1163" s="564"/>
      <c r="F1163" s="484"/>
      <c r="G1163" s="496"/>
      <c r="H1163" s="535"/>
      <c r="I1163" s="504">
        <f>I537</f>
        <v>1237896</v>
      </c>
    </row>
    <row r="1164" spans="1:9" x14ac:dyDescent="0.2">
      <c r="A1164" s="484"/>
      <c r="B1164" s="485"/>
      <c r="C1164" s="595" t="s">
        <v>2425</v>
      </c>
      <c r="D1164" s="563" t="s">
        <v>2426</v>
      </c>
      <c r="E1164" s="564"/>
      <c r="F1164" s="484"/>
      <c r="G1164" s="496"/>
      <c r="H1164" s="535"/>
      <c r="I1164" s="504">
        <f>I552</f>
        <v>82305</v>
      </c>
    </row>
    <row r="1165" spans="1:9" x14ac:dyDescent="0.2">
      <c r="A1165" s="484"/>
      <c r="B1165" s="485"/>
      <c r="C1165" s="595" t="s">
        <v>2427</v>
      </c>
      <c r="D1165" s="563" t="s">
        <v>2428</v>
      </c>
      <c r="E1165" s="564"/>
      <c r="F1165" s="484"/>
      <c r="G1165" s="496"/>
      <c r="H1165" s="535"/>
      <c r="I1165" s="504">
        <f>I565</f>
        <v>9349</v>
      </c>
    </row>
    <row r="1166" spans="1:9" x14ac:dyDescent="0.2">
      <c r="A1166" s="484"/>
      <c r="B1166" s="485"/>
      <c r="C1166" s="595" t="s">
        <v>2429</v>
      </c>
      <c r="D1166" s="563" t="s">
        <v>2430</v>
      </c>
      <c r="E1166" s="564"/>
      <c r="F1166" s="484"/>
      <c r="G1166" s="496"/>
      <c r="H1166" s="535"/>
      <c r="I1166" s="504">
        <f>I582</f>
        <v>8816</v>
      </c>
    </row>
    <row r="1167" spans="1:9" x14ac:dyDescent="0.2">
      <c r="A1167" s="484"/>
      <c r="B1167" s="485"/>
      <c r="C1167" s="595" t="s">
        <v>2431</v>
      </c>
      <c r="D1167" s="563" t="s">
        <v>2432</v>
      </c>
      <c r="E1167" s="564"/>
      <c r="F1167" s="484"/>
      <c r="G1167" s="496"/>
      <c r="H1167" s="535"/>
      <c r="I1167" s="504">
        <f>I598</f>
        <v>8703</v>
      </c>
    </row>
    <row r="1168" spans="1:9" x14ac:dyDescent="0.2">
      <c r="A1168" s="484"/>
      <c r="B1168" s="485"/>
      <c r="C1168" s="595" t="s">
        <v>2433</v>
      </c>
      <c r="D1168" s="563" t="s">
        <v>2434</v>
      </c>
      <c r="E1168" s="564"/>
      <c r="F1168" s="484"/>
      <c r="G1168" s="496"/>
      <c r="H1168" s="535"/>
      <c r="I1168" s="504">
        <f>I615</f>
        <v>7476</v>
      </c>
    </row>
    <row r="1169" spans="1:9" x14ac:dyDescent="0.2">
      <c r="A1169" s="484"/>
      <c r="B1169" s="485"/>
      <c r="C1169" s="595" t="s">
        <v>2435</v>
      </c>
      <c r="D1169" s="563" t="s">
        <v>2436</v>
      </c>
      <c r="E1169" s="564"/>
      <c r="F1169" s="484"/>
      <c r="G1169" s="496"/>
      <c r="H1169" s="535"/>
      <c r="I1169" s="504">
        <f>I651</f>
        <v>1711825</v>
      </c>
    </row>
    <row r="1170" spans="1:9" x14ac:dyDescent="0.2">
      <c r="A1170" s="484"/>
      <c r="B1170" s="485"/>
      <c r="C1170" s="595" t="s">
        <v>2437</v>
      </c>
      <c r="D1170" s="563" t="s">
        <v>2438</v>
      </c>
      <c r="E1170" s="564"/>
      <c r="F1170" s="484"/>
      <c r="G1170" s="496"/>
      <c r="H1170" s="535"/>
      <c r="I1170" s="504">
        <f>I683</f>
        <v>51406</v>
      </c>
    </row>
    <row r="1171" spans="1:9" x14ac:dyDescent="0.2">
      <c r="A1171" s="484"/>
      <c r="B1171" s="485"/>
      <c r="C1171" s="595" t="s">
        <v>2439</v>
      </c>
      <c r="D1171" s="563" t="s">
        <v>2440</v>
      </c>
      <c r="E1171" s="564"/>
      <c r="F1171" s="484"/>
      <c r="G1171" s="496"/>
      <c r="H1171" s="535"/>
      <c r="I1171" s="504">
        <f>I695</f>
        <v>37885</v>
      </c>
    </row>
    <row r="1172" spans="1:9" x14ac:dyDescent="0.2">
      <c r="A1172" s="484"/>
      <c r="B1172" s="485"/>
      <c r="C1172" s="595" t="s">
        <v>2441</v>
      </c>
      <c r="D1172" s="563" t="s">
        <v>2442</v>
      </c>
      <c r="E1172" s="564"/>
      <c r="F1172" s="484"/>
      <c r="G1172" s="496"/>
      <c r="H1172" s="535"/>
      <c r="I1172" s="504">
        <f>I711</f>
        <v>435669</v>
      </c>
    </row>
    <row r="1173" spans="1:9" x14ac:dyDescent="0.2">
      <c r="A1173" s="484"/>
      <c r="B1173" s="485"/>
      <c r="C1173" s="595" t="s">
        <v>2443</v>
      </c>
      <c r="D1173" s="563" t="s">
        <v>2444</v>
      </c>
      <c r="E1173" s="564"/>
      <c r="F1173" s="484"/>
      <c r="G1173" s="496"/>
      <c r="H1173" s="535"/>
      <c r="I1173" s="504">
        <f>I727</f>
        <v>11927</v>
      </c>
    </row>
    <row r="1174" spans="1:9" x14ac:dyDescent="0.2">
      <c r="A1174" s="484"/>
      <c r="B1174" s="485"/>
      <c r="C1174" s="595" t="s">
        <v>2445</v>
      </c>
      <c r="D1174" s="563" t="s">
        <v>2446</v>
      </c>
      <c r="E1174" s="564"/>
      <c r="F1174" s="484"/>
      <c r="G1174" s="496"/>
      <c r="H1174" s="535"/>
      <c r="I1174" s="504">
        <f>I739</f>
        <v>81369</v>
      </c>
    </row>
    <row r="1175" spans="1:9" x14ac:dyDescent="0.2">
      <c r="A1175" s="484"/>
      <c r="B1175" s="485"/>
      <c r="C1175" s="595" t="s">
        <v>2447</v>
      </c>
      <c r="D1175" s="563" t="s">
        <v>2448</v>
      </c>
      <c r="E1175" s="564"/>
      <c r="F1175" s="484"/>
      <c r="G1175" s="496"/>
      <c r="H1175" s="535"/>
      <c r="I1175" s="504">
        <f>I753</f>
        <v>53905</v>
      </c>
    </row>
    <row r="1176" spans="1:9" x14ac:dyDescent="0.2">
      <c r="A1176" s="484"/>
      <c r="B1176" s="485"/>
      <c r="C1176" s="595" t="s">
        <v>2449</v>
      </c>
      <c r="D1176" s="563" t="s">
        <v>2450</v>
      </c>
      <c r="E1176" s="564"/>
      <c r="F1176" s="484"/>
      <c r="G1176" s="496"/>
      <c r="H1176" s="535"/>
      <c r="I1176" s="504">
        <f>I767</f>
        <v>10852</v>
      </c>
    </row>
    <row r="1177" spans="1:9" x14ac:dyDescent="0.2">
      <c r="A1177" s="484"/>
      <c r="B1177" s="485"/>
      <c r="C1177" s="595" t="s">
        <v>2451</v>
      </c>
      <c r="D1177" s="563" t="s">
        <v>2452</v>
      </c>
      <c r="E1177" s="564"/>
      <c r="F1177" s="484"/>
      <c r="G1177" s="496"/>
      <c r="H1177" s="535"/>
      <c r="I1177" s="504">
        <f>I781</f>
        <v>10604</v>
      </c>
    </row>
    <row r="1178" spans="1:9" x14ac:dyDescent="0.2">
      <c r="A1178" s="484"/>
      <c r="B1178" s="485"/>
      <c r="C1178" s="595" t="s">
        <v>2453</v>
      </c>
      <c r="D1178" s="563" t="s">
        <v>2454</v>
      </c>
      <c r="E1178" s="564"/>
      <c r="F1178" s="484"/>
      <c r="G1178" s="496"/>
      <c r="H1178" s="535"/>
      <c r="I1178" s="504">
        <f>I798</f>
        <v>58854</v>
      </c>
    </row>
    <row r="1179" spans="1:9" x14ac:dyDescent="0.2">
      <c r="A1179" s="484"/>
      <c r="B1179" s="485"/>
      <c r="C1179" s="595" t="s">
        <v>2455</v>
      </c>
      <c r="D1179" s="563" t="s">
        <v>2456</v>
      </c>
      <c r="E1179" s="564"/>
      <c r="F1179" s="484"/>
      <c r="G1179" s="496"/>
      <c r="H1179" s="535"/>
      <c r="I1179" s="504">
        <f>I818</f>
        <v>36967</v>
      </c>
    </row>
    <row r="1180" spans="1:9" x14ac:dyDescent="0.2">
      <c r="A1180" s="484"/>
      <c r="B1180" s="485"/>
      <c r="C1180" s="595" t="s">
        <v>2457</v>
      </c>
      <c r="D1180" s="563" t="s">
        <v>2458</v>
      </c>
      <c r="E1180" s="564"/>
      <c r="F1180" s="484"/>
      <c r="G1180" s="496"/>
      <c r="H1180" s="535"/>
      <c r="I1180" s="504">
        <f>I835</f>
        <v>48600</v>
      </c>
    </row>
    <row r="1181" spans="1:9" s="516" customFormat="1" x14ac:dyDescent="0.2">
      <c r="A1181" s="510"/>
      <c r="B1181" s="511"/>
      <c r="C1181" s="512"/>
      <c r="D1181" s="513"/>
      <c r="E1181" s="512"/>
      <c r="F1181" s="514"/>
      <c r="G1181" s="545"/>
      <c r="H1181" s="994"/>
      <c r="I1181" s="994"/>
    </row>
    <row r="1182" spans="1:9" s="516" customFormat="1" x14ac:dyDescent="0.2">
      <c r="A1182" s="517"/>
      <c r="B1182" s="518"/>
      <c r="C1182" s="519" t="s">
        <v>1285</v>
      </c>
      <c r="D1182" s="520" t="s">
        <v>1286</v>
      </c>
      <c r="E1182" s="519"/>
      <c r="F1182" s="521"/>
      <c r="G1182" s="546"/>
      <c r="H1182" s="505"/>
      <c r="I1182" s="508"/>
    </row>
    <row r="1183" spans="1:9" s="516" customFormat="1" x14ac:dyDescent="0.2">
      <c r="A1183" s="523"/>
      <c r="B1183" s="524"/>
      <c r="C1183" s="525"/>
      <c r="D1183" s="526"/>
      <c r="E1183" s="525"/>
      <c r="F1183" s="527"/>
      <c r="G1183" s="523"/>
      <c r="H1183" s="995"/>
      <c r="I1183" s="996"/>
    </row>
    <row r="1184" spans="1:9" x14ac:dyDescent="0.2">
      <c r="A1184" s="484"/>
      <c r="B1184" s="485"/>
      <c r="C1184" s="632"/>
      <c r="D1184" s="633"/>
      <c r="E1184" s="634"/>
      <c r="F1184" s="484"/>
      <c r="G1184" s="496"/>
      <c r="H1184" s="535"/>
      <c r="I1184" s="612"/>
    </row>
    <row r="1185" spans="1:9" x14ac:dyDescent="0.2">
      <c r="A1185" s="484"/>
      <c r="B1185" s="485"/>
      <c r="C1185" s="632" t="s">
        <v>2363</v>
      </c>
      <c r="D1185" s="633" t="s">
        <v>2364</v>
      </c>
      <c r="E1185" s="634"/>
      <c r="F1185" s="484"/>
      <c r="G1185" s="496"/>
      <c r="H1185" s="535"/>
      <c r="I1185" s="612"/>
    </row>
    <row r="1186" spans="1:9" x14ac:dyDescent="0.2">
      <c r="A1186" s="484"/>
      <c r="B1186" s="485"/>
      <c r="C1186" s="632"/>
      <c r="D1186" s="633"/>
      <c r="E1186" s="634"/>
      <c r="F1186" s="484"/>
      <c r="G1186" s="496"/>
      <c r="H1186" s="535"/>
      <c r="I1186" s="612"/>
    </row>
    <row r="1187" spans="1:9" x14ac:dyDescent="0.2">
      <c r="A1187" s="484"/>
      <c r="B1187" s="485"/>
      <c r="C1187" s="595" t="s">
        <v>2459</v>
      </c>
      <c r="D1187" s="563" t="s">
        <v>2460</v>
      </c>
      <c r="E1187" s="564"/>
      <c r="F1187" s="484"/>
      <c r="G1187" s="496"/>
      <c r="H1187" s="535"/>
      <c r="I1187" s="504">
        <f>I851</f>
        <v>88005</v>
      </c>
    </row>
    <row r="1188" spans="1:9" x14ac:dyDescent="0.2">
      <c r="A1188" s="484"/>
      <c r="B1188" s="485"/>
      <c r="C1188" s="595" t="s">
        <v>2461</v>
      </c>
      <c r="D1188" s="563" t="s">
        <v>2462</v>
      </c>
      <c r="E1188" s="564"/>
      <c r="F1188" s="484"/>
      <c r="G1188" s="496"/>
      <c r="H1188" s="535"/>
      <c r="I1188" s="504">
        <f>I867</f>
        <v>80343</v>
      </c>
    </row>
    <row r="1189" spans="1:9" x14ac:dyDescent="0.2">
      <c r="A1189" s="484"/>
      <c r="B1189" s="485"/>
      <c r="C1189" s="595" t="s">
        <v>2463</v>
      </c>
      <c r="D1189" s="563" t="s">
        <v>2464</v>
      </c>
      <c r="E1189" s="564"/>
      <c r="F1189" s="484"/>
      <c r="G1189" s="496"/>
      <c r="H1189" s="535"/>
      <c r="I1189" s="504">
        <f>I888</f>
        <v>26829</v>
      </c>
    </row>
    <row r="1190" spans="1:9" x14ac:dyDescent="0.2">
      <c r="A1190" s="484"/>
      <c r="B1190" s="485"/>
      <c r="C1190" s="595" t="s">
        <v>2465</v>
      </c>
      <c r="D1190" s="563" t="s">
        <v>2466</v>
      </c>
      <c r="E1190" s="564"/>
      <c r="F1190" s="484"/>
      <c r="G1190" s="496"/>
      <c r="H1190" s="535"/>
      <c r="I1190" s="504">
        <f>I905</f>
        <v>27660</v>
      </c>
    </row>
    <row r="1191" spans="1:9" x14ac:dyDescent="0.2">
      <c r="A1191" s="484"/>
      <c r="B1191" s="485"/>
      <c r="C1191" s="595" t="s">
        <v>2467</v>
      </c>
      <c r="D1191" s="563" t="s">
        <v>2468</v>
      </c>
      <c r="E1191" s="564"/>
      <c r="F1191" s="484"/>
      <c r="G1191" s="496"/>
      <c r="H1191" s="535"/>
      <c r="I1191" s="504">
        <f>I929</f>
        <v>30946</v>
      </c>
    </row>
    <row r="1192" spans="1:9" x14ac:dyDescent="0.2">
      <c r="A1192" s="484"/>
      <c r="B1192" s="485"/>
      <c r="C1192" s="595" t="s">
        <v>2469</v>
      </c>
      <c r="D1192" s="563" t="s">
        <v>2470</v>
      </c>
      <c r="E1192" s="564"/>
      <c r="F1192" s="484"/>
      <c r="G1192" s="496"/>
      <c r="H1192" s="535"/>
      <c r="I1192" s="504">
        <f>I948</f>
        <v>109508</v>
      </c>
    </row>
    <row r="1193" spans="1:9" x14ac:dyDescent="0.2">
      <c r="A1193" s="484"/>
      <c r="B1193" s="485"/>
      <c r="C1193" s="595" t="s">
        <v>2471</v>
      </c>
      <c r="D1193" s="563" t="s">
        <v>2472</v>
      </c>
      <c r="E1193" s="564"/>
      <c r="F1193" s="484"/>
      <c r="G1193" s="496"/>
      <c r="H1193" s="535"/>
      <c r="I1193" s="504">
        <f>I972</f>
        <v>67020</v>
      </c>
    </row>
    <row r="1194" spans="1:9" x14ac:dyDescent="0.2">
      <c r="A1194" s="484"/>
      <c r="B1194" s="485"/>
      <c r="C1194" s="595" t="s">
        <v>2473</v>
      </c>
      <c r="D1194" s="563" t="s">
        <v>2474</v>
      </c>
      <c r="E1194" s="564"/>
      <c r="F1194" s="484"/>
      <c r="G1194" s="496"/>
      <c r="H1194" s="535"/>
      <c r="I1194" s="504">
        <f>I991</f>
        <v>38947</v>
      </c>
    </row>
    <row r="1195" spans="1:9" x14ac:dyDescent="0.2">
      <c r="A1195" s="484"/>
      <c r="B1195" s="485"/>
      <c r="C1195" s="595" t="s">
        <v>2475</v>
      </c>
      <c r="D1195" s="563" t="s">
        <v>2476</v>
      </c>
      <c r="E1195" s="564"/>
      <c r="F1195" s="484"/>
      <c r="G1195" s="496"/>
      <c r="H1195" s="535"/>
      <c r="I1195" s="504">
        <f>I1019</f>
        <v>21195</v>
      </c>
    </row>
    <row r="1196" spans="1:9" x14ac:dyDescent="0.2">
      <c r="A1196" s="484"/>
      <c r="B1196" s="485"/>
      <c r="C1196" s="595" t="s">
        <v>2477</v>
      </c>
      <c r="D1196" s="563" t="s">
        <v>2478</v>
      </c>
      <c r="E1196" s="564"/>
      <c r="F1196" s="484"/>
      <c r="G1196" s="496"/>
      <c r="H1196" s="535"/>
      <c r="I1196" s="504">
        <f>I1035</f>
        <v>63550</v>
      </c>
    </row>
    <row r="1197" spans="1:9" x14ac:dyDescent="0.2">
      <c r="A1197" s="484"/>
      <c r="B1197" s="485"/>
      <c r="C1197" s="595" t="s">
        <v>2479</v>
      </c>
      <c r="D1197" s="563" t="s">
        <v>2480</v>
      </c>
      <c r="E1197" s="564"/>
      <c r="F1197" s="484"/>
      <c r="G1197" s="496"/>
      <c r="H1197" s="535"/>
      <c r="I1197" s="504">
        <f>I1050</f>
        <v>22761</v>
      </c>
    </row>
    <row r="1198" spans="1:9" x14ac:dyDescent="0.2">
      <c r="A1198" s="484"/>
      <c r="B1198" s="485"/>
      <c r="C1198" s="595" t="s">
        <v>2481</v>
      </c>
      <c r="D1198" s="563" t="s">
        <v>2482</v>
      </c>
      <c r="E1198" s="564"/>
      <c r="F1198" s="484"/>
      <c r="G1198" s="496"/>
      <c r="H1198" s="535"/>
      <c r="I1198" s="504">
        <f>I1065</f>
        <v>22761</v>
      </c>
    </row>
    <row r="1199" spans="1:9" x14ac:dyDescent="0.2">
      <c r="A1199" s="484"/>
      <c r="B1199" s="485"/>
      <c r="C1199" s="595" t="s">
        <v>2483</v>
      </c>
      <c r="D1199" s="563" t="s">
        <v>2484</v>
      </c>
      <c r="E1199" s="564"/>
      <c r="F1199" s="484"/>
      <c r="G1199" s="496"/>
      <c r="H1199" s="535"/>
      <c r="I1199" s="504">
        <f>I1077</f>
        <v>175314</v>
      </c>
    </row>
    <row r="1200" spans="1:9" x14ac:dyDescent="0.2">
      <c r="A1200" s="484"/>
      <c r="B1200" s="485"/>
      <c r="C1200" s="595" t="s">
        <v>2485</v>
      </c>
      <c r="D1200" s="563" t="s">
        <v>2486</v>
      </c>
      <c r="E1200" s="564"/>
      <c r="F1200" s="484"/>
      <c r="G1200" s="496"/>
      <c r="H1200" s="535"/>
      <c r="I1200" s="504">
        <f>I1093</f>
        <v>236341</v>
      </c>
    </row>
    <row r="1201" spans="1:9" x14ac:dyDescent="0.2">
      <c r="A1201" s="484"/>
      <c r="B1201" s="485"/>
      <c r="C1201" s="595" t="s">
        <v>2487</v>
      </c>
      <c r="D1201" s="563" t="s">
        <v>2488</v>
      </c>
      <c r="E1201" s="564"/>
      <c r="F1201" s="484"/>
      <c r="G1201" s="496"/>
      <c r="H1201" s="535"/>
      <c r="I1201" s="504">
        <f>I1106</f>
        <v>44735</v>
      </c>
    </row>
    <row r="1202" spans="1:9" x14ac:dyDescent="0.2">
      <c r="A1202" s="484"/>
      <c r="B1202" s="485"/>
      <c r="C1202" s="595" t="s">
        <v>2489</v>
      </c>
      <c r="D1202" s="563" t="s">
        <v>2490</v>
      </c>
      <c r="E1202" s="564"/>
      <c r="F1202" s="484"/>
      <c r="G1202" s="496"/>
      <c r="H1202" s="535"/>
      <c r="I1202" s="504">
        <f>I1123</f>
        <v>134769</v>
      </c>
    </row>
    <row r="1203" spans="1:9" x14ac:dyDescent="0.2">
      <c r="A1203" s="484"/>
      <c r="B1203" s="485"/>
      <c r="C1203" s="595"/>
      <c r="D1203" s="563"/>
      <c r="E1203" s="564"/>
      <c r="F1203" s="484"/>
      <c r="G1203" s="496"/>
      <c r="H1203" s="535"/>
      <c r="I1203" s="612"/>
    </row>
    <row r="1204" spans="1:9" x14ac:dyDescent="0.2">
      <c r="A1204" s="484"/>
      <c r="B1204" s="485"/>
      <c r="C1204" s="595"/>
      <c r="D1204" s="563"/>
      <c r="E1204" s="564"/>
      <c r="F1204" s="484"/>
      <c r="G1204" s="496"/>
      <c r="H1204" s="535"/>
      <c r="I1204" s="612"/>
    </row>
    <row r="1205" spans="1:9" x14ac:dyDescent="0.2">
      <c r="A1205" s="484"/>
      <c r="B1205" s="485"/>
      <c r="C1205" s="595"/>
      <c r="D1205" s="563"/>
      <c r="E1205" s="564"/>
      <c r="F1205" s="484"/>
      <c r="G1205" s="496"/>
      <c r="H1205" s="535"/>
      <c r="I1205" s="612"/>
    </row>
    <row r="1206" spans="1:9" x14ac:dyDescent="0.2">
      <c r="A1206" s="483"/>
      <c r="B1206" s="481"/>
      <c r="C1206" s="635"/>
      <c r="D1206" s="636"/>
      <c r="E1206" s="637"/>
      <c r="F1206" s="483"/>
      <c r="G1206" s="638"/>
      <c r="H1206" s="1001"/>
      <c r="I1206" s="1009"/>
    </row>
    <row r="1207" spans="1:9" s="516" customFormat="1" x14ac:dyDescent="0.2">
      <c r="A1207" s="510"/>
      <c r="B1207" s="511"/>
      <c r="C1207" s="512"/>
      <c r="D1207" s="513"/>
      <c r="E1207" s="512"/>
      <c r="F1207" s="514"/>
      <c r="G1207" s="545"/>
      <c r="H1207" s="994"/>
      <c r="I1207" s="994"/>
    </row>
    <row r="1208" spans="1:9" s="516" customFormat="1" x14ac:dyDescent="0.2">
      <c r="A1208" s="517"/>
      <c r="B1208" s="518"/>
      <c r="C1208" s="519" t="s">
        <v>2491</v>
      </c>
      <c r="D1208" s="520" t="s">
        <v>2492</v>
      </c>
      <c r="E1208" s="519"/>
      <c r="F1208" s="521"/>
      <c r="G1208" s="546"/>
      <c r="H1208" s="505"/>
      <c r="I1208" s="508">
        <f>SUBTOTAL(9,I1128:I1202)</f>
        <v>23118731</v>
      </c>
    </row>
    <row r="1209" spans="1:9" s="516" customFormat="1" x14ac:dyDescent="0.2">
      <c r="A1209" s="523"/>
      <c r="B1209" s="524"/>
      <c r="C1209" s="525"/>
      <c r="D1209" s="526"/>
      <c r="E1209" s="525"/>
      <c r="F1209" s="527"/>
      <c r="G1209" s="523"/>
      <c r="H1209" s="995"/>
      <c r="I1209" s="996"/>
    </row>
    <row r="1210" spans="1:9" x14ac:dyDescent="0.2">
      <c r="A1210" s="480"/>
      <c r="D1210" s="503"/>
      <c r="E1210" s="639"/>
    </row>
    <row r="1211" spans="1:9" x14ac:dyDescent="0.2">
      <c r="A1211" s="480"/>
      <c r="D1211" s="503"/>
      <c r="E1211" s="639"/>
    </row>
    <row r="1212" spans="1:9" x14ac:dyDescent="0.2">
      <c r="A1212" s="480"/>
      <c r="D1212" s="503"/>
      <c r="E1212" s="639"/>
    </row>
    <row r="1213" spans="1:9" x14ac:dyDescent="0.2">
      <c r="A1213" s="480"/>
      <c r="D1213" s="503"/>
      <c r="E1213" s="639"/>
    </row>
    <row r="1214" spans="1:9" x14ac:dyDescent="0.2">
      <c r="A1214" s="480"/>
      <c r="D1214" s="503"/>
      <c r="E1214" s="639"/>
    </row>
    <row r="1215" spans="1:9" x14ac:dyDescent="0.2">
      <c r="A1215" s="480"/>
      <c r="D1215" s="503"/>
      <c r="E1215" s="639"/>
    </row>
    <row r="1216" spans="1:9" x14ac:dyDescent="0.2">
      <c r="A1216" s="480"/>
      <c r="D1216" s="503"/>
      <c r="E1216" s="639"/>
    </row>
    <row r="1217" spans="1:9" x14ac:dyDescent="0.2">
      <c r="A1217" s="480"/>
      <c r="D1217" s="503"/>
      <c r="E1217" s="639"/>
    </row>
    <row r="1218" spans="1:9" s="480" customFormat="1" x14ac:dyDescent="0.2">
      <c r="C1218" s="600"/>
      <c r="D1218" s="503"/>
      <c r="E1218" s="639"/>
      <c r="G1218" s="507"/>
      <c r="H1218" s="992"/>
      <c r="I1218" s="993"/>
    </row>
    <row r="1219" spans="1:9" s="480" customFormat="1" x14ac:dyDescent="0.2">
      <c r="C1219" s="600"/>
      <c r="D1219" s="503"/>
      <c r="E1219" s="639"/>
      <c r="G1219" s="507"/>
      <c r="H1219" s="992"/>
      <c r="I1219" s="993"/>
    </row>
    <row r="1220" spans="1:9" s="480" customFormat="1" x14ac:dyDescent="0.2">
      <c r="C1220" s="600"/>
      <c r="D1220" s="503"/>
      <c r="E1220" s="639"/>
      <c r="G1220" s="507"/>
      <c r="H1220" s="992"/>
      <c r="I1220" s="993"/>
    </row>
    <row r="1221" spans="1:9" s="480" customFormat="1" x14ac:dyDescent="0.2">
      <c r="C1221" s="600"/>
      <c r="D1221" s="503"/>
      <c r="E1221" s="639"/>
      <c r="G1221" s="507"/>
      <c r="H1221" s="992"/>
      <c r="I1221" s="993"/>
    </row>
    <row r="1222" spans="1:9" s="480" customFormat="1" x14ac:dyDescent="0.2">
      <c r="C1222" s="600"/>
      <c r="D1222" s="503"/>
      <c r="E1222" s="639"/>
      <c r="G1222" s="507"/>
      <c r="H1222" s="992"/>
      <c r="I1222" s="993"/>
    </row>
    <row r="1223" spans="1:9" s="480" customFormat="1" x14ac:dyDescent="0.2">
      <c r="C1223" s="600"/>
      <c r="D1223" s="503"/>
      <c r="E1223" s="639"/>
      <c r="G1223" s="507"/>
      <c r="H1223" s="992"/>
      <c r="I1223" s="993"/>
    </row>
    <row r="1224" spans="1:9" s="480" customFormat="1" x14ac:dyDescent="0.2">
      <c r="C1224" s="600"/>
      <c r="D1224" s="503"/>
      <c r="E1224" s="639"/>
      <c r="G1224" s="507"/>
      <c r="H1224" s="992"/>
      <c r="I1224" s="993"/>
    </row>
    <row r="1225" spans="1:9" s="480" customFormat="1" x14ac:dyDescent="0.2">
      <c r="C1225" s="600"/>
      <c r="D1225" s="503"/>
      <c r="E1225" s="639"/>
      <c r="G1225" s="507"/>
      <c r="H1225" s="992"/>
      <c r="I1225" s="993"/>
    </row>
    <row r="1226" spans="1:9" s="480" customFormat="1" x14ac:dyDescent="0.2">
      <c r="C1226" s="600"/>
      <c r="D1226" s="503"/>
      <c r="E1226" s="639"/>
      <c r="G1226" s="507"/>
      <c r="H1226" s="992"/>
      <c r="I1226" s="993"/>
    </row>
    <row r="1227" spans="1:9" s="480" customFormat="1" x14ac:dyDescent="0.2">
      <c r="C1227" s="600"/>
      <c r="D1227" s="503"/>
      <c r="E1227" s="639"/>
      <c r="G1227" s="507"/>
      <c r="H1227" s="992"/>
      <c r="I1227" s="993"/>
    </row>
    <row r="1228" spans="1:9" s="480" customFormat="1" x14ac:dyDescent="0.2">
      <c r="C1228" s="600"/>
      <c r="D1228" s="503"/>
      <c r="E1228" s="639"/>
      <c r="G1228" s="507"/>
      <c r="H1228" s="992"/>
      <c r="I1228" s="993"/>
    </row>
    <row r="1229" spans="1:9" s="480" customFormat="1" x14ac:dyDescent="0.2">
      <c r="C1229" s="600"/>
      <c r="D1229" s="503"/>
      <c r="E1229" s="639"/>
      <c r="G1229" s="507"/>
      <c r="H1229" s="992"/>
      <c r="I1229" s="993"/>
    </row>
    <row r="1230" spans="1:9" s="480" customFormat="1" x14ac:dyDescent="0.2">
      <c r="C1230" s="600"/>
      <c r="D1230" s="503"/>
      <c r="E1230" s="639"/>
      <c r="G1230" s="507"/>
      <c r="H1230" s="992"/>
      <c r="I1230" s="993"/>
    </row>
    <row r="1231" spans="1:9" s="480" customFormat="1" x14ac:dyDescent="0.2">
      <c r="C1231" s="600"/>
      <c r="D1231" s="503"/>
      <c r="E1231" s="639"/>
      <c r="G1231" s="507"/>
      <c r="H1231" s="992"/>
      <c r="I1231" s="993"/>
    </row>
    <row r="1232" spans="1:9" s="480" customFormat="1" x14ac:dyDescent="0.2">
      <c r="C1232" s="600"/>
      <c r="D1232" s="503"/>
      <c r="E1232" s="639"/>
      <c r="G1232" s="507"/>
      <c r="H1232" s="992"/>
      <c r="I1232" s="993"/>
    </row>
    <row r="1233" spans="3:9" s="480" customFormat="1" x14ac:dyDescent="0.2">
      <c r="C1233" s="600"/>
      <c r="D1233" s="503"/>
      <c r="E1233" s="639"/>
      <c r="G1233" s="507"/>
      <c r="H1233" s="992"/>
      <c r="I1233" s="993"/>
    </row>
    <row r="1234" spans="3:9" s="480" customFormat="1" x14ac:dyDescent="0.2">
      <c r="C1234" s="600"/>
      <c r="D1234" s="503"/>
      <c r="E1234" s="639"/>
      <c r="G1234" s="507"/>
      <c r="H1234" s="992"/>
      <c r="I1234" s="993"/>
    </row>
    <row r="1235" spans="3:9" s="480" customFormat="1" x14ac:dyDescent="0.2">
      <c r="C1235" s="600"/>
      <c r="D1235" s="503"/>
      <c r="E1235" s="639"/>
      <c r="G1235" s="507"/>
      <c r="H1235" s="992"/>
      <c r="I1235" s="993"/>
    </row>
    <row r="1236" spans="3:9" s="480" customFormat="1" x14ac:dyDescent="0.2">
      <c r="C1236" s="600"/>
      <c r="D1236" s="503"/>
      <c r="E1236" s="639"/>
      <c r="G1236" s="507"/>
      <c r="H1236" s="992"/>
      <c r="I1236" s="993"/>
    </row>
    <row r="1237" spans="3:9" s="480" customFormat="1" x14ac:dyDescent="0.2">
      <c r="C1237" s="600"/>
      <c r="D1237" s="503"/>
      <c r="E1237" s="639"/>
      <c r="G1237" s="507"/>
      <c r="H1237" s="992"/>
      <c r="I1237" s="993"/>
    </row>
    <row r="1238" spans="3:9" s="480" customFormat="1" x14ac:dyDescent="0.2">
      <c r="C1238" s="600"/>
      <c r="D1238" s="503"/>
      <c r="E1238" s="639"/>
      <c r="G1238" s="507"/>
      <c r="H1238" s="992"/>
      <c r="I1238" s="993"/>
    </row>
    <row r="1239" spans="3:9" s="480" customFormat="1" x14ac:dyDescent="0.2">
      <c r="C1239" s="600"/>
      <c r="D1239" s="503"/>
      <c r="E1239" s="639"/>
      <c r="G1239" s="507"/>
      <c r="H1239" s="992"/>
      <c r="I1239" s="993"/>
    </row>
    <row r="1240" spans="3:9" s="480" customFormat="1" x14ac:dyDescent="0.2">
      <c r="C1240" s="600"/>
      <c r="D1240" s="503"/>
      <c r="E1240" s="639"/>
      <c r="G1240" s="507"/>
      <c r="H1240" s="992"/>
      <c r="I1240" s="993"/>
    </row>
    <row r="1241" spans="3:9" s="480" customFormat="1" x14ac:dyDescent="0.2">
      <c r="C1241" s="600"/>
      <c r="D1241" s="503"/>
      <c r="E1241" s="639"/>
      <c r="G1241" s="507"/>
      <c r="H1241" s="992"/>
      <c r="I1241" s="993"/>
    </row>
    <row r="1242" spans="3:9" s="480" customFormat="1" x14ac:dyDescent="0.2">
      <c r="C1242" s="600"/>
      <c r="D1242" s="503"/>
      <c r="E1242" s="639"/>
      <c r="G1242" s="507"/>
      <c r="H1242" s="992"/>
      <c r="I1242" s="993"/>
    </row>
    <row r="1243" spans="3:9" s="480" customFormat="1" x14ac:dyDescent="0.2">
      <c r="C1243" s="600"/>
      <c r="D1243" s="503"/>
      <c r="E1243" s="639"/>
      <c r="G1243" s="507"/>
      <c r="H1243" s="992"/>
      <c r="I1243" s="993"/>
    </row>
    <row r="1244" spans="3:9" s="480" customFormat="1" x14ac:dyDescent="0.2">
      <c r="C1244" s="600"/>
      <c r="D1244" s="503"/>
      <c r="E1244" s="639"/>
      <c r="G1244" s="507"/>
      <c r="H1244" s="992"/>
      <c r="I1244" s="993"/>
    </row>
    <row r="1245" spans="3:9" s="480" customFormat="1" x14ac:dyDescent="0.2">
      <c r="C1245" s="600"/>
      <c r="D1245" s="503"/>
      <c r="E1245" s="639"/>
      <c r="G1245" s="507"/>
      <c r="H1245" s="992"/>
      <c r="I1245" s="993"/>
    </row>
    <row r="1246" spans="3:9" s="480" customFormat="1" x14ac:dyDescent="0.2">
      <c r="C1246" s="600"/>
      <c r="D1246" s="503"/>
      <c r="E1246" s="639"/>
      <c r="G1246" s="507"/>
      <c r="H1246" s="992"/>
      <c r="I1246" s="993"/>
    </row>
    <row r="1247" spans="3:9" s="480" customFormat="1" x14ac:dyDescent="0.2">
      <c r="C1247" s="600"/>
      <c r="D1247" s="503"/>
      <c r="E1247" s="639"/>
      <c r="G1247" s="507"/>
      <c r="H1247" s="992"/>
      <c r="I1247" s="993"/>
    </row>
    <row r="1248" spans="3:9" s="480" customFormat="1" x14ac:dyDescent="0.2">
      <c r="C1248" s="600"/>
      <c r="D1248" s="503"/>
      <c r="E1248" s="639"/>
      <c r="G1248" s="507"/>
      <c r="H1248" s="992"/>
      <c r="I1248" s="993"/>
    </row>
    <row r="1249" spans="3:9" s="480" customFormat="1" x14ac:dyDescent="0.2">
      <c r="C1249" s="600"/>
      <c r="D1249" s="503"/>
      <c r="E1249" s="639"/>
      <c r="G1249" s="507"/>
      <c r="H1249" s="992"/>
      <c r="I1249" s="993"/>
    </row>
    <row r="1250" spans="3:9" s="480" customFormat="1" x14ac:dyDescent="0.2">
      <c r="C1250" s="600"/>
      <c r="D1250" s="503"/>
      <c r="E1250" s="639"/>
      <c r="G1250" s="507"/>
      <c r="H1250" s="992"/>
      <c r="I1250" s="993"/>
    </row>
    <row r="1251" spans="3:9" s="480" customFormat="1" x14ac:dyDescent="0.2">
      <c r="C1251" s="600"/>
      <c r="D1251" s="503"/>
      <c r="E1251" s="639"/>
      <c r="G1251" s="507"/>
      <c r="H1251" s="992"/>
      <c r="I1251" s="993"/>
    </row>
    <row r="1252" spans="3:9" s="480" customFormat="1" x14ac:dyDescent="0.2">
      <c r="C1252" s="600"/>
      <c r="D1252" s="503"/>
      <c r="E1252" s="639"/>
      <c r="G1252" s="507"/>
      <c r="H1252" s="992"/>
      <c r="I1252" s="993"/>
    </row>
    <row r="1253" spans="3:9" s="480" customFormat="1" x14ac:dyDescent="0.2">
      <c r="C1253" s="600"/>
      <c r="D1253" s="503"/>
      <c r="E1253" s="639"/>
      <c r="G1253" s="507"/>
      <c r="H1253" s="992"/>
      <c r="I1253" s="993"/>
    </row>
    <row r="1254" spans="3:9" s="480" customFormat="1" x14ac:dyDescent="0.2">
      <c r="C1254" s="600"/>
      <c r="D1254" s="503"/>
      <c r="E1254" s="639"/>
      <c r="G1254" s="507"/>
      <c r="H1254" s="992"/>
      <c r="I1254" s="993"/>
    </row>
    <row r="1255" spans="3:9" s="480" customFormat="1" x14ac:dyDescent="0.2">
      <c r="C1255" s="600"/>
      <c r="D1255" s="503"/>
      <c r="E1255" s="639"/>
      <c r="G1255" s="507"/>
      <c r="H1255" s="992"/>
      <c r="I1255" s="993"/>
    </row>
    <row r="1256" spans="3:9" s="480" customFormat="1" x14ac:dyDescent="0.2">
      <c r="C1256" s="600"/>
      <c r="D1256" s="503"/>
      <c r="E1256" s="639"/>
      <c r="G1256" s="507"/>
      <c r="H1256" s="992"/>
      <c r="I1256" s="993"/>
    </row>
    <row r="1257" spans="3:9" s="480" customFormat="1" x14ac:dyDescent="0.2">
      <c r="C1257" s="600"/>
      <c r="D1257" s="503"/>
      <c r="E1257" s="639"/>
      <c r="G1257" s="507"/>
      <c r="H1257" s="992"/>
      <c r="I1257" s="993"/>
    </row>
    <row r="1258" spans="3:9" s="480" customFormat="1" x14ac:dyDescent="0.2">
      <c r="C1258" s="600"/>
      <c r="D1258" s="503"/>
      <c r="E1258" s="639"/>
      <c r="G1258" s="507"/>
      <c r="H1258" s="992"/>
      <c r="I1258" s="993"/>
    </row>
    <row r="1259" spans="3:9" s="480" customFormat="1" x14ac:dyDescent="0.2">
      <c r="C1259" s="600"/>
      <c r="D1259" s="503"/>
      <c r="E1259" s="639"/>
      <c r="G1259" s="507"/>
      <c r="H1259" s="992"/>
      <c r="I1259" s="993"/>
    </row>
    <row r="1260" spans="3:9" s="480" customFormat="1" x14ac:dyDescent="0.2">
      <c r="C1260" s="600"/>
      <c r="D1260" s="503"/>
      <c r="E1260" s="639"/>
      <c r="G1260" s="507"/>
      <c r="H1260" s="992"/>
      <c r="I1260" s="993"/>
    </row>
    <row r="1261" spans="3:9" s="480" customFormat="1" x14ac:dyDescent="0.2">
      <c r="C1261" s="600"/>
      <c r="D1261" s="503"/>
      <c r="E1261" s="639"/>
      <c r="G1261" s="507"/>
      <c r="H1261" s="992"/>
      <c r="I1261" s="993"/>
    </row>
    <row r="1262" spans="3:9" s="480" customFormat="1" x14ac:dyDescent="0.2">
      <c r="C1262" s="600"/>
      <c r="D1262" s="503"/>
      <c r="E1262" s="639"/>
      <c r="G1262" s="507"/>
      <c r="H1262" s="992"/>
      <c r="I1262" s="993"/>
    </row>
    <row r="1263" spans="3:9" s="480" customFormat="1" x14ac:dyDescent="0.2">
      <c r="C1263" s="600"/>
      <c r="D1263" s="503"/>
      <c r="E1263" s="639"/>
      <c r="G1263" s="507"/>
      <c r="H1263" s="992"/>
      <c r="I1263" s="993"/>
    </row>
    <row r="1264" spans="3:9" s="480" customFormat="1" x14ac:dyDescent="0.2">
      <c r="C1264" s="600"/>
      <c r="D1264" s="503"/>
      <c r="E1264" s="639"/>
      <c r="G1264" s="507"/>
      <c r="H1264" s="992"/>
      <c r="I1264" s="993"/>
    </row>
    <row r="1265" spans="3:9" s="480" customFormat="1" x14ac:dyDescent="0.2">
      <c r="C1265" s="600"/>
      <c r="D1265" s="503"/>
      <c r="E1265" s="639"/>
      <c r="G1265" s="507"/>
      <c r="H1265" s="992"/>
      <c r="I1265" s="993"/>
    </row>
    <row r="1266" spans="3:9" s="480" customFormat="1" x14ac:dyDescent="0.2">
      <c r="C1266" s="600"/>
      <c r="D1266" s="503"/>
      <c r="E1266" s="639"/>
      <c r="G1266" s="507"/>
      <c r="H1266" s="992"/>
      <c r="I1266" s="993"/>
    </row>
    <row r="1267" spans="3:9" s="480" customFormat="1" x14ac:dyDescent="0.2">
      <c r="C1267" s="600"/>
      <c r="D1267" s="503"/>
      <c r="E1267" s="639"/>
      <c r="G1267" s="507"/>
      <c r="H1267" s="992"/>
      <c r="I1267" s="993"/>
    </row>
    <row r="1268" spans="3:9" s="480" customFormat="1" x14ac:dyDescent="0.2">
      <c r="C1268" s="600"/>
      <c r="D1268" s="503"/>
      <c r="E1268" s="639"/>
      <c r="G1268" s="507"/>
      <c r="H1268" s="992"/>
      <c r="I1268" s="993"/>
    </row>
    <row r="1269" spans="3:9" s="480" customFormat="1" x14ac:dyDescent="0.2">
      <c r="C1269" s="600"/>
      <c r="D1269" s="503"/>
      <c r="E1269" s="639"/>
      <c r="G1269" s="507"/>
      <c r="H1269" s="992"/>
      <c r="I1269" s="993"/>
    </row>
    <row r="1270" spans="3:9" s="480" customFormat="1" x14ac:dyDescent="0.2">
      <c r="C1270" s="600"/>
      <c r="D1270" s="503"/>
      <c r="E1270" s="639"/>
      <c r="G1270" s="507"/>
      <c r="H1270" s="992"/>
      <c r="I1270" s="993"/>
    </row>
    <row r="1271" spans="3:9" s="480" customFormat="1" x14ac:dyDescent="0.2">
      <c r="C1271" s="600"/>
      <c r="D1271" s="503"/>
      <c r="E1271" s="639"/>
      <c r="G1271" s="507"/>
      <c r="H1271" s="992"/>
      <c r="I1271" s="993"/>
    </row>
    <row r="1272" spans="3:9" s="480" customFormat="1" x14ac:dyDescent="0.2">
      <c r="C1272" s="600"/>
      <c r="D1272" s="503"/>
      <c r="E1272" s="639"/>
      <c r="G1272" s="507"/>
      <c r="H1272" s="992"/>
      <c r="I1272" s="993"/>
    </row>
    <row r="1273" spans="3:9" s="480" customFormat="1" x14ac:dyDescent="0.2">
      <c r="C1273" s="600"/>
      <c r="D1273" s="503"/>
      <c r="E1273" s="639"/>
      <c r="G1273" s="507"/>
      <c r="H1273" s="992"/>
      <c r="I1273" s="993"/>
    </row>
    <row r="1274" spans="3:9" s="480" customFormat="1" x14ac:dyDescent="0.2">
      <c r="C1274" s="600"/>
      <c r="D1274" s="503"/>
      <c r="E1274" s="639"/>
      <c r="G1274" s="507"/>
      <c r="H1274" s="992"/>
      <c r="I1274" s="993"/>
    </row>
    <row r="1275" spans="3:9" s="480" customFormat="1" x14ac:dyDescent="0.2">
      <c r="C1275" s="600"/>
      <c r="D1275" s="503"/>
      <c r="E1275" s="639"/>
      <c r="G1275" s="507"/>
      <c r="H1275" s="992"/>
      <c r="I1275" s="993"/>
    </row>
    <row r="1276" spans="3:9" s="480" customFormat="1" x14ac:dyDescent="0.2">
      <c r="C1276" s="600"/>
      <c r="D1276" s="503"/>
      <c r="E1276" s="639"/>
      <c r="G1276" s="507"/>
      <c r="H1276" s="992"/>
      <c r="I1276" s="993"/>
    </row>
    <row r="1277" spans="3:9" s="480" customFormat="1" x14ac:dyDescent="0.2">
      <c r="C1277" s="600"/>
      <c r="D1277" s="503"/>
      <c r="E1277" s="639"/>
      <c r="G1277" s="507"/>
      <c r="H1277" s="992"/>
      <c r="I1277" s="993"/>
    </row>
    <row r="1278" spans="3:9" s="480" customFormat="1" x14ac:dyDescent="0.2">
      <c r="C1278" s="600"/>
      <c r="D1278" s="503"/>
      <c r="E1278" s="639"/>
      <c r="G1278" s="507"/>
      <c r="H1278" s="992"/>
      <c r="I1278" s="993"/>
    </row>
    <row r="1279" spans="3:9" s="480" customFormat="1" x14ac:dyDescent="0.2">
      <c r="C1279" s="600"/>
      <c r="D1279" s="503"/>
      <c r="E1279" s="639"/>
      <c r="G1279" s="507"/>
      <c r="H1279" s="992"/>
      <c r="I1279" s="993"/>
    </row>
    <row r="1280" spans="3:9" s="480" customFormat="1" x14ac:dyDescent="0.2">
      <c r="C1280" s="600"/>
      <c r="D1280" s="503"/>
      <c r="E1280" s="639"/>
      <c r="G1280" s="507"/>
      <c r="H1280" s="992"/>
      <c r="I1280" s="993"/>
    </row>
    <row r="1281" spans="3:9" s="480" customFormat="1" x14ac:dyDescent="0.2">
      <c r="C1281" s="600"/>
      <c r="D1281" s="503"/>
      <c r="E1281" s="639"/>
      <c r="G1281" s="507"/>
      <c r="H1281" s="992"/>
      <c r="I1281" s="993"/>
    </row>
    <row r="1282" spans="3:9" s="480" customFormat="1" x14ac:dyDescent="0.2">
      <c r="C1282" s="600"/>
      <c r="D1282" s="503"/>
      <c r="E1282" s="639"/>
      <c r="G1282" s="507"/>
      <c r="H1282" s="992"/>
      <c r="I1282" s="993"/>
    </row>
    <row r="1283" spans="3:9" s="480" customFormat="1" x14ac:dyDescent="0.2">
      <c r="C1283" s="600"/>
      <c r="D1283" s="503"/>
      <c r="E1283" s="639"/>
      <c r="G1283" s="507"/>
      <c r="H1283" s="992"/>
      <c r="I1283" s="993"/>
    </row>
    <row r="1284" spans="3:9" s="480" customFormat="1" x14ac:dyDescent="0.2">
      <c r="C1284" s="600"/>
      <c r="D1284" s="503"/>
      <c r="E1284" s="639"/>
      <c r="G1284" s="507"/>
      <c r="H1284" s="992"/>
      <c r="I1284" s="993"/>
    </row>
    <row r="1285" spans="3:9" s="480" customFormat="1" x14ac:dyDescent="0.2">
      <c r="C1285" s="600"/>
      <c r="D1285" s="503"/>
      <c r="E1285" s="639"/>
      <c r="G1285" s="507"/>
      <c r="H1285" s="992"/>
      <c r="I1285" s="993"/>
    </row>
    <row r="1286" spans="3:9" s="480" customFormat="1" x14ac:dyDescent="0.2">
      <c r="C1286" s="600"/>
      <c r="D1286" s="503"/>
      <c r="E1286" s="639"/>
      <c r="G1286" s="507"/>
      <c r="H1286" s="992"/>
      <c r="I1286" s="993"/>
    </row>
    <row r="1287" spans="3:9" s="480" customFormat="1" x14ac:dyDescent="0.2">
      <c r="C1287" s="600"/>
      <c r="D1287" s="503"/>
      <c r="E1287" s="639"/>
      <c r="G1287" s="507"/>
      <c r="H1287" s="992"/>
      <c r="I1287" s="993"/>
    </row>
    <row r="1288" spans="3:9" s="480" customFormat="1" x14ac:dyDescent="0.2">
      <c r="C1288" s="600"/>
      <c r="D1288" s="503"/>
      <c r="E1288" s="639"/>
      <c r="G1288" s="507"/>
      <c r="H1288" s="992"/>
      <c r="I1288" s="993"/>
    </row>
    <row r="1289" spans="3:9" s="480" customFormat="1" x14ac:dyDescent="0.2">
      <c r="C1289" s="600"/>
      <c r="D1289" s="503"/>
      <c r="E1289" s="639"/>
      <c r="G1289" s="507"/>
      <c r="H1289" s="992"/>
      <c r="I1289" s="993"/>
    </row>
    <row r="1290" spans="3:9" s="480" customFormat="1" x14ac:dyDescent="0.2">
      <c r="C1290" s="600"/>
      <c r="D1290" s="503"/>
      <c r="E1290" s="639"/>
      <c r="G1290" s="507"/>
      <c r="H1290" s="992"/>
      <c r="I1290" s="993"/>
    </row>
    <row r="1291" spans="3:9" s="480" customFormat="1" x14ac:dyDescent="0.2">
      <c r="C1291" s="600"/>
      <c r="D1291" s="503"/>
      <c r="E1291" s="639"/>
      <c r="G1291" s="507"/>
      <c r="H1291" s="992"/>
      <c r="I1291" s="993"/>
    </row>
    <row r="1292" spans="3:9" s="480" customFormat="1" x14ac:dyDescent="0.2">
      <c r="C1292" s="600"/>
      <c r="D1292" s="503"/>
      <c r="E1292" s="639"/>
      <c r="G1292" s="507"/>
      <c r="H1292" s="992"/>
      <c r="I1292" s="993"/>
    </row>
    <row r="1293" spans="3:9" s="480" customFormat="1" x14ac:dyDescent="0.2">
      <c r="C1293" s="600"/>
      <c r="D1293" s="503"/>
      <c r="E1293" s="639"/>
      <c r="G1293" s="507"/>
      <c r="H1293" s="992"/>
      <c r="I1293" s="993"/>
    </row>
    <row r="1294" spans="3:9" s="480" customFormat="1" x14ac:dyDescent="0.2">
      <c r="C1294" s="600"/>
      <c r="D1294" s="503"/>
      <c r="E1294" s="639"/>
      <c r="G1294" s="507"/>
      <c r="H1294" s="992"/>
      <c r="I1294" s="993"/>
    </row>
    <row r="1295" spans="3:9" s="480" customFormat="1" x14ac:dyDescent="0.2">
      <c r="C1295" s="600"/>
      <c r="D1295" s="503"/>
      <c r="E1295" s="639"/>
      <c r="G1295" s="507"/>
      <c r="H1295" s="992"/>
      <c r="I1295" s="993"/>
    </row>
    <row r="1296" spans="3:9" s="480" customFormat="1" x14ac:dyDescent="0.2">
      <c r="C1296" s="600"/>
      <c r="D1296" s="503"/>
      <c r="E1296" s="639"/>
      <c r="G1296" s="507"/>
      <c r="H1296" s="992"/>
      <c r="I1296" s="993"/>
    </row>
    <row r="1297" spans="1:9" s="480" customFormat="1" x14ac:dyDescent="0.2">
      <c r="C1297" s="600"/>
      <c r="D1297" s="503"/>
      <c r="E1297" s="639"/>
      <c r="G1297" s="507"/>
      <c r="H1297" s="992"/>
      <c r="I1297" s="993"/>
    </row>
    <row r="1298" spans="1:9" s="480" customFormat="1" x14ac:dyDescent="0.2">
      <c r="C1298" s="600"/>
      <c r="D1298" s="503"/>
      <c r="E1298" s="639"/>
      <c r="G1298" s="507"/>
      <c r="H1298" s="992"/>
      <c r="I1298" s="993"/>
    </row>
    <row r="1299" spans="1:9" s="480" customFormat="1" x14ac:dyDescent="0.2">
      <c r="C1299" s="600"/>
      <c r="D1299" s="503"/>
      <c r="E1299" s="639"/>
      <c r="G1299" s="507"/>
      <c r="H1299" s="992"/>
      <c r="I1299" s="993"/>
    </row>
    <row r="1300" spans="1:9" s="480" customFormat="1" x14ac:dyDescent="0.2">
      <c r="C1300" s="600"/>
      <c r="D1300" s="503"/>
      <c r="E1300" s="639"/>
      <c r="G1300" s="507"/>
      <c r="H1300" s="992"/>
      <c r="I1300" s="993"/>
    </row>
    <row r="1301" spans="1:9" s="480" customFormat="1" x14ac:dyDescent="0.2">
      <c r="C1301" s="600"/>
      <c r="D1301" s="503"/>
      <c r="E1301" s="639"/>
      <c r="G1301" s="507"/>
      <c r="H1301" s="992"/>
      <c r="I1301" s="993"/>
    </row>
    <row r="1302" spans="1:9" s="480" customFormat="1" x14ac:dyDescent="0.2">
      <c r="C1302" s="600"/>
      <c r="D1302" s="503"/>
      <c r="E1302" s="639"/>
      <c r="G1302" s="507"/>
      <c r="H1302" s="992"/>
      <c r="I1302" s="993"/>
    </row>
    <row r="1303" spans="1:9" s="480" customFormat="1" x14ac:dyDescent="0.2">
      <c r="C1303" s="600"/>
      <c r="D1303" s="503"/>
      <c r="E1303" s="639"/>
      <c r="G1303" s="507"/>
      <c r="H1303" s="992"/>
      <c r="I1303" s="993"/>
    </row>
    <row r="1304" spans="1:9" s="480" customFormat="1" x14ac:dyDescent="0.2">
      <c r="C1304" s="600"/>
      <c r="D1304" s="503"/>
      <c r="E1304" s="639"/>
      <c r="G1304" s="507"/>
      <c r="H1304" s="992"/>
      <c r="I1304" s="993"/>
    </row>
    <row r="1305" spans="1:9" s="480" customFormat="1" x14ac:dyDescent="0.2">
      <c r="C1305" s="600"/>
      <c r="D1305" s="503"/>
      <c r="E1305" s="639"/>
      <c r="G1305" s="507"/>
      <c r="H1305" s="992"/>
      <c r="I1305" s="993"/>
    </row>
    <row r="1306" spans="1:9" s="480" customFormat="1" x14ac:dyDescent="0.2">
      <c r="C1306" s="600"/>
      <c r="D1306" s="503"/>
      <c r="E1306" s="639"/>
      <c r="G1306" s="507"/>
      <c r="H1306" s="992"/>
      <c r="I1306" s="993"/>
    </row>
    <row r="1307" spans="1:9" s="480" customFormat="1" x14ac:dyDescent="0.2">
      <c r="A1307" s="640"/>
      <c r="C1307" s="600"/>
      <c r="D1307" s="503"/>
      <c r="E1307" s="639"/>
      <c r="G1307" s="507"/>
      <c r="H1307" s="992"/>
      <c r="I1307" s="993"/>
    </row>
    <row r="1308" spans="1:9" s="480" customFormat="1" x14ac:dyDescent="0.2">
      <c r="A1308" s="640"/>
      <c r="C1308" s="600"/>
      <c r="D1308" s="503"/>
      <c r="E1308" s="639"/>
      <c r="G1308" s="507"/>
      <c r="H1308" s="992"/>
      <c r="I1308" s="993"/>
    </row>
    <row r="1309" spans="1:9" s="480" customFormat="1" x14ac:dyDescent="0.2">
      <c r="A1309" s="640"/>
      <c r="C1309" s="600"/>
      <c r="D1309" s="503"/>
      <c r="E1309" s="639"/>
      <c r="G1309" s="507"/>
      <c r="H1309" s="992"/>
      <c r="I1309" s="993"/>
    </row>
    <row r="1310" spans="1:9" s="480" customFormat="1" x14ac:dyDescent="0.2">
      <c r="A1310" s="640"/>
      <c r="C1310" s="600"/>
      <c r="D1310" s="503"/>
      <c r="E1310" s="639"/>
      <c r="G1310" s="507"/>
      <c r="H1310" s="992"/>
      <c r="I1310" s="993"/>
    </row>
    <row r="1311" spans="1:9" s="480" customFormat="1" x14ac:dyDescent="0.2">
      <c r="A1311" s="640"/>
      <c r="C1311" s="600"/>
      <c r="D1311" s="503"/>
      <c r="E1311" s="639"/>
      <c r="G1311" s="507"/>
      <c r="H1311" s="992"/>
      <c r="I1311" s="993"/>
    </row>
    <row r="1312" spans="1:9" s="480" customFormat="1" x14ac:dyDescent="0.2">
      <c r="A1312" s="640"/>
      <c r="C1312" s="600"/>
      <c r="D1312" s="503"/>
      <c r="E1312" s="639"/>
      <c r="G1312" s="507"/>
      <c r="H1312" s="992"/>
      <c r="I1312" s="993"/>
    </row>
    <row r="1313" spans="1:9" s="480" customFormat="1" x14ac:dyDescent="0.2">
      <c r="A1313" s="640"/>
      <c r="C1313" s="600"/>
      <c r="D1313" s="503"/>
      <c r="E1313" s="639"/>
      <c r="G1313" s="507"/>
      <c r="H1313" s="992"/>
      <c r="I1313" s="993"/>
    </row>
    <row r="1314" spans="1:9" s="480" customFormat="1" x14ac:dyDescent="0.2">
      <c r="A1314" s="640"/>
      <c r="C1314" s="600"/>
      <c r="D1314" s="503"/>
      <c r="E1314" s="639"/>
      <c r="G1314" s="507"/>
      <c r="H1314" s="992"/>
      <c r="I1314" s="993"/>
    </row>
    <row r="1315" spans="1:9" s="480" customFormat="1" x14ac:dyDescent="0.2">
      <c r="A1315" s="640"/>
      <c r="C1315" s="600"/>
      <c r="D1315" s="503"/>
      <c r="E1315" s="639"/>
      <c r="G1315" s="507"/>
      <c r="H1315" s="992"/>
      <c r="I1315" s="993"/>
    </row>
    <row r="1316" spans="1:9" s="480" customFormat="1" x14ac:dyDescent="0.2">
      <c r="A1316" s="640"/>
      <c r="C1316" s="600"/>
      <c r="D1316" s="503"/>
      <c r="E1316" s="639"/>
      <c r="G1316" s="507"/>
      <c r="H1316" s="992"/>
      <c r="I1316" s="993"/>
    </row>
    <row r="1317" spans="1:9" s="480" customFormat="1" x14ac:dyDescent="0.2">
      <c r="A1317" s="640"/>
      <c r="C1317" s="600"/>
      <c r="D1317" s="503"/>
      <c r="E1317" s="639"/>
      <c r="G1317" s="507"/>
      <c r="H1317" s="992"/>
      <c r="I1317" s="993"/>
    </row>
    <row r="1318" spans="1:9" s="480" customFormat="1" x14ac:dyDescent="0.2">
      <c r="A1318" s="640"/>
      <c r="C1318" s="600"/>
      <c r="D1318" s="503"/>
      <c r="E1318" s="639"/>
      <c r="G1318" s="507"/>
      <c r="H1318" s="992"/>
      <c r="I1318" s="993"/>
    </row>
    <row r="1319" spans="1:9" s="480" customFormat="1" x14ac:dyDescent="0.2">
      <c r="A1319" s="640"/>
      <c r="C1319" s="600"/>
      <c r="D1319" s="503"/>
      <c r="E1319" s="639"/>
      <c r="G1319" s="507"/>
      <c r="H1319" s="992"/>
      <c r="I1319" s="993"/>
    </row>
    <row r="1320" spans="1:9" s="480" customFormat="1" x14ac:dyDescent="0.2">
      <c r="A1320" s="640"/>
      <c r="C1320" s="600"/>
      <c r="D1320" s="503"/>
      <c r="E1320" s="639"/>
      <c r="G1320" s="507"/>
      <c r="H1320" s="992"/>
      <c r="I1320" s="993"/>
    </row>
    <row r="1321" spans="1:9" s="480" customFormat="1" x14ac:dyDescent="0.2">
      <c r="A1321" s="640"/>
      <c r="C1321" s="600"/>
      <c r="D1321" s="503"/>
      <c r="E1321" s="639"/>
      <c r="G1321" s="507"/>
      <c r="H1321" s="992"/>
      <c r="I1321" s="993"/>
    </row>
    <row r="1322" spans="1:9" s="480" customFormat="1" x14ac:dyDescent="0.2">
      <c r="A1322" s="640"/>
      <c r="C1322" s="600"/>
      <c r="D1322" s="503"/>
      <c r="E1322" s="639"/>
      <c r="G1322" s="507"/>
      <c r="H1322" s="992"/>
      <c r="I1322" s="993"/>
    </row>
    <row r="1323" spans="1:9" s="480" customFormat="1" x14ac:dyDescent="0.2">
      <c r="A1323" s="640"/>
      <c r="C1323" s="600"/>
      <c r="D1323" s="503"/>
      <c r="E1323" s="639"/>
      <c r="G1323" s="507"/>
      <c r="H1323" s="992"/>
      <c r="I1323" s="993"/>
    </row>
    <row r="1324" spans="1:9" s="480" customFormat="1" x14ac:dyDescent="0.2">
      <c r="A1324" s="640"/>
      <c r="C1324" s="600"/>
      <c r="D1324" s="503"/>
      <c r="E1324" s="639"/>
      <c r="G1324" s="507"/>
      <c r="H1324" s="992"/>
      <c r="I1324" s="993"/>
    </row>
    <row r="1325" spans="1:9" s="480" customFormat="1" x14ac:dyDescent="0.2">
      <c r="A1325" s="640"/>
      <c r="C1325" s="600"/>
      <c r="D1325" s="503"/>
      <c r="E1325" s="639"/>
      <c r="G1325" s="507"/>
      <c r="H1325" s="992"/>
      <c r="I1325" s="993"/>
    </row>
    <row r="1326" spans="1:9" s="480" customFormat="1" x14ac:dyDescent="0.2">
      <c r="A1326" s="640"/>
      <c r="C1326" s="600"/>
      <c r="D1326" s="503"/>
      <c r="E1326" s="639"/>
      <c r="G1326" s="507"/>
      <c r="H1326" s="992"/>
      <c r="I1326" s="993"/>
    </row>
    <row r="1327" spans="1:9" s="480" customFormat="1" x14ac:dyDescent="0.2">
      <c r="A1327" s="640"/>
      <c r="C1327" s="600"/>
      <c r="D1327" s="503"/>
      <c r="E1327" s="639"/>
      <c r="G1327" s="507"/>
      <c r="H1327" s="992"/>
      <c r="I1327" s="993"/>
    </row>
    <row r="1328" spans="1:9" s="480" customFormat="1" x14ac:dyDescent="0.2">
      <c r="A1328" s="640"/>
      <c r="C1328" s="600"/>
      <c r="D1328" s="503"/>
      <c r="E1328" s="639"/>
      <c r="G1328" s="507"/>
      <c r="H1328" s="992"/>
      <c r="I1328" s="993"/>
    </row>
    <row r="1329" spans="1:9" s="480" customFormat="1" x14ac:dyDescent="0.2">
      <c r="A1329" s="640"/>
      <c r="C1329" s="600"/>
      <c r="D1329" s="503"/>
      <c r="E1329" s="639"/>
      <c r="G1329" s="507"/>
      <c r="H1329" s="992"/>
      <c r="I1329" s="993"/>
    </row>
    <row r="1330" spans="1:9" s="480" customFormat="1" x14ac:dyDescent="0.2">
      <c r="A1330" s="640"/>
      <c r="C1330" s="600"/>
      <c r="D1330" s="503"/>
      <c r="E1330" s="639"/>
      <c r="G1330" s="507"/>
      <c r="H1330" s="992"/>
      <c r="I1330" s="993"/>
    </row>
    <row r="1331" spans="1:9" s="480" customFormat="1" x14ac:dyDescent="0.2">
      <c r="A1331" s="640"/>
      <c r="C1331" s="600"/>
      <c r="D1331" s="503"/>
      <c r="E1331" s="639"/>
      <c r="G1331" s="507"/>
      <c r="H1331" s="992"/>
      <c r="I1331" s="993"/>
    </row>
    <row r="1332" spans="1:9" s="480" customFormat="1" x14ac:dyDescent="0.2">
      <c r="A1332" s="640"/>
      <c r="C1332" s="600"/>
      <c r="D1332" s="503"/>
      <c r="E1332" s="639"/>
      <c r="G1332" s="507"/>
      <c r="H1332" s="992"/>
      <c r="I1332" s="993"/>
    </row>
    <row r="1333" spans="1:9" s="480" customFormat="1" x14ac:dyDescent="0.2">
      <c r="A1333" s="640"/>
      <c r="C1333" s="600"/>
      <c r="D1333" s="503"/>
      <c r="E1333" s="639"/>
      <c r="G1333" s="507"/>
      <c r="H1333" s="992"/>
      <c r="I1333" s="993"/>
    </row>
    <row r="1334" spans="1:9" s="480" customFormat="1" x14ac:dyDescent="0.2">
      <c r="A1334" s="640"/>
      <c r="C1334" s="600"/>
      <c r="D1334" s="503"/>
      <c r="E1334" s="639"/>
      <c r="G1334" s="507"/>
      <c r="H1334" s="992"/>
      <c r="I1334" s="993"/>
    </row>
    <row r="1335" spans="1:9" s="480" customFormat="1" x14ac:dyDescent="0.2">
      <c r="A1335" s="640"/>
      <c r="C1335" s="600"/>
      <c r="D1335" s="503"/>
      <c r="E1335" s="639"/>
      <c r="G1335" s="507"/>
      <c r="H1335" s="992"/>
      <c r="I1335" s="993"/>
    </row>
    <row r="1336" spans="1:9" s="480" customFormat="1" x14ac:dyDescent="0.2">
      <c r="A1336" s="640"/>
      <c r="C1336" s="600"/>
      <c r="D1336" s="503"/>
      <c r="E1336" s="639"/>
      <c r="G1336" s="507"/>
      <c r="H1336" s="992"/>
      <c r="I1336" s="993"/>
    </row>
    <row r="1337" spans="1:9" s="480" customFormat="1" x14ac:dyDescent="0.2">
      <c r="A1337" s="640"/>
      <c r="C1337" s="600"/>
      <c r="D1337" s="503"/>
      <c r="E1337" s="639"/>
      <c r="G1337" s="507"/>
      <c r="H1337" s="992"/>
      <c r="I1337" s="993"/>
    </row>
    <row r="1338" spans="1:9" s="480" customFormat="1" x14ac:dyDescent="0.2">
      <c r="A1338" s="640"/>
      <c r="C1338" s="600"/>
      <c r="D1338" s="503"/>
      <c r="E1338" s="639"/>
      <c r="G1338" s="507"/>
      <c r="H1338" s="992"/>
      <c r="I1338" s="993"/>
    </row>
    <row r="1339" spans="1:9" s="480" customFormat="1" x14ac:dyDescent="0.2">
      <c r="A1339" s="640"/>
      <c r="C1339" s="600"/>
      <c r="D1339" s="503"/>
      <c r="E1339" s="639"/>
      <c r="G1339" s="507"/>
      <c r="H1339" s="992"/>
      <c r="I1339" s="993"/>
    </row>
    <row r="1340" spans="1:9" s="480" customFormat="1" x14ac:dyDescent="0.2">
      <c r="A1340" s="640"/>
      <c r="C1340" s="600"/>
      <c r="D1340" s="503"/>
      <c r="E1340" s="639"/>
      <c r="G1340" s="507"/>
      <c r="H1340" s="992"/>
      <c r="I1340" s="993"/>
    </row>
    <row r="1341" spans="1:9" s="480" customFormat="1" x14ac:dyDescent="0.2">
      <c r="A1341" s="640"/>
      <c r="C1341" s="600"/>
      <c r="D1341" s="503"/>
      <c r="E1341" s="639"/>
      <c r="G1341" s="507"/>
      <c r="H1341" s="992"/>
      <c r="I1341" s="993"/>
    </row>
    <row r="1342" spans="1:9" s="480" customFormat="1" x14ac:dyDescent="0.2">
      <c r="A1342" s="640"/>
      <c r="C1342" s="600"/>
      <c r="D1342" s="503"/>
      <c r="E1342" s="639"/>
      <c r="G1342" s="507"/>
      <c r="H1342" s="992"/>
      <c r="I1342" s="993"/>
    </row>
    <row r="1343" spans="1:9" s="480" customFormat="1" x14ac:dyDescent="0.2">
      <c r="A1343" s="640"/>
      <c r="C1343" s="600"/>
      <c r="D1343" s="503"/>
      <c r="E1343" s="639"/>
      <c r="G1343" s="507"/>
      <c r="H1343" s="992"/>
      <c r="I1343" s="993"/>
    </row>
    <row r="1344" spans="1:9" s="480" customFormat="1" x14ac:dyDescent="0.2">
      <c r="A1344" s="640"/>
      <c r="C1344" s="600"/>
      <c r="D1344" s="503"/>
      <c r="E1344" s="639"/>
      <c r="G1344" s="507"/>
      <c r="H1344" s="992"/>
      <c r="I1344" s="993"/>
    </row>
    <row r="1345" spans="1:9" s="480" customFormat="1" x14ac:dyDescent="0.2">
      <c r="A1345" s="640"/>
      <c r="C1345" s="600"/>
      <c r="D1345" s="503"/>
      <c r="E1345" s="639"/>
      <c r="G1345" s="507"/>
      <c r="H1345" s="992"/>
      <c r="I1345" s="993"/>
    </row>
    <row r="1346" spans="1:9" s="480" customFormat="1" x14ac:dyDescent="0.2">
      <c r="A1346" s="640"/>
      <c r="C1346" s="600"/>
      <c r="D1346" s="503"/>
      <c r="E1346" s="639"/>
      <c r="G1346" s="507"/>
      <c r="H1346" s="992"/>
      <c r="I1346" s="993"/>
    </row>
    <row r="1347" spans="1:9" s="480" customFormat="1" x14ac:dyDescent="0.2">
      <c r="A1347" s="640"/>
      <c r="C1347" s="600"/>
      <c r="D1347" s="503"/>
      <c r="E1347" s="639"/>
      <c r="G1347" s="507"/>
      <c r="H1347" s="992"/>
      <c r="I1347" s="993"/>
    </row>
    <row r="1348" spans="1:9" s="480" customFormat="1" x14ac:dyDescent="0.2">
      <c r="A1348" s="640"/>
      <c r="C1348" s="600"/>
      <c r="D1348" s="503"/>
      <c r="E1348" s="639"/>
      <c r="G1348" s="507"/>
      <c r="H1348" s="992"/>
      <c r="I1348" s="993"/>
    </row>
    <row r="1349" spans="1:9" s="480" customFormat="1" x14ac:dyDescent="0.2">
      <c r="A1349" s="640"/>
      <c r="C1349" s="600"/>
      <c r="D1349" s="503"/>
      <c r="E1349" s="639"/>
      <c r="G1349" s="507"/>
      <c r="H1349" s="992"/>
      <c r="I1349" s="993"/>
    </row>
    <row r="1350" spans="1:9" s="480" customFormat="1" x14ac:dyDescent="0.2">
      <c r="A1350" s="640"/>
      <c r="C1350" s="600"/>
      <c r="D1350" s="503"/>
      <c r="E1350" s="639"/>
      <c r="G1350" s="507"/>
      <c r="H1350" s="992"/>
      <c r="I1350" s="993"/>
    </row>
    <row r="1351" spans="1:9" s="480" customFormat="1" x14ac:dyDescent="0.2">
      <c r="A1351" s="640"/>
      <c r="C1351" s="600"/>
      <c r="D1351" s="503"/>
      <c r="E1351" s="639"/>
      <c r="G1351" s="507"/>
      <c r="H1351" s="992"/>
      <c r="I1351" s="993"/>
    </row>
    <row r="1352" spans="1:9" s="480" customFormat="1" x14ac:dyDescent="0.2">
      <c r="A1352" s="640"/>
      <c r="C1352" s="600"/>
      <c r="D1352" s="503"/>
      <c r="E1352" s="639"/>
      <c r="G1352" s="507"/>
      <c r="H1352" s="992"/>
      <c r="I1352" s="993"/>
    </row>
    <row r="1353" spans="1:9" s="480" customFormat="1" x14ac:dyDescent="0.2">
      <c r="A1353" s="640"/>
      <c r="C1353" s="600"/>
      <c r="D1353" s="503"/>
      <c r="E1353" s="639"/>
      <c r="G1353" s="507"/>
      <c r="H1353" s="992"/>
      <c r="I1353" s="993"/>
    </row>
    <row r="1354" spans="1:9" s="480" customFormat="1" x14ac:dyDescent="0.2">
      <c r="A1354" s="640"/>
      <c r="C1354" s="600"/>
      <c r="D1354" s="503"/>
      <c r="E1354" s="639"/>
      <c r="G1354" s="507"/>
      <c r="H1354" s="992"/>
      <c r="I1354" s="993"/>
    </row>
    <row r="1355" spans="1:9" s="480" customFormat="1" x14ac:dyDescent="0.2">
      <c r="A1355" s="640"/>
      <c r="C1355" s="600"/>
      <c r="D1355" s="503"/>
      <c r="E1355" s="639"/>
      <c r="G1355" s="507"/>
      <c r="H1355" s="992"/>
      <c r="I1355" s="993"/>
    </row>
    <row r="1356" spans="1:9" s="480" customFormat="1" x14ac:dyDescent="0.2">
      <c r="A1356" s="640"/>
      <c r="C1356" s="600"/>
      <c r="D1356" s="503"/>
      <c r="E1356" s="639"/>
      <c r="G1356" s="507"/>
      <c r="H1356" s="992"/>
      <c r="I1356" s="993"/>
    </row>
    <row r="1357" spans="1:9" s="480" customFormat="1" x14ac:dyDescent="0.2">
      <c r="A1357" s="640"/>
      <c r="C1357" s="600"/>
      <c r="D1357" s="503"/>
      <c r="E1357" s="639"/>
      <c r="G1357" s="507"/>
      <c r="H1357" s="992"/>
      <c r="I1357" s="993"/>
    </row>
    <row r="1358" spans="1:9" s="480" customFormat="1" x14ac:dyDescent="0.2">
      <c r="A1358" s="640"/>
      <c r="C1358" s="600"/>
      <c r="D1358" s="503"/>
      <c r="E1358" s="639"/>
      <c r="G1358" s="507"/>
      <c r="H1358" s="992"/>
      <c r="I1358" s="993"/>
    </row>
    <row r="1359" spans="1:9" s="480" customFormat="1" x14ac:dyDescent="0.2">
      <c r="A1359" s="640"/>
      <c r="C1359" s="600"/>
      <c r="D1359" s="503"/>
      <c r="E1359" s="639"/>
      <c r="G1359" s="507"/>
      <c r="H1359" s="992"/>
      <c r="I1359" s="993"/>
    </row>
    <row r="1360" spans="1:9" s="480" customFormat="1" x14ac:dyDescent="0.2">
      <c r="A1360" s="640"/>
      <c r="C1360" s="600"/>
      <c r="D1360" s="503"/>
      <c r="E1360" s="639"/>
      <c r="G1360" s="507"/>
      <c r="H1360" s="992"/>
      <c r="I1360" s="993"/>
    </row>
    <row r="1361" spans="1:9" s="480" customFormat="1" x14ac:dyDescent="0.2">
      <c r="A1361" s="640"/>
      <c r="C1361" s="600"/>
      <c r="D1361" s="503"/>
      <c r="E1361" s="639"/>
      <c r="G1361" s="507"/>
      <c r="H1361" s="992"/>
      <c r="I1361" s="993"/>
    </row>
    <row r="1362" spans="1:9" s="480" customFormat="1" x14ac:dyDescent="0.2">
      <c r="A1362" s="640"/>
      <c r="C1362" s="600"/>
      <c r="D1362" s="503"/>
      <c r="E1362" s="639"/>
      <c r="G1362" s="507"/>
      <c r="H1362" s="992"/>
      <c r="I1362" s="993"/>
    </row>
    <row r="1363" spans="1:9" s="480" customFormat="1" x14ac:dyDescent="0.2">
      <c r="A1363" s="640"/>
      <c r="C1363" s="600"/>
      <c r="D1363" s="503"/>
      <c r="E1363" s="639"/>
      <c r="G1363" s="507"/>
      <c r="H1363" s="992"/>
      <c r="I1363" s="993"/>
    </row>
    <row r="1364" spans="1:9" s="480" customFormat="1" x14ac:dyDescent="0.2">
      <c r="A1364" s="640"/>
      <c r="C1364" s="600"/>
      <c r="D1364" s="503"/>
      <c r="E1364" s="639"/>
      <c r="G1364" s="507"/>
      <c r="H1364" s="992"/>
      <c r="I1364" s="993"/>
    </row>
    <row r="1365" spans="1:9" s="480" customFormat="1" x14ac:dyDescent="0.2">
      <c r="A1365" s="640"/>
      <c r="C1365" s="600"/>
      <c r="D1365" s="503"/>
      <c r="E1365" s="639"/>
      <c r="G1365" s="507"/>
      <c r="H1365" s="992"/>
      <c r="I1365" s="993"/>
    </row>
    <row r="1366" spans="1:9" s="480" customFormat="1" x14ac:dyDescent="0.2">
      <c r="A1366" s="640"/>
      <c r="C1366" s="600"/>
      <c r="D1366" s="503"/>
      <c r="E1366" s="639"/>
      <c r="G1366" s="507"/>
      <c r="H1366" s="992"/>
      <c r="I1366" s="993"/>
    </row>
    <row r="1367" spans="1:9" s="480" customFormat="1" x14ac:dyDescent="0.2">
      <c r="A1367" s="640"/>
      <c r="C1367" s="600"/>
      <c r="D1367" s="503"/>
      <c r="E1367" s="639"/>
      <c r="G1367" s="507"/>
      <c r="H1367" s="992"/>
      <c r="I1367" s="993"/>
    </row>
    <row r="1368" spans="1:9" s="480" customFormat="1" x14ac:dyDescent="0.2">
      <c r="A1368" s="640"/>
      <c r="C1368" s="600"/>
      <c r="D1368" s="503"/>
      <c r="E1368" s="639"/>
      <c r="G1368" s="507"/>
      <c r="H1368" s="992"/>
      <c r="I1368" s="993"/>
    </row>
    <row r="1369" spans="1:9" s="480" customFormat="1" x14ac:dyDescent="0.2">
      <c r="A1369" s="640"/>
      <c r="C1369" s="600"/>
      <c r="D1369" s="503"/>
      <c r="E1369" s="639"/>
      <c r="G1369" s="507"/>
      <c r="H1369" s="992"/>
      <c r="I1369" s="993"/>
    </row>
    <row r="1370" spans="1:9" s="480" customFormat="1" x14ac:dyDescent="0.2">
      <c r="A1370" s="640"/>
      <c r="C1370" s="600"/>
      <c r="D1370" s="503"/>
      <c r="E1370" s="639"/>
      <c r="G1370" s="507"/>
      <c r="H1370" s="992"/>
      <c r="I1370" s="993"/>
    </row>
    <row r="1371" spans="1:9" s="480" customFormat="1" x14ac:dyDescent="0.2">
      <c r="A1371" s="640"/>
      <c r="C1371" s="600"/>
      <c r="D1371" s="503"/>
      <c r="E1371" s="639"/>
      <c r="G1371" s="507"/>
      <c r="H1371" s="992"/>
      <c r="I1371" s="993"/>
    </row>
    <row r="1372" spans="1:9" s="480" customFormat="1" x14ac:dyDescent="0.2">
      <c r="A1372" s="640"/>
      <c r="C1372" s="600"/>
      <c r="D1372" s="503"/>
      <c r="E1372" s="639"/>
      <c r="G1372" s="507"/>
      <c r="H1372" s="992"/>
      <c r="I1372" s="993"/>
    </row>
    <row r="1373" spans="1:9" s="480" customFormat="1" x14ac:dyDescent="0.2">
      <c r="A1373" s="640"/>
      <c r="C1373" s="600"/>
      <c r="D1373" s="503"/>
      <c r="E1373" s="639"/>
      <c r="G1373" s="507"/>
      <c r="H1373" s="992"/>
      <c r="I1373" s="993"/>
    </row>
    <row r="1374" spans="1:9" s="480" customFormat="1" x14ac:dyDescent="0.2">
      <c r="A1374" s="640"/>
      <c r="C1374" s="600"/>
      <c r="D1374" s="503"/>
      <c r="E1374" s="639"/>
      <c r="G1374" s="507"/>
      <c r="H1374" s="992"/>
      <c r="I1374" s="993"/>
    </row>
    <row r="1375" spans="1:9" s="480" customFormat="1" x14ac:dyDescent="0.2">
      <c r="A1375" s="640"/>
      <c r="C1375" s="600"/>
      <c r="D1375" s="503"/>
      <c r="E1375" s="639"/>
      <c r="G1375" s="507"/>
      <c r="H1375" s="992"/>
      <c r="I1375" s="993"/>
    </row>
    <row r="1376" spans="1:9" s="480" customFormat="1" x14ac:dyDescent="0.2">
      <c r="A1376" s="640"/>
      <c r="C1376" s="600"/>
      <c r="D1376" s="503"/>
      <c r="E1376" s="639"/>
      <c r="G1376" s="507"/>
      <c r="H1376" s="992"/>
      <c r="I1376" s="993"/>
    </row>
    <row r="1377" spans="1:9" s="480" customFormat="1" x14ac:dyDescent="0.2">
      <c r="A1377" s="640"/>
      <c r="C1377" s="600"/>
      <c r="D1377" s="503"/>
      <c r="E1377" s="639"/>
      <c r="G1377" s="507"/>
      <c r="H1377" s="992"/>
      <c r="I1377" s="993"/>
    </row>
    <row r="1378" spans="1:9" s="480" customFormat="1" x14ac:dyDescent="0.2">
      <c r="A1378" s="640"/>
      <c r="C1378" s="600"/>
      <c r="D1378" s="503"/>
      <c r="E1378" s="639"/>
      <c r="G1378" s="507"/>
      <c r="H1378" s="992"/>
      <c r="I1378" s="993"/>
    </row>
    <row r="1379" spans="1:9" s="480" customFormat="1" x14ac:dyDescent="0.2">
      <c r="A1379" s="640"/>
      <c r="C1379" s="600"/>
      <c r="D1379" s="503"/>
      <c r="E1379" s="639"/>
      <c r="G1379" s="507"/>
      <c r="H1379" s="992"/>
      <c r="I1379" s="993"/>
    </row>
    <row r="1380" spans="1:9" s="480" customFormat="1" x14ac:dyDescent="0.2">
      <c r="A1380" s="640"/>
      <c r="C1380" s="600"/>
      <c r="D1380" s="503"/>
      <c r="E1380" s="639"/>
      <c r="G1380" s="507"/>
      <c r="H1380" s="992"/>
      <c r="I1380" s="993"/>
    </row>
    <row r="1381" spans="1:9" s="480" customFormat="1" x14ac:dyDescent="0.2">
      <c r="A1381" s="640"/>
      <c r="C1381" s="600"/>
      <c r="D1381" s="503"/>
      <c r="E1381" s="639"/>
      <c r="G1381" s="507"/>
      <c r="H1381" s="992"/>
      <c r="I1381" s="993"/>
    </row>
    <row r="1382" spans="1:9" s="480" customFormat="1" x14ac:dyDescent="0.2">
      <c r="A1382" s="640"/>
      <c r="C1382" s="600"/>
      <c r="D1382" s="503"/>
      <c r="E1382" s="639"/>
      <c r="G1382" s="507"/>
      <c r="H1382" s="992"/>
      <c r="I1382" s="993"/>
    </row>
    <row r="1383" spans="1:9" s="480" customFormat="1" x14ac:dyDescent="0.2">
      <c r="A1383" s="640"/>
      <c r="C1383" s="600"/>
      <c r="D1383" s="503"/>
      <c r="E1383" s="639"/>
      <c r="G1383" s="507"/>
      <c r="H1383" s="992"/>
      <c r="I1383" s="993"/>
    </row>
    <row r="1384" spans="1:9" s="480" customFormat="1" x14ac:dyDescent="0.2">
      <c r="A1384" s="640"/>
      <c r="C1384" s="600"/>
      <c r="D1384" s="503"/>
      <c r="E1384" s="639"/>
      <c r="G1384" s="507"/>
      <c r="H1384" s="992"/>
      <c r="I1384" s="993"/>
    </row>
    <row r="1385" spans="1:9" s="480" customFormat="1" x14ac:dyDescent="0.2">
      <c r="A1385" s="640"/>
      <c r="C1385" s="600"/>
      <c r="D1385" s="503"/>
      <c r="E1385" s="639"/>
      <c r="G1385" s="507"/>
      <c r="H1385" s="992"/>
      <c r="I1385" s="993"/>
    </row>
    <row r="1386" spans="1:9" s="480" customFormat="1" x14ac:dyDescent="0.2">
      <c r="A1386" s="640"/>
      <c r="C1386" s="600"/>
      <c r="D1386" s="503"/>
      <c r="E1386" s="639"/>
      <c r="G1386" s="507"/>
      <c r="H1386" s="992"/>
      <c r="I1386" s="993"/>
    </row>
    <row r="1387" spans="1:9" s="480" customFormat="1" x14ac:dyDescent="0.2">
      <c r="A1387" s="640"/>
      <c r="C1387" s="600"/>
      <c r="D1387" s="503"/>
      <c r="E1387" s="639"/>
      <c r="G1387" s="507"/>
      <c r="H1387" s="992"/>
      <c r="I1387" s="993"/>
    </row>
    <row r="1388" spans="1:9" s="480" customFormat="1" x14ac:dyDescent="0.2">
      <c r="A1388" s="640"/>
      <c r="C1388" s="600"/>
      <c r="D1388" s="503"/>
      <c r="E1388" s="639"/>
      <c r="G1388" s="507"/>
      <c r="H1388" s="992"/>
      <c r="I1388" s="993"/>
    </row>
    <row r="1389" spans="1:9" s="480" customFormat="1" x14ac:dyDescent="0.2">
      <c r="A1389" s="640"/>
      <c r="C1389" s="600"/>
      <c r="D1389" s="503"/>
      <c r="E1389" s="639"/>
      <c r="G1389" s="507"/>
      <c r="H1389" s="992"/>
      <c r="I1389" s="993"/>
    </row>
    <row r="1390" spans="1:9" s="480" customFormat="1" x14ac:dyDescent="0.2">
      <c r="A1390" s="640"/>
      <c r="C1390" s="600"/>
      <c r="D1390" s="503"/>
      <c r="E1390" s="639"/>
      <c r="G1390" s="507"/>
      <c r="H1390" s="992"/>
      <c r="I1390" s="993"/>
    </row>
    <row r="1391" spans="1:9" s="480" customFormat="1" x14ac:dyDescent="0.2">
      <c r="A1391" s="640"/>
      <c r="C1391" s="600"/>
      <c r="D1391" s="503"/>
      <c r="E1391" s="639"/>
      <c r="G1391" s="507"/>
      <c r="H1391" s="992"/>
      <c r="I1391" s="993"/>
    </row>
    <row r="1392" spans="1:9" s="480" customFormat="1" x14ac:dyDescent="0.2">
      <c r="A1392" s="640"/>
      <c r="C1392" s="600"/>
      <c r="D1392" s="503"/>
      <c r="E1392" s="639"/>
      <c r="G1392" s="507"/>
      <c r="H1392" s="992"/>
      <c r="I1392" s="993"/>
    </row>
    <row r="1393" spans="1:9" s="480" customFormat="1" x14ac:dyDescent="0.2">
      <c r="A1393" s="640"/>
      <c r="C1393" s="600"/>
      <c r="D1393" s="503"/>
      <c r="E1393" s="639"/>
      <c r="G1393" s="507"/>
      <c r="H1393" s="992"/>
      <c r="I1393" s="993"/>
    </row>
    <row r="1394" spans="1:9" s="480" customFormat="1" x14ac:dyDescent="0.2">
      <c r="A1394" s="640"/>
      <c r="C1394" s="600"/>
      <c r="D1394" s="503"/>
      <c r="E1394" s="639"/>
      <c r="G1394" s="507"/>
      <c r="H1394" s="992"/>
      <c r="I1394" s="993"/>
    </row>
    <row r="1395" spans="1:9" s="480" customFormat="1" x14ac:dyDescent="0.2">
      <c r="A1395" s="640"/>
      <c r="C1395" s="600"/>
      <c r="D1395" s="503"/>
      <c r="E1395" s="639"/>
      <c r="G1395" s="507"/>
      <c r="H1395" s="992"/>
      <c r="I1395" s="993"/>
    </row>
    <row r="1396" spans="1:9" s="480" customFormat="1" x14ac:dyDescent="0.2">
      <c r="A1396" s="640"/>
      <c r="C1396" s="600"/>
      <c r="D1396" s="503"/>
      <c r="E1396" s="639"/>
      <c r="G1396" s="507"/>
      <c r="H1396" s="992"/>
      <c r="I1396" s="993"/>
    </row>
    <row r="1397" spans="1:9" s="480" customFormat="1" x14ac:dyDescent="0.2">
      <c r="A1397" s="640"/>
      <c r="C1397" s="600"/>
      <c r="D1397" s="503"/>
      <c r="E1397" s="639"/>
      <c r="G1397" s="507"/>
      <c r="H1397" s="992"/>
      <c r="I1397" s="993"/>
    </row>
    <row r="1398" spans="1:9" s="480" customFormat="1" x14ac:dyDescent="0.2">
      <c r="A1398" s="640"/>
      <c r="C1398" s="600"/>
      <c r="D1398" s="503"/>
      <c r="E1398" s="639"/>
      <c r="G1398" s="507"/>
      <c r="H1398" s="992"/>
      <c r="I1398" s="993"/>
    </row>
    <row r="1399" spans="1:9" s="480" customFormat="1" x14ac:dyDescent="0.2">
      <c r="A1399" s="640"/>
      <c r="C1399" s="600"/>
      <c r="D1399" s="503"/>
      <c r="E1399" s="639"/>
      <c r="G1399" s="507"/>
      <c r="H1399" s="992"/>
      <c r="I1399" s="993"/>
    </row>
    <row r="1400" spans="1:9" s="480" customFormat="1" x14ac:dyDescent="0.2">
      <c r="A1400" s="640"/>
      <c r="C1400" s="600"/>
      <c r="D1400" s="503"/>
      <c r="E1400" s="639"/>
      <c r="G1400" s="507"/>
      <c r="H1400" s="992"/>
      <c r="I1400" s="993"/>
    </row>
    <row r="1401" spans="1:9" s="480" customFormat="1" x14ac:dyDescent="0.2">
      <c r="A1401" s="640"/>
      <c r="C1401" s="600"/>
      <c r="D1401" s="503"/>
      <c r="E1401" s="639"/>
      <c r="G1401" s="507"/>
      <c r="H1401" s="992"/>
      <c r="I1401" s="993"/>
    </row>
    <row r="1402" spans="1:9" s="480" customFormat="1" x14ac:dyDescent="0.2">
      <c r="A1402" s="640"/>
      <c r="C1402" s="600"/>
      <c r="D1402" s="503"/>
      <c r="E1402" s="639"/>
      <c r="G1402" s="507"/>
      <c r="H1402" s="992"/>
      <c r="I1402" s="993"/>
    </row>
    <row r="1403" spans="1:9" s="480" customFormat="1" x14ac:dyDescent="0.2">
      <c r="A1403" s="640"/>
      <c r="C1403" s="600"/>
      <c r="D1403" s="503"/>
      <c r="E1403" s="639"/>
      <c r="G1403" s="507"/>
      <c r="H1403" s="992"/>
      <c r="I1403" s="993"/>
    </row>
    <row r="1404" spans="1:9" s="480" customFormat="1" x14ac:dyDescent="0.2">
      <c r="A1404" s="640"/>
      <c r="C1404" s="600"/>
      <c r="D1404" s="503"/>
      <c r="E1404" s="639"/>
      <c r="G1404" s="507"/>
      <c r="H1404" s="992"/>
      <c r="I1404" s="993"/>
    </row>
    <row r="1405" spans="1:9" s="480" customFormat="1" x14ac:dyDescent="0.2">
      <c r="A1405" s="640"/>
      <c r="C1405" s="600"/>
      <c r="D1405" s="503"/>
      <c r="E1405" s="639"/>
      <c r="G1405" s="507"/>
      <c r="H1405" s="992"/>
      <c r="I1405" s="993"/>
    </row>
    <row r="1406" spans="1:9" s="480" customFormat="1" x14ac:dyDescent="0.2">
      <c r="A1406" s="640"/>
      <c r="C1406" s="600"/>
      <c r="D1406" s="503"/>
      <c r="E1406" s="639"/>
      <c r="G1406" s="507"/>
      <c r="H1406" s="992"/>
      <c r="I1406" s="993"/>
    </row>
    <row r="1407" spans="1:9" s="480" customFormat="1" x14ac:dyDescent="0.2">
      <c r="A1407" s="640"/>
      <c r="C1407" s="600"/>
      <c r="D1407" s="503"/>
      <c r="E1407" s="639"/>
      <c r="G1407" s="507"/>
      <c r="H1407" s="992"/>
      <c r="I1407" s="993"/>
    </row>
    <row r="1408" spans="1:9" s="480" customFormat="1" x14ac:dyDescent="0.2">
      <c r="A1408" s="640"/>
      <c r="C1408" s="600"/>
      <c r="D1408" s="503"/>
      <c r="E1408" s="639"/>
      <c r="G1408" s="507"/>
      <c r="H1408" s="992"/>
      <c r="I1408" s="993"/>
    </row>
    <row r="1409" spans="1:9" s="480" customFormat="1" x14ac:dyDescent="0.2">
      <c r="A1409" s="640"/>
      <c r="C1409" s="600"/>
      <c r="D1409" s="503"/>
      <c r="E1409" s="639"/>
      <c r="G1409" s="507"/>
      <c r="H1409" s="992"/>
      <c r="I1409" s="993"/>
    </row>
    <row r="1410" spans="1:9" s="480" customFormat="1" x14ac:dyDescent="0.2">
      <c r="A1410" s="640"/>
      <c r="C1410" s="600"/>
      <c r="D1410" s="503"/>
      <c r="E1410" s="639"/>
      <c r="G1410" s="507"/>
      <c r="H1410" s="992"/>
      <c r="I1410" s="993"/>
    </row>
    <row r="1411" spans="1:9" s="480" customFormat="1" x14ac:dyDescent="0.2">
      <c r="A1411" s="640"/>
      <c r="C1411" s="600"/>
      <c r="D1411" s="503"/>
      <c r="E1411" s="639"/>
      <c r="G1411" s="507"/>
      <c r="H1411" s="992"/>
      <c r="I1411" s="993"/>
    </row>
    <row r="1412" spans="1:9" s="480" customFormat="1" x14ac:dyDescent="0.2">
      <c r="A1412" s="640"/>
      <c r="C1412" s="600"/>
      <c r="D1412" s="503"/>
      <c r="E1412" s="639"/>
      <c r="G1412" s="507"/>
      <c r="H1412" s="992"/>
      <c r="I1412" s="993"/>
    </row>
    <row r="1413" spans="1:9" s="480" customFormat="1" x14ac:dyDescent="0.2">
      <c r="A1413" s="640"/>
      <c r="C1413" s="600"/>
      <c r="D1413" s="503"/>
      <c r="E1413" s="639"/>
      <c r="G1413" s="507"/>
      <c r="H1413" s="992"/>
      <c r="I1413" s="993"/>
    </row>
    <row r="1414" spans="1:9" s="480" customFormat="1" x14ac:dyDescent="0.2">
      <c r="A1414" s="640"/>
      <c r="C1414" s="600"/>
      <c r="D1414" s="503"/>
      <c r="E1414" s="639"/>
      <c r="G1414" s="507"/>
      <c r="H1414" s="992"/>
      <c r="I1414" s="993"/>
    </row>
    <row r="1415" spans="1:9" s="480" customFormat="1" x14ac:dyDescent="0.2">
      <c r="A1415" s="640"/>
      <c r="C1415" s="600"/>
      <c r="D1415" s="503"/>
      <c r="E1415" s="639"/>
      <c r="G1415" s="507"/>
      <c r="H1415" s="992"/>
      <c r="I1415" s="993"/>
    </row>
    <row r="1416" spans="1:9" s="480" customFormat="1" x14ac:dyDescent="0.2">
      <c r="A1416" s="640"/>
      <c r="C1416" s="600"/>
      <c r="D1416" s="503"/>
      <c r="E1416" s="639"/>
      <c r="G1416" s="507"/>
      <c r="H1416" s="992"/>
      <c r="I1416" s="993"/>
    </row>
    <row r="1417" spans="1:9" s="480" customFormat="1" x14ac:dyDescent="0.2">
      <c r="A1417" s="640"/>
      <c r="C1417" s="600"/>
      <c r="D1417" s="503"/>
      <c r="E1417" s="639"/>
      <c r="G1417" s="507"/>
      <c r="H1417" s="992"/>
      <c r="I1417" s="993"/>
    </row>
    <row r="1418" spans="1:9" s="480" customFormat="1" x14ac:dyDescent="0.2">
      <c r="A1418" s="640"/>
      <c r="C1418" s="600"/>
      <c r="D1418" s="503"/>
      <c r="E1418" s="639"/>
      <c r="G1418" s="507"/>
      <c r="H1418" s="992"/>
      <c r="I1418" s="993"/>
    </row>
    <row r="1419" spans="1:9" s="480" customFormat="1" x14ac:dyDescent="0.2">
      <c r="A1419" s="640"/>
      <c r="C1419" s="600"/>
      <c r="D1419" s="503"/>
      <c r="E1419" s="639"/>
      <c r="G1419" s="507"/>
      <c r="H1419" s="992"/>
      <c r="I1419" s="993"/>
    </row>
    <row r="1420" spans="1:9" s="480" customFormat="1" x14ac:dyDescent="0.2">
      <c r="A1420" s="640"/>
      <c r="C1420" s="600"/>
      <c r="D1420" s="503"/>
      <c r="E1420" s="639"/>
      <c r="G1420" s="507"/>
      <c r="H1420" s="992"/>
      <c r="I1420" s="993"/>
    </row>
    <row r="1421" spans="1:9" s="480" customFormat="1" x14ac:dyDescent="0.2">
      <c r="A1421" s="640"/>
      <c r="C1421" s="600"/>
      <c r="D1421" s="503"/>
      <c r="E1421" s="639"/>
      <c r="G1421" s="507"/>
      <c r="H1421" s="992"/>
      <c r="I1421" s="993"/>
    </row>
    <row r="1422" spans="1:9" s="480" customFormat="1" x14ac:dyDescent="0.2">
      <c r="A1422" s="640"/>
      <c r="C1422" s="600"/>
      <c r="D1422" s="503"/>
      <c r="E1422" s="639"/>
      <c r="G1422" s="507"/>
      <c r="H1422" s="992"/>
      <c r="I1422" s="993"/>
    </row>
    <row r="1423" spans="1:9" s="480" customFormat="1" x14ac:dyDescent="0.2">
      <c r="A1423" s="640"/>
      <c r="C1423" s="600"/>
      <c r="D1423" s="503"/>
      <c r="E1423" s="639"/>
      <c r="G1423" s="507"/>
      <c r="H1423" s="992"/>
      <c r="I1423" s="993"/>
    </row>
    <row r="1424" spans="1:9" s="480" customFormat="1" x14ac:dyDescent="0.2">
      <c r="A1424" s="640"/>
      <c r="C1424" s="600"/>
      <c r="D1424" s="503"/>
      <c r="E1424" s="639"/>
      <c r="G1424" s="507"/>
      <c r="H1424" s="992"/>
      <c r="I1424" s="993"/>
    </row>
    <row r="1425" spans="1:9" s="480" customFormat="1" x14ac:dyDescent="0.2">
      <c r="A1425" s="640"/>
      <c r="C1425" s="600"/>
      <c r="D1425" s="503"/>
      <c r="E1425" s="639"/>
      <c r="G1425" s="507"/>
      <c r="H1425" s="992"/>
      <c r="I1425" s="993"/>
    </row>
    <row r="1426" spans="1:9" s="480" customFormat="1" x14ac:dyDescent="0.2">
      <c r="A1426" s="640"/>
      <c r="C1426" s="600"/>
      <c r="D1426" s="503"/>
      <c r="E1426" s="639"/>
      <c r="G1426" s="507"/>
      <c r="H1426" s="992"/>
      <c r="I1426" s="993"/>
    </row>
    <row r="1427" spans="1:9" s="480" customFormat="1" x14ac:dyDescent="0.2">
      <c r="A1427" s="640"/>
      <c r="C1427" s="600"/>
      <c r="D1427" s="503"/>
      <c r="E1427" s="639"/>
      <c r="G1427" s="507"/>
      <c r="H1427" s="992"/>
      <c r="I1427" s="993"/>
    </row>
    <row r="1428" spans="1:9" s="480" customFormat="1" x14ac:dyDescent="0.2">
      <c r="A1428" s="640"/>
      <c r="C1428" s="600"/>
      <c r="D1428" s="503"/>
      <c r="E1428" s="639"/>
      <c r="G1428" s="507"/>
      <c r="H1428" s="992"/>
      <c r="I1428" s="993"/>
    </row>
    <row r="1429" spans="1:9" s="480" customFormat="1" x14ac:dyDescent="0.2">
      <c r="A1429" s="640"/>
      <c r="C1429" s="600"/>
      <c r="D1429" s="503"/>
      <c r="E1429" s="639"/>
      <c r="G1429" s="507"/>
      <c r="H1429" s="992"/>
      <c r="I1429" s="993"/>
    </row>
    <row r="1430" spans="1:9" s="480" customFormat="1" x14ac:dyDescent="0.2">
      <c r="A1430" s="640"/>
      <c r="C1430" s="600"/>
      <c r="D1430" s="503"/>
      <c r="E1430" s="639"/>
      <c r="G1430" s="507"/>
      <c r="H1430" s="992"/>
      <c r="I1430" s="993"/>
    </row>
    <row r="1431" spans="1:9" s="480" customFormat="1" x14ac:dyDescent="0.2">
      <c r="A1431" s="640"/>
      <c r="C1431" s="600"/>
      <c r="D1431" s="503"/>
      <c r="E1431" s="639"/>
      <c r="G1431" s="507"/>
      <c r="H1431" s="992"/>
      <c r="I1431" s="993"/>
    </row>
    <row r="1432" spans="1:9" s="480" customFormat="1" x14ac:dyDescent="0.2">
      <c r="A1432" s="640"/>
      <c r="C1432" s="600"/>
      <c r="D1432" s="503"/>
      <c r="E1432" s="639"/>
      <c r="G1432" s="507"/>
      <c r="H1432" s="992"/>
      <c r="I1432" s="993"/>
    </row>
    <row r="1433" spans="1:9" s="480" customFormat="1" x14ac:dyDescent="0.2">
      <c r="A1433" s="640"/>
      <c r="C1433" s="600"/>
      <c r="D1433" s="503"/>
      <c r="E1433" s="639"/>
      <c r="G1433" s="507"/>
      <c r="H1433" s="992"/>
      <c r="I1433" s="993"/>
    </row>
    <row r="1434" spans="1:9" s="480" customFormat="1" x14ac:dyDescent="0.2">
      <c r="A1434" s="640"/>
      <c r="C1434" s="600"/>
      <c r="D1434" s="503"/>
      <c r="E1434" s="639"/>
      <c r="G1434" s="507"/>
      <c r="H1434" s="992"/>
      <c r="I1434" s="993"/>
    </row>
    <row r="1435" spans="1:9" s="480" customFormat="1" x14ac:dyDescent="0.2">
      <c r="A1435" s="640"/>
      <c r="C1435" s="600"/>
      <c r="D1435" s="503"/>
      <c r="E1435" s="639"/>
      <c r="G1435" s="507"/>
      <c r="H1435" s="992"/>
      <c r="I1435" s="993"/>
    </row>
    <row r="1436" spans="1:9" s="480" customFormat="1" x14ac:dyDescent="0.2">
      <c r="A1436" s="640"/>
      <c r="C1436" s="600"/>
      <c r="D1436" s="503"/>
      <c r="E1436" s="639"/>
      <c r="G1436" s="507"/>
      <c r="H1436" s="992"/>
      <c r="I1436" s="993"/>
    </row>
    <row r="1437" spans="1:9" s="480" customFormat="1" x14ac:dyDescent="0.2">
      <c r="A1437" s="640"/>
      <c r="C1437" s="600"/>
      <c r="D1437" s="503"/>
      <c r="E1437" s="639"/>
      <c r="G1437" s="507"/>
      <c r="H1437" s="992"/>
      <c r="I1437" s="993"/>
    </row>
    <row r="1438" spans="1:9" s="480" customFormat="1" x14ac:dyDescent="0.2">
      <c r="A1438" s="640"/>
      <c r="C1438" s="600"/>
      <c r="D1438" s="503"/>
      <c r="E1438" s="639"/>
      <c r="G1438" s="507"/>
      <c r="H1438" s="992"/>
      <c r="I1438" s="993"/>
    </row>
    <row r="1439" spans="1:9" s="480" customFormat="1" x14ac:dyDescent="0.2">
      <c r="A1439" s="640"/>
      <c r="C1439" s="600"/>
      <c r="D1439" s="503"/>
      <c r="E1439" s="639"/>
      <c r="G1439" s="507"/>
      <c r="H1439" s="992"/>
      <c r="I1439" s="993"/>
    </row>
    <row r="1440" spans="1:9" s="480" customFormat="1" x14ac:dyDescent="0.2">
      <c r="A1440" s="640"/>
      <c r="C1440" s="600"/>
      <c r="D1440" s="503"/>
      <c r="E1440" s="639"/>
      <c r="G1440" s="507"/>
      <c r="H1440" s="992"/>
      <c r="I1440" s="993"/>
    </row>
    <row r="1441" spans="1:9" s="480" customFormat="1" x14ac:dyDescent="0.2">
      <c r="A1441" s="640"/>
      <c r="C1441" s="600"/>
      <c r="D1441" s="503"/>
      <c r="E1441" s="639"/>
      <c r="G1441" s="507"/>
      <c r="H1441" s="992"/>
      <c r="I1441" s="993"/>
    </row>
    <row r="1442" spans="1:9" s="480" customFormat="1" x14ac:dyDescent="0.2">
      <c r="A1442" s="640"/>
      <c r="C1442" s="600"/>
      <c r="D1442" s="503"/>
      <c r="E1442" s="639"/>
      <c r="G1442" s="507"/>
      <c r="H1442" s="992"/>
      <c r="I1442" s="993"/>
    </row>
    <row r="1443" spans="1:9" s="480" customFormat="1" x14ac:dyDescent="0.2">
      <c r="A1443" s="640"/>
      <c r="C1443" s="600"/>
      <c r="D1443" s="503"/>
      <c r="E1443" s="639"/>
      <c r="G1443" s="507"/>
      <c r="H1443" s="992"/>
      <c r="I1443" s="993"/>
    </row>
    <row r="1444" spans="1:9" s="480" customFormat="1" x14ac:dyDescent="0.2">
      <c r="A1444" s="640"/>
      <c r="C1444" s="600"/>
      <c r="D1444" s="503"/>
      <c r="E1444" s="639"/>
      <c r="G1444" s="507"/>
      <c r="H1444" s="992"/>
      <c r="I1444" s="993"/>
    </row>
    <row r="1445" spans="1:9" s="480" customFormat="1" x14ac:dyDescent="0.2">
      <c r="A1445" s="640"/>
      <c r="C1445" s="600"/>
      <c r="D1445" s="503"/>
      <c r="E1445" s="639"/>
      <c r="G1445" s="507"/>
      <c r="H1445" s="992"/>
      <c r="I1445" s="993"/>
    </row>
    <row r="1446" spans="1:9" s="480" customFormat="1" x14ac:dyDescent="0.2">
      <c r="A1446" s="640"/>
      <c r="C1446" s="600"/>
      <c r="D1446" s="503"/>
      <c r="E1446" s="639"/>
      <c r="G1446" s="507"/>
      <c r="H1446" s="992"/>
      <c r="I1446" s="993"/>
    </row>
    <row r="1447" spans="1:9" s="480" customFormat="1" x14ac:dyDescent="0.2">
      <c r="A1447" s="640"/>
      <c r="C1447" s="600"/>
      <c r="D1447" s="503"/>
      <c r="E1447" s="639"/>
      <c r="G1447" s="507"/>
      <c r="H1447" s="992"/>
      <c r="I1447" s="993"/>
    </row>
    <row r="1448" spans="1:9" s="480" customFormat="1" x14ac:dyDescent="0.2">
      <c r="A1448" s="640"/>
      <c r="C1448" s="600"/>
      <c r="D1448" s="503"/>
      <c r="E1448" s="639"/>
      <c r="G1448" s="507"/>
      <c r="H1448" s="992"/>
      <c r="I1448" s="993"/>
    </row>
    <row r="1449" spans="1:9" s="480" customFormat="1" x14ac:dyDescent="0.2">
      <c r="A1449" s="640"/>
      <c r="C1449" s="600"/>
      <c r="D1449" s="503"/>
      <c r="E1449" s="639"/>
      <c r="G1449" s="507"/>
      <c r="H1449" s="992"/>
      <c r="I1449" s="993"/>
    </row>
    <row r="1450" spans="1:9" s="480" customFormat="1" x14ac:dyDescent="0.2">
      <c r="A1450" s="640"/>
      <c r="C1450" s="600"/>
      <c r="D1450" s="503"/>
      <c r="E1450" s="639"/>
      <c r="G1450" s="507"/>
      <c r="H1450" s="992"/>
      <c r="I1450" s="993"/>
    </row>
    <row r="1451" spans="1:9" s="480" customFormat="1" x14ac:dyDescent="0.2">
      <c r="A1451" s="640"/>
      <c r="C1451" s="600"/>
      <c r="D1451" s="503"/>
      <c r="E1451" s="639"/>
      <c r="G1451" s="507"/>
      <c r="H1451" s="992"/>
      <c r="I1451" s="993"/>
    </row>
    <row r="1452" spans="1:9" s="480" customFormat="1" x14ac:dyDescent="0.2">
      <c r="A1452" s="640"/>
      <c r="C1452" s="600"/>
      <c r="D1452" s="503"/>
      <c r="E1452" s="639"/>
      <c r="G1452" s="507"/>
      <c r="H1452" s="992"/>
      <c r="I1452" s="993"/>
    </row>
    <row r="1453" spans="1:9" s="480" customFormat="1" x14ac:dyDescent="0.2">
      <c r="A1453" s="640"/>
      <c r="C1453" s="600"/>
      <c r="D1453" s="503"/>
      <c r="E1453" s="639"/>
      <c r="G1453" s="507"/>
      <c r="H1453" s="992"/>
      <c r="I1453" s="993"/>
    </row>
    <row r="1454" spans="1:9" s="480" customFormat="1" x14ac:dyDescent="0.2">
      <c r="A1454" s="640"/>
      <c r="C1454" s="600"/>
      <c r="D1454" s="503"/>
      <c r="E1454" s="639"/>
      <c r="G1454" s="507"/>
      <c r="H1454" s="992"/>
      <c r="I1454" s="993"/>
    </row>
    <row r="1455" spans="1:9" s="480" customFormat="1" x14ac:dyDescent="0.2">
      <c r="A1455" s="640"/>
      <c r="C1455" s="600"/>
      <c r="D1455" s="503"/>
      <c r="E1455" s="639"/>
      <c r="G1455" s="507"/>
      <c r="H1455" s="992"/>
      <c r="I1455" s="993"/>
    </row>
    <row r="1456" spans="1:9" s="480" customFormat="1" x14ac:dyDescent="0.2">
      <c r="A1456" s="640"/>
      <c r="C1456" s="600"/>
      <c r="D1456" s="503"/>
      <c r="E1456" s="639"/>
      <c r="G1456" s="507"/>
      <c r="H1456" s="992"/>
      <c r="I1456" s="993"/>
    </row>
    <row r="1457" spans="1:9" s="480" customFormat="1" x14ac:dyDescent="0.2">
      <c r="A1457" s="640"/>
      <c r="C1457" s="600"/>
      <c r="D1457" s="503"/>
      <c r="E1457" s="639"/>
      <c r="G1457" s="507"/>
      <c r="H1457" s="992"/>
      <c r="I1457" s="993"/>
    </row>
    <row r="1458" spans="1:9" s="480" customFormat="1" x14ac:dyDescent="0.2">
      <c r="A1458" s="640"/>
      <c r="C1458" s="600"/>
      <c r="D1458" s="503"/>
      <c r="E1458" s="639"/>
      <c r="G1458" s="507"/>
      <c r="H1458" s="992"/>
      <c r="I1458" s="993"/>
    </row>
    <row r="1459" spans="1:9" s="480" customFormat="1" x14ac:dyDescent="0.2">
      <c r="A1459" s="640"/>
      <c r="C1459" s="600"/>
      <c r="D1459" s="503"/>
      <c r="E1459" s="639"/>
      <c r="G1459" s="507"/>
      <c r="H1459" s="992"/>
      <c r="I1459" s="993"/>
    </row>
    <row r="1460" spans="1:9" s="480" customFormat="1" x14ac:dyDescent="0.2">
      <c r="A1460" s="640"/>
      <c r="C1460" s="600"/>
      <c r="D1460" s="503"/>
      <c r="E1460" s="639"/>
      <c r="G1460" s="507"/>
      <c r="H1460" s="992"/>
      <c r="I1460" s="993"/>
    </row>
    <row r="1461" spans="1:9" s="480" customFormat="1" x14ac:dyDescent="0.2">
      <c r="A1461" s="640"/>
      <c r="C1461" s="600"/>
      <c r="D1461" s="503"/>
      <c r="E1461" s="639"/>
      <c r="G1461" s="507"/>
      <c r="H1461" s="992"/>
      <c r="I1461" s="993"/>
    </row>
    <row r="1462" spans="1:9" s="480" customFormat="1" x14ac:dyDescent="0.2">
      <c r="A1462" s="640"/>
      <c r="C1462" s="600"/>
      <c r="D1462" s="503"/>
      <c r="E1462" s="639"/>
      <c r="G1462" s="507"/>
      <c r="H1462" s="992"/>
      <c r="I1462" s="993"/>
    </row>
    <row r="1463" spans="1:9" s="480" customFormat="1" x14ac:dyDescent="0.2">
      <c r="A1463" s="640"/>
      <c r="C1463" s="600"/>
      <c r="D1463" s="503"/>
      <c r="E1463" s="639"/>
      <c r="G1463" s="507"/>
      <c r="H1463" s="992"/>
      <c r="I1463" s="993"/>
    </row>
    <row r="1464" spans="1:9" s="480" customFormat="1" x14ac:dyDescent="0.2">
      <c r="A1464" s="640"/>
      <c r="C1464" s="600"/>
      <c r="D1464" s="503"/>
      <c r="E1464" s="639"/>
      <c r="G1464" s="507"/>
      <c r="H1464" s="992"/>
      <c r="I1464" s="993"/>
    </row>
    <row r="1465" spans="1:9" s="480" customFormat="1" x14ac:dyDescent="0.2">
      <c r="A1465" s="640"/>
      <c r="C1465" s="600"/>
      <c r="D1465" s="503"/>
      <c r="E1465" s="639"/>
      <c r="G1465" s="507"/>
      <c r="H1465" s="992"/>
      <c r="I1465" s="993"/>
    </row>
    <row r="1466" spans="1:9" s="480" customFormat="1" x14ac:dyDescent="0.2">
      <c r="A1466" s="640"/>
      <c r="C1466" s="600"/>
      <c r="D1466" s="503"/>
      <c r="E1466" s="639"/>
      <c r="G1466" s="507"/>
      <c r="H1466" s="992"/>
      <c r="I1466" s="993"/>
    </row>
    <row r="1467" spans="1:9" s="480" customFormat="1" x14ac:dyDescent="0.2">
      <c r="A1467" s="640"/>
      <c r="C1467" s="600"/>
      <c r="D1467" s="503"/>
      <c r="E1467" s="639"/>
      <c r="G1467" s="507"/>
      <c r="H1467" s="992"/>
      <c r="I1467" s="993"/>
    </row>
    <row r="1468" spans="1:9" s="480" customFormat="1" x14ac:dyDescent="0.2">
      <c r="A1468" s="640"/>
      <c r="C1468" s="600"/>
      <c r="D1468" s="503"/>
      <c r="E1468" s="639"/>
      <c r="G1468" s="507"/>
      <c r="H1468" s="992"/>
      <c r="I1468" s="993"/>
    </row>
    <row r="1469" spans="1:9" s="480" customFormat="1" x14ac:dyDescent="0.2">
      <c r="A1469" s="640"/>
      <c r="C1469" s="600"/>
      <c r="D1469" s="503"/>
      <c r="E1469" s="639"/>
      <c r="G1469" s="507"/>
      <c r="H1469" s="992"/>
      <c r="I1469" s="993"/>
    </row>
    <row r="1470" spans="1:9" s="480" customFormat="1" x14ac:dyDescent="0.2">
      <c r="A1470" s="640"/>
      <c r="C1470" s="600"/>
      <c r="D1470" s="503"/>
      <c r="E1470" s="639"/>
      <c r="G1470" s="507"/>
      <c r="H1470" s="992"/>
      <c r="I1470" s="993"/>
    </row>
    <row r="1471" spans="1:9" s="480" customFormat="1" x14ac:dyDescent="0.2">
      <c r="A1471" s="640"/>
      <c r="C1471" s="600"/>
      <c r="D1471" s="503"/>
      <c r="E1471" s="639"/>
      <c r="G1471" s="507"/>
      <c r="H1471" s="992"/>
      <c r="I1471" s="993"/>
    </row>
    <row r="1472" spans="1:9" s="480" customFormat="1" x14ac:dyDescent="0.2">
      <c r="A1472" s="640"/>
      <c r="C1472" s="600"/>
      <c r="D1472" s="503"/>
      <c r="E1472" s="639"/>
      <c r="G1472" s="507"/>
      <c r="H1472" s="992"/>
      <c r="I1472" s="993"/>
    </row>
    <row r="1473" spans="1:9" s="480" customFormat="1" x14ac:dyDescent="0.2">
      <c r="A1473" s="640"/>
      <c r="C1473" s="600"/>
      <c r="D1473" s="503"/>
      <c r="E1473" s="639"/>
      <c r="G1473" s="507"/>
      <c r="H1473" s="992"/>
      <c r="I1473" s="993"/>
    </row>
    <row r="1474" spans="1:9" s="480" customFormat="1" x14ac:dyDescent="0.2">
      <c r="A1474" s="640"/>
      <c r="C1474" s="600"/>
      <c r="D1474" s="503"/>
      <c r="E1474" s="639"/>
      <c r="G1474" s="507"/>
      <c r="H1474" s="992"/>
      <c r="I1474" s="993"/>
    </row>
    <row r="1475" spans="1:9" s="480" customFormat="1" x14ac:dyDescent="0.2">
      <c r="A1475" s="640"/>
      <c r="C1475" s="600"/>
      <c r="D1475" s="503"/>
      <c r="E1475" s="639"/>
      <c r="G1475" s="507"/>
      <c r="H1475" s="992"/>
      <c r="I1475" s="993"/>
    </row>
    <row r="1476" spans="1:9" s="480" customFormat="1" x14ac:dyDescent="0.2">
      <c r="A1476" s="640"/>
      <c r="C1476" s="600"/>
      <c r="D1476" s="503"/>
      <c r="E1476" s="639"/>
      <c r="G1476" s="507"/>
      <c r="H1476" s="992"/>
      <c r="I1476" s="993"/>
    </row>
    <row r="1477" spans="1:9" s="480" customFormat="1" x14ac:dyDescent="0.2">
      <c r="A1477" s="640"/>
      <c r="C1477" s="600"/>
      <c r="D1477" s="503"/>
      <c r="E1477" s="639"/>
      <c r="G1477" s="507"/>
      <c r="H1477" s="992"/>
      <c r="I1477" s="993"/>
    </row>
    <row r="1478" spans="1:9" s="480" customFormat="1" x14ac:dyDescent="0.2">
      <c r="A1478" s="640"/>
      <c r="C1478" s="600"/>
      <c r="D1478" s="503"/>
      <c r="E1478" s="639"/>
      <c r="G1478" s="507"/>
      <c r="H1478" s="992"/>
      <c r="I1478" s="993"/>
    </row>
    <row r="1479" spans="1:9" s="480" customFormat="1" x14ac:dyDescent="0.2">
      <c r="A1479" s="640"/>
      <c r="C1479" s="600"/>
      <c r="D1479" s="503"/>
      <c r="E1479" s="639"/>
      <c r="G1479" s="507"/>
      <c r="H1479" s="992"/>
      <c r="I1479" s="993"/>
    </row>
    <row r="1480" spans="1:9" s="480" customFormat="1" x14ac:dyDescent="0.2">
      <c r="A1480" s="640"/>
      <c r="C1480" s="600"/>
      <c r="D1480" s="503"/>
      <c r="E1480" s="639"/>
      <c r="G1480" s="507"/>
      <c r="H1480" s="992"/>
      <c r="I1480" s="993"/>
    </row>
    <row r="1481" spans="1:9" s="480" customFormat="1" x14ac:dyDescent="0.2">
      <c r="A1481" s="640"/>
      <c r="C1481" s="600"/>
      <c r="D1481" s="503"/>
      <c r="E1481" s="639"/>
      <c r="G1481" s="507"/>
      <c r="H1481" s="992"/>
      <c r="I1481" s="993"/>
    </row>
    <row r="1482" spans="1:9" s="480" customFormat="1" x14ac:dyDescent="0.2">
      <c r="A1482" s="640"/>
      <c r="C1482" s="600"/>
      <c r="D1482" s="503"/>
      <c r="E1482" s="639"/>
      <c r="G1482" s="507"/>
      <c r="H1482" s="992"/>
      <c r="I1482" s="993"/>
    </row>
    <row r="1483" spans="1:9" s="480" customFormat="1" x14ac:dyDescent="0.2">
      <c r="A1483" s="640"/>
      <c r="C1483" s="600"/>
      <c r="D1483" s="503"/>
      <c r="E1483" s="639"/>
      <c r="G1483" s="507"/>
      <c r="H1483" s="992"/>
      <c r="I1483" s="993"/>
    </row>
    <row r="1484" spans="1:9" s="480" customFormat="1" x14ac:dyDescent="0.2">
      <c r="A1484" s="640"/>
      <c r="C1484" s="600"/>
      <c r="D1484" s="503"/>
      <c r="E1484" s="639"/>
      <c r="G1484" s="507"/>
      <c r="H1484" s="992"/>
      <c r="I1484" s="993"/>
    </row>
    <row r="1485" spans="1:9" s="480" customFormat="1" x14ac:dyDescent="0.2">
      <c r="A1485" s="640"/>
      <c r="C1485" s="600"/>
      <c r="D1485" s="503"/>
      <c r="E1485" s="639"/>
      <c r="G1485" s="507"/>
      <c r="H1485" s="992"/>
      <c r="I1485" s="993"/>
    </row>
    <row r="1486" spans="1:9" s="480" customFormat="1" x14ac:dyDescent="0.2">
      <c r="A1486" s="640"/>
      <c r="C1486" s="600"/>
      <c r="D1486" s="503"/>
      <c r="E1486" s="639"/>
      <c r="G1486" s="507"/>
      <c r="H1486" s="992"/>
      <c r="I1486" s="993"/>
    </row>
    <row r="1487" spans="1:9" s="480" customFormat="1" x14ac:dyDescent="0.2">
      <c r="A1487" s="640"/>
      <c r="C1487" s="600"/>
      <c r="D1487" s="503"/>
      <c r="E1487" s="639"/>
      <c r="G1487" s="507"/>
      <c r="H1487" s="992"/>
      <c r="I1487" s="993"/>
    </row>
    <row r="1488" spans="1:9" s="480" customFormat="1" x14ac:dyDescent="0.2">
      <c r="A1488" s="640"/>
      <c r="C1488" s="600"/>
      <c r="D1488" s="503"/>
      <c r="E1488" s="639"/>
      <c r="G1488" s="507"/>
      <c r="H1488" s="992"/>
      <c r="I1488" s="993"/>
    </row>
    <row r="1489" spans="1:9" s="480" customFormat="1" x14ac:dyDescent="0.2">
      <c r="A1489" s="640"/>
      <c r="C1489" s="600"/>
      <c r="D1489" s="503"/>
      <c r="E1489" s="639"/>
      <c r="G1489" s="507"/>
      <c r="H1489" s="992"/>
      <c r="I1489" s="993"/>
    </row>
    <row r="1490" spans="1:9" s="480" customFormat="1" x14ac:dyDescent="0.2">
      <c r="A1490" s="640"/>
      <c r="C1490" s="600"/>
      <c r="D1490" s="503"/>
      <c r="E1490" s="639"/>
      <c r="G1490" s="507"/>
      <c r="H1490" s="992"/>
      <c r="I1490" s="993"/>
    </row>
    <row r="1491" spans="1:9" s="480" customFormat="1" x14ac:dyDescent="0.2">
      <c r="A1491" s="640"/>
      <c r="C1491" s="600"/>
      <c r="D1491" s="503"/>
      <c r="E1491" s="639"/>
      <c r="G1491" s="507"/>
      <c r="H1491" s="992"/>
      <c r="I1491" s="993"/>
    </row>
    <row r="1492" spans="1:9" s="480" customFormat="1" x14ac:dyDescent="0.2">
      <c r="A1492" s="640"/>
      <c r="C1492" s="600"/>
      <c r="D1492" s="503"/>
      <c r="E1492" s="639"/>
      <c r="G1492" s="507"/>
      <c r="H1492" s="992"/>
      <c r="I1492" s="993"/>
    </row>
    <row r="1493" spans="1:9" s="480" customFormat="1" x14ac:dyDescent="0.2">
      <c r="A1493" s="640"/>
      <c r="C1493" s="600"/>
      <c r="D1493" s="503"/>
      <c r="E1493" s="639"/>
      <c r="G1493" s="507"/>
      <c r="H1493" s="992"/>
      <c r="I1493" s="993"/>
    </row>
    <row r="1494" spans="1:9" s="480" customFormat="1" x14ac:dyDescent="0.2">
      <c r="A1494" s="640"/>
      <c r="C1494" s="600"/>
      <c r="D1494" s="503"/>
      <c r="E1494" s="639"/>
      <c r="G1494" s="507"/>
      <c r="H1494" s="992"/>
      <c r="I1494" s="993"/>
    </row>
    <row r="1495" spans="1:9" s="480" customFormat="1" x14ac:dyDescent="0.2">
      <c r="A1495" s="640"/>
      <c r="C1495" s="600"/>
      <c r="D1495" s="503"/>
      <c r="E1495" s="639"/>
      <c r="G1495" s="507"/>
      <c r="H1495" s="992"/>
      <c r="I1495" s="993"/>
    </row>
    <row r="1496" spans="1:9" s="480" customFormat="1" x14ac:dyDescent="0.2">
      <c r="A1496" s="640"/>
      <c r="C1496" s="600"/>
      <c r="D1496" s="503"/>
      <c r="E1496" s="639"/>
      <c r="G1496" s="507"/>
      <c r="H1496" s="992"/>
      <c r="I1496" s="993"/>
    </row>
    <row r="1497" spans="1:9" s="480" customFormat="1" x14ac:dyDescent="0.2">
      <c r="A1497" s="640"/>
      <c r="C1497" s="600"/>
      <c r="D1497" s="503"/>
      <c r="E1497" s="639"/>
      <c r="G1497" s="507"/>
      <c r="H1497" s="992"/>
      <c r="I1497" s="993"/>
    </row>
    <row r="1498" spans="1:9" s="480" customFormat="1" x14ac:dyDescent="0.2">
      <c r="A1498" s="640"/>
      <c r="C1498" s="600"/>
      <c r="D1498" s="503"/>
      <c r="E1498" s="639"/>
      <c r="G1498" s="507"/>
      <c r="H1498" s="992"/>
      <c r="I1498" s="993"/>
    </row>
    <row r="1499" spans="1:9" s="480" customFormat="1" x14ac:dyDescent="0.2">
      <c r="A1499" s="640"/>
      <c r="C1499" s="600"/>
      <c r="D1499" s="503"/>
      <c r="E1499" s="639"/>
      <c r="G1499" s="507"/>
      <c r="H1499" s="992"/>
      <c r="I1499" s="993"/>
    </row>
    <row r="1500" spans="1:9" s="480" customFormat="1" x14ac:dyDescent="0.2">
      <c r="A1500" s="640"/>
      <c r="C1500" s="600"/>
      <c r="D1500" s="503"/>
      <c r="E1500" s="639"/>
      <c r="G1500" s="507"/>
      <c r="H1500" s="992"/>
      <c r="I1500" s="993"/>
    </row>
    <row r="1501" spans="1:9" s="480" customFormat="1" x14ac:dyDescent="0.2">
      <c r="A1501" s="640"/>
      <c r="C1501" s="600"/>
      <c r="D1501" s="503"/>
      <c r="E1501" s="639"/>
      <c r="G1501" s="507"/>
      <c r="H1501" s="992"/>
      <c r="I1501" s="993"/>
    </row>
    <row r="1502" spans="1:9" s="480" customFormat="1" x14ac:dyDescent="0.2">
      <c r="A1502" s="640"/>
      <c r="C1502" s="600"/>
      <c r="D1502" s="503"/>
      <c r="E1502" s="639"/>
      <c r="G1502" s="507"/>
      <c r="H1502" s="992"/>
      <c r="I1502" s="993"/>
    </row>
    <row r="1503" spans="1:9" s="480" customFormat="1" x14ac:dyDescent="0.2">
      <c r="A1503" s="640"/>
      <c r="C1503" s="600"/>
      <c r="D1503" s="503"/>
      <c r="E1503" s="639"/>
      <c r="G1503" s="507"/>
      <c r="H1503" s="992"/>
      <c r="I1503" s="993"/>
    </row>
    <row r="1504" spans="1:9" s="480" customFormat="1" x14ac:dyDescent="0.2">
      <c r="A1504" s="640"/>
      <c r="C1504" s="600"/>
      <c r="D1504" s="503"/>
      <c r="E1504" s="639"/>
      <c r="G1504" s="507"/>
      <c r="H1504" s="992"/>
      <c r="I1504" s="993"/>
    </row>
    <row r="1505" spans="1:9" s="480" customFormat="1" x14ac:dyDescent="0.2">
      <c r="A1505" s="640"/>
      <c r="C1505" s="600"/>
      <c r="D1505" s="503"/>
      <c r="E1505" s="639"/>
      <c r="G1505" s="507"/>
      <c r="H1505" s="992"/>
      <c r="I1505" s="993"/>
    </row>
    <row r="1506" spans="1:9" s="480" customFormat="1" x14ac:dyDescent="0.2">
      <c r="A1506" s="640"/>
      <c r="C1506" s="600"/>
      <c r="D1506" s="503"/>
      <c r="E1506" s="639"/>
      <c r="G1506" s="507"/>
      <c r="H1506" s="992"/>
      <c r="I1506" s="993"/>
    </row>
    <row r="1507" spans="1:9" s="480" customFormat="1" x14ac:dyDescent="0.2">
      <c r="A1507" s="640"/>
      <c r="C1507" s="600"/>
      <c r="D1507" s="503"/>
      <c r="E1507" s="639"/>
      <c r="G1507" s="507"/>
      <c r="H1507" s="992"/>
      <c r="I1507" s="993"/>
    </row>
    <row r="1508" spans="1:9" s="480" customFormat="1" x14ac:dyDescent="0.2">
      <c r="A1508" s="640"/>
      <c r="C1508" s="600"/>
      <c r="D1508" s="503"/>
      <c r="E1508" s="639"/>
      <c r="G1508" s="507"/>
      <c r="H1508" s="992"/>
      <c r="I1508" s="993"/>
    </row>
    <row r="1509" spans="1:9" s="480" customFormat="1" x14ac:dyDescent="0.2">
      <c r="A1509" s="640"/>
      <c r="C1509" s="600"/>
      <c r="D1509" s="503"/>
      <c r="E1509" s="639"/>
      <c r="G1509" s="507"/>
      <c r="H1509" s="992"/>
      <c r="I1509" s="993"/>
    </row>
    <row r="1510" spans="1:9" s="480" customFormat="1" x14ac:dyDescent="0.2">
      <c r="A1510" s="640"/>
      <c r="C1510" s="600"/>
      <c r="D1510" s="503"/>
      <c r="E1510" s="639"/>
      <c r="G1510" s="507"/>
      <c r="H1510" s="992"/>
      <c r="I1510" s="993"/>
    </row>
    <row r="1511" spans="1:9" s="480" customFormat="1" x14ac:dyDescent="0.2">
      <c r="A1511" s="640"/>
      <c r="C1511" s="600"/>
      <c r="D1511" s="503"/>
      <c r="E1511" s="639"/>
      <c r="G1511" s="507"/>
      <c r="H1511" s="992"/>
      <c r="I1511" s="993"/>
    </row>
    <row r="1512" spans="1:9" s="480" customFormat="1" x14ac:dyDescent="0.2">
      <c r="A1512" s="640"/>
      <c r="C1512" s="600"/>
      <c r="D1512" s="503"/>
      <c r="E1512" s="639"/>
      <c r="G1512" s="507"/>
      <c r="H1512" s="992"/>
      <c r="I1512" s="993"/>
    </row>
    <row r="1513" spans="1:9" s="480" customFormat="1" x14ac:dyDescent="0.2">
      <c r="A1513" s="640"/>
      <c r="C1513" s="600"/>
      <c r="D1513" s="503"/>
      <c r="E1513" s="639"/>
      <c r="G1513" s="507"/>
      <c r="H1513" s="992"/>
      <c r="I1513" s="993"/>
    </row>
    <row r="1514" spans="1:9" s="480" customFormat="1" x14ac:dyDescent="0.2">
      <c r="A1514" s="640"/>
      <c r="C1514" s="600"/>
      <c r="D1514" s="503"/>
      <c r="E1514" s="639"/>
      <c r="G1514" s="507"/>
      <c r="H1514" s="992"/>
      <c r="I1514" s="993"/>
    </row>
    <row r="1515" spans="1:9" s="480" customFormat="1" x14ac:dyDescent="0.2">
      <c r="A1515" s="640"/>
      <c r="C1515" s="600"/>
      <c r="D1515" s="503"/>
      <c r="E1515" s="639"/>
      <c r="G1515" s="507"/>
      <c r="H1515" s="992"/>
      <c r="I1515" s="993"/>
    </row>
    <row r="1516" spans="1:9" s="480" customFormat="1" x14ac:dyDescent="0.2">
      <c r="A1516" s="640"/>
      <c r="C1516" s="600"/>
      <c r="D1516" s="503"/>
      <c r="E1516" s="639"/>
      <c r="G1516" s="507"/>
      <c r="H1516" s="992"/>
      <c r="I1516" s="993"/>
    </row>
    <row r="1517" spans="1:9" s="480" customFormat="1" x14ac:dyDescent="0.2">
      <c r="A1517" s="640"/>
      <c r="C1517" s="600"/>
      <c r="D1517" s="503"/>
      <c r="E1517" s="639"/>
      <c r="G1517" s="507"/>
      <c r="H1517" s="992"/>
      <c r="I1517" s="993"/>
    </row>
    <row r="1518" spans="1:9" s="480" customFormat="1" x14ac:dyDescent="0.2">
      <c r="A1518" s="640"/>
      <c r="C1518" s="600"/>
      <c r="D1518" s="503"/>
      <c r="E1518" s="639"/>
      <c r="G1518" s="507"/>
      <c r="H1518" s="992"/>
      <c r="I1518" s="993"/>
    </row>
    <row r="1519" spans="1:9" s="480" customFormat="1" x14ac:dyDescent="0.2">
      <c r="A1519" s="640"/>
      <c r="C1519" s="600"/>
      <c r="D1519" s="503"/>
      <c r="E1519" s="639"/>
      <c r="G1519" s="507"/>
      <c r="H1519" s="992"/>
      <c r="I1519" s="993"/>
    </row>
    <row r="1520" spans="1:9" s="480" customFormat="1" x14ac:dyDescent="0.2">
      <c r="A1520" s="640"/>
      <c r="C1520" s="600"/>
      <c r="D1520" s="503"/>
      <c r="E1520" s="639"/>
      <c r="G1520" s="507"/>
      <c r="H1520" s="992"/>
      <c r="I1520" s="993"/>
    </row>
    <row r="1521" spans="1:9" s="480" customFormat="1" x14ac:dyDescent="0.2">
      <c r="A1521" s="640"/>
      <c r="C1521" s="600"/>
      <c r="D1521" s="503"/>
      <c r="E1521" s="639"/>
      <c r="G1521" s="507"/>
      <c r="H1521" s="992"/>
      <c r="I1521" s="993"/>
    </row>
    <row r="1522" spans="1:9" s="480" customFormat="1" x14ac:dyDescent="0.2">
      <c r="A1522" s="640"/>
      <c r="C1522" s="600"/>
      <c r="D1522" s="503"/>
      <c r="E1522" s="639"/>
      <c r="G1522" s="507"/>
      <c r="H1522" s="992"/>
      <c r="I1522" s="993"/>
    </row>
    <row r="1523" spans="1:9" s="480" customFormat="1" x14ac:dyDescent="0.2">
      <c r="A1523" s="640"/>
      <c r="C1523" s="600"/>
      <c r="D1523" s="503"/>
      <c r="E1523" s="639"/>
      <c r="G1523" s="507"/>
      <c r="H1523" s="992"/>
      <c r="I1523" s="993"/>
    </row>
    <row r="1524" spans="1:9" s="480" customFormat="1" x14ac:dyDescent="0.2">
      <c r="A1524" s="640"/>
      <c r="C1524" s="600"/>
      <c r="D1524" s="503"/>
      <c r="E1524" s="639"/>
      <c r="G1524" s="507"/>
      <c r="H1524" s="992"/>
      <c r="I1524" s="993"/>
    </row>
    <row r="1525" spans="1:9" s="480" customFormat="1" x14ac:dyDescent="0.2">
      <c r="A1525" s="640"/>
      <c r="C1525" s="600"/>
      <c r="D1525" s="503"/>
      <c r="E1525" s="639"/>
      <c r="G1525" s="507"/>
      <c r="H1525" s="992"/>
      <c r="I1525" s="993"/>
    </row>
    <row r="1526" spans="1:9" s="480" customFormat="1" x14ac:dyDescent="0.2">
      <c r="A1526" s="640"/>
      <c r="C1526" s="600"/>
      <c r="D1526" s="503"/>
      <c r="E1526" s="639"/>
      <c r="G1526" s="507"/>
      <c r="H1526" s="992"/>
      <c r="I1526" s="993"/>
    </row>
    <row r="1527" spans="1:9" s="480" customFormat="1" x14ac:dyDescent="0.2">
      <c r="A1527" s="640"/>
      <c r="C1527" s="600"/>
      <c r="D1527" s="503"/>
      <c r="E1527" s="639"/>
      <c r="G1527" s="507"/>
      <c r="H1527" s="992"/>
      <c r="I1527" s="993"/>
    </row>
    <row r="1528" spans="1:9" s="480" customFormat="1" x14ac:dyDescent="0.2">
      <c r="A1528" s="640"/>
      <c r="C1528" s="600"/>
      <c r="D1528" s="503"/>
      <c r="E1528" s="639"/>
      <c r="G1528" s="507"/>
      <c r="H1528" s="992"/>
      <c r="I1528" s="993"/>
    </row>
    <row r="1529" spans="1:9" s="480" customFormat="1" x14ac:dyDescent="0.2">
      <c r="A1529" s="640"/>
      <c r="C1529" s="600"/>
      <c r="D1529" s="503"/>
      <c r="E1529" s="639"/>
      <c r="G1529" s="507"/>
      <c r="H1529" s="992"/>
      <c r="I1529" s="993"/>
    </row>
    <row r="1530" spans="1:9" s="480" customFormat="1" x14ac:dyDescent="0.2">
      <c r="A1530" s="640"/>
      <c r="C1530" s="600"/>
      <c r="D1530" s="503"/>
      <c r="E1530" s="639"/>
      <c r="G1530" s="507"/>
      <c r="H1530" s="992"/>
      <c r="I1530" s="993"/>
    </row>
    <row r="1531" spans="1:9" s="480" customFormat="1" x14ac:dyDescent="0.2">
      <c r="A1531" s="640"/>
      <c r="C1531" s="600"/>
      <c r="D1531" s="503"/>
      <c r="E1531" s="639"/>
      <c r="G1531" s="507"/>
      <c r="H1531" s="992"/>
      <c r="I1531" s="993"/>
    </row>
    <row r="1532" spans="1:9" s="480" customFormat="1" x14ac:dyDescent="0.2">
      <c r="A1532" s="640"/>
      <c r="C1532" s="600"/>
      <c r="D1532" s="503"/>
      <c r="E1532" s="639"/>
      <c r="G1532" s="507"/>
      <c r="H1532" s="992"/>
      <c r="I1532" s="993"/>
    </row>
    <row r="1533" spans="1:9" s="480" customFormat="1" x14ac:dyDescent="0.2">
      <c r="A1533" s="640"/>
      <c r="C1533" s="600"/>
      <c r="D1533" s="503"/>
      <c r="E1533" s="639"/>
      <c r="G1533" s="507"/>
      <c r="H1533" s="992"/>
      <c r="I1533" s="993"/>
    </row>
    <row r="1534" spans="1:9" s="480" customFormat="1" x14ac:dyDescent="0.2">
      <c r="A1534" s="640"/>
      <c r="C1534" s="600"/>
      <c r="D1534" s="503"/>
      <c r="E1534" s="639"/>
      <c r="G1534" s="507"/>
      <c r="H1534" s="992"/>
      <c r="I1534" s="993"/>
    </row>
    <row r="1535" spans="1:9" s="480" customFormat="1" x14ac:dyDescent="0.2">
      <c r="A1535" s="640"/>
      <c r="C1535" s="600"/>
      <c r="D1535" s="503"/>
      <c r="E1535" s="639"/>
      <c r="G1535" s="507"/>
      <c r="H1535" s="992"/>
      <c r="I1535" s="993"/>
    </row>
    <row r="1536" spans="1:9" s="480" customFormat="1" x14ac:dyDescent="0.2">
      <c r="A1536" s="640"/>
      <c r="C1536" s="600"/>
      <c r="D1536" s="503"/>
      <c r="E1536" s="639"/>
      <c r="G1536" s="507"/>
      <c r="H1536" s="992"/>
      <c r="I1536" s="993"/>
    </row>
    <row r="1537" spans="1:9" s="480" customFormat="1" x14ac:dyDescent="0.2">
      <c r="A1537" s="640"/>
      <c r="C1537" s="600"/>
      <c r="D1537" s="503"/>
      <c r="E1537" s="639"/>
      <c r="G1537" s="507"/>
      <c r="H1537" s="992"/>
      <c r="I1537" s="993"/>
    </row>
    <row r="1538" spans="1:9" s="480" customFormat="1" x14ac:dyDescent="0.2">
      <c r="A1538" s="640"/>
      <c r="C1538" s="600"/>
      <c r="D1538" s="503"/>
      <c r="E1538" s="639"/>
      <c r="G1538" s="507"/>
      <c r="H1538" s="992"/>
      <c r="I1538" s="993"/>
    </row>
    <row r="1539" spans="1:9" s="480" customFormat="1" x14ac:dyDescent="0.2">
      <c r="A1539" s="640"/>
      <c r="C1539" s="600"/>
      <c r="D1539" s="503"/>
      <c r="E1539" s="639"/>
      <c r="G1539" s="507"/>
      <c r="H1539" s="992"/>
      <c r="I1539" s="993"/>
    </row>
    <row r="1540" spans="1:9" s="480" customFormat="1" x14ac:dyDescent="0.2">
      <c r="A1540" s="640"/>
      <c r="C1540" s="600"/>
      <c r="D1540" s="503"/>
      <c r="E1540" s="639"/>
      <c r="G1540" s="507"/>
      <c r="H1540" s="992"/>
      <c r="I1540" s="993"/>
    </row>
    <row r="1541" spans="1:9" s="480" customFormat="1" x14ac:dyDescent="0.2">
      <c r="A1541" s="640"/>
      <c r="C1541" s="600"/>
      <c r="D1541" s="503"/>
      <c r="E1541" s="639"/>
      <c r="G1541" s="507"/>
      <c r="H1541" s="992"/>
      <c r="I1541" s="993"/>
    </row>
    <row r="1542" spans="1:9" s="480" customFormat="1" x14ac:dyDescent="0.2">
      <c r="A1542" s="640"/>
      <c r="C1542" s="600"/>
      <c r="D1542" s="503"/>
      <c r="E1542" s="639"/>
      <c r="G1542" s="507"/>
      <c r="H1542" s="992"/>
      <c r="I1542" s="993"/>
    </row>
    <row r="1543" spans="1:9" s="480" customFormat="1" x14ac:dyDescent="0.2">
      <c r="A1543" s="640"/>
      <c r="C1543" s="600"/>
      <c r="D1543" s="503"/>
      <c r="E1543" s="639"/>
      <c r="G1543" s="507"/>
      <c r="H1543" s="992"/>
      <c r="I1543" s="993"/>
    </row>
    <row r="1544" spans="1:9" s="480" customFormat="1" x14ac:dyDescent="0.2">
      <c r="A1544" s="640"/>
      <c r="C1544" s="600"/>
      <c r="D1544" s="503"/>
      <c r="E1544" s="639"/>
      <c r="G1544" s="507"/>
      <c r="H1544" s="992"/>
      <c r="I1544" s="993"/>
    </row>
    <row r="1545" spans="1:9" s="480" customFormat="1" x14ac:dyDescent="0.2">
      <c r="A1545" s="640"/>
      <c r="C1545" s="600"/>
      <c r="D1545" s="503"/>
      <c r="E1545" s="639"/>
      <c r="G1545" s="507"/>
      <c r="H1545" s="992"/>
      <c r="I1545" s="993"/>
    </row>
    <row r="1546" spans="1:9" s="480" customFormat="1" x14ac:dyDescent="0.2">
      <c r="A1546" s="640"/>
      <c r="C1546" s="600"/>
      <c r="D1546" s="503"/>
      <c r="E1546" s="639"/>
      <c r="G1546" s="507"/>
      <c r="H1546" s="992"/>
      <c r="I1546" s="993"/>
    </row>
    <row r="1547" spans="1:9" s="480" customFormat="1" x14ac:dyDescent="0.2">
      <c r="A1547" s="640"/>
      <c r="C1547" s="600"/>
      <c r="D1547" s="503"/>
      <c r="E1547" s="639"/>
      <c r="G1547" s="507"/>
      <c r="H1547" s="992"/>
      <c r="I1547" s="993"/>
    </row>
    <row r="1548" spans="1:9" s="480" customFormat="1" x14ac:dyDescent="0.2">
      <c r="A1548" s="640"/>
      <c r="C1548" s="600"/>
      <c r="D1548" s="503"/>
      <c r="E1548" s="639"/>
      <c r="G1548" s="507"/>
      <c r="H1548" s="992"/>
      <c r="I1548" s="993"/>
    </row>
    <row r="1549" spans="1:9" s="480" customFormat="1" x14ac:dyDescent="0.2">
      <c r="A1549" s="640"/>
      <c r="C1549" s="600"/>
      <c r="D1549" s="503"/>
      <c r="E1549" s="639"/>
      <c r="G1549" s="507"/>
      <c r="H1549" s="992"/>
      <c r="I1549" s="993"/>
    </row>
    <row r="1550" spans="1:9" s="480" customFormat="1" x14ac:dyDescent="0.2">
      <c r="A1550" s="640"/>
      <c r="C1550" s="600"/>
      <c r="D1550" s="503"/>
      <c r="E1550" s="639"/>
      <c r="G1550" s="507"/>
      <c r="H1550" s="992"/>
      <c r="I1550" s="993"/>
    </row>
    <row r="1551" spans="1:9" s="480" customFormat="1" x14ac:dyDescent="0.2">
      <c r="A1551" s="640"/>
      <c r="C1551" s="600"/>
      <c r="D1551" s="503"/>
      <c r="E1551" s="639"/>
      <c r="G1551" s="507"/>
      <c r="H1551" s="992"/>
      <c r="I1551" s="993"/>
    </row>
    <row r="1552" spans="1:9" s="480" customFormat="1" x14ac:dyDescent="0.2">
      <c r="A1552" s="640"/>
      <c r="C1552" s="600"/>
      <c r="D1552" s="503"/>
      <c r="E1552" s="639"/>
      <c r="G1552" s="507"/>
      <c r="H1552" s="992"/>
      <c r="I1552" s="993"/>
    </row>
    <row r="1553" spans="1:9" s="480" customFormat="1" x14ac:dyDescent="0.2">
      <c r="A1553" s="640"/>
      <c r="C1553" s="600"/>
      <c r="D1553" s="503"/>
      <c r="E1553" s="639"/>
      <c r="G1553" s="507"/>
      <c r="H1553" s="992"/>
      <c r="I1553" s="993"/>
    </row>
    <row r="1554" spans="1:9" s="480" customFormat="1" x14ac:dyDescent="0.2">
      <c r="A1554" s="640"/>
      <c r="C1554" s="600"/>
      <c r="D1554" s="503"/>
      <c r="E1554" s="639"/>
      <c r="G1554" s="507"/>
      <c r="H1554" s="992"/>
      <c r="I1554" s="993"/>
    </row>
    <row r="1555" spans="1:9" s="480" customFormat="1" x14ac:dyDescent="0.2">
      <c r="A1555" s="640"/>
      <c r="C1555" s="600"/>
      <c r="D1555" s="503"/>
      <c r="E1555" s="639"/>
      <c r="G1555" s="507"/>
      <c r="H1555" s="992"/>
      <c r="I1555" s="993"/>
    </row>
    <row r="1556" spans="1:9" s="480" customFormat="1" x14ac:dyDescent="0.2">
      <c r="A1556" s="640"/>
      <c r="C1556" s="600"/>
      <c r="D1556" s="503"/>
      <c r="E1556" s="639"/>
      <c r="G1556" s="507"/>
      <c r="H1556" s="992"/>
      <c r="I1556" s="993"/>
    </row>
    <row r="1557" spans="1:9" s="480" customFormat="1" x14ac:dyDescent="0.2">
      <c r="A1557" s="640"/>
      <c r="C1557" s="600"/>
      <c r="D1557" s="503"/>
      <c r="E1557" s="639"/>
      <c r="G1557" s="507"/>
      <c r="H1557" s="992"/>
      <c r="I1557" s="993"/>
    </row>
    <row r="1558" spans="1:9" s="480" customFormat="1" x14ac:dyDescent="0.2">
      <c r="A1558" s="640"/>
      <c r="C1558" s="600"/>
      <c r="D1558" s="503"/>
      <c r="E1558" s="639"/>
      <c r="G1558" s="507"/>
      <c r="H1558" s="992"/>
      <c r="I1558" s="993"/>
    </row>
    <row r="1559" spans="1:9" s="480" customFormat="1" x14ac:dyDescent="0.2">
      <c r="A1559" s="640"/>
      <c r="C1559" s="600"/>
      <c r="D1559" s="503"/>
      <c r="E1559" s="639"/>
      <c r="G1559" s="507"/>
      <c r="H1559" s="992"/>
      <c r="I1559" s="993"/>
    </row>
    <row r="1560" spans="1:9" s="480" customFormat="1" x14ac:dyDescent="0.2">
      <c r="A1560" s="640"/>
      <c r="C1560" s="600"/>
      <c r="D1560" s="503"/>
      <c r="E1560" s="639"/>
      <c r="G1560" s="507"/>
      <c r="H1560" s="992"/>
      <c r="I1560" s="993"/>
    </row>
    <row r="1561" spans="1:9" s="480" customFormat="1" x14ac:dyDescent="0.2">
      <c r="A1561" s="640"/>
      <c r="C1561" s="600"/>
      <c r="D1561" s="503"/>
      <c r="E1561" s="639"/>
      <c r="G1561" s="507"/>
      <c r="H1561" s="992"/>
      <c r="I1561" s="993"/>
    </row>
    <row r="1562" spans="1:9" s="480" customFormat="1" x14ac:dyDescent="0.2">
      <c r="A1562" s="640"/>
      <c r="C1562" s="600"/>
      <c r="D1562" s="503"/>
      <c r="E1562" s="639"/>
      <c r="G1562" s="507"/>
      <c r="H1562" s="992"/>
      <c r="I1562" s="993"/>
    </row>
    <row r="1563" spans="1:9" s="480" customFormat="1" x14ac:dyDescent="0.2">
      <c r="A1563" s="640"/>
      <c r="C1563" s="600"/>
      <c r="D1563" s="503"/>
      <c r="E1563" s="639"/>
      <c r="G1563" s="507"/>
      <c r="H1563" s="992"/>
      <c r="I1563" s="993"/>
    </row>
    <row r="1564" spans="1:9" s="480" customFormat="1" x14ac:dyDescent="0.2">
      <c r="A1564" s="640"/>
      <c r="C1564" s="600"/>
      <c r="D1564" s="503"/>
      <c r="E1564" s="639"/>
      <c r="G1564" s="507"/>
      <c r="H1564" s="992"/>
      <c r="I1564" s="993"/>
    </row>
    <row r="1565" spans="1:9" s="480" customFormat="1" x14ac:dyDescent="0.2">
      <c r="A1565" s="640"/>
      <c r="C1565" s="600"/>
      <c r="D1565" s="503"/>
      <c r="E1565" s="639"/>
      <c r="G1565" s="507"/>
      <c r="H1565" s="992"/>
      <c r="I1565" s="993"/>
    </row>
    <row r="1566" spans="1:9" s="480" customFormat="1" x14ac:dyDescent="0.2">
      <c r="A1566" s="640"/>
      <c r="C1566" s="600"/>
      <c r="D1566" s="503"/>
      <c r="E1566" s="639"/>
      <c r="G1566" s="507"/>
      <c r="H1566" s="992"/>
      <c r="I1566" s="993"/>
    </row>
    <row r="1567" spans="1:9" s="480" customFormat="1" x14ac:dyDescent="0.2">
      <c r="A1567" s="640"/>
      <c r="C1567" s="600"/>
      <c r="D1567" s="503"/>
      <c r="E1567" s="639"/>
      <c r="G1567" s="507"/>
      <c r="H1567" s="992"/>
      <c r="I1567" s="993"/>
    </row>
    <row r="1568" spans="1:9" s="480" customFormat="1" x14ac:dyDescent="0.2">
      <c r="A1568" s="640"/>
      <c r="C1568" s="600"/>
      <c r="D1568" s="503"/>
      <c r="E1568" s="639"/>
      <c r="G1568" s="507"/>
      <c r="H1568" s="992"/>
      <c r="I1568" s="993"/>
    </row>
    <row r="1569" spans="1:9" s="480" customFormat="1" x14ac:dyDescent="0.2">
      <c r="A1569" s="640"/>
      <c r="C1569" s="600"/>
      <c r="D1569" s="503"/>
      <c r="E1569" s="639"/>
      <c r="G1569" s="507"/>
      <c r="H1569" s="992"/>
      <c r="I1569" s="993"/>
    </row>
    <row r="1570" spans="1:9" s="480" customFormat="1" x14ac:dyDescent="0.2">
      <c r="A1570" s="640"/>
      <c r="C1570" s="600"/>
      <c r="D1570" s="503"/>
      <c r="E1570" s="639"/>
      <c r="G1570" s="507"/>
      <c r="H1570" s="992"/>
      <c r="I1570" s="993"/>
    </row>
    <row r="1571" spans="1:9" s="480" customFormat="1" x14ac:dyDescent="0.2">
      <c r="A1571" s="640"/>
      <c r="C1571" s="600"/>
      <c r="D1571" s="503"/>
      <c r="E1571" s="639"/>
      <c r="G1571" s="507"/>
      <c r="H1571" s="992"/>
      <c r="I1571" s="993"/>
    </row>
    <row r="1572" spans="1:9" s="480" customFormat="1" x14ac:dyDescent="0.2">
      <c r="A1572" s="640"/>
      <c r="C1572" s="600"/>
      <c r="D1572" s="503"/>
      <c r="E1572" s="639"/>
      <c r="G1572" s="507"/>
      <c r="H1572" s="992"/>
      <c r="I1572" s="993"/>
    </row>
    <row r="1573" spans="1:9" s="480" customFormat="1" x14ac:dyDescent="0.2">
      <c r="A1573" s="640"/>
      <c r="C1573" s="600"/>
      <c r="D1573" s="503"/>
      <c r="E1573" s="639"/>
      <c r="G1573" s="507"/>
      <c r="H1573" s="992"/>
      <c r="I1573" s="993"/>
    </row>
    <row r="1574" spans="1:9" s="480" customFormat="1" x14ac:dyDescent="0.2">
      <c r="A1574" s="640"/>
      <c r="C1574" s="600"/>
      <c r="D1574" s="503"/>
      <c r="E1574" s="639"/>
      <c r="G1574" s="507"/>
      <c r="H1574" s="992"/>
      <c r="I1574" s="993"/>
    </row>
    <row r="1575" spans="1:9" s="480" customFormat="1" x14ac:dyDescent="0.2">
      <c r="A1575" s="640"/>
      <c r="C1575" s="600"/>
      <c r="D1575" s="503"/>
      <c r="E1575" s="639"/>
      <c r="G1575" s="507"/>
      <c r="H1575" s="992"/>
      <c r="I1575" s="993"/>
    </row>
    <row r="1576" spans="1:9" s="480" customFormat="1" x14ac:dyDescent="0.2">
      <c r="A1576" s="640"/>
      <c r="C1576" s="600"/>
      <c r="D1576" s="503"/>
      <c r="E1576" s="639"/>
      <c r="G1576" s="507"/>
      <c r="H1576" s="992"/>
      <c r="I1576" s="993"/>
    </row>
    <row r="1577" spans="1:9" s="480" customFormat="1" x14ac:dyDescent="0.2">
      <c r="A1577" s="640"/>
      <c r="C1577" s="600"/>
      <c r="D1577" s="503"/>
      <c r="E1577" s="639"/>
      <c r="G1577" s="507"/>
      <c r="H1577" s="992"/>
      <c r="I1577" s="993"/>
    </row>
    <row r="1578" spans="1:9" s="480" customFormat="1" x14ac:dyDescent="0.2">
      <c r="A1578" s="640"/>
      <c r="C1578" s="600"/>
      <c r="D1578" s="503"/>
      <c r="E1578" s="639"/>
      <c r="G1578" s="507"/>
      <c r="H1578" s="992"/>
      <c r="I1578" s="993"/>
    </row>
    <row r="1579" spans="1:9" s="480" customFormat="1" x14ac:dyDescent="0.2">
      <c r="A1579" s="640"/>
      <c r="C1579" s="600"/>
      <c r="D1579" s="503"/>
      <c r="E1579" s="639"/>
      <c r="G1579" s="507"/>
      <c r="H1579" s="992"/>
      <c r="I1579" s="993"/>
    </row>
    <row r="1580" spans="1:9" s="480" customFormat="1" x14ac:dyDescent="0.2">
      <c r="A1580" s="640"/>
      <c r="C1580" s="600"/>
      <c r="D1580" s="503"/>
      <c r="E1580" s="639"/>
      <c r="G1580" s="507"/>
      <c r="H1580" s="992"/>
      <c r="I1580" s="993"/>
    </row>
    <row r="1581" spans="1:9" s="480" customFormat="1" x14ac:dyDescent="0.2">
      <c r="A1581" s="640"/>
      <c r="C1581" s="600"/>
      <c r="D1581" s="503"/>
      <c r="E1581" s="639"/>
      <c r="G1581" s="507"/>
      <c r="H1581" s="992"/>
      <c r="I1581" s="993"/>
    </row>
    <row r="1582" spans="1:9" s="480" customFormat="1" x14ac:dyDescent="0.2">
      <c r="A1582" s="640"/>
      <c r="C1582" s="600"/>
      <c r="D1582" s="503"/>
      <c r="E1582" s="639"/>
      <c r="G1582" s="507"/>
      <c r="H1582" s="992"/>
      <c r="I1582" s="993"/>
    </row>
    <row r="1583" spans="1:9" s="480" customFormat="1" x14ac:dyDescent="0.2">
      <c r="A1583" s="640"/>
      <c r="C1583" s="600"/>
      <c r="D1583" s="503"/>
      <c r="E1583" s="639"/>
      <c r="G1583" s="507"/>
      <c r="H1583" s="992"/>
      <c r="I1583" s="993"/>
    </row>
    <row r="1584" spans="1:9" s="480" customFormat="1" x14ac:dyDescent="0.2">
      <c r="A1584" s="640"/>
      <c r="C1584" s="600"/>
      <c r="D1584" s="503"/>
      <c r="E1584" s="639"/>
      <c r="G1584" s="507"/>
      <c r="H1584" s="992"/>
      <c r="I1584" s="993"/>
    </row>
    <row r="1585" spans="1:9" s="480" customFormat="1" x14ac:dyDescent="0.2">
      <c r="A1585" s="640"/>
      <c r="C1585" s="600"/>
      <c r="D1585" s="503"/>
      <c r="E1585" s="639"/>
      <c r="G1585" s="507"/>
      <c r="H1585" s="992"/>
      <c r="I1585" s="993"/>
    </row>
    <row r="1586" spans="1:9" s="480" customFormat="1" x14ac:dyDescent="0.2">
      <c r="A1586" s="640"/>
      <c r="C1586" s="600"/>
      <c r="D1586" s="503"/>
      <c r="E1586" s="639"/>
      <c r="G1586" s="507"/>
      <c r="H1586" s="992"/>
      <c r="I1586" s="993"/>
    </row>
    <row r="1587" spans="1:9" s="480" customFormat="1" x14ac:dyDescent="0.2">
      <c r="A1587" s="640"/>
      <c r="C1587" s="600"/>
      <c r="D1587" s="503"/>
      <c r="E1587" s="639"/>
      <c r="G1587" s="507"/>
      <c r="H1587" s="992"/>
      <c r="I1587" s="993"/>
    </row>
    <row r="1588" spans="1:9" s="480" customFormat="1" x14ac:dyDescent="0.2">
      <c r="A1588" s="640"/>
      <c r="C1588" s="600"/>
      <c r="D1588" s="503"/>
      <c r="E1588" s="639"/>
      <c r="G1588" s="507"/>
      <c r="H1588" s="992"/>
      <c r="I1588" s="993"/>
    </row>
    <row r="1589" spans="1:9" s="480" customFormat="1" x14ac:dyDescent="0.2">
      <c r="A1589" s="640"/>
      <c r="C1589" s="600"/>
      <c r="D1589" s="503"/>
      <c r="E1589" s="639"/>
      <c r="G1589" s="507"/>
      <c r="H1589" s="992"/>
      <c r="I1589" s="993"/>
    </row>
    <row r="1590" spans="1:9" s="480" customFormat="1" x14ac:dyDescent="0.2">
      <c r="A1590" s="640"/>
      <c r="C1590" s="600"/>
      <c r="D1590" s="503"/>
      <c r="E1590" s="639"/>
      <c r="G1590" s="507"/>
      <c r="H1590" s="992"/>
      <c r="I1590" s="993"/>
    </row>
    <row r="1591" spans="1:9" s="480" customFormat="1" x14ac:dyDescent="0.2">
      <c r="A1591" s="640"/>
      <c r="C1591" s="600"/>
      <c r="D1591" s="503"/>
      <c r="E1591" s="639"/>
      <c r="G1591" s="507"/>
      <c r="H1591" s="992"/>
      <c r="I1591" s="993"/>
    </row>
    <row r="1592" spans="1:9" s="480" customFormat="1" x14ac:dyDescent="0.2">
      <c r="A1592" s="640"/>
      <c r="C1592" s="600"/>
      <c r="D1592" s="503"/>
      <c r="E1592" s="639"/>
      <c r="G1592" s="507"/>
      <c r="H1592" s="992"/>
      <c r="I1592" s="993"/>
    </row>
    <row r="1593" spans="1:9" s="480" customFormat="1" x14ac:dyDescent="0.2">
      <c r="A1593" s="640"/>
      <c r="C1593" s="600"/>
      <c r="D1593" s="503"/>
      <c r="E1593" s="639"/>
      <c r="G1593" s="507"/>
      <c r="H1593" s="992"/>
      <c r="I1593" s="993"/>
    </row>
    <row r="1594" spans="1:9" s="480" customFormat="1" x14ac:dyDescent="0.2">
      <c r="A1594" s="640"/>
      <c r="C1594" s="600"/>
      <c r="D1594" s="503"/>
      <c r="E1594" s="639"/>
      <c r="G1594" s="507"/>
      <c r="H1594" s="992"/>
      <c r="I1594" s="993"/>
    </row>
    <row r="1595" spans="1:9" s="480" customFormat="1" x14ac:dyDescent="0.2">
      <c r="A1595" s="640"/>
      <c r="C1595" s="600"/>
      <c r="D1595" s="503"/>
      <c r="E1595" s="639"/>
      <c r="G1595" s="507"/>
      <c r="H1595" s="992"/>
      <c r="I1595" s="993"/>
    </row>
    <row r="1596" spans="1:9" s="480" customFormat="1" x14ac:dyDescent="0.2">
      <c r="A1596" s="640"/>
      <c r="C1596" s="600"/>
      <c r="D1596" s="503"/>
      <c r="E1596" s="639"/>
      <c r="G1596" s="507"/>
      <c r="H1596" s="992"/>
      <c r="I1596" s="993"/>
    </row>
    <row r="1597" spans="1:9" s="480" customFormat="1" x14ac:dyDescent="0.2">
      <c r="A1597" s="640"/>
      <c r="C1597" s="600"/>
      <c r="D1597" s="503"/>
      <c r="E1597" s="639"/>
      <c r="G1597" s="507"/>
      <c r="H1597" s="992"/>
      <c r="I1597" s="993"/>
    </row>
    <row r="1598" spans="1:9" s="480" customFormat="1" x14ac:dyDescent="0.2">
      <c r="A1598" s="640"/>
      <c r="C1598" s="600"/>
      <c r="D1598" s="503"/>
      <c r="E1598" s="639"/>
      <c r="G1598" s="507"/>
      <c r="H1598" s="992"/>
      <c r="I1598" s="993"/>
    </row>
    <row r="1599" spans="1:9" s="480" customFormat="1" x14ac:dyDescent="0.2">
      <c r="A1599" s="640"/>
      <c r="C1599" s="600"/>
      <c r="D1599" s="503"/>
      <c r="E1599" s="639"/>
      <c r="G1599" s="507"/>
      <c r="H1599" s="992"/>
      <c r="I1599" s="993"/>
    </row>
    <row r="1600" spans="1:9" s="480" customFormat="1" x14ac:dyDescent="0.2">
      <c r="A1600" s="640"/>
      <c r="C1600" s="600"/>
      <c r="D1600" s="503"/>
      <c r="E1600" s="639"/>
      <c r="G1600" s="507"/>
      <c r="H1600" s="992"/>
      <c r="I1600" s="993"/>
    </row>
    <row r="1601" spans="1:9" s="480" customFormat="1" x14ac:dyDescent="0.2">
      <c r="A1601" s="640"/>
      <c r="C1601" s="600"/>
      <c r="D1601" s="503"/>
      <c r="E1601" s="639"/>
      <c r="G1601" s="507"/>
      <c r="H1601" s="992"/>
      <c r="I1601" s="993"/>
    </row>
    <row r="1602" spans="1:9" s="480" customFormat="1" x14ac:dyDescent="0.2">
      <c r="A1602" s="640"/>
      <c r="C1602" s="600"/>
      <c r="D1602" s="503"/>
      <c r="E1602" s="639"/>
      <c r="G1602" s="507"/>
      <c r="H1602" s="992"/>
      <c r="I1602" s="993"/>
    </row>
    <row r="1603" spans="1:9" s="480" customFormat="1" x14ac:dyDescent="0.2">
      <c r="A1603" s="640"/>
      <c r="C1603" s="600"/>
      <c r="D1603" s="503"/>
      <c r="E1603" s="639"/>
      <c r="G1603" s="507"/>
      <c r="H1603" s="992"/>
      <c r="I1603" s="993"/>
    </row>
    <row r="1604" spans="1:9" s="480" customFormat="1" x14ac:dyDescent="0.2">
      <c r="A1604" s="640"/>
      <c r="C1604" s="600"/>
      <c r="D1604" s="503"/>
      <c r="E1604" s="639"/>
      <c r="G1604" s="507"/>
      <c r="H1604" s="992"/>
      <c r="I1604" s="993"/>
    </row>
    <row r="1605" spans="1:9" s="480" customFormat="1" x14ac:dyDescent="0.2">
      <c r="A1605" s="640"/>
      <c r="C1605" s="600"/>
      <c r="D1605" s="503"/>
      <c r="E1605" s="639"/>
      <c r="G1605" s="507"/>
      <c r="H1605" s="992"/>
      <c r="I1605" s="993"/>
    </row>
    <row r="1606" spans="1:9" s="480" customFormat="1" x14ac:dyDescent="0.2">
      <c r="A1606" s="640"/>
      <c r="C1606" s="600"/>
      <c r="D1606" s="503"/>
      <c r="E1606" s="639"/>
      <c r="G1606" s="507"/>
      <c r="H1606" s="992"/>
      <c r="I1606" s="993"/>
    </row>
    <row r="1607" spans="1:9" s="480" customFormat="1" x14ac:dyDescent="0.2">
      <c r="A1607" s="640"/>
      <c r="C1607" s="600"/>
      <c r="D1607" s="503"/>
      <c r="E1607" s="639"/>
      <c r="G1607" s="507"/>
      <c r="H1607" s="992"/>
      <c r="I1607" s="993"/>
    </row>
    <row r="1608" spans="1:9" s="480" customFormat="1" x14ac:dyDescent="0.2">
      <c r="A1608" s="640"/>
      <c r="C1608" s="600"/>
      <c r="D1608" s="503"/>
      <c r="E1608" s="639"/>
      <c r="G1608" s="507"/>
      <c r="H1608" s="992"/>
      <c r="I1608" s="993"/>
    </row>
    <row r="1609" spans="1:9" s="480" customFormat="1" x14ac:dyDescent="0.2">
      <c r="A1609" s="640"/>
      <c r="C1609" s="600"/>
      <c r="D1609" s="503"/>
      <c r="E1609" s="639"/>
      <c r="G1609" s="507"/>
      <c r="H1609" s="992"/>
      <c r="I1609" s="993"/>
    </row>
    <row r="1610" spans="1:9" s="480" customFormat="1" x14ac:dyDescent="0.2">
      <c r="A1610" s="640"/>
      <c r="C1610" s="600"/>
      <c r="D1610" s="503"/>
      <c r="E1610" s="639"/>
      <c r="G1610" s="507"/>
      <c r="H1610" s="992"/>
      <c r="I1610" s="993"/>
    </row>
    <row r="1611" spans="1:9" s="480" customFormat="1" x14ac:dyDescent="0.2">
      <c r="A1611" s="640"/>
      <c r="C1611" s="600"/>
      <c r="D1611" s="503"/>
      <c r="E1611" s="639"/>
      <c r="G1611" s="507"/>
      <c r="H1611" s="992"/>
      <c r="I1611" s="993"/>
    </row>
    <row r="1612" spans="1:9" s="480" customFormat="1" x14ac:dyDescent="0.2">
      <c r="A1612" s="640"/>
      <c r="C1612" s="600"/>
      <c r="D1612" s="503"/>
      <c r="E1612" s="639"/>
      <c r="G1612" s="507"/>
      <c r="H1612" s="992"/>
      <c r="I1612" s="993"/>
    </row>
    <row r="1613" spans="1:9" s="480" customFormat="1" x14ac:dyDescent="0.2">
      <c r="A1613" s="640"/>
      <c r="C1613" s="600"/>
      <c r="D1613" s="503"/>
      <c r="E1613" s="639"/>
      <c r="G1613" s="507"/>
      <c r="H1613" s="992"/>
      <c r="I1613" s="993"/>
    </row>
    <row r="1614" spans="1:9" s="480" customFormat="1" x14ac:dyDescent="0.2">
      <c r="A1614" s="640"/>
      <c r="C1614" s="600"/>
      <c r="D1614" s="503"/>
      <c r="E1614" s="639"/>
      <c r="G1614" s="507"/>
      <c r="H1614" s="992"/>
      <c r="I1614" s="993"/>
    </row>
    <row r="1615" spans="1:9" s="480" customFormat="1" x14ac:dyDescent="0.2">
      <c r="A1615" s="640"/>
      <c r="C1615" s="600"/>
      <c r="D1615" s="503"/>
      <c r="E1615" s="639"/>
      <c r="G1615" s="507"/>
      <c r="H1615" s="992"/>
      <c r="I1615" s="993"/>
    </row>
    <row r="1616" spans="1:9" s="480" customFormat="1" x14ac:dyDescent="0.2">
      <c r="A1616" s="640"/>
      <c r="C1616" s="600"/>
      <c r="D1616" s="503"/>
      <c r="E1616" s="639"/>
      <c r="G1616" s="507"/>
      <c r="H1616" s="992"/>
      <c r="I1616" s="993"/>
    </row>
    <row r="1617" spans="1:9" s="480" customFormat="1" x14ac:dyDescent="0.2">
      <c r="A1617" s="640"/>
      <c r="C1617" s="600"/>
      <c r="D1617" s="503"/>
      <c r="E1617" s="639"/>
      <c r="G1617" s="507"/>
      <c r="H1617" s="992"/>
      <c r="I1617" s="993"/>
    </row>
    <row r="1618" spans="1:9" s="480" customFormat="1" x14ac:dyDescent="0.2">
      <c r="A1618" s="640"/>
      <c r="C1618" s="600"/>
      <c r="D1618" s="503"/>
      <c r="E1618" s="639"/>
      <c r="G1618" s="507"/>
      <c r="H1618" s="992"/>
      <c r="I1618" s="993"/>
    </row>
    <row r="1619" spans="1:9" s="480" customFormat="1" x14ac:dyDescent="0.2">
      <c r="A1619" s="640"/>
      <c r="C1619" s="600"/>
      <c r="D1619" s="503"/>
      <c r="E1619" s="639"/>
      <c r="G1619" s="507"/>
      <c r="H1619" s="992"/>
      <c r="I1619" s="993"/>
    </row>
    <row r="1620" spans="1:9" s="480" customFormat="1" x14ac:dyDescent="0.2">
      <c r="A1620" s="640"/>
      <c r="C1620" s="600"/>
      <c r="D1620" s="503"/>
      <c r="E1620" s="639"/>
      <c r="G1620" s="507"/>
      <c r="H1620" s="992"/>
      <c r="I1620" s="993"/>
    </row>
    <row r="1621" spans="1:9" s="480" customFormat="1" x14ac:dyDescent="0.2">
      <c r="A1621" s="640"/>
      <c r="C1621" s="600"/>
      <c r="D1621" s="503"/>
      <c r="E1621" s="639"/>
      <c r="G1621" s="507"/>
      <c r="H1621" s="992"/>
      <c r="I1621" s="993"/>
    </row>
    <row r="1622" spans="1:9" s="480" customFormat="1" x14ac:dyDescent="0.2">
      <c r="A1622" s="640"/>
      <c r="C1622" s="600"/>
      <c r="D1622" s="503"/>
      <c r="E1622" s="639"/>
      <c r="G1622" s="507"/>
      <c r="H1622" s="992"/>
      <c r="I1622" s="993"/>
    </row>
    <row r="1623" spans="1:9" s="480" customFormat="1" x14ac:dyDescent="0.2">
      <c r="A1623" s="640"/>
      <c r="C1623" s="600"/>
      <c r="D1623" s="503"/>
      <c r="E1623" s="639"/>
      <c r="G1623" s="507"/>
      <c r="H1623" s="992"/>
      <c r="I1623" s="993"/>
    </row>
    <row r="1624" spans="1:9" s="480" customFormat="1" x14ac:dyDescent="0.2">
      <c r="A1624" s="640"/>
      <c r="C1624" s="600"/>
      <c r="D1624" s="503"/>
      <c r="E1624" s="639"/>
      <c r="G1624" s="507"/>
      <c r="H1624" s="992"/>
      <c r="I1624" s="993"/>
    </row>
    <row r="1625" spans="1:9" s="480" customFormat="1" x14ac:dyDescent="0.2">
      <c r="A1625" s="640"/>
      <c r="C1625" s="600"/>
      <c r="D1625" s="503"/>
      <c r="E1625" s="639"/>
      <c r="G1625" s="507"/>
      <c r="H1625" s="992"/>
      <c r="I1625" s="993"/>
    </row>
    <row r="1626" spans="1:9" s="480" customFormat="1" x14ac:dyDescent="0.2">
      <c r="A1626" s="640"/>
      <c r="C1626" s="600"/>
      <c r="D1626" s="503"/>
      <c r="E1626" s="639"/>
      <c r="G1626" s="507"/>
      <c r="H1626" s="992"/>
      <c r="I1626" s="993"/>
    </row>
    <row r="1627" spans="1:9" s="480" customFormat="1" x14ac:dyDescent="0.2">
      <c r="A1627" s="640"/>
      <c r="C1627" s="600"/>
      <c r="D1627" s="503"/>
      <c r="E1627" s="639"/>
      <c r="G1627" s="507"/>
      <c r="H1627" s="992"/>
      <c r="I1627" s="993"/>
    </row>
    <row r="1628" spans="1:9" s="480" customFormat="1" x14ac:dyDescent="0.2">
      <c r="A1628" s="640"/>
      <c r="C1628" s="600"/>
      <c r="D1628" s="503"/>
      <c r="E1628" s="639"/>
      <c r="G1628" s="507"/>
      <c r="H1628" s="992"/>
      <c r="I1628" s="993"/>
    </row>
    <row r="1629" spans="1:9" s="480" customFormat="1" x14ac:dyDescent="0.2">
      <c r="A1629" s="640"/>
      <c r="C1629" s="600"/>
      <c r="D1629" s="503"/>
      <c r="E1629" s="639"/>
      <c r="G1629" s="507"/>
      <c r="H1629" s="992"/>
      <c r="I1629" s="993"/>
    </row>
    <row r="1630" spans="1:9" s="480" customFormat="1" x14ac:dyDescent="0.2">
      <c r="A1630" s="640"/>
      <c r="C1630" s="600"/>
      <c r="D1630" s="503"/>
      <c r="E1630" s="639"/>
      <c r="G1630" s="507"/>
      <c r="H1630" s="992"/>
      <c r="I1630" s="993"/>
    </row>
    <row r="1631" spans="1:9" s="480" customFormat="1" x14ac:dyDescent="0.2">
      <c r="A1631" s="640"/>
      <c r="C1631" s="600"/>
      <c r="D1631" s="503"/>
      <c r="E1631" s="639"/>
      <c r="G1631" s="507"/>
      <c r="H1631" s="992"/>
      <c r="I1631" s="993"/>
    </row>
    <row r="1632" spans="1:9" s="480" customFormat="1" x14ac:dyDescent="0.2">
      <c r="A1632" s="640"/>
      <c r="C1632" s="600"/>
      <c r="D1632" s="503"/>
      <c r="E1632" s="639"/>
      <c r="G1632" s="507"/>
      <c r="H1632" s="992"/>
      <c r="I1632" s="993"/>
    </row>
    <row r="1633" spans="1:9" s="480" customFormat="1" x14ac:dyDescent="0.2">
      <c r="A1633" s="640"/>
      <c r="C1633" s="600"/>
      <c r="D1633" s="503"/>
      <c r="E1633" s="639"/>
      <c r="G1633" s="507"/>
      <c r="H1633" s="992"/>
      <c r="I1633" s="993"/>
    </row>
    <row r="1634" spans="1:9" s="480" customFormat="1" x14ac:dyDescent="0.2">
      <c r="A1634" s="640"/>
      <c r="C1634" s="600"/>
      <c r="D1634" s="503"/>
      <c r="E1634" s="639"/>
      <c r="G1634" s="507"/>
      <c r="H1634" s="992"/>
      <c r="I1634" s="993"/>
    </row>
    <row r="1635" spans="1:9" s="480" customFormat="1" x14ac:dyDescent="0.2">
      <c r="A1635" s="640"/>
      <c r="C1635" s="600"/>
      <c r="D1635" s="503"/>
      <c r="E1635" s="639"/>
      <c r="G1635" s="507"/>
      <c r="H1635" s="992"/>
      <c r="I1635" s="993"/>
    </row>
    <row r="1636" spans="1:9" s="480" customFormat="1" x14ac:dyDescent="0.2">
      <c r="A1636" s="640"/>
      <c r="C1636" s="600"/>
      <c r="D1636" s="503"/>
      <c r="E1636" s="639"/>
      <c r="G1636" s="507"/>
      <c r="H1636" s="992"/>
      <c r="I1636" s="993"/>
    </row>
    <row r="1637" spans="1:9" s="480" customFormat="1" x14ac:dyDescent="0.2">
      <c r="A1637" s="640"/>
      <c r="C1637" s="600"/>
      <c r="D1637" s="503"/>
      <c r="E1637" s="639"/>
      <c r="G1637" s="507"/>
      <c r="H1637" s="992"/>
      <c r="I1637" s="993"/>
    </row>
    <row r="1638" spans="1:9" s="480" customFormat="1" x14ac:dyDescent="0.2">
      <c r="A1638" s="640"/>
      <c r="C1638" s="600"/>
      <c r="D1638" s="503"/>
      <c r="E1638" s="639"/>
      <c r="G1638" s="507"/>
      <c r="H1638" s="992"/>
      <c r="I1638" s="993"/>
    </row>
    <row r="1639" spans="1:9" s="480" customFormat="1" x14ac:dyDescent="0.2">
      <c r="A1639" s="640"/>
      <c r="C1639" s="600"/>
      <c r="D1639" s="503"/>
      <c r="E1639" s="639"/>
      <c r="G1639" s="507"/>
      <c r="H1639" s="992"/>
      <c r="I1639" s="993"/>
    </row>
    <row r="1640" spans="1:9" s="480" customFormat="1" x14ac:dyDescent="0.2">
      <c r="A1640" s="640"/>
      <c r="C1640" s="600"/>
      <c r="D1640" s="503"/>
      <c r="E1640" s="639"/>
      <c r="G1640" s="507"/>
      <c r="H1640" s="992"/>
      <c r="I1640" s="993"/>
    </row>
    <row r="1641" spans="1:9" s="480" customFormat="1" x14ac:dyDescent="0.2">
      <c r="A1641" s="640"/>
      <c r="C1641" s="600"/>
      <c r="D1641" s="503"/>
      <c r="E1641" s="639"/>
      <c r="G1641" s="507"/>
      <c r="H1641" s="992"/>
      <c r="I1641" s="993"/>
    </row>
    <row r="1642" spans="1:9" s="480" customFormat="1" x14ac:dyDescent="0.2">
      <c r="A1642" s="640"/>
      <c r="C1642" s="600"/>
      <c r="D1642" s="503"/>
      <c r="E1642" s="639"/>
      <c r="G1642" s="507"/>
      <c r="H1642" s="992"/>
      <c r="I1642" s="993"/>
    </row>
    <row r="1643" spans="1:9" s="480" customFormat="1" x14ac:dyDescent="0.2">
      <c r="A1643" s="640"/>
      <c r="C1643" s="600"/>
      <c r="D1643" s="503"/>
      <c r="E1643" s="639"/>
      <c r="G1643" s="507"/>
      <c r="H1643" s="992"/>
      <c r="I1643" s="993"/>
    </row>
    <row r="1644" spans="1:9" s="480" customFormat="1" x14ac:dyDescent="0.2">
      <c r="A1644" s="640"/>
      <c r="C1644" s="600"/>
      <c r="D1644" s="503"/>
      <c r="E1644" s="639"/>
      <c r="G1644" s="507"/>
      <c r="H1644" s="992"/>
      <c r="I1644" s="993"/>
    </row>
    <row r="1645" spans="1:9" s="480" customFormat="1" x14ac:dyDescent="0.2">
      <c r="A1645" s="640"/>
      <c r="C1645" s="600"/>
      <c r="D1645" s="503"/>
      <c r="E1645" s="639"/>
      <c r="G1645" s="507"/>
      <c r="H1645" s="992"/>
      <c r="I1645" s="993"/>
    </row>
    <row r="1646" spans="1:9" s="480" customFormat="1" x14ac:dyDescent="0.2">
      <c r="A1646" s="640"/>
      <c r="C1646" s="600"/>
      <c r="D1646" s="503"/>
      <c r="E1646" s="639"/>
      <c r="G1646" s="507"/>
      <c r="H1646" s="992"/>
      <c r="I1646" s="993"/>
    </row>
    <row r="1647" spans="1:9" s="480" customFormat="1" x14ac:dyDescent="0.2">
      <c r="A1647" s="640"/>
      <c r="C1647" s="600"/>
      <c r="D1647" s="503"/>
      <c r="E1647" s="639"/>
      <c r="G1647" s="507"/>
      <c r="H1647" s="992"/>
      <c r="I1647" s="993"/>
    </row>
    <row r="1648" spans="1:9" s="480" customFormat="1" x14ac:dyDescent="0.2">
      <c r="A1648" s="640"/>
      <c r="C1648" s="600"/>
      <c r="D1648" s="503"/>
      <c r="E1648" s="639"/>
      <c r="G1648" s="507"/>
      <c r="H1648" s="992"/>
      <c r="I1648" s="993"/>
    </row>
    <row r="1649" spans="1:9" s="480" customFormat="1" x14ac:dyDescent="0.2">
      <c r="A1649" s="640"/>
      <c r="C1649" s="600"/>
      <c r="D1649" s="503"/>
      <c r="E1649" s="639"/>
      <c r="G1649" s="507"/>
      <c r="H1649" s="992"/>
      <c r="I1649" s="993"/>
    </row>
    <row r="1650" spans="1:9" s="480" customFormat="1" x14ac:dyDescent="0.2">
      <c r="A1650" s="640"/>
      <c r="C1650" s="600"/>
      <c r="D1650" s="503"/>
      <c r="E1650" s="639"/>
      <c r="G1650" s="507"/>
      <c r="H1650" s="992"/>
      <c r="I1650" s="993"/>
    </row>
    <row r="1651" spans="1:9" s="480" customFormat="1" x14ac:dyDescent="0.2">
      <c r="A1651" s="640"/>
      <c r="C1651" s="600"/>
      <c r="D1651" s="503"/>
      <c r="E1651" s="639"/>
      <c r="G1651" s="507"/>
      <c r="H1651" s="992"/>
      <c r="I1651" s="993"/>
    </row>
    <row r="1652" spans="1:9" s="480" customFormat="1" x14ac:dyDescent="0.2">
      <c r="A1652" s="640"/>
      <c r="C1652" s="600"/>
      <c r="D1652" s="503"/>
      <c r="E1652" s="639"/>
      <c r="G1652" s="507"/>
      <c r="H1652" s="992"/>
      <c r="I1652" s="993"/>
    </row>
    <row r="1653" spans="1:9" s="480" customFormat="1" x14ac:dyDescent="0.2">
      <c r="A1653" s="640"/>
      <c r="C1653" s="600"/>
      <c r="D1653" s="503"/>
      <c r="E1653" s="639"/>
      <c r="G1653" s="507"/>
      <c r="H1653" s="992"/>
      <c r="I1653" s="993"/>
    </row>
    <row r="1654" spans="1:9" s="480" customFormat="1" x14ac:dyDescent="0.2">
      <c r="A1654" s="640"/>
      <c r="C1654" s="600"/>
      <c r="D1654" s="503"/>
      <c r="E1654" s="639"/>
      <c r="G1654" s="507"/>
      <c r="H1654" s="992"/>
      <c r="I1654" s="993"/>
    </row>
    <row r="1655" spans="1:9" s="480" customFormat="1" x14ac:dyDescent="0.2">
      <c r="A1655" s="640"/>
      <c r="C1655" s="600"/>
      <c r="D1655" s="503"/>
      <c r="E1655" s="639"/>
      <c r="G1655" s="507"/>
      <c r="H1655" s="992"/>
      <c r="I1655" s="993"/>
    </row>
    <row r="1656" spans="1:9" s="480" customFormat="1" x14ac:dyDescent="0.2">
      <c r="A1656" s="640"/>
      <c r="C1656" s="600"/>
      <c r="D1656" s="503"/>
      <c r="E1656" s="639"/>
      <c r="G1656" s="507"/>
      <c r="H1656" s="992"/>
      <c r="I1656" s="993"/>
    </row>
    <row r="1657" spans="1:9" s="480" customFormat="1" x14ac:dyDescent="0.2">
      <c r="A1657" s="640"/>
      <c r="C1657" s="600"/>
      <c r="D1657" s="503"/>
      <c r="E1657" s="639"/>
      <c r="G1657" s="507"/>
      <c r="H1657" s="992"/>
      <c r="I1657" s="993"/>
    </row>
    <row r="1658" spans="1:9" s="480" customFormat="1" x14ac:dyDescent="0.2">
      <c r="A1658" s="640"/>
      <c r="C1658" s="600"/>
      <c r="D1658" s="503"/>
      <c r="E1658" s="639"/>
      <c r="G1658" s="507"/>
      <c r="H1658" s="992"/>
      <c r="I1658" s="993"/>
    </row>
    <row r="1659" spans="1:9" s="480" customFormat="1" x14ac:dyDescent="0.2">
      <c r="A1659" s="640"/>
      <c r="C1659" s="600"/>
      <c r="D1659" s="503"/>
      <c r="E1659" s="639"/>
      <c r="G1659" s="507"/>
      <c r="H1659" s="992"/>
      <c r="I1659" s="993"/>
    </row>
    <row r="1660" spans="1:9" s="480" customFormat="1" x14ac:dyDescent="0.2">
      <c r="A1660" s="640"/>
      <c r="C1660" s="600"/>
      <c r="D1660" s="503"/>
      <c r="E1660" s="639"/>
      <c r="G1660" s="507"/>
      <c r="H1660" s="992"/>
      <c r="I1660" s="993"/>
    </row>
    <row r="1661" spans="1:9" s="480" customFormat="1" x14ac:dyDescent="0.2">
      <c r="A1661" s="640"/>
      <c r="C1661" s="600"/>
      <c r="D1661" s="503"/>
      <c r="E1661" s="639"/>
      <c r="G1661" s="507"/>
      <c r="H1661" s="992"/>
      <c r="I1661" s="993"/>
    </row>
    <row r="1662" spans="1:9" s="480" customFormat="1" x14ac:dyDescent="0.2">
      <c r="A1662" s="640"/>
      <c r="C1662" s="600"/>
      <c r="D1662" s="503"/>
      <c r="E1662" s="639"/>
      <c r="G1662" s="507"/>
      <c r="H1662" s="992"/>
      <c r="I1662" s="993"/>
    </row>
    <row r="1663" spans="1:9" s="480" customFormat="1" x14ac:dyDescent="0.2">
      <c r="A1663" s="640"/>
      <c r="C1663" s="600"/>
      <c r="D1663" s="503"/>
      <c r="E1663" s="639"/>
      <c r="G1663" s="507"/>
      <c r="H1663" s="992"/>
      <c r="I1663" s="993"/>
    </row>
    <row r="1664" spans="1:9" s="480" customFormat="1" x14ac:dyDescent="0.2">
      <c r="A1664" s="640"/>
      <c r="C1664" s="600"/>
      <c r="D1664" s="503"/>
      <c r="E1664" s="639"/>
      <c r="G1664" s="507"/>
      <c r="H1664" s="992"/>
      <c r="I1664" s="993"/>
    </row>
    <row r="1665" spans="1:9" s="480" customFormat="1" x14ac:dyDescent="0.2">
      <c r="A1665" s="640"/>
      <c r="C1665" s="600"/>
      <c r="D1665" s="503"/>
      <c r="E1665" s="639"/>
      <c r="G1665" s="507"/>
      <c r="H1665" s="992"/>
      <c r="I1665" s="993"/>
    </row>
    <row r="1666" spans="1:9" s="480" customFormat="1" x14ac:dyDescent="0.2">
      <c r="A1666" s="640"/>
      <c r="C1666" s="600"/>
      <c r="D1666" s="503"/>
      <c r="E1666" s="639"/>
      <c r="G1666" s="507"/>
      <c r="H1666" s="992"/>
      <c r="I1666" s="993"/>
    </row>
    <row r="1667" spans="1:9" s="480" customFormat="1" x14ac:dyDescent="0.2">
      <c r="A1667" s="640"/>
      <c r="C1667" s="600"/>
      <c r="D1667" s="503"/>
      <c r="E1667" s="639"/>
      <c r="G1667" s="507"/>
      <c r="H1667" s="992"/>
      <c r="I1667" s="993"/>
    </row>
    <row r="1668" spans="1:9" s="480" customFormat="1" x14ac:dyDescent="0.2">
      <c r="A1668" s="640"/>
      <c r="C1668" s="600"/>
      <c r="D1668" s="503"/>
      <c r="E1668" s="639"/>
      <c r="G1668" s="507"/>
      <c r="H1668" s="992"/>
      <c r="I1668" s="993"/>
    </row>
    <row r="1669" spans="1:9" s="480" customFormat="1" x14ac:dyDescent="0.2">
      <c r="A1669" s="640"/>
      <c r="C1669" s="600"/>
      <c r="D1669" s="503"/>
      <c r="E1669" s="639"/>
      <c r="G1669" s="507"/>
      <c r="H1669" s="992"/>
      <c r="I1669" s="993"/>
    </row>
    <row r="1670" spans="1:9" s="480" customFormat="1" x14ac:dyDescent="0.2">
      <c r="A1670" s="640"/>
      <c r="C1670" s="600"/>
      <c r="D1670" s="503"/>
      <c r="E1670" s="639"/>
      <c r="G1670" s="507"/>
      <c r="H1670" s="992"/>
      <c r="I1670" s="993"/>
    </row>
    <row r="1671" spans="1:9" s="480" customFormat="1" x14ac:dyDescent="0.2">
      <c r="A1671" s="640"/>
      <c r="C1671" s="600"/>
      <c r="D1671" s="503"/>
      <c r="E1671" s="639"/>
      <c r="G1671" s="507"/>
      <c r="H1671" s="992"/>
      <c r="I1671" s="993"/>
    </row>
    <row r="1672" spans="1:9" s="480" customFormat="1" x14ac:dyDescent="0.2">
      <c r="A1672" s="640"/>
      <c r="C1672" s="600"/>
      <c r="D1672" s="503"/>
      <c r="E1672" s="639"/>
      <c r="G1672" s="507"/>
      <c r="H1672" s="992"/>
      <c r="I1672" s="993"/>
    </row>
    <row r="1673" spans="1:9" s="480" customFormat="1" x14ac:dyDescent="0.2">
      <c r="A1673" s="640"/>
      <c r="C1673" s="600"/>
      <c r="D1673" s="503"/>
      <c r="E1673" s="639"/>
      <c r="G1673" s="507"/>
      <c r="H1673" s="992"/>
      <c r="I1673" s="993"/>
    </row>
    <row r="1674" spans="1:9" s="480" customFormat="1" x14ac:dyDescent="0.2">
      <c r="A1674" s="640"/>
      <c r="C1674" s="600"/>
      <c r="D1674" s="503"/>
      <c r="E1674" s="639"/>
      <c r="G1674" s="507"/>
      <c r="H1674" s="992"/>
      <c r="I1674" s="993"/>
    </row>
    <row r="1675" spans="1:9" s="480" customFormat="1" x14ac:dyDescent="0.2">
      <c r="A1675" s="640"/>
      <c r="C1675" s="600"/>
      <c r="D1675" s="503"/>
      <c r="E1675" s="639"/>
      <c r="G1675" s="507"/>
      <c r="H1675" s="992"/>
      <c r="I1675" s="993"/>
    </row>
    <row r="1676" spans="1:9" s="480" customFormat="1" x14ac:dyDescent="0.2">
      <c r="A1676" s="640"/>
      <c r="C1676" s="600"/>
      <c r="D1676" s="503"/>
      <c r="E1676" s="639"/>
      <c r="G1676" s="507"/>
      <c r="H1676" s="992"/>
      <c r="I1676" s="993"/>
    </row>
    <row r="1677" spans="1:9" s="480" customFormat="1" x14ac:dyDescent="0.2">
      <c r="A1677" s="640"/>
      <c r="C1677" s="600"/>
      <c r="D1677" s="503"/>
      <c r="E1677" s="639"/>
      <c r="G1677" s="507"/>
      <c r="H1677" s="992"/>
      <c r="I1677" s="993"/>
    </row>
    <row r="1678" spans="1:9" s="480" customFormat="1" x14ac:dyDescent="0.2">
      <c r="A1678" s="640"/>
      <c r="C1678" s="600"/>
      <c r="D1678" s="503"/>
      <c r="E1678" s="639"/>
      <c r="G1678" s="507"/>
      <c r="H1678" s="992"/>
      <c r="I1678" s="993"/>
    </row>
    <row r="1679" spans="1:9" s="480" customFormat="1" x14ac:dyDescent="0.2">
      <c r="A1679" s="640"/>
      <c r="C1679" s="600"/>
      <c r="D1679" s="503"/>
      <c r="E1679" s="639"/>
      <c r="G1679" s="507"/>
      <c r="H1679" s="992"/>
      <c r="I1679" s="993"/>
    </row>
    <row r="1680" spans="1:9" s="480" customFormat="1" x14ac:dyDescent="0.2">
      <c r="A1680" s="640"/>
      <c r="C1680" s="600"/>
      <c r="D1680" s="503"/>
      <c r="E1680" s="639"/>
      <c r="G1680" s="507"/>
      <c r="H1680" s="992"/>
      <c r="I1680" s="993"/>
    </row>
    <row r="1681" spans="1:9" s="480" customFormat="1" x14ac:dyDescent="0.2">
      <c r="A1681" s="640"/>
      <c r="C1681" s="600"/>
      <c r="D1681" s="503"/>
      <c r="E1681" s="639"/>
      <c r="G1681" s="507"/>
      <c r="H1681" s="992"/>
      <c r="I1681" s="993"/>
    </row>
    <row r="1682" spans="1:9" s="480" customFormat="1" x14ac:dyDescent="0.2">
      <c r="A1682" s="640"/>
      <c r="C1682" s="600"/>
      <c r="D1682" s="503"/>
      <c r="E1682" s="639"/>
      <c r="G1682" s="507"/>
      <c r="H1682" s="992"/>
      <c r="I1682" s="993"/>
    </row>
    <row r="1683" spans="1:9" s="480" customFormat="1" x14ac:dyDescent="0.2">
      <c r="A1683" s="640"/>
      <c r="C1683" s="600"/>
      <c r="D1683" s="503"/>
      <c r="E1683" s="639"/>
      <c r="G1683" s="507"/>
      <c r="H1683" s="992"/>
      <c r="I1683" s="993"/>
    </row>
    <row r="1684" spans="1:9" s="480" customFormat="1" x14ac:dyDescent="0.2">
      <c r="A1684" s="640"/>
      <c r="C1684" s="600"/>
      <c r="D1684" s="503"/>
      <c r="E1684" s="639"/>
      <c r="G1684" s="507"/>
      <c r="H1684" s="992"/>
      <c r="I1684" s="993"/>
    </row>
    <row r="1685" spans="1:9" s="480" customFormat="1" x14ac:dyDescent="0.2">
      <c r="A1685" s="640"/>
      <c r="C1685" s="600"/>
      <c r="D1685" s="503"/>
      <c r="E1685" s="639"/>
      <c r="G1685" s="507"/>
      <c r="H1685" s="992"/>
      <c r="I1685" s="993"/>
    </row>
    <row r="1686" spans="1:9" s="480" customFormat="1" x14ac:dyDescent="0.2">
      <c r="A1686" s="640"/>
      <c r="C1686" s="600"/>
      <c r="D1686" s="503"/>
      <c r="E1686" s="639"/>
      <c r="G1686" s="507"/>
      <c r="H1686" s="992"/>
      <c r="I1686" s="993"/>
    </row>
    <row r="1687" spans="1:9" s="480" customFormat="1" x14ac:dyDescent="0.2">
      <c r="A1687" s="640"/>
      <c r="C1687" s="600"/>
      <c r="D1687" s="503"/>
      <c r="E1687" s="639"/>
      <c r="G1687" s="507"/>
      <c r="H1687" s="992"/>
      <c r="I1687" s="993"/>
    </row>
    <row r="1688" spans="1:9" s="480" customFormat="1" x14ac:dyDescent="0.2">
      <c r="A1688" s="640"/>
      <c r="C1688" s="600"/>
      <c r="D1688" s="503"/>
      <c r="E1688" s="639"/>
      <c r="G1688" s="507"/>
      <c r="H1688" s="992"/>
      <c r="I1688" s="993"/>
    </row>
    <row r="1689" spans="1:9" s="480" customFormat="1" x14ac:dyDescent="0.2">
      <c r="A1689" s="640"/>
      <c r="C1689" s="600"/>
      <c r="D1689" s="503"/>
      <c r="E1689" s="639"/>
      <c r="G1689" s="507"/>
      <c r="H1689" s="992"/>
      <c r="I1689" s="993"/>
    </row>
    <row r="1690" spans="1:9" s="480" customFormat="1" x14ac:dyDescent="0.2">
      <c r="A1690" s="640"/>
      <c r="C1690" s="600"/>
      <c r="D1690" s="503"/>
      <c r="E1690" s="639"/>
      <c r="G1690" s="507"/>
      <c r="H1690" s="992"/>
      <c r="I1690" s="993"/>
    </row>
    <row r="1691" spans="1:9" s="480" customFormat="1" x14ac:dyDescent="0.2">
      <c r="A1691" s="640"/>
      <c r="C1691" s="600"/>
      <c r="D1691" s="503"/>
      <c r="E1691" s="639"/>
      <c r="G1691" s="507"/>
      <c r="H1691" s="992"/>
      <c r="I1691" s="993"/>
    </row>
    <row r="1692" spans="1:9" s="480" customFormat="1" x14ac:dyDescent="0.2">
      <c r="A1692" s="640"/>
      <c r="C1692" s="600"/>
      <c r="D1692" s="503"/>
      <c r="E1692" s="639"/>
      <c r="G1692" s="507"/>
      <c r="H1692" s="992"/>
      <c r="I1692" s="993"/>
    </row>
    <row r="1693" spans="1:9" s="480" customFormat="1" x14ac:dyDescent="0.2">
      <c r="A1693" s="640"/>
      <c r="C1693" s="600"/>
      <c r="D1693" s="503"/>
      <c r="E1693" s="639"/>
      <c r="G1693" s="507"/>
      <c r="H1693" s="992"/>
      <c r="I1693" s="993"/>
    </row>
    <row r="1694" spans="1:9" s="480" customFormat="1" x14ac:dyDescent="0.2">
      <c r="A1694" s="640"/>
      <c r="C1694" s="600"/>
      <c r="D1694" s="503"/>
      <c r="E1694" s="639"/>
      <c r="G1694" s="507"/>
      <c r="H1694" s="992"/>
      <c r="I1694" s="993"/>
    </row>
    <row r="1695" spans="1:9" s="480" customFormat="1" x14ac:dyDescent="0.2">
      <c r="A1695" s="640"/>
      <c r="C1695" s="600"/>
      <c r="D1695" s="503"/>
      <c r="E1695" s="639"/>
      <c r="G1695" s="507"/>
      <c r="H1695" s="992"/>
      <c r="I1695" s="993"/>
    </row>
    <row r="1696" spans="1:9" s="480" customFormat="1" x14ac:dyDescent="0.2">
      <c r="A1696" s="640"/>
      <c r="C1696" s="600"/>
      <c r="D1696" s="503"/>
      <c r="E1696" s="639"/>
      <c r="G1696" s="507"/>
      <c r="H1696" s="992"/>
      <c r="I1696" s="993"/>
    </row>
    <row r="1697" spans="1:9" s="480" customFormat="1" x14ac:dyDescent="0.2">
      <c r="A1697" s="640"/>
      <c r="C1697" s="600"/>
      <c r="D1697" s="503"/>
      <c r="E1697" s="639"/>
      <c r="G1697" s="507"/>
      <c r="H1697" s="992"/>
      <c r="I1697" s="993"/>
    </row>
    <row r="1698" spans="1:9" s="480" customFormat="1" x14ac:dyDescent="0.2">
      <c r="A1698" s="640"/>
      <c r="C1698" s="600"/>
      <c r="D1698" s="503"/>
      <c r="E1698" s="639"/>
      <c r="G1698" s="507"/>
      <c r="H1698" s="992"/>
      <c r="I1698" s="993"/>
    </row>
    <row r="1699" spans="1:9" s="480" customFormat="1" x14ac:dyDescent="0.2">
      <c r="A1699" s="640"/>
      <c r="C1699" s="600"/>
      <c r="D1699" s="503"/>
      <c r="E1699" s="639"/>
      <c r="G1699" s="507"/>
      <c r="H1699" s="992"/>
      <c r="I1699" s="993"/>
    </row>
    <row r="1700" spans="1:9" s="480" customFormat="1" x14ac:dyDescent="0.2">
      <c r="A1700" s="640"/>
      <c r="C1700" s="600"/>
      <c r="D1700" s="503"/>
      <c r="E1700" s="639"/>
      <c r="G1700" s="507"/>
      <c r="H1700" s="992"/>
      <c r="I1700" s="993"/>
    </row>
    <row r="1701" spans="1:9" s="480" customFormat="1" x14ac:dyDescent="0.2">
      <c r="A1701" s="640"/>
      <c r="C1701" s="600"/>
      <c r="D1701" s="503"/>
      <c r="E1701" s="639"/>
      <c r="G1701" s="507"/>
      <c r="H1701" s="992"/>
      <c r="I1701" s="993"/>
    </row>
    <row r="1702" spans="1:9" s="480" customFormat="1" x14ac:dyDescent="0.2">
      <c r="A1702" s="640"/>
      <c r="C1702" s="600"/>
      <c r="D1702" s="503"/>
      <c r="E1702" s="639"/>
      <c r="G1702" s="507"/>
      <c r="H1702" s="992"/>
      <c r="I1702" s="993"/>
    </row>
    <row r="1703" spans="1:9" s="480" customFormat="1" x14ac:dyDescent="0.2">
      <c r="A1703" s="640"/>
      <c r="C1703" s="600"/>
      <c r="D1703" s="503"/>
      <c r="E1703" s="639"/>
      <c r="G1703" s="507"/>
      <c r="H1703" s="992"/>
      <c r="I1703" s="993"/>
    </row>
    <row r="1704" spans="1:9" s="480" customFormat="1" x14ac:dyDescent="0.2">
      <c r="A1704" s="640"/>
      <c r="C1704" s="600"/>
      <c r="D1704" s="503"/>
      <c r="E1704" s="639"/>
      <c r="G1704" s="507"/>
      <c r="H1704" s="992"/>
      <c r="I1704" s="993"/>
    </row>
    <row r="1705" spans="1:9" s="480" customFormat="1" x14ac:dyDescent="0.2">
      <c r="A1705" s="640"/>
      <c r="C1705" s="600"/>
      <c r="D1705" s="503"/>
      <c r="E1705" s="639"/>
      <c r="G1705" s="507"/>
      <c r="H1705" s="992"/>
      <c r="I1705" s="993"/>
    </row>
    <row r="1706" spans="1:9" s="480" customFormat="1" x14ac:dyDescent="0.2">
      <c r="A1706" s="640"/>
      <c r="C1706" s="600"/>
      <c r="D1706" s="503"/>
      <c r="E1706" s="639"/>
      <c r="G1706" s="507"/>
      <c r="H1706" s="992"/>
      <c r="I1706" s="993"/>
    </row>
    <row r="1707" spans="1:9" s="480" customFormat="1" x14ac:dyDescent="0.2">
      <c r="A1707" s="640"/>
      <c r="C1707" s="600"/>
      <c r="D1707" s="503"/>
      <c r="E1707" s="639"/>
      <c r="G1707" s="507"/>
      <c r="H1707" s="992"/>
      <c r="I1707" s="993"/>
    </row>
    <row r="1708" spans="1:9" s="480" customFormat="1" x14ac:dyDescent="0.2">
      <c r="A1708" s="640"/>
      <c r="C1708" s="600"/>
      <c r="D1708" s="503"/>
      <c r="E1708" s="639"/>
      <c r="G1708" s="507"/>
      <c r="H1708" s="992"/>
      <c r="I1708" s="993"/>
    </row>
    <row r="1709" spans="1:9" s="480" customFormat="1" x14ac:dyDescent="0.2">
      <c r="A1709" s="640"/>
      <c r="C1709" s="600"/>
      <c r="D1709" s="503"/>
      <c r="E1709" s="639"/>
      <c r="G1709" s="507"/>
      <c r="H1709" s="992"/>
      <c r="I1709" s="993"/>
    </row>
    <row r="1710" spans="1:9" s="480" customFormat="1" x14ac:dyDescent="0.2">
      <c r="A1710" s="640"/>
      <c r="C1710" s="600"/>
      <c r="D1710" s="503"/>
      <c r="E1710" s="639"/>
      <c r="G1710" s="507"/>
      <c r="H1710" s="992"/>
      <c r="I1710" s="993"/>
    </row>
    <row r="1711" spans="1:9" s="480" customFormat="1" x14ac:dyDescent="0.2">
      <c r="A1711" s="640"/>
      <c r="C1711" s="600"/>
      <c r="D1711" s="503"/>
      <c r="E1711" s="639"/>
      <c r="G1711" s="507"/>
      <c r="H1711" s="992"/>
      <c r="I1711" s="993"/>
    </row>
    <row r="1712" spans="1:9" s="480" customFormat="1" x14ac:dyDescent="0.2">
      <c r="A1712" s="640"/>
      <c r="C1712" s="600"/>
      <c r="D1712" s="503"/>
      <c r="E1712" s="639"/>
      <c r="G1712" s="507"/>
      <c r="H1712" s="992"/>
      <c r="I1712" s="993"/>
    </row>
    <row r="1713" spans="1:9" s="480" customFormat="1" x14ac:dyDescent="0.2">
      <c r="A1713" s="640"/>
      <c r="C1713" s="600"/>
      <c r="D1713" s="503"/>
      <c r="E1713" s="639"/>
      <c r="G1713" s="507"/>
      <c r="H1713" s="992"/>
      <c r="I1713" s="993"/>
    </row>
    <row r="1714" spans="1:9" s="480" customFormat="1" x14ac:dyDescent="0.2">
      <c r="A1714" s="640"/>
      <c r="C1714" s="600"/>
      <c r="D1714" s="503"/>
      <c r="E1714" s="639"/>
      <c r="G1714" s="507"/>
      <c r="H1714" s="992"/>
      <c r="I1714" s="993"/>
    </row>
    <row r="1715" spans="1:9" s="480" customFormat="1" x14ac:dyDescent="0.2">
      <c r="A1715" s="640"/>
      <c r="C1715" s="600"/>
      <c r="D1715" s="503"/>
      <c r="E1715" s="639"/>
      <c r="G1715" s="507"/>
      <c r="H1715" s="992"/>
      <c r="I1715" s="993"/>
    </row>
    <row r="1716" spans="1:9" s="480" customFormat="1" x14ac:dyDescent="0.2">
      <c r="A1716" s="640"/>
      <c r="C1716" s="600"/>
      <c r="D1716" s="503"/>
      <c r="E1716" s="639"/>
      <c r="G1716" s="507"/>
      <c r="H1716" s="992"/>
      <c r="I1716" s="993"/>
    </row>
    <row r="1717" spans="1:9" s="480" customFormat="1" x14ac:dyDescent="0.2">
      <c r="A1717" s="640"/>
      <c r="C1717" s="600"/>
      <c r="D1717" s="503"/>
      <c r="E1717" s="639"/>
      <c r="G1717" s="507"/>
      <c r="H1717" s="992"/>
      <c r="I1717" s="993"/>
    </row>
    <row r="1718" spans="1:9" s="480" customFormat="1" x14ac:dyDescent="0.2">
      <c r="A1718" s="640"/>
      <c r="C1718" s="600"/>
      <c r="D1718" s="503"/>
      <c r="E1718" s="639"/>
      <c r="G1718" s="507"/>
      <c r="H1718" s="992"/>
      <c r="I1718" s="993"/>
    </row>
    <row r="1719" spans="1:9" s="480" customFormat="1" x14ac:dyDescent="0.2">
      <c r="A1719" s="640"/>
      <c r="C1719" s="600"/>
      <c r="D1719" s="503"/>
      <c r="E1719" s="639"/>
      <c r="G1719" s="507"/>
      <c r="H1719" s="992"/>
      <c r="I1719" s="993"/>
    </row>
    <row r="1720" spans="1:9" s="480" customFormat="1" x14ac:dyDescent="0.2">
      <c r="A1720" s="640"/>
      <c r="C1720" s="600"/>
      <c r="D1720" s="503"/>
      <c r="E1720" s="639"/>
      <c r="G1720" s="507"/>
      <c r="H1720" s="992"/>
      <c r="I1720" s="993"/>
    </row>
    <row r="1721" spans="1:9" s="480" customFormat="1" x14ac:dyDescent="0.2">
      <c r="A1721" s="640"/>
      <c r="C1721" s="600"/>
      <c r="D1721" s="503"/>
      <c r="E1721" s="639"/>
      <c r="G1721" s="507"/>
      <c r="H1721" s="992"/>
      <c r="I1721" s="993"/>
    </row>
    <row r="1722" spans="1:9" s="480" customFormat="1" x14ac:dyDescent="0.2">
      <c r="A1722" s="640"/>
      <c r="C1722" s="600"/>
      <c r="D1722" s="503"/>
      <c r="E1722" s="639"/>
      <c r="G1722" s="507"/>
      <c r="H1722" s="992"/>
      <c r="I1722" s="993"/>
    </row>
    <row r="1723" spans="1:9" s="480" customFormat="1" x14ac:dyDescent="0.2">
      <c r="A1723" s="640"/>
      <c r="C1723" s="600"/>
      <c r="D1723" s="503"/>
      <c r="E1723" s="639"/>
      <c r="G1723" s="507"/>
      <c r="H1723" s="992"/>
      <c r="I1723" s="993"/>
    </row>
    <row r="1724" spans="1:9" s="480" customFormat="1" x14ac:dyDescent="0.2">
      <c r="A1724" s="640"/>
      <c r="C1724" s="600"/>
      <c r="D1724" s="503"/>
      <c r="E1724" s="639"/>
      <c r="G1724" s="507"/>
      <c r="H1724" s="992"/>
      <c r="I1724" s="993"/>
    </row>
    <row r="1725" spans="1:9" s="480" customFormat="1" x14ac:dyDescent="0.2">
      <c r="A1725" s="640"/>
      <c r="C1725" s="600"/>
      <c r="D1725" s="503"/>
      <c r="E1725" s="639"/>
      <c r="G1725" s="507"/>
      <c r="H1725" s="992"/>
      <c r="I1725" s="993"/>
    </row>
    <row r="1726" spans="1:9" s="480" customFormat="1" x14ac:dyDescent="0.2">
      <c r="A1726" s="640"/>
      <c r="C1726" s="600"/>
      <c r="D1726" s="503"/>
      <c r="E1726" s="639"/>
      <c r="G1726" s="507"/>
      <c r="H1726" s="992"/>
      <c r="I1726" s="993"/>
    </row>
    <row r="1727" spans="1:9" s="480" customFormat="1" x14ac:dyDescent="0.2">
      <c r="A1727" s="640"/>
      <c r="C1727" s="600"/>
      <c r="D1727" s="503"/>
      <c r="E1727" s="639"/>
      <c r="G1727" s="507"/>
      <c r="H1727" s="992"/>
      <c r="I1727" s="993"/>
    </row>
    <row r="1728" spans="1:9" s="480" customFormat="1" x14ac:dyDescent="0.2">
      <c r="A1728" s="640"/>
      <c r="C1728" s="600"/>
      <c r="D1728" s="503"/>
      <c r="E1728" s="639"/>
      <c r="G1728" s="507"/>
      <c r="H1728" s="992"/>
      <c r="I1728" s="993"/>
    </row>
    <row r="1729" spans="1:9" s="480" customFormat="1" x14ac:dyDescent="0.2">
      <c r="A1729" s="640"/>
      <c r="C1729" s="600"/>
      <c r="D1729" s="503"/>
      <c r="E1729" s="639"/>
      <c r="G1729" s="507"/>
      <c r="H1729" s="992"/>
      <c r="I1729" s="993"/>
    </row>
    <row r="1730" spans="1:9" s="480" customFormat="1" x14ac:dyDescent="0.2">
      <c r="A1730" s="640"/>
      <c r="C1730" s="600"/>
      <c r="D1730" s="503"/>
      <c r="E1730" s="639"/>
      <c r="G1730" s="507"/>
      <c r="H1730" s="992"/>
      <c r="I1730" s="993"/>
    </row>
    <row r="1731" spans="1:9" s="480" customFormat="1" x14ac:dyDescent="0.2">
      <c r="A1731" s="640"/>
      <c r="C1731" s="600"/>
      <c r="D1731" s="503"/>
      <c r="E1731" s="639"/>
      <c r="G1731" s="507"/>
      <c r="H1731" s="992"/>
      <c r="I1731" s="993"/>
    </row>
    <row r="1732" spans="1:9" s="480" customFormat="1" x14ac:dyDescent="0.2">
      <c r="A1732" s="640"/>
      <c r="C1732" s="600"/>
      <c r="D1732" s="503"/>
      <c r="E1732" s="639"/>
      <c r="G1732" s="507"/>
      <c r="H1732" s="992"/>
      <c r="I1732" s="993"/>
    </row>
    <row r="1733" spans="1:9" s="480" customFormat="1" x14ac:dyDescent="0.2">
      <c r="A1733" s="640"/>
      <c r="C1733" s="600"/>
      <c r="D1733" s="503"/>
      <c r="E1733" s="639"/>
      <c r="G1733" s="507"/>
      <c r="H1733" s="992"/>
      <c r="I1733" s="993"/>
    </row>
    <row r="1734" spans="1:9" s="480" customFormat="1" x14ac:dyDescent="0.2">
      <c r="A1734" s="640"/>
      <c r="C1734" s="600"/>
      <c r="D1734" s="503"/>
      <c r="E1734" s="639"/>
      <c r="G1734" s="507"/>
      <c r="H1734" s="992"/>
      <c r="I1734" s="993"/>
    </row>
    <row r="1735" spans="1:9" s="480" customFormat="1" x14ac:dyDescent="0.2">
      <c r="A1735" s="640"/>
      <c r="C1735" s="600"/>
      <c r="D1735" s="503"/>
      <c r="E1735" s="639"/>
      <c r="G1735" s="507"/>
      <c r="H1735" s="992"/>
      <c r="I1735" s="993"/>
    </row>
    <row r="1736" spans="1:9" s="480" customFormat="1" x14ac:dyDescent="0.2">
      <c r="A1736" s="640"/>
      <c r="C1736" s="600"/>
      <c r="D1736" s="503"/>
      <c r="E1736" s="639"/>
      <c r="G1736" s="507"/>
      <c r="H1736" s="992"/>
      <c r="I1736" s="993"/>
    </row>
    <row r="1737" spans="1:9" s="480" customFormat="1" x14ac:dyDescent="0.2">
      <c r="A1737" s="640"/>
      <c r="C1737" s="600"/>
      <c r="D1737" s="503"/>
      <c r="E1737" s="639"/>
      <c r="G1737" s="507"/>
      <c r="H1737" s="992"/>
      <c r="I1737" s="993"/>
    </row>
    <row r="1738" spans="1:9" s="480" customFormat="1" x14ac:dyDescent="0.2">
      <c r="A1738" s="640"/>
      <c r="C1738" s="600"/>
      <c r="D1738" s="503"/>
      <c r="E1738" s="639"/>
      <c r="G1738" s="507"/>
      <c r="H1738" s="992"/>
      <c r="I1738" s="993"/>
    </row>
    <row r="1739" spans="1:9" s="480" customFormat="1" x14ac:dyDescent="0.2">
      <c r="A1739" s="640"/>
      <c r="C1739" s="600"/>
      <c r="D1739" s="503"/>
      <c r="E1739" s="639"/>
      <c r="G1739" s="507"/>
      <c r="H1739" s="992"/>
      <c r="I1739" s="993"/>
    </row>
    <row r="1740" spans="1:9" s="480" customFormat="1" x14ac:dyDescent="0.2">
      <c r="A1740" s="640"/>
      <c r="C1740" s="600"/>
      <c r="D1740" s="503"/>
      <c r="E1740" s="639"/>
      <c r="G1740" s="507"/>
      <c r="H1740" s="992"/>
      <c r="I1740" s="993"/>
    </row>
    <row r="1741" spans="1:9" s="480" customFormat="1" x14ac:dyDescent="0.2">
      <c r="A1741" s="640"/>
      <c r="C1741" s="600"/>
      <c r="D1741" s="503"/>
      <c r="E1741" s="639"/>
      <c r="G1741" s="507"/>
      <c r="H1741" s="992"/>
      <c r="I1741" s="993"/>
    </row>
    <row r="1742" spans="1:9" s="480" customFormat="1" x14ac:dyDescent="0.2">
      <c r="A1742" s="640"/>
      <c r="C1742" s="600"/>
      <c r="D1742" s="503"/>
      <c r="E1742" s="639"/>
      <c r="G1742" s="507"/>
      <c r="H1742" s="992"/>
      <c r="I1742" s="993"/>
    </row>
    <row r="1743" spans="1:9" s="480" customFormat="1" x14ac:dyDescent="0.2">
      <c r="A1743" s="640"/>
      <c r="C1743" s="600"/>
      <c r="D1743" s="503"/>
      <c r="E1743" s="639"/>
      <c r="G1743" s="507"/>
      <c r="H1743" s="992"/>
      <c r="I1743" s="993"/>
    </row>
    <row r="1744" spans="1:9" s="480" customFormat="1" x14ac:dyDescent="0.2">
      <c r="A1744" s="640"/>
      <c r="C1744" s="600"/>
      <c r="D1744" s="503"/>
      <c r="E1744" s="639"/>
      <c r="G1744" s="507"/>
      <c r="H1744" s="992"/>
      <c r="I1744" s="993"/>
    </row>
    <row r="1745" spans="1:9" s="480" customFormat="1" x14ac:dyDescent="0.2">
      <c r="A1745" s="640"/>
      <c r="C1745" s="600"/>
      <c r="D1745" s="503"/>
      <c r="E1745" s="639"/>
      <c r="G1745" s="507"/>
      <c r="H1745" s="992"/>
      <c r="I1745" s="993"/>
    </row>
    <row r="1746" spans="1:9" s="480" customFormat="1" x14ac:dyDescent="0.2">
      <c r="A1746" s="640"/>
      <c r="C1746" s="600"/>
      <c r="D1746" s="503"/>
      <c r="E1746" s="639"/>
      <c r="G1746" s="507"/>
      <c r="H1746" s="992"/>
      <c r="I1746" s="993"/>
    </row>
    <row r="1747" spans="1:9" s="480" customFormat="1" x14ac:dyDescent="0.2">
      <c r="A1747" s="640"/>
      <c r="C1747" s="600"/>
      <c r="D1747" s="503"/>
      <c r="E1747" s="639"/>
      <c r="G1747" s="507"/>
      <c r="H1747" s="992"/>
      <c r="I1747" s="993"/>
    </row>
    <row r="1748" spans="1:9" s="480" customFormat="1" x14ac:dyDescent="0.2">
      <c r="A1748" s="640"/>
      <c r="C1748" s="600"/>
      <c r="D1748" s="503"/>
      <c r="E1748" s="639"/>
      <c r="G1748" s="507"/>
      <c r="H1748" s="992"/>
      <c r="I1748" s="993"/>
    </row>
    <row r="1749" spans="1:9" s="480" customFormat="1" x14ac:dyDescent="0.2">
      <c r="A1749" s="640"/>
      <c r="C1749" s="600"/>
      <c r="D1749" s="503"/>
      <c r="E1749" s="639"/>
      <c r="G1749" s="507"/>
      <c r="H1749" s="992"/>
      <c r="I1749" s="993"/>
    </row>
    <row r="1750" spans="1:9" s="480" customFormat="1" x14ac:dyDescent="0.2">
      <c r="A1750" s="640"/>
      <c r="C1750" s="600"/>
      <c r="D1750" s="503"/>
      <c r="E1750" s="639"/>
      <c r="G1750" s="507"/>
      <c r="H1750" s="992"/>
      <c r="I1750" s="993"/>
    </row>
    <row r="1751" spans="1:9" s="480" customFormat="1" x14ac:dyDescent="0.2">
      <c r="A1751" s="640"/>
      <c r="C1751" s="600"/>
      <c r="D1751" s="503"/>
      <c r="E1751" s="639"/>
      <c r="G1751" s="507"/>
      <c r="H1751" s="992"/>
      <c r="I1751" s="993"/>
    </row>
    <row r="1752" spans="1:9" s="480" customFormat="1" x14ac:dyDescent="0.2">
      <c r="A1752" s="640"/>
      <c r="C1752" s="600"/>
      <c r="D1752" s="503"/>
      <c r="E1752" s="639"/>
      <c r="G1752" s="507"/>
      <c r="H1752" s="992"/>
      <c r="I1752" s="993"/>
    </row>
    <row r="1753" spans="1:9" s="480" customFormat="1" x14ac:dyDescent="0.2">
      <c r="A1753" s="640"/>
      <c r="C1753" s="600"/>
      <c r="D1753" s="503"/>
      <c r="E1753" s="639"/>
      <c r="G1753" s="507"/>
      <c r="H1753" s="992"/>
      <c r="I1753" s="993"/>
    </row>
    <row r="1754" spans="1:9" s="480" customFormat="1" x14ac:dyDescent="0.2">
      <c r="A1754" s="640"/>
      <c r="C1754" s="600"/>
      <c r="D1754" s="503"/>
      <c r="E1754" s="639"/>
      <c r="G1754" s="507"/>
      <c r="H1754" s="992"/>
      <c r="I1754" s="993"/>
    </row>
    <row r="1755" spans="1:9" s="480" customFormat="1" x14ac:dyDescent="0.2">
      <c r="A1755" s="640"/>
      <c r="C1755" s="600"/>
      <c r="D1755" s="503"/>
      <c r="E1755" s="639"/>
      <c r="G1755" s="507"/>
      <c r="H1755" s="992"/>
      <c r="I1755" s="993"/>
    </row>
    <row r="1756" spans="1:9" s="480" customFormat="1" x14ac:dyDescent="0.2">
      <c r="A1756" s="640"/>
      <c r="C1756" s="600"/>
      <c r="D1756" s="503"/>
      <c r="E1756" s="639"/>
      <c r="G1756" s="507"/>
      <c r="H1756" s="992"/>
      <c r="I1756" s="993"/>
    </row>
    <row r="1757" spans="1:9" s="480" customFormat="1" x14ac:dyDescent="0.2">
      <c r="A1757" s="640"/>
      <c r="C1757" s="600"/>
      <c r="D1757" s="503"/>
      <c r="E1757" s="639"/>
      <c r="G1757" s="507"/>
      <c r="H1757" s="992"/>
      <c r="I1757" s="993"/>
    </row>
    <row r="1758" spans="1:9" s="480" customFormat="1" x14ac:dyDescent="0.2">
      <c r="A1758" s="640"/>
      <c r="C1758" s="600"/>
      <c r="D1758" s="503"/>
      <c r="E1758" s="639"/>
      <c r="G1758" s="507"/>
      <c r="H1758" s="992"/>
      <c r="I1758" s="993"/>
    </row>
    <row r="1759" spans="1:9" s="480" customFormat="1" x14ac:dyDescent="0.2">
      <c r="A1759" s="640"/>
      <c r="C1759" s="600"/>
      <c r="D1759" s="503"/>
      <c r="E1759" s="639"/>
      <c r="G1759" s="507"/>
      <c r="H1759" s="992"/>
      <c r="I1759" s="993"/>
    </row>
    <row r="1760" spans="1:9" s="480" customFormat="1" x14ac:dyDescent="0.2">
      <c r="A1760" s="640"/>
      <c r="C1760" s="600"/>
      <c r="D1760" s="503"/>
      <c r="E1760" s="639"/>
      <c r="G1760" s="507"/>
      <c r="H1760" s="992"/>
      <c r="I1760" s="993"/>
    </row>
    <row r="1761" spans="1:9" s="480" customFormat="1" x14ac:dyDescent="0.2">
      <c r="A1761" s="640"/>
      <c r="C1761" s="600"/>
      <c r="D1761" s="503"/>
      <c r="E1761" s="639"/>
      <c r="G1761" s="507"/>
      <c r="H1761" s="992"/>
      <c r="I1761" s="993"/>
    </row>
    <row r="1762" spans="1:9" s="480" customFormat="1" x14ac:dyDescent="0.2">
      <c r="A1762" s="640"/>
      <c r="C1762" s="600"/>
      <c r="D1762" s="503"/>
      <c r="E1762" s="639"/>
      <c r="G1762" s="507"/>
      <c r="H1762" s="992"/>
      <c r="I1762" s="993"/>
    </row>
    <row r="1763" spans="1:9" s="480" customFormat="1" x14ac:dyDescent="0.2">
      <c r="A1763" s="640"/>
      <c r="C1763" s="600"/>
      <c r="D1763" s="503"/>
      <c r="E1763" s="639"/>
      <c r="G1763" s="507"/>
      <c r="H1763" s="992"/>
      <c r="I1763" s="993"/>
    </row>
    <row r="1764" spans="1:9" s="480" customFormat="1" x14ac:dyDescent="0.2">
      <c r="A1764" s="640"/>
      <c r="C1764" s="600"/>
      <c r="D1764" s="503"/>
      <c r="E1764" s="639"/>
      <c r="G1764" s="507"/>
      <c r="H1764" s="992"/>
      <c r="I1764" s="993"/>
    </row>
    <row r="1765" spans="1:9" s="480" customFormat="1" x14ac:dyDescent="0.2">
      <c r="A1765" s="640"/>
      <c r="C1765" s="600"/>
      <c r="D1765" s="503"/>
      <c r="E1765" s="639"/>
      <c r="G1765" s="507"/>
      <c r="H1765" s="992"/>
      <c r="I1765" s="993"/>
    </row>
    <row r="1766" spans="1:9" s="480" customFormat="1" x14ac:dyDescent="0.2">
      <c r="A1766" s="640"/>
      <c r="C1766" s="600"/>
      <c r="D1766" s="503"/>
      <c r="E1766" s="639"/>
      <c r="G1766" s="507"/>
      <c r="H1766" s="992"/>
      <c r="I1766" s="993"/>
    </row>
    <row r="1767" spans="1:9" s="480" customFormat="1" x14ac:dyDescent="0.2">
      <c r="A1767" s="640"/>
      <c r="C1767" s="600"/>
      <c r="D1767" s="503"/>
      <c r="E1767" s="639"/>
      <c r="G1767" s="507"/>
      <c r="H1767" s="992"/>
      <c r="I1767" s="993"/>
    </row>
    <row r="1768" spans="1:9" s="480" customFormat="1" x14ac:dyDescent="0.2">
      <c r="A1768" s="640"/>
      <c r="C1768" s="600"/>
      <c r="D1768" s="503"/>
      <c r="E1768" s="639"/>
      <c r="G1768" s="507"/>
      <c r="H1768" s="992"/>
      <c r="I1768" s="993"/>
    </row>
    <row r="1769" spans="1:9" s="480" customFormat="1" x14ac:dyDescent="0.2">
      <c r="A1769" s="640"/>
      <c r="C1769" s="600"/>
      <c r="D1769" s="503"/>
      <c r="E1769" s="639"/>
      <c r="G1769" s="507"/>
      <c r="H1769" s="992"/>
      <c r="I1769" s="993"/>
    </row>
    <row r="1770" spans="1:9" s="480" customFormat="1" x14ac:dyDescent="0.2">
      <c r="A1770" s="640"/>
      <c r="C1770" s="600"/>
      <c r="D1770" s="503"/>
      <c r="E1770" s="639"/>
      <c r="G1770" s="507"/>
      <c r="H1770" s="992"/>
      <c r="I1770" s="993"/>
    </row>
    <row r="1771" spans="1:9" s="480" customFormat="1" x14ac:dyDescent="0.2">
      <c r="A1771" s="640"/>
      <c r="C1771" s="600"/>
      <c r="D1771" s="503"/>
      <c r="E1771" s="639"/>
      <c r="G1771" s="507"/>
      <c r="H1771" s="992"/>
      <c r="I1771" s="993"/>
    </row>
    <row r="1772" spans="1:9" s="480" customFormat="1" x14ac:dyDescent="0.2">
      <c r="A1772" s="640"/>
      <c r="C1772" s="600"/>
      <c r="D1772" s="503"/>
      <c r="E1772" s="639"/>
      <c r="G1772" s="507"/>
      <c r="H1772" s="992"/>
      <c r="I1772" s="993"/>
    </row>
    <row r="1773" spans="1:9" s="480" customFormat="1" x14ac:dyDescent="0.2">
      <c r="A1773" s="640"/>
      <c r="C1773" s="600"/>
      <c r="D1773" s="503"/>
      <c r="E1773" s="639"/>
      <c r="G1773" s="507"/>
      <c r="H1773" s="992"/>
      <c r="I1773" s="993"/>
    </row>
    <row r="1774" spans="1:9" s="480" customFormat="1" x14ac:dyDescent="0.2">
      <c r="A1774" s="640"/>
      <c r="C1774" s="600"/>
      <c r="D1774" s="503"/>
      <c r="E1774" s="639"/>
      <c r="G1774" s="507"/>
      <c r="H1774" s="992"/>
      <c r="I1774" s="993"/>
    </row>
    <row r="1775" spans="1:9" s="480" customFormat="1" x14ac:dyDescent="0.2">
      <c r="A1775" s="640"/>
      <c r="C1775" s="600"/>
      <c r="D1775" s="503"/>
      <c r="E1775" s="639"/>
      <c r="G1775" s="507"/>
      <c r="H1775" s="992"/>
      <c r="I1775" s="993"/>
    </row>
    <row r="1776" spans="1:9" s="480" customFormat="1" x14ac:dyDescent="0.2">
      <c r="A1776" s="640"/>
      <c r="C1776" s="600"/>
      <c r="D1776" s="503"/>
      <c r="E1776" s="639"/>
      <c r="G1776" s="507"/>
      <c r="H1776" s="992"/>
      <c r="I1776" s="993"/>
    </row>
    <row r="1777" spans="1:9" s="480" customFormat="1" x14ac:dyDescent="0.2">
      <c r="A1777" s="640"/>
      <c r="C1777" s="600"/>
      <c r="D1777" s="503"/>
      <c r="E1777" s="639"/>
      <c r="G1777" s="507"/>
      <c r="H1777" s="992"/>
      <c r="I1777" s="993"/>
    </row>
    <row r="1778" spans="1:9" s="480" customFormat="1" x14ac:dyDescent="0.2">
      <c r="A1778" s="640"/>
      <c r="C1778" s="600"/>
      <c r="D1778" s="503"/>
      <c r="E1778" s="639"/>
      <c r="G1778" s="507"/>
      <c r="H1778" s="992"/>
      <c r="I1778" s="993"/>
    </row>
    <row r="1779" spans="1:9" s="480" customFormat="1" x14ac:dyDescent="0.2">
      <c r="A1779" s="640"/>
      <c r="C1779" s="600"/>
      <c r="D1779" s="503"/>
      <c r="E1779" s="639"/>
      <c r="G1779" s="507"/>
      <c r="H1779" s="992"/>
      <c r="I1779" s="993"/>
    </row>
    <row r="1780" spans="1:9" s="480" customFormat="1" x14ac:dyDescent="0.2">
      <c r="A1780" s="640"/>
      <c r="C1780" s="600"/>
      <c r="D1780" s="503"/>
      <c r="E1780" s="639"/>
      <c r="G1780" s="507"/>
      <c r="H1780" s="992"/>
      <c r="I1780" s="993"/>
    </row>
    <row r="1781" spans="1:9" s="480" customFormat="1" x14ac:dyDescent="0.2">
      <c r="A1781" s="640"/>
      <c r="C1781" s="600"/>
      <c r="D1781" s="503"/>
      <c r="E1781" s="639"/>
      <c r="G1781" s="507"/>
      <c r="H1781" s="992"/>
      <c r="I1781" s="993"/>
    </row>
    <row r="1782" spans="1:9" s="480" customFormat="1" x14ac:dyDescent="0.2">
      <c r="A1782" s="640"/>
      <c r="C1782" s="600"/>
      <c r="D1782" s="503"/>
      <c r="E1782" s="639"/>
      <c r="G1782" s="507"/>
      <c r="H1782" s="992"/>
      <c r="I1782" s="993"/>
    </row>
    <row r="1783" spans="1:9" s="480" customFormat="1" x14ac:dyDescent="0.2">
      <c r="A1783" s="640"/>
      <c r="C1783" s="600"/>
      <c r="D1783" s="503"/>
      <c r="E1783" s="639"/>
      <c r="G1783" s="507"/>
      <c r="H1783" s="992"/>
      <c r="I1783" s="993"/>
    </row>
    <row r="1784" spans="1:9" s="480" customFormat="1" x14ac:dyDescent="0.2">
      <c r="A1784" s="640"/>
      <c r="C1784" s="600"/>
      <c r="D1784" s="503"/>
      <c r="E1784" s="639"/>
      <c r="G1784" s="507"/>
      <c r="H1784" s="992"/>
      <c r="I1784" s="993"/>
    </row>
    <row r="1785" spans="1:9" s="480" customFormat="1" x14ac:dyDescent="0.2">
      <c r="A1785" s="640"/>
      <c r="C1785" s="600"/>
      <c r="D1785" s="503"/>
      <c r="E1785" s="639"/>
      <c r="G1785" s="507"/>
      <c r="H1785" s="992"/>
      <c r="I1785" s="993"/>
    </row>
    <row r="1786" spans="1:9" s="480" customFormat="1" x14ac:dyDescent="0.2">
      <c r="A1786" s="640"/>
      <c r="C1786" s="600"/>
      <c r="D1786" s="503"/>
      <c r="E1786" s="639"/>
      <c r="G1786" s="507"/>
      <c r="H1786" s="992"/>
      <c r="I1786" s="993"/>
    </row>
    <row r="1787" spans="1:9" s="480" customFormat="1" x14ac:dyDescent="0.2">
      <c r="A1787" s="640"/>
      <c r="C1787" s="600"/>
      <c r="D1787" s="503"/>
      <c r="E1787" s="639"/>
      <c r="G1787" s="507"/>
      <c r="H1787" s="992"/>
      <c r="I1787" s="993"/>
    </row>
    <row r="1788" spans="1:9" s="480" customFormat="1" x14ac:dyDescent="0.2">
      <c r="A1788" s="640"/>
      <c r="C1788" s="600"/>
      <c r="D1788" s="503"/>
      <c r="E1788" s="639"/>
      <c r="G1788" s="507"/>
      <c r="H1788" s="992"/>
      <c r="I1788" s="993"/>
    </row>
    <row r="1789" spans="1:9" s="480" customFormat="1" x14ac:dyDescent="0.2">
      <c r="A1789" s="640"/>
      <c r="C1789" s="600"/>
      <c r="D1789" s="503"/>
      <c r="E1789" s="639"/>
      <c r="G1789" s="507"/>
      <c r="H1789" s="992"/>
      <c r="I1789" s="993"/>
    </row>
    <row r="1790" spans="1:9" s="480" customFormat="1" x14ac:dyDescent="0.2">
      <c r="A1790" s="640"/>
      <c r="C1790" s="600"/>
      <c r="D1790" s="503"/>
      <c r="E1790" s="639"/>
      <c r="G1790" s="507"/>
      <c r="H1790" s="992"/>
      <c r="I1790" s="993"/>
    </row>
    <row r="1791" spans="1:9" s="480" customFormat="1" x14ac:dyDescent="0.2">
      <c r="A1791" s="640"/>
      <c r="C1791" s="600"/>
      <c r="D1791" s="503"/>
      <c r="E1791" s="639"/>
      <c r="G1791" s="507"/>
      <c r="H1791" s="992"/>
      <c r="I1791" s="993"/>
    </row>
    <row r="1792" spans="1:9" s="480" customFormat="1" x14ac:dyDescent="0.2">
      <c r="A1792" s="640"/>
      <c r="C1792" s="600"/>
      <c r="D1792" s="503"/>
      <c r="E1792" s="639"/>
      <c r="G1792" s="507"/>
      <c r="H1792" s="992"/>
      <c r="I1792" s="993"/>
    </row>
    <row r="1793" spans="1:9" s="480" customFormat="1" x14ac:dyDescent="0.2">
      <c r="A1793" s="640"/>
      <c r="C1793" s="600"/>
      <c r="D1793" s="503"/>
      <c r="E1793" s="639"/>
      <c r="G1793" s="507"/>
      <c r="H1793" s="992"/>
      <c r="I1793" s="993"/>
    </row>
    <row r="1794" spans="1:9" s="480" customFormat="1" x14ac:dyDescent="0.2">
      <c r="A1794" s="640"/>
      <c r="C1794" s="600"/>
      <c r="D1794" s="503"/>
      <c r="E1794" s="639"/>
      <c r="G1794" s="507"/>
      <c r="H1794" s="992"/>
      <c r="I1794" s="993"/>
    </row>
    <row r="1795" spans="1:9" s="480" customFormat="1" x14ac:dyDescent="0.2">
      <c r="A1795" s="640"/>
      <c r="C1795" s="600"/>
      <c r="D1795" s="503"/>
      <c r="E1795" s="639"/>
      <c r="G1795" s="507"/>
      <c r="H1795" s="992"/>
      <c r="I1795" s="993"/>
    </row>
    <row r="1796" spans="1:9" s="480" customFormat="1" x14ac:dyDescent="0.2">
      <c r="A1796" s="640"/>
      <c r="C1796" s="600"/>
      <c r="D1796" s="503"/>
      <c r="E1796" s="639"/>
      <c r="G1796" s="507"/>
      <c r="H1796" s="992"/>
      <c r="I1796" s="993"/>
    </row>
    <row r="1797" spans="1:9" s="480" customFormat="1" x14ac:dyDescent="0.2">
      <c r="A1797" s="640"/>
      <c r="C1797" s="600"/>
      <c r="D1797" s="503"/>
      <c r="E1797" s="639"/>
      <c r="G1797" s="507"/>
      <c r="H1797" s="992"/>
      <c r="I1797" s="993"/>
    </row>
    <row r="1798" spans="1:9" s="480" customFormat="1" x14ac:dyDescent="0.2">
      <c r="A1798" s="640"/>
      <c r="C1798" s="600"/>
      <c r="D1798" s="503"/>
      <c r="E1798" s="639"/>
      <c r="G1798" s="507"/>
      <c r="H1798" s="992"/>
      <c r="I1798" s="993"/>
    </row>
    <row r="1799" spans="1:9" s="480" customFormat="1" x14ac:dyDescent="0.2">
      <c r="A1799" s="640"/>
      <c r="C1799" s="600"/>
      <c r="D1799" s="503"/>
      <c r="E1799" s="639"/>
      <c r="G1799" s="507"/>
      <c r="H1799" s="992"/>
      <c r="I1799" s="993"/>
    </row>
    <row r="1800" spans="1:9" s="480" customFormat="1" x14ac:dyDescent="0.2">
      <c r="A1800" s="640"/>
      <c r="C1800" s="600"/>
      <c r="D1800" s="503"/>
      <c r="E1800" s="639"/>
      <c r="G1800" s="507"/>
      <c r="H1800" s="992"/>
      <c r="I1800" s="993"/>
    </row>
    <row r="1801" spans="1:9" s="480" customFormat="1" x14ac:dyDescent="0.2">
      <c r="A1801" s="640"/>
      <c r="C1801" s="600"/>
      <c r="D1801" s="503"/>
      <c r="E1801" s="639"/>
      <c r="G1801" s="507"/>
      <c r="H1801" s="992"/>
      <c r="I1801" s="993"/>
    </row>
    <row r="1802" spans="1:9" s="480" customFormat="1" x14ac:dyDescent="0.2">
      <c r="A1802" s="640"/>
      <c r="C1802" s="600"/>
      <c r="D1802" s="503"/>
      <c r="E1802" s="639"/>
      <c r="G1802" s="507"/>
      <c r="H1802" s="992"/>
      <c r="I1802" s="993"/>
    </row>
    <row r="1803" spans="1:9" s="480" customFormat="1" x14ac:dyDescent="0.2">
      <c r="A1803" s="640"/>
      <c r="C1803" s="600"/>
      <c r="D1803" s="503"/>
      <c r="E1803" s="639"/>
      <c r="G1803" s="507"/>
      <c r="H1803" s="992"/>
      <c r="I1803" s="993"/>
    </row>
    <row r="1804" spans="1:9" s="480" customFormat="1" x14ac:dyDescent="0.2">
      <c r="A1804" s="640"/>
      <c r="C1804" s="600"/>
      <c r="D1804" s="503"/>
      <c r="E1804" s="639"/>
      <c r="G1804" s="507"/>
      <c r="H1804" s="992"/>
      <c r="I1804" s="993"/>
    </row>
    <row r="1805" spans="1:9" s="480" customFormat="1" x14ac:dyDescent="0.2">
      <c r="A1805" s="640"/>
      <c r="C1805" s="600"/>
      <c r="D1805" s="503"/>
      <c r="E1805" s="639"/>
      <c r="G1805" s="507"/>
      <c r="H1805" s="992"/>
      <c r="I1805" s="993"/>
    </row>
    <row r="1806" spans="1:9" s="480" customFormat="1" x14ac:dyDescent="0.2">
      <c r="A1806" s="640"/>
      <c r="C1806" s="600"/>
      <c r="D1806" s="503"/>
      <c r="E1806" s="639"/>
      <c r="G1806" s="507"/>
      <c r="H1806" s="992"/>
      <c r="I1806" s="993"/>
    </row>
    <row r="1807" spans="1:9" s="480" customFormat="1" x14ac:dyDescent="0.2">
      <c r="A1807" s="640"/>
      <c r="C1807" s="600"/>
      <c r="D1807" s="503"/>
      <c r="E1807" s="639"/>
      <c r="G1807" s="507"/>
      <c r="H1807" s="992"/>
      <c r="I1807" s="993"/>
    </row>
    <row r="1808" spans="1:9" s="480" customFormat="1" x14ac:dyDescent="0.2">
      <c r="A1808" s="640"/>
      <c r="C1808" s="600"/>
      <c r="D1808" s="503"/>
      <c r="E1808" s="639"/>
      <c r="G1808" s="507"/>
      <c r="H1808" s="992"/>
      <c r="I1808" s="993"/>
    </row>
    <row r="1809" spans="1:9" s="480" customFormat="1" x14ac:dyDescent="0.2">
      <c r="A1809" s="640"/>
      <c r="C1809" s="600"/>
      <c r="D1809" s="503"/>
      <c r="E1809" s="639"/>
      <c r="G1809" s="507"/>
      <c r="H1809" s="992"/>
      <c r="I1809" s="993"/>
    </row>
    <row r="1810" spans="1:9" s="480" customFormat="1" x14ac:dyDescent="0.2">
      <c r="A1810" s="640"/>
      <c r="C1810" s="600"/>
      <c r="D1810" s="503"/>
      <c r="E1810" s="639"/>
      <c r="G1810" s="507"/>
      <c r="H1810" s="992"/>
      <c r="I1810" s="993"/>
    </row>
    <row r="1811" spans="1:9" s="480" customFormat="1" x14ac:dyDescent="0.2">
      <c r="A1811" s="640"/>
      <c r="C1811" s="600"/>
      <c r="D1811" s="503"/>
      <c r="E1811" s="639"/>
      <c r="G1811" s="507"/>
      <c r="H1811" s="992"/>
      <c r="I1811" s="993"/>
    </row>
    <row r="1812" spans="1:9" s="480" customFormat="1" x14ac:dyDescent="0.2">
      <c r="A1812" s="640"/>
      <c r="C1812" s="600"/>
      <c r="D1812" s="503"/>
      <c r="E1812" s="639"/>
      <c r="G1812" s="507"/>
      <c r="H1812" s="992"/>
      <c r="I1812" s="993"/>
    </row>
    <row r="1813" spans="1:9" s="480" customFormat="1" x14ac:dyDescent="0.2">
      <c r="A1813" s="640"/>
      <c r="C1813" s="600"/>
      <c r="D1813" s="503"/>
      <c r="E1813" s="639"/>
      <c r="G1813" s="507"/>
      <c r="H1813" s="992"/>
      <c r="I1813" s="993"/>
    </row>
    <row r="1814" spans="1:9" s="480" customFormat="1" x14ac:dyDescent="0.2">
      <c r="A1814" s="640"/>
      <c r="C1814" s="600"/>
      <c r="D1814" s="503"/>
      <c r="E1814" s="639"/>
      <c r="G1814" s="507"/>
      <c r="H1814" s="992"/>
      <c r="I1814" s="993"/>
    </row>
    <row r="1815" spans="1:9" s="480" customFormat="1" x14ac:dyDescent="0.2">
      <c r="A1815" s="640"/>
      <c r="C1815" s="600"/>
      <c r="D1815" s="503"/>
      <c r="E1815" s="639"/>
      <c r="G1815" s="507"/>
      <c r="H1815" s="992"/>
      <c r="I1815" s="993"/>
    </row>
    <row r="1816" spans="1:9" s="480" customFormat="1" x14ac:dyDescent="0.2">
      <c r="A1816" s="640"/>
      <c r="C1816" s="600"/>
      <c r="D1816" s="503"/>
      <c r="E1816" s="639"/>
      <c r="G1816" s="507"/>
      <c r="H1816" s="992"/>
      <c r="I1816" s="993"/>
    </row>
    <row r="1817" spans="1:9" s="480" customFormat="1" x14ac:dyDescent="0.2">
      <c r="A1817" s="640"/>
      <c r="C1817" s="600"/>
      <c r="D1817" s="503"/>
      <c r="E1817" s="639"/>
      <c r="G1817" s="507"/>
      <c r="H1817" s="992"/>
      <c r="I1817" s="993"/>
    </row>
    <row r="1818" spans="1:9" s="480" customFormat="1" x14ac:dyDescent="0.2">
      <c r="A1818" s="640"/>
      <c r="C1818" s="600"/>
      <c r="D1818" s="503"/>
      <c r="E1818" s="639"/>
      <c r="G1818" s="507"/>
      <c r="H1818" s="992"/>
      <c r="I1818" s="993"/>
    </row>
    <row r="1819" spans="1:9" s="480" customFormat="1" x14ac:dyDescent="0.2">
      <c r="A1819" s="640"/>
      <c r="C1819" s="600"/>
      <c r="D1819" s="503"/>
      <c r="E1819" s="639"/>
      <c r="G1819" s="507"/>
      <c r="H1819" s="992"/>
      <c r="I1819" s="993"/>
    </row>
    <row r="1820" spans="1:9" s="480" customFormat="1" x14ac:dyDescent="0.2">
      <c r="A1820" s="640"/>
      <c r="C1820" s="600"/>
      <c r="D1820" s="503"/>
      <c r="E1820" s="639"/>
      <c r="G1820" s="507"/>
      <c r="H1820" s="992"/>
      <c r="I1820" s="993"/>
    </row>
    <row r="1821" spans="1:9" s="480" customFormat="1" x14ac:dyDescent="0.2">
      <c r="A1821" s="640"/>
      <c r="C1821" s="600"/>
      <c r="D1821" s="503"/>
      <c r="E1821" s="639"/>
      <c r="G1821" s="507"/>
      <c r="H1821" s="992"/>
      <c r="I1821" s="993"/>
    </row>
    <row r="1822" spans="1:9" s="480" customFormat="1" x14ac:dyDescent="0.2">
      <c r="A1822" s="640"/>
      <c r="C1822" s="600"/>
      <c r="D1822" s="503"/>
      <c r="E1822" s="639"/>
      <c r="G1822" s="507"/>
      <c r="H1822" s="992"/>
      <c r="I1822" s="993"/>
    </row>
    <row r="1823" spans="1:9" s="480" customFormat="1" x14ac:dyDescent="0.2">
      <c r="A1823" s="640"/>
      <c r="C1823" s="600"/>
      <c r="D1823" s="503"/>
      <c r="E1823" s="639"/>
      <c r="G1823" s="507"/>
      <c r="H1823" s="992"/>
      <c r="I1823" s="993"/>
    </row>
    <row r="1824" spans="1:9" s="480" customFormat="1" x14ac:dyDescent="0.2">
      <c r="A1824" s="640"/>
      <c r="C1824" s="600"/>
      <c r="D1824" s="503"/>
      <c r="E1824" s="639"/>
      <c r="G1824" s="507"/>
      <c r="H1824" s="992"/>
      <c r="I1824" s="993"/>
    </row>
    <row r="1825" spans="1:9" s="480" customFormat="1" x14ac:dyDescent="0.2">
      <c r="A1825" s="640"/>
      <c r="C1825" s="600"/>
      <c r="D1825" s="503"/>
      <c r="E1825" s="639"/>
      <c r="G1825" s="507"/>
      <c r="H1825" s="992"/>
      <c r="I1825" s="993"/>
    </row>
    <row r="1826" spans="1:9" s="480" customFormat="1" x14ac:dyDescent="0.2">
      <c r="A1826" s="640"/>
      <c r="C1826" s="600"/>
      <c r="D1826" s="503"/>
      <c r="E1826" s="639"/>
      <c r="G1826" s="507"/>
      <c r="H1826" s="992"/>
      <c r="I1826" s="993"/>
    </row>
    <row r="1827" spans="1:9" s="480" customFormat="1" x14ac:dyDescent="0.2">
      <c r="A1827" s="640"/>
      <c r="C1827" s="600"/>
      <c r="D1827" s="503"/>
      <c r="E1827" s="639"/>
      <c r="G1827" s="507"/>
      <c r="H1827" s="992"/>
      <c r="I1827" s="993"/>
    </row>
    <row r="1828" spans="1:9" s="480" customFormat="1" x14ac:dyDescent="0.2">
      <c r="A1828" s="640"/>
      <c r="C1828" s="600"/>
      <c r="D1828" s="503"/>
      <c r="E1828" s="639"/>
      <c r="G1828" s="507"/>
      <c r="H1828" s="992"/>
      <c r="I1828" s="993"/>
    </row>
    <row r="1829" spans="1:9" s="480" customFormat="1" x14ac:dyDescent="0.2">
      <c r="A1829" s="640"/>
      <c r="C1829" s="600"/>
      <c r="D1829" s="503"/>
      <c r="E1829" s="639"/>
      <c r="G1829" s="507"/>
      <c r="H1829" s="992"/>
      <c r="I1829" s="993"/>
    </row>
    <row r="1830" spans="1:9" s="480" customFormat="1" x14ac:dyDescent="0.2">
      <c r="A1830" s="640"/>
      <c r="C1830" s="600"/>
      <c r="D1830" s="503"/>
      <c r="E1830" s="639"/>
      <c r="G1830" s="507"/>
      <c r="H1830" s="992"/>
      <c r="I1830" s="993"/>
    </row>
    <row r="1831" spans="1:9" s="480" customFormat="1" x14ac:dyDescent="0.2">
      <c r="A1831" s="640"/>
      <c r="C1831" s="600"/>
      <c r="D1831" s="503"/>
      <c r="E1831" s="639"/>
      <c r="G1831" s="507"/>
      <c r="H1831" s="992"/>
      <c r="I1831" s="993"/>
    </row>
    <row r="1832" spans="1:9" s="480" customFormat="1" x14ac:dyDescent="0.2">
      <c r="A1832" s="640"/>
      <c r="C1832" s="600"/>
      <c r="D1832" s="503"/>
      <c r="E1832" s="639"/>
      <c r="G1832" s="507"/>
      <c r="H1832" s="992"/>
      <c r="I1832" s="993"/>
    </row>
    <row r="1833" spans="1:9" s="480" customFormat="1" x14ac:dyDescent="0.2">
      <c r="A1833" s="640"/>
      <c r="C1833" s="600"/>
      <c r="D1833" s="503"/>
      <c r="E1833" s="639"/>
      <c r="G1833" s="507"/>
      <c r="H1833" s="992"/>
      <c r="I1833" s="993"/>
    </row>
    <row r="1834" spans="1:9" s="480" customFormat="1" x14ac:dyDescent="0.2">
      <c r="A1834" s="640"/>
      <c r="C1834" s="600"/>
      <c r="D1834" s="503"/>
      <c r="E1834" s="639"/>
      <c r="G1834" s="507"/>
      <c r="H1834" s="992"/>
      <c r="I1834" s="993"/>
    </row>
    <row r="1835" spans="1:9" s="480" customFormat="1" x14ac:dyDescent="0.2">
      <c r="A1835" s="640"/>
      <c r="C1835" s="600"/>
      <c r="D1835" s="503"/>
      <c r="E1835" s="639"/>
      <c r="G1835" s="507"/>
      <c r="H1835" s="992"/>
      <c r="I1835" s="993"/>
    </row>
    <row r="1836" spans="1:9" s="480" customFormat="1" x14ac:dyDescent="0.2">
      <c r="A1836" s="640"/>
      <c r="C1836" s="600"/>
      <c r="D1836" s="503"/>
      <c r="E1836" s="639"/>
      <c r="G1836" s="507"/>
      <c r="H1836" s="992"/>
      <c r="I1836" s="993"/>
    </row>
    <row r="1837" spans="1:9" s="480" customFormat="1" x14ac:dyDescent="0.2">
      <c r="A1837" s="640"/>
      <c r="C1837" s="600"/>
      <c r="D1837" s="503"/>
      <c r="E1837" s="639"/>
      <c r="G1837" s="507"/>
      <c r="H1837" s="992"/>
      <c r="I1837" s="993"/>
    </row>
    <row r="1838" spans="1:9" s="480" customFormat="1" x14ac:dyDescent="0.2">
      <c r="A1838" s="640"/>
      <c r="C1838" s="600"/>
      <c r="D1838" s="503"/>
      <c r="E1838" s="639"/>
      <c r="G1838" s="507"/>
      <c r="H1838" s="992"/>
      <c r="I1838" s="993"/>
    </row>
    <row r="1839" spans="1:9" s="480" customFormat="1" x14ac:dyDescent="0.2">
      <c r="A1839" s="640"/>
      <c r="C1839" s="600"/>
      <c r="D1839" s="503"/>
      <c r="E1839" s="639"/>
      <c r="G1839" s="507"/>
      <c r="H1839" s="992"/>
      <c r="I1839" s="993"/>
    </row>
    <row r="1840" spans="1:9" s="480" customFormat="1" x14ac:dyDescent="0.2">
      <c r="A1840" s="640"/>
      <c r="C1840" s="600"/>
      <c r="D1840" s="503"/>
      <c r="E1840" s="639"/>
      <c r="G1840" s="507"/>
      <c r="H1840" s="992"/>
      <c r="I1840" s="993"/>
    </row>
    <row r="1841" spans="1:9" s="480" customFormat="1" x14ac:dyDescent="0.2">
      <c r="A1841" s="640"/>
      <c r="C1841" s="600"/>
      <c r="D1841" s="503"/>
      <c r="E1841" s="639"/>
      <c r="G1841" s="507"/>
      <c r="H1841" s="992"/>
      <c r="I1841" s="993"/>
    </row>
    <row r="1842" spans="1:9" s="480" customFormat="1" x14ac:dyDescent="0.2">
      <c r="A1842" s="640"/>
      <c r="C1842" s="600"/>
      <c r="D1842" s="503"/>
      <c r="E1842" s="639"/>
      <c r="G1842" s="507"/>
      <c r="H1842" s="992"/>
      <c r="I1842" s="993"/>
    </row>
    <row r="1843" spans="1:9" s="480" customFormat="1" x14ac:dyDescent="0.2">
      <c r="A1843" s="640"/>
      <c r="C1843" s="600"/>
      <c r="D1843" s="503"/>
      <c r="E1843" s="639"/>
      <c r="G1843" s="507"/>
      <c r="H1843" s="992"/>
      <c r="I1843" s="993"/>
    </row>
    <row r="1844" spans="1:9" s="480" customFormat="1" x14ac:dyDescent="0.2">
      <c r="A1844" s="640"/>
      <c r="C1844" s="600"/>
      <c r="D1844" s="503"/>
      <c r="E1844" s="639"/>
      <c r="G1844" s="507"/>
      <c r="H1844" s="992"/>
      <c r="I1844" s="993"/>
    </row>
    <row r="1845" spans="1:9" s="480" customFormat="1" x14ac:dyDescent="0.2">
      <c r="A1845" s="640"/>
      <c r="C1845" s="600"/>
      <c r="D1845" s="503"/>
      <c r="E1845" s="639"/>
      <c r="G1845" s="507"/>
      <c r="H1845" s="992"/>
      <c r="I1845" s="993"/>
    </row>
    <row r="1846" spans="1:9" s="480" customFormat="1" x14ac:dyDescent="0.2">
      <c r="A1846" s="640"/>
      <c r="C1846" s="600"/>
      <c r="D1846" s="503"/>
      <c r="E1846" s="639"/>
      <c r="G1846" s="507"/>
      <c r="H1846" s="992"/>
      <c r="I1846" s="993"/>
    </row>
    <row r="1847" spans="1:9" s="480" customFormat="1" x14ac:dyDescent="0.2">
      <c r="A1847" s="640"/>
      <c r="C1847" s="600"/>
      <c r="D1847" s="503"/>
      <c r="E1847" s="639"/>
      <c r="G1847" s="507"/>
      <c r="H1847" s="992"/>
      <c r="I1847" s="993"/>
    </row>
    <row r="1848" spans="1:9" s="480" customFormat="1" x14ac:dyDescent="0.2">
      <c r="A1848" s="640"/>
      <c r="C1848" s="600"/>
      <c r="D1848" s="503"/>
      <c r="E1848" s="639"/>
      <c r="G1848" s="507"/>
      <c r="H1848" s="992"/>
      <c r="I1848" s="993"/>
    </row>
    <row r="1849" spans="1:9" s="480" customFormat="1" x14ac:dyDescent="0.2">
      <c r="A1849" s="640"/>
      <c r="C1849" s="600"/>
      <c r="D1849" s="503"/>
      <c r="E1849" s="639"/>
      <c r="G1849" s="507"/>
      <c r="H1849" s="992"/>
      <c r="I1849" s="993"/>
    </row>
    <row r="1850" spans="1:9" s="480" customFormat="1" x14ac:dyDescent="0.2">
      <c r="A1850" s="640"/>
      <c r="C1850" s="600"/>
      <c r="D1850" s="503"/>
      <c r="E1850" s="639"/>
      <c r="G1850" s="507"/>
      <c r="H1850" s="992"/>
      <c r="I1850" s="993"/>
    </row>
    <row r="1851" spans="1:9" s="480" customFormat="1" x14ac:dyDescent="0.2">
      <c r="A1851" s="640"/>
      <c r="C1851" s="600"/>
      <c r="D1851" s="503"/>
      <c r="E1851" s="639"/>
      <c r="G1851" s="507"/>
      <c r="H1851" s="992"/>
      <c r="I1851" s="993"/>
    </row>
    <row r="1852" spans="1:9" s="480" customFormat="1" x14ac:dyDescent="0.2">
      <c r="A1852" s="640"/>
      <c r="C1852" s="600"/>
      <c r="D1852" s="503"/>
      <c r="E1852" s="639"/>
      <c r="G1852" s="507"/>
      <c r="H1852" s="992"/>
      <c r="I1852" s="993"/>
    </row>
    <row r="1853" spans="1:9" s="480" customFormat="1" x14ac:dyDescent="0.2">
      <c r="A1853" s="640"/>
      <c r="C1853" s="600"/>
      <c r="D1853" s="503"/>
      <c r="E1853" s="639"/>
      <c r="G1853" s="507"/>
      <c r="H1853" s="992"/>
      <c r="I1853" s="993"/>
    </row>
    <row r="1854" spans="1:9" s="480" customFormat="1" x14ac:dyDescent="0.2">
      <c r="A1854" s="640"/>
      <c r="C1854" s="600"/>
      <c r="D1854" s="503"/>
      <c r="E1854" s="639"/>
      <c r="G1854" s="507"/>
      <c r="H1854" s="992"/>
      <c r="I1854" s="993"/>
    </row>
    <row r="1855" spans="1:9" s="480" customFormat="1" x14ac:dyDescent="0.2">
      <c r="A1855" s="640"/>
      <c r="C1855" s="600"/>
      <c r="D1855" s="503"/>
      <c r="E1855" s="639"/>
      <c r="G1855" s="507"/>
      <c r="H1855" s="992"/>
      <c r="I1855" s="993"/>
    </row>
    <row r="1856" spans="1:9" s="480" customFormat="1" x14ac:dyDescent="0.2">
      <c r="A1856" s="640"/>
      <c r="C1856" s="600"/>
      <c r="D1856" s="503"/>
      <c r="E1856" s="639"/>
      <c r="G1856" s="507"/>
      <c r="H1856" s="992"/>
      <c r="I1856" s="993"/>
    </row>
    <row r="1857" spans="1:9" s="480" customFormat="1" x14ac:dyDescent="0.2">
      <c r="A1857" s="640"/>
      <c r="C1857" s="600"/>
      <c r="D1857" s="503"/>
      <c r="E1857" s="639"/>
      <c r="G1857" s="507"/>
      <c r="H1857" s="992"/>
      <c r="I1857" s="993"/>
    </row>
    <row r="1858" spans="1:9" s="480" customFormat="1" x14ac:dyDescent="0.2">
      <c r="A1858" s="640"/>
      <c r="C1858" s="600"/>
      <c r="D1858" s="503"/>
      <c r="E1858" s="639"/>
      <c r="G1858" s="507"/>
      <c r="H1858" s="992"/>
      <c r="I1858" s="993"/>
    </row>
    <row r="1859" spans="1:9" s="480" customFormat="1" x14ac:dyDescent="0.2">
      <c r="A1859" s="640"/>
      <c r="C1859" s="600"/>
      <c r="D1859" s="503"/>
      <c r="E1859" s="639"/>
      <c r="G1859" s="507"/>
      <c r="H1859" s="992"/>
      <c r="I1859" s="993"/>
    </row>
    <row r="1860" spans="1:9" s="480" customFormat="1" x14ac:dyDescent="0.2">
      <c r="A1860" s="640"/>
      <c r="C1860" s="600"/>
      <c r="D1860" s="503"/>
      <c r="E1860" s="639"/>
      <c r="G1860" s="507"/>
      <c r="H1860" s="992"/>
      <c r="I1860" s="993"/>
    </row>
    <row r="1861" spans="1:9" s="480" customFormat="1" x14ac:dyDescent="0.2">
      <c r="A1861" s="640"/>
      <c r="C1861" s="600"/>
      <c r="D1861" s="503"/>
      <c r="E1861" s="639"/>
      <c r="G1861" s="507"/>
      <c r="H1861" s="992"/>
      <c r="I1861" s="993"/>
    </row>
    <row r="1862" spans="1:9" s="480" customFormat="1" x14ac:dyDescent="0.2">
      <c r="A1862" s="640"/>
      <c r="C1862" s="600"/>
      <c r="D1862" s="503"/>
      <c r="E1862" s="639"/>
      <c r="G1862" s="507"/>
      <c r="H1862" s="992"/>
      <c r="I1862" s="993"/>
    </row>
    <row r="1863" spans="1:9" s="480" customFormat="1" x14ac:dyDescent="0.2">
      <c r="A1863" s="640"/>
      <c r="C1863" s="600"/>
      <c r="D1863" s="503"/>
      <c r="E1863" s="639"/>
      <c r="G1863" s="507"/>
      <c r="H1863" s="992"/>
      <c r="I1863" s="993"/>
    </row>
    <row r="1864" spans="1:9" s="480" customFormat="1" x14ac:dyDescent="0.2">
      <c r="A1864" s="640"/>
      <c r="C1864" s="600"/>
      <c r="D1864" s="503"/>
      <c r="E1864" s="639"/>
      <c r="G1864" s="507"/>
      <c r="H1864" s="992"/>
      <c r="I1864" s="993"/>
    </row>
    <row r="1865" spans="1:9" s="480" customFormat="1" x14ac:dyDescent="0.2">
      <c r="A1865" s="640"/>
      <c r="C1865" s="600"/>
      <c r="D1865" s="503"/>
      <c r="E1865" s="639"/>
      <c r="G1865" s="507"/>
      <c r="H1865" s="992"/>
      <c r="I1865" s="993"/>
    </row>
    <row r="1866" spans="1:9" s="480" customFormat="1" x14ac:dyDescent="0.2">
      <c r="A1866" s="640"/>
      <c r="C1866" s="600"/>
      <c r="D1866" s="503"/>
      <c r="E1866" s="639"/>
      <c r="G1866" s="507"/>
      <c r="H1866" s="992"/>
      <c r="I1866" s="993"/>
    </row>
    <row r="1867" spans="1:9" s="480" customFormat="1" x14ac:dyDescent="0.2">
      <c r="A1867" s="640"/>
      <c r="C1867" s="600"/>
      <c r="D1867" s="503"/>
      <c r="E1867" s="639"/>
      <c r="G1867" s="507"/>
      <c r="H1867" s="992"/>
      <c r="I1867" s="993"/>
    </row>
    <row r="1868" spans="1:9" s="480" customFormat="1" x14ac:dyDescent="0.2">
      <c r="A1868" s="640"/>
      <c r="C1868" s="600"/>
      <c r="D1868" s="503"/>
      <c r="E1868" s="639"/>
      <c r="G1868" s="507"/>
      <c r="H1868" s="992"/>
      <c r="I1868" s="993"/>
    </row>
    <row r="1869" spans="1:9" s="480" customFormat="1" x14ac:dyDescent="0.2">
      <c r="A1869" s="640"/>
      <c r="C1869" s="600"/>
      <c r="D1869" s="503"/>
      <c r="E1869" s="639"/>
      <c r="G1869" s="507"/>
      <c r="H1869" s="992"/>
      <c r="I1869" s="993"/>
    </row>
    <row r="1870" spans="1:9" s="480" customFormat="1" x14ac:dyDescent="0.2">
      <c r="A1870" s="640"/>
      <c r="C1870" s="600"/>
      <c r="D1870" s="503"/>
      <c r="E1870" s="639"/>
      <c r="G1870" s="507"/>
      <c r="H1870" s="992"/>
      <c r="I1870" s="993"/>
    </row>
    <row r="1871" spans="1:9" s="480" customFormat="1" x14ac:dyDescent="0.2">
      <c r="A1871" s="640"/>
      <c r="C1871" s="600"/>
      <c r="D1871" s="503"/>
      <c r="E1871" s="639"/>
      <c r="G1871" s="507"/>
      <c r="H1871" s="992"/>
      <c r="I1871" s="993"/>
    </row>
    <row r="1872" spans="1:9" s="480" customFormat="1" x14ac:dyDescent="0.2">
      <c r="A1872" s="640"/>
      <c r="C1872" s="600"/>
      <c r="D1872" s="503"/>
      <c r="E1872" s="639"/>
      <c r="G1872" s="507"/>
      <c r="H1872" s="992"/>
      <c r="I1872" s="993"/>
    </row>
    <row r="1873" spans="1:9" s="480" customFormat="1" x14ac:dyDescent="0.2">
      <c r="A1873" s="640"/>
      <c r="C1873" s="600"/>
      <c r="D1873" s="503"/>
      <c r="E1873" s="639"/>
      <c r="G1873" s="507"/>
      <c r="H1873" s="992"/>
      <c r="I1873" s="993"/>
    </row>
    <row r="1874" spans="1:9" s="480" customFormat="1" x14ac:dyDescent="0.2">
      <c r="A1874" s="640"/>
      <c r="C1874" s="600"/>
      <c r="D1874" s="503"/>
      <c r="E1874" s="639"/>
      <c r="G1874" s="507"/>
      <c r="H1874" s="992"/>
      <c r="I1874" s="993"/>
    </row>
    <row r="1875" spans="1:9" s="480" customFormat="1" x14ac:dyDescent="0.2">
      <c r="A1875" s="640"/>
      <c r="C1875" s="600"/>
      <c r="D1875" s="503"/>
      <c r="E1875" s="639"/>
      <c r="G1875" s="507"/>
      <c r="H1875" s="992"/>
      <c r="I1875" s="993"/>
    </row>
    <row r="1876" spans="1:9" s="480" customFormat="1" x14ac:dyDescent="0.2">
      <c r="A1876" s="640"/>
      <c r="C1876" s="600"/>
      <c r="D1876" s="503"/>
      <c r="E1876" s="639"/>
      <c r="G1876" s="507"/>
      <c r="H1876" s="992"/>
      <c r="I1876" s="993"/>
    </row>
    <row r="1877" spans="1:9" s="480" customFormat="1" x14ac:dyDescent="0.2">
      <c r="A1877" s="640"/>
      <c r="C1877" s="600"/>
      <c r="D1877" s="503"/>
      <c r="E1877" s="639"/>
      <c r="G1877" s="507"/>
      <c r="H1877" s="992"/>
      <c r="I1877" s="993"/>
    </row>
    <row r="1878" spans="1:9" s="480" customFormat="1" x14ac:dyDescent="0.2">
      <c r="A1878" s="640"/>
      <c r="C1878" s="600"/>
      <c r="D1878" s="503"/>
      <c r="E1878" s="639"/>
      <c r="G1878" s="507"/>
      <c r="H1878" s="992"/>
      <c r="I1878" s="993"/>
    </row>
    <row r="1879" spans="1:9" s="480" customFormat="1" x14ac:dyDescent="0.2">
      <c r="A1879" s="640"/>
      <c r="C1879" s="600"/>
      <c r="D1879" s="503"/>
      <c r="E1879" s="639"/>
      <c r="G1879" s="507"/>
      <c r="H1879" s="992"/>
      <c r="I1879" s="993"/>
    </row>
    <row r="1880" spans="1:9" s="480" customFormat="1" x14ac:dyDescent="0.2">
      <c r="A1880" s="640"/>
      <c r="C1880" s="600"/>
      <c r="D1880" s="503"/>
      <c r="E1880" s="639"/>
      <c r="G1880" s="507"/>
      <c r="H1880" s="992"/>
      <c r="I1880" s="993"/>
    </row>
    <row r="1881" spans="1:9" s="480" customFormat="1" x14ac:dyDescent="0.2">
      <c r="A1881" s="640"/>
      <c r="C1881" s="600"/>
      <c r="D1881" s="503"/>
      <c r="E1881" s="639"/>
      <c r="G1881" s="507"/>
      <c r="H1881" s="992"/>
      <c r="I1881" s="993"/>
    </row>
    <row r="1882" spans="1:9" s="480" customFormat="1" x14ac:dyDescent="0.2">
      <c r="A1882" s="640"/>
      <c r="C1882" s="600"/>
      <c r="D1882" s="503"/>
      <c r="E1882" s="639"/>
      <c r="G1882" s="507"/>
      <c r="H1882" s="992"/>
      <c r="I1882" s="993"/>
    </row>
    <row r="1883" spans="1:9" s="480" customFormat="1" x14ac:dyDescent="0.2">
      <c r="A1883" s="640"/>
      <c r="C1883" s="600"/>
      <c r="D1883" s="503"/>
      <c r="E1883" s="639"/>
      <c r="G1883" s="507"/>
      <c r="H1883" s="992"/>
      <c r="I1883" s="993"/>
    </row>
    <row r="1884" spans="1:9" s="480" customFormat="1" x14ac:dyDescent="0.2">
      <c r="A1884" s="640"/>
      <c r="C1884" s="600"/>
      <c r="D1884" s="503"/>
      <c r="E1884" s="639"/>
      <c r="G1884" s="507"/>
      <c r="H1884" s="992"/>
      <c r="I1884" s="993"/>
    </row>
    <row r="1885" spans="1:9" s="480" customFormat="1" x14ac:dyDescent="0.2">
      <c r="A1885" s="640"/>
      <c r="C1885" s="600"/>
      <c r="D1885" s="503"/>
      <c r="E1885" s="639"/>
      <c r="G1885" s="507"/>
      <c r="H1885" s="992"/>
      <c r="I1885" s="993"/>
    </row>
    <row r="1886" spans="1:9" s="480" customFormat="1" x14ac:dyDescent="0.2">
      <c r="A1886" s="640"/>
      <c r="C1886" s="600"/>
      <c r="D1886" s="503"/>
      <c r="E1886" s="639"/>
      <c r="G1886" s="507"/>
      <c r="H1886" s="992"/>
      <c r="I1886" s="993"/>
    </row>
    <row r="1887" spans="1:9" s="480" customFormat="1" x14ac:dyDescent="0.2">
      <c r="A1887" s="640"/>
      <c r="C1887" s="600"/>
      <c r="D1887" s="503"/>
      <c r="E1887" s="639"/>
      <c r="G1887" s="507"/>
      <c r="H1887" s="992"/>
      <c r="I1887" s="993"/>
    </row>
    <row r="1888" spans="1:9" s="480" customFormat="1" x14ac:dyDescent="0.2">
      <c r="A1888" s="640"/>
      <c r="C1888" s="600"/>
      <c r="D1888" s="503"/>
      <c r="E1888" s="639"/>
      <c r="G1888" s="507"/>
      <c r="H1888" s="992"/>
      <c r="I1888" s="993"/>
    </row>
    <row r="1889" spans="1:9" s="480" customFormat="1" x14ac:dyDescent="0.2">
      <c r="A1889" s="640"/>
      <c r="C1889" s="600"/>
      <c r="D1889" s="503"/>
      <c r="E1889" s="639"/>
      <c r="G1889" s="507"/>
      <c r="H1889" s="992"/>
      <c r="I1889" s="993"/>
    </row>
    <row r="1890" spans="1:9" s="480" customFormat="1" x14ac:dyDescent="0.2">
      <c r="A1890" s="640"/>
      <c r="C1890" s="600"/>
      <c r="D1890" s="503"/>
      <c r="E1890" s="639"/>
      <c r="G1890" s="507"/>
      <c r="H1890" s="992"/>
      <c r="I1890" s="993"/>
    </row>
    <row r="1891" spans="1:9" s="480" customFormat="1" x14ac:dyDescent="0.2">
      <c r="A1891" s="640"/>
      <c r="C1891" s="600"/>
      <c r="D1891" s="503"/>
      <c r="E1891" s="639"/>
      <c r="G1891" s="507"/>
      <c r="H1891" s="992"/>
      <c r="I1891" s="993"/>
    </row>
    <row r="1892" spans="1:9" s="480" customFormat="1" x14ac:dyDescent="0.2">
      <c r="A1892" s="640"/>
      <c r="C1892" s="600"/>
      <c r="D1892" s="503"/>
      <c r="E1892" s="639"/>
      <c r="G1892" s="507"/>
      <c r="H1892" s="992"/>
      <c r="I1892" s="993"/>
    </row>
    <row r="1893" spans="1:9" s="480" customFormat="1" x14ac:dyDescent="0.2">
      <c r="A1893" s="640"/>
      <c r="C1893" s="600"/>
      <c r="D1893" s="503"/>
      <c r="E1893" s="639"/>
      <c r="G1893" s="507"/>
      <c r="H1893" s="992"/>
      <c r="I1893" s="993"/>
    </row>
    <row r="1894" spans="1:9" s="480" customFormat="1" x14ac:dyDescent="0.2">
      <c r="A1894" s="640"/>
      <c r="C1894" s="600"/>
      <c r="D1894" s="503"/>
      <c r="E1894" s="639"/>
      <c r="G1894" s="507"/>
      <c r="H1894" s="992"/>
      <c r="I1894" s="993"/>
    </row>
    <row r="1895" spans="1:9" s="480" customFormat="1" x14ac:dyDescent="0.2">
      <c r="A1895" s="640"/>
      <c r="C1895" s="600"/>
      <c r="D1895" s="503"/>
      <c r="E1895" s="639"/>
      <c r="G1895" s="507"/>
      <c r="H1895" s="992"/>
      <c r="I1895" s="993"/>
    </row>
    <row r="1896" spans="1:9" s="480" customFormat="1" x14ac:dyDescent="0.2">
      <c r="A1896" s="640"/>
      <c r="C1896" s="600"/>
      <c r="D1896" s="503"/>
      <c r="E1896" s="639"/>
      <c r="G1896" s="507"/>
      <c r="H1896" s="992"/>
      <c r="I1896" s="993"/>
    </row>
    <row r="1897" spans="1:9" s="480" customFormat="1" x14ac:dyDescent="0.2">
      <c r="A1897" s="640"/>
      <c r="C1897" s="600"/>
      <c r="D1897" s="503"/>
      <c r="E1897" s="639"/>
      <c r="G1897" s="507"/>
      <c r="H1897" s="992"/>
      <c r="I1897" s="993"/>
    </row>
    <row r="1898" spans="1:9" s="480" customFormat="1" x14ac:dyDescent="0.2">
      <c r="A1898" s="640"/>
      <c r="C1898" s="600"/>
      <c r="D1898" s="503"/>
      <c r="E1898" s="639"/>
      <c r="G1898" s="507"/>
      <c r="H1898" s="992"/>
      <c r="I1898" s="993"/>
    </row>
    <row r="1899" spans="1:9" s="480" customFormat="1" x14ac:dyDescent="0.2">
      <c r="A1899" s="640"/>
      <c r="C1899" s="600"/>
      <c r="D1899" s="503"/>
      <c r="E1899" s="639"/>
      <c r="G1899" s="507"/>
      <c r="H1899" s="992"/>
      <c r="I1899" s="993"/>
    </row>
    <row r="1900" spans="1:9" s="480" customFormat="1" x14ac:dyDescent="0.2">
      <c r="A1900" s="640"/>
      <c r="C1900" s="600"/>
      <c r="D1900" s="503"/>
      <c r="E1900" s="639"/>
      <c r="G1900" s="507"/>
      <c r="H1900" s="992"/>
      <c r="I1900" s="993"/>
    </row>
    <row r="1901" spans="1:9" s="480" customFormat="1" x14ac:dyDescent="0.2">
      <c r="A1901" s="640"/>
      <c r="C1901" s="600"/>
      <c r="D1901" s="503"/>
      <c r="E1901" s="639"/>
      <c r="G1901" s="507"/>
      <c r="H1901" s="992"/>
      <c r="I1901" s="993"/>
    </row>
    <row r="1902" spans="1:9" s="480" customFormat="1" x14ac:dyDescent="0.2">
      <c r="A1902" s="640"/>
      <c r="C1902" s="600"/>
      <c r="D1902" s="503"/>
      <c r="E1902" s="639"/>
      <c r="G1902" s="507"/>
      <c r="H1902" s="992"/>
      <c r="I1902" s="993"/>
    </row>
    <row r="1903" spans="1:9" s="480" customFormat="1" x14ac:dyDescent="0.2">
      <c r="A1903" s="640"/>
      <c r="C1903" s="600"/>
      <c r="D1903" s="503"/>
      <c r="E1903" s="639"/>
      <c r="G1903" s="507"/>
      <c r="H1903" s="992"/>
      <c r="I1903" s="993"/>
    </row>
    <row r="1904" spans="1:9" s="480" customFormat="1" x14ac:dyDescent="0.2">
      <c r="A1904" s="640"/>
      <c r="C1904" s="600"/>
      <c r="D1904" s="503"/>
      <c r="E1904" s="639"/>
      <c r="G1904" s="507"/>
      <c r="H1904" s="992"/>
      <c r="I1904" s="993"/>
    </row>
    <row r="1905" spans="1:9" s="480" customFormat="1" x14ac:dyDescent="0.2">
      <c r="A1905" s="640"/>
      <c r="C1905" s="600"/>
      <c r="D1905" s="503"/>
      <c r="E1905" s="639"/>
      <c r="G1905" s="507"/>
      <c r="H1905" s="992"/>
      <c r="I1905" s="993"/>
    </row>
    <row r="1906" spans="1:9" s="480" customFormat="1" x14ac:dyDescent="0.2">
      <c r="A1906" s="640"/>
      <c r="C1906" s="600"/>
      <c r="D1906" s="503"/>
      <c r="E1906" s="639"/>
      <c r="G1906" s="507"/>
      <c r="H1906" s="992"/>
      <c r="I1906" s="993"/>
    </row>
    <row r="1907" spans="1:9" s="480" customFormat="1" x14ac:dyDescent="0.2">
      <c r="A1907" s="640"/>
      <c r="C1907" s="600"/>
      <c r="D1907" s="503"/>
      <c r="E1907" s="639"/>
      <c r="G1907" s="507"/>
      <c r="H1907" s="992"/>
      <c r="I1907" s="993"/>
    </row>
    <row r="1908" spans="1:9" s="480" customFormat="1" x14ac:dyDescent="0.2">
      <c r="A1908" s="640"/>
      <c r="C1908" s="600"/>
      <c r="D1908" s="503"/>
      <c r="E1908" s="639"/>
      <c r="G1908" s="507"/>
      <c r="H1908" s="992"/>
      <c r="I1908" s="993"/>
    </row>
    <row r="1909" spans="1:9" s="480" customFormat="1" x14ac:dyDescent="0.2">
      <c r="A1909" s="640"/>
      <c r="C1909" s="600"/>
      <c r="D1909" s="503"/>
      <c r="E1909" s="639"/>
      <c r="G1909" s="507"/>
      <c r="H1909" s="992"/>
      <c r="I1909" s="993"/>
    </row>
    <row r="1910" spans="1:9" s="480" customFormat="1" x14ac:dyDescent="0.2">
      <c r="A1910" s="640"/>
      <c r="C1910" s="600"/>
      <c r="D1910" s="503"/>
      <c r="E1910" s="639"/>
      <c r="G1910" s="507"/>
      <c r="H1910" s="992"/>
      <c r="I1910" s="993"/>
    </row>
    <row r="1911" spans="1:9" s="480" customFormat="1" x14ac:dyDescent="0.2">
      <c r="A1911" s="640"/>
      <c r="C1911" s="600"/>
      <c r="D1911" s="503"/>
      <c r="E1911" s="639"/>
      <c r="G1911" s="507"/>
      <c r="H1911" s="992"/>
      <c r="I1911" s="993"/>
    </row>
    <row r="1912" spans="1:9" s="480" customFormat="1" x14ac:dyDescent="0.2">
      <c r="A1912" s="640"/>
      <c r="C1912" s="600"/>
      <c r="D1912" s="503"/>
      <c r="E1912" s="639"/>
      <c r="G1912" s="507"/>
      <c r="H1912" s="992"/>
      <c r="I1912" s="993"/>
    </row>
    <row r="1913" spans="1:9" s="480" customFormat="1" x14ac:dyDescent="0.2">
      <c r="A1913" s="640"/>
      <c r="C1913" s="600"/>
      <c r="D1913" s="503"/>
      <c r="E1913" s="639"/>
      <c r="G1913" s="507"/>
      <c r="H1913" s="992"/>
      <c r="I1913" s="993"/>
    </row>
    <row r="1914" spans="1:9" s="480" customFormat="1" x14ac:dyDescent="0.2">
      <c r="A1914" s="640"/>
      <c r="C1914" s="600"/>
      <c r="D1914" s="503"/>
      <c r="E1914" s="639"/>
      <c r="G1914" s="507"/>
      <c r="H1914" s="992"/>
      <c r="I1914" s="993"/>
    </row>
    <row r="1915" spans="1:9" s="480" customFormat="1" x14ac:dyDescent="0.2">
      <c r="A1915" s="640"/>
      <c r="C1915" s="600"/>
      <c r="D1915" s="503"/>
      <c r="E1915" s="639"/>
      <c r="G1915" s="507"/>
      <c r="H1915" s="992"/>
      <c r="I1915" s="993"/>
    </row>
    <row r="1916" spans="1:9" s="480" customFormat="1" x14ac:dyDescent="0.2">
      <c r="A1916" s="640"/>
      <c r="C1916" s="600"/>
      <c r="D1916" s="503"/>
      <c r="E1916" s="639"/>
      <c r="G1916" s="507"/>
      <c r="H1916" s="992"/>
      <c r="I1916" s="993"/>
    </row>
    <row r="1917" spans="1:9" s="480" customFormat="1" x14ac:dyDescent="0.2">
      <c r="A1917" s="640"/>
      <c r="C1917" s="600"/>
      <c r="D1917" s="503"/>
      <c r="E1917" s="639"/>
      <c r="G1917" s="507"/>
      <c r="H1917" s="992"/>
      <c r="I1917" s="993"/>
    </row>
    <row r="1918" spans="1:9" s="480" customFormat="1" x14ac:dyDescent="0.2">
      <c r="A1918" s="640"/>
      <c r="C1918" s="600"/>
      <c r="D1918" s="503"/>
      <c r="E1918" s="639"/>
      <c r="G1918" s="507"/>
      <c r="H1918" s="992"/>
      <c r="I1918" s="993"/>
    </row>
    <row r="1919" spans="1:9" s="480" customFormat="1" x14ac:dyDescent="0.2">
      <c r="A1919" s="640"/>
      <c r="C1919" s="600"/>
      <c r="D1919" s="503"/>
      <c r="E1919" s="639"/>
      <c r="G1919" s="507"/>
      <c r="H1919" s="992"/>
      <c r="I1919" s="993"/>
    </row>
    <row r="1920" spans="1:9" s="480" customFormat="1" x14ac:dyDescent="0.2">
      <c r="A1920" s="640"/>
      <c r="C1920" s="600"/>
      <c r="D1920" s="503"/>
      <c r="E1920" s="639"/>
      <c r="G1920" s="507"/>
      <c r="H1920" s="992"/>
      <c r="I1920" s="993"/>
    </row>
    <row r="1921" spans="1:9" s="480" customFormat="1" x14ac:dyDescent="0.2">
      <c r="A1921" s="640"/>
      <c r="C1921" s="600"/>
      <c r="D1921" s="503"/>
      <c r="E1921" s="639"/>
      <c r="G1921" s="507"/>
      <c r="H1921" s="992"/>
      <c r="I1921" s="993"/>
    </row>
    <row r="1922" spans="1:9" s="480" customFormat="1" x14ac:dyDescent="0.2">
      <c r="A1922" s="640"/>
      <c r="C1922" s="600"/>
      <c r="D1922" s="503"/>
      <c r="E1922" s="639"/>
      <c r="G1922" s="507"/>
      <c r="H1922" s="992"/>
      <c r="I1922" s="993"/>
    </row>
    <row r="1923" spans="1:9" s="480" customFormat="1" x14ac:dyDescent="0.2">
      <c r="A1923" s="640"/>
      <c r="C1923" s="600"/>
      <c r="D1923" s="503"/>
      <c r="E1923" s="639"/>
      <c r="G1923" s="507"/>
      <c r="H1923" s="992"/>
      <c r="I1923" s="993"/>
    </row>
    <row r="1924" spans="1:9" s="480" customFormat="1" x14ac:dyDescent="0.2">
      <c r="A1924" s="640"/>
      <c r="C1924" s="600"/>
      <c r="D1924" s="503"/>
      <c r="E1924" s="639"/>
      <c r="G1924" s="507"/>
      <c r="H1924" s="992"/>
      <c r="I1924" s="993"/>
    </row>
    <row r="1925" spans="1:9" s="480" customFormat="1" x14ac:dyDescent="0.2">
      <c r="A1925" s="640"/>
      <c r="C1925" s="600"/>
      <c r="D1925" s="503"/>
      <c r="E1925" s="639"/>
      <c r="G1925" s="507"/>
      <c r="H1925" s="992"/>
      <c r="I1925" s="993"/>
    </row>
    <row r="1926" spans="1:9" s="480" customFormat="1" x14ac:dyDescent="0.2">
      <c r="A1926" s="640"/>
      <c r="C1926" s="600"/>
      <c r="D1926" s="503"/>
      <c r="E1926" s="639"/>
      <c r="G1926" s="507"/>
      <c r="H1926" s="992"/>
      <c r="I1926" s="993"/>
    </row>
    <row r="1927" spans="1:9" s="480" customFormat="1" x14ac:dyDescent="0.2">
      <c r="A1927" s="640"/>
      <c r="C1927" s="600"/>
      <c r="D1927" s="503"/>
      <c r="E1927" s="639"/>
      <c r="G1927" s="507"/>
      <c r="H1927" s="992"/>
      <c r="I1927" s="993"/>
    </row>
    <row r="1928" spans="1:9" s="480" customFormat="1" x14ac:dyDescent="0.2">
      <c r="A1928" s="640"/>
      <c r="C1928" s="600"/>
      <c r="D1928" s="503"/>
      <c r="E1928" s="639"/>
      <c r="G1928" s="507"/>
      <c r="H1928" s="992"/>
      <c r="I1928" s="993"/>
    </row>
    <row r="1929" spans="1:9" s="480" customFormat="1" x14ac:dyDescent="0.2">
      <c r="A1929" s="640"/>
      <c r="C1929" s="600"/>
      <c r="D1929" s="503"/>
      <c r="E1929" s="639"/>
      <c r="G1929" s="507"/>
      <c r="H1929" s="992"/>
      <c r="I1929" s="993"/>
    </row>
    <row r="1930" spans="1:9" s="480" customFormat="1" x14ac:dyDescent="0.2">
      <c r="A1930" s="640"/>
      <c r="C1930" s="600"/>
      <c r="D1930" s="503"/>
      <c r="E1930" s="639"/>
      <c r="G1930" s="507"/>
      <c r="H1930" s="992"/>
      <c r="I1930" s="993"/>
    </row>
    <row r="1931" spans="1:9" s="480" customFormat="1" x14ac:dyDescent="0.2">
      <c r="A1931" s="640"/>
      <c r="C1931" s="600"/>
      <c r="D1931" s="503"/>
      <c r="E1931" s="639"/>
      <c r="G1931" s="507"/>
      <c r="H1931" s="992"/>
      <c r="I1931" s="993"/>
    </row>
    <row r="1932" spans="1:9" s="480" customFormat="1" x14ac:dyDescent="0.2">
      <c r="A1932" s="640"/>
      <c r="C1932" s="600"/>
      <c r="D1932" s="503"/>
      <c r="E1932" s="639"/>
      <c r="G1932" s="507"/>
      <c r="H1932" s="992"/>
      <c r="I1932" s="993"/>
    </row>
    <row r="1933" spans="1:9" s="480" customFormat="1" x14ac:dyDescent="0.2">
      <c r="A1933" s="640"/>
      <c r="C1933" s="600"/>
      <c r="D1933" s="503"/>
      <c r="E1933" s="639"/>
      <c r="G1933" s="507"/>
      <c r="H1933" s="992"/>
      <c r="I1933" s="993"/>
    </row>
    <row r="1934" spans="1:9" s="480" customFormat="1" x14ac:dyDescent="0.2">
      <c r="A1934" s="640"/>
      <c r="C1934" s="600"/>
      <c r="D1934" s="503"/>
      <c r="E1934" s="639"/>
      <c r="G1934" s="507"/>
      <c r="H1934" s="992"/>
      <c r="I1934" s="993"/>
    </row>
    <row r="1935" spans="1:9" s="480" customFormat="1" x14ac:dyDescent="0.2">
      <c r="A1935" s="640"/>
      <c r="C1935" s="600"/>
      <c r="D1935" s="503"/>
      <c r="E1935" s="639"/>
      <c r="G1935" s="507"/>
      <c r="H1935" s="992"/>
      <c r="I1935" s="993"/>
    </row>
    <row r="1936" spans="1:9" s="480" customFormat="1" x14ac:dyDescent="0.2">
      <c r="A1936" s="640"/>
      <c r="C1936" s="600"/>
      <c r="D1936" s="503"/>
      <c r="E1936" s="639"/>
      <c r="G1936" s="507"/>
      <c r="H1936" s="992"/>
      <c r="I1936" s="993"/>
    </row>
    <row r="1937" spans="1:9" s="480" customFormat="1" x14ac:dyDescent="0.2">
      <c r="A1937" s="640"/>
      <c r="C1937" s="600"/>
      <c r="D1937" s="503"/>
      <c r="E1937" s="639"/>
      <c r="G1937" s="507"/>
      <c r="H1937" s="992"/>
      <c r="I1937" s="993"/>
    </row>
    <row r="1938" spans="1:9" s="480" customFormat="1" x14ac:dyDescent="0.2">
      <c r="A1938" s="640"/>
      <c r="C1938" s="600"/>
      <c r="D1938" s="503"/>
      <c r="E1938" s="639"/>
      <c r="G1938" s="507"/>
      <c r="H1938" s="992"/>
      <c r="I1938" s="993"/>
    </row>
    <row r="1939" spans="1:9" s="480" customFormat="1" x14ac:dyDescent="0.2">
      <c r="A1939" s="640"/>
      <c r="C1939" s="600"/>
      <c r="D1939" s="503"/>
      <c r="E1939" s="639"/>
      <c r="G1939" s="507"/>
      <c r="H1939" s="992"/>
      <c r="I1939" s="993"/>
    </row>
    <row r="1940" spans="1:9" s="480" customFormat="1" x14ac:dyDescent="0.2">
      <c r="A1940" s="640"/>
      <c r="C1940" s="600"/>
      <c r="D1940" s="503"/>
      <c r="E1940" s="639"/>
      <c r="G1940" s="507"/>
      <c r="H1940" s="992"/>
      <c r="I1940" s="993"/>
    </row>
    <row r="1941" spans="1:9" s="480" customFormat="1" x14ac:dyDescent="0.2">
      <c r="A1941" s="640"/>
      <c r="C1941" s="600"/>
      <c r="D1941" s="503"/>
      <c r="E1941" s="639"/>
      <c r="G1941" s="507"/>
      <c r="H1941" s="992"/>
      <c r="I1941" s="993"/>
    </row>
    <row r="1942" spans="1:9" s="480" customFormat="1" x14ac:dyDescent="0.2">
      <c r="A1942" s="640"/>
      <c r="C1942" s="600"/>
      <c r="D1942" s="503"/>
      <c r="E1942" s="639"/>
      <c r="G1942" s="507"/>
      <c r="H1942" s="992"/>
      <c r="I1942" s="993"/>
    </row>
    <row r="1943" spans="1:9" s="480" customFormat="1" x14ac:dyDescent="0.2">
      <c r="A1943" s="640"/>
      <c r="C1943" s="600"/>
      <c r="D1943" s="503"/>
      <c r="E1943" s="639"/>
      <c r="G1943" s="507"/>
      <c r="H1943" s="992"/>
      <c r="I1943" s="993"/>
    </row>
    <row r="1944" spans="1:9" s="480" customFormat="1" x14ac:dyDescent="0.2">
      <c r="A1944" s="640"/>
      <c r="C1944" s="600"/>
      <c r="D1944" s="503"/>
      <c r="E1944" s="639"/>
      <c r="G1944" s="507"/>
      <c r="H1944" s="992"/>
      <c r="I1944" s="993"/>
    </row>
    <row r="1945" spans="1:9" s="480" customFormat="1" x14ac:dyDescent="0.2">
      <c r="A1945" s="640"/>
      <c r="C1945" s="600"/>
      <c r="D1945" s="503"/>
      <c r="E1945" s="639"/>
      <c r="G1945" s="507"/>
      <c r="H1945" s="992"/>
      <c r="I1945" s="993"/>
    </row>
    <row r="1946" spans="1:9" s="480" customFormat="1" x14ac:dyDescent="0.2">
      <c r="A1946" s="640"/>
      <c r="C1946" s="600"/>
      <c r="D1946" s="503"/>
      <c r="E1946" s="639"/>
      <c r="G1946" s="507"/>
      <c r="H1946" s="992"/>
      <c r="I1946" s="993"/>
    </row>
    <row r="1947" spans="1:9" s="480" customFormat="1" x14ac:dyDescent="0.2">
      <c r="A1947" s="640"/>
      <c r="C1947" s="600"/>
      <c r="D1947" s="503"/>
      <c r="E1947" s="639"/>
      <c r="G1947" s="507"/>
      <c r="H1947" s="992"/>
      <c r="I1947" s="993"/>
    </row>
    <row r="1948" spans="1:9" s="480" customFormat="1" x14ac:dyDescent="0.2">
      <c r="A1948" s="640"/>
      <c r="C1948" s="600"/>
      <c r="D1948" s="503"/>
      <c r="E1948" s="639"/>
      <c r="G1948" s="507"/>
      <c r="H1948" s="992"/>
      <c r="I1948" s="993"/>
    </row>
    <row r="1949" spans="1:9" s="480" customFormat="1" x14ac:dyDescent="0.2">
      <c r="A1949" s="640"/>
      <c r="C1949" s="600"/>
      <c r="D1949" s="503"/>
      <c r="E1949" s="639"/>
      <c r="G1949" s="507"/>
      <c r="H1949" s="992"/>
      <c r="I1949" s="993"/>
    </row>
    <row r="1950" spans="1:9" s="480" customFormat="1" x14ac:dyDescent="0.2">
      <c r="A1950" s="640"/>
      <c r="C1950" s="600"/>
      <c r="D1950" s="503"/>
      <c r="E1950" s="639"/>
      <c r="G1950" s="507"/>
      <c r="H1950" s="992"/>
      <c r="I1950" s="993"/>
    </row>
    <row r="1951" spans="1:9" s="480" customFormat="1" x14ac:dyDescent="0.2">
      <c r="A1951" s="640"/>
      <c r="C1951" s="600"/>
      <c r="D1951" s="503"/>
      <c r="E1951" s="639"/>
      <c r="G1951" s="507"/>
      <c r="H1951" s="992"/>
      <c r="I1951" s="993"/>
    </row>
    <row r="1952" spans="1:9" s="480" customFormat="1" x14ac:dyDescent="0.2">
      <c r="A1952" s="640"/>
      <c r="C1952" s="600"/>
      <c r="D1952" s="503"/>
      <c r="E1952" s="639"/>
      <c r="G1952" s="507"/>
      <c r="H1952" s="992"/>
      <c r="I1952" s="993"/>
    </row>
    <row r="1953" spans="1:9" s="480" customFormat="1" x14ac:dyDescent="0.2">
      <c r="A1953" s="640"/>
      <c r="C1953" s="600"/>
      <c r="D1953" s="503"/>
      <c r="E1953" s="639"/>
      <c r="G1953" s="507"/>
      <c r="H1953" s="992"/>
      <c r="I1953" s="993"/>
    </row>
    <row r="1954" spans="1:9" s="480" customFormat="1" x14ac:dyDescent="0.2">
      <c r="A1954" s="640"/>
      <c r="C1954" s="600"/>
      <c r="D1954" s="503"/>
      <c r="E1954" s="639"/>
      <c r="G1954" s="507"/>
      <c r="H1954" s="992"/>
      <c r="I1954" s="993"/>
    </row>
    <row r="1955" spans="1:9" s="480" customFormat="1" x14ac:dyDescent="0.2">
      <c r="A1955" s="640"/>
      <c r="C1955" s="600"/>
      <c r="D1955" s="503"/>
      <c r="E1955" s="639"/>
      <c r="G1955" s="507"/>
      <c r="H1955" s="992"/>
      <c r="I1955" s="993"/>
    </row>
    <row r="1956" spans="1:9" s="480" customFormat="1" x14ac:dyDescent="0.2">
      <c r="A1956" s="640"/>
      <c r="C1956" s="600"/>
      <c r="D1956" s="503"/>
      <c r="E1956" s="639"/>
      <c r="G1956" s="507"/>
      <c r="H1956" s="992"/>
      <c r="I1956" s="993"/>
    </row>
    <row r="1957" spans="1:9" s="480" customFormat="1" x14ac:dyDescent="0.2">
      <c r="A1957" s="640"/>
      <c r="C1957" s="600"/>
      <c r="D1957" s="503"/>
      <c r="E1957" s="639"/>
      <c r="G1957" s="507"/>
      <c r="H1957" s="992"/>
      <c r="I1957" s="993"/>
    </row>
    <row r="1958" spans="1:9" s="480" customFormat="1" x14ac:dyDescent="0.2">
      <c r="A1958" s="640"/>
      <c r="C1958" s="600"/>
      <c r="D1958" s="503"/>
      <c r="E1958" s="639"/>
      <c r="G1958" s="507"/>
      <c r="H1958" s="992"/>
      <c r="I1958" s="993"/>
    </row>
    <row r="1959" spans="1:9" s="480" customFormat="1" x14ac:dyDescent="0.2">
      <c r="A1959" s="640"/>
      <c r="C1959" s="600"/>
      <c r="D1959" s="503"/>
      <c r="E1959" s="639"/>
      <c r="G1959" s="507"/>
      <c r="H1959" s="992"/>
      <c r="I1959" s="993"/>
    </row>
    <row r="1960" spans="1:9" s="480" customFormat="1" x14ac:dyDescent="0.2">
      <c r="A1960" s="640"/>
      <c r="C1960" s="600"/>
      <c r="D1960" s="503"/>
      <c r="E1960" s="639"/>
      <c r="G1960" s="507"/>
      <c r="H1960" s="992"/>
      <c r="I1960" s="993"/>
    </row>
    <row r="1961" spans="1:9" s="480" customFormat="1" x14ac:dyDescent="0.2">
      <c r="A1961" s="640"/>
      <c r="C1961" s="600"/>
      <c r="D1961" s="503"/>
      <c r="E1961" s="639"/>
      <c r="G1961" s="507"/>
      <c r="H1961" s="992"/>
      <c r="I1961" s="993"/>
    </row>
    <row r="1962" spans="1:9" s="480" customFormat="1" x14ac:dyDescent="0.2">
      <c r="A1962" s="640"/>
      <c r="C1962" s="600"/>
      <c r="D1962" s="503"/>
      <c r="E1962" s="639"/>
      <c r="G1962" s="507"/>
      <c r="H1962" s="992"/>
      <c r="I1962" s="993"/>
    </row>
    <row r="1963" spans="1:9" s="480" customFormat="1" x14ac:dyDescent="0.2">
      <c r="A1963" s="640"/>
      <c r="C1963" s="600"/>
      <c r="D1963" s="503"/>
      <c r="E1963" s="639"/>
      <c r="G1963" s="507"/>
      <c r="H1963" s="992"/>
      <c r="I1963" s="993"/>
    </row>
    <row r="1964" spans="1:9" s="480" customFormat="1" x14ac:dyDescent="0.2">
      <c r="A1964" s="640"/>
      <c r="C1964" s="600"/>
      <c r="D1964" s="503"/>
      <c r="E1964" s="639"/>
      <c r="G1964" s="507"/>
      <c r="H1964" s="992"/>
      <c r="I1964" s="993"/>
    </row>
    <row r="1965" spans="1:9" s="480" customFormat="1" x14ac:dyDescent="0.2">
      <c r="A1965" s="640"/>
      <c r="C1965" s="600"/>
      <c r="D1965" s="503"/>
      <c r="E1965" s="639"/>
      <c r="G1965" s="507"/>
      <c r="H1965" s="992"/>
      <c r="I1965" s="993"/>
    </row>
    <row r="1966" spans="1:9" s="480" customFormat="1" x14ac:dyDescent="0.2">
      <c r="A1966" s="640"/>
      <c r="C1966" s="600"/>
      <c r="D1966" s="503"/>
      <c r="E1966" s="639"/>
      <c r="G1966" s="507"/>
      <c r="H1966" s="992"/>
      <c r="I1966" s="993"/>
    </row>
    <row r="1967" spans="1:9" s="480" customFormat="1" x14ac:dyDescent="0.2">
      <c r="A1967" s="640"/>
      <c r="C1967" s="600"/>
      <c r="D1967" s="503"/>
      <c r="E1967" s="639"/>
      <c r="G1967" s="507"/>
      <c r="H1967" s="992"/>
      <c r="I1967" s="993"/>
    </row>
    <row r="1968" spans="1:9" s="480" customFormat="1" x14ac:dyDescent="0.2">
      <c r="A1968" s="640"/>
      <c r="C1968" s="600"/>
      <c r="D1968" s="503"/>
      <c r="E1968" s="639"/>
      <c r="G1968" s="507"/>
      <c r="H1968" s="992"/>
      <c r="I1968" s="993"/>
    </row>
    <row r="1969" spans="1:9" s="480" customFormat="1" x14ac:dyDescent="0.2">
      <c r="A1969" s="640"/>
      <c r="C1969" s="600"/>
      <c r="D1969" s="503"/>
      <c r="E1969" s="639"/>
      <c r="G1969" s="507"/>
      <c r="H1969" s="992"/>
      <c r="I1969" s="993"/>
    </row>
    <row r="1970" spans="1:9" s="480" customFormat="1" x14ac:dyDescent="0.2">
      <c r="A1970" s="640"/>
      <c r="C1970" s="600"/>
      <c r="D1970" s="503"/>
      <c r="E1970" s="639"/>
      <c r="G1970" s="507"/>
      <c r="H1970" s="992"/>
      <c r="I1970" s="993"/>
    </row>
    <row r="1971" spans="1:9" s="480" customFormat="1" x14ac:dyDescent="0.2">
      <c r="A1971" s="640"/>
      <c r="C1971" s="600"/>
      <c r="D1971" s="503"/>
      <c r="E1971" s="639"/>
      <c r="G1971" s="507"/>
      <c r="H1971" s="992"/>
      <c r="I1971" s="993"/>
    </row>
    <row r="1972" spans="1:9" s="480" customFormat="1" x14ac:dyDescent="0.2">
      <c r="A1972" s="640"/>
      <c r="C1972" s="600"/>
      <c r="D1972" s="503"/>
      <c r="E1972" s="639"/>
      <c r="G1972" s="507"/>
      <c r="H1972" s="992"/>
      <c r="I1972" s="993"/>
    </row>
    <row r="1973" spans="1:9" s="480" customFormat="1" x14ac:dyDescent="0.2">
      <c r="A1973" s="640"/>
      <c r="C1973" s="600"/>
      <c r="D1973" s="503"/>
      <c r="E1973" s="639"/>
      <c r="G1973" s="507"/>
      <c r="H1973" s="992"/>
      <c r="I1973" s="993"/>
    </row>
    <row r="1974" spans="1:9" s="480" customFormat="1" x14ac:dyDescent="0.2">
      <c r="A1974" s="640"/>
      <c r="C1974" s="600"/>
      <c r="D1974" s="503"/>
      <c r="E1974" s="639"/>
      <c r="G1974" s="507"/>
      <c r="H1974" s="992"/>
      <c r="I1974" s="993"/>
    </row>
    <row r="1975" spans="1:9" s="480" customFormat="1" x14ac:dyDescent="0.2">
      <c r="A1975" s="640"/>
      <c r="C1975" s="600"/>
      <c r="D1975" s="503"/>
      <c r="E1975" s="639"/>
      <c r="G1975" s="507"/>
      <c r="H1975" s="992"/>
      <c r="I1975" s="993"/>
    </row>
    <row r="1976" spans="1:9" s="480" customFormat="1" x14ac:dyDescent="0.2">
      <c r="A1976" s="640"/>
      <c r="C1976" s="600"/>
      <c r="D1976" s="503"/>
      <c r="E1976" s="639"/>
      <c r="G1976" s="507"/>
      <c r="H1976" s="992"/>
      <c r="I1976" s="993"/>
    </row>
    <row r="1977" spans="1:9" s="480" customFormat="1" x14ac:dyDescent="0.2">
      <c r="A1977" s="640"/>
      <c r="C1977" s="600"/>
      <c r="D1977" s="503"/>
      <c r="E1977" s="639"/>
      <c r="G1977" s="507"/>
      <c r="H1977" s="992"/>
      <c r="I1977" s="993"/>
    </row>
    <row r="1978" spans="1:9" s="480" customFormat="1" x14ac:dyDescent="0.2">
      <c r="A1978" s="640"/>
      <c r="C1978" s="600"/>
      <c r="D1978" s="503"/>
      <c r="E1978" s="639"/>
      <c r="G1978" s="507"/>
      <c r="H1978" s="992"/>
      <c r="I1978" s="993"/>
    </row>
    <row r="1979" spans="1:9" s="480" customFormat="1" x14ac:dyDescent="0.2">
      <c r="A1979" s="640"/>
      <c r="C1979" s="600"/>
      <c r="D1979" s="503"/>
      <c r="E1979" s="639"/>
      <c r="G1979" s="507"/>
      <c r="H1979" s="992"/>
      <c r="I1979" s="993"/>
    </row>
    <row r="1980" spans="1:9" s="480" customFormat="1" x14ac:dyDescent="0.2">
      <c r="A1980" s="640"/>
      <c r="C1980" s="600"/>
      <c r="D1980" s="503"/>
      <c r="E1980" s="639"/>
      <c r="G1980" s="507"/>
      <c r="H1980" s="992"/>
      <c r="I1980" s="993"/>
    </row>
    <row r="1981" spans="1:9" s="480" customFormat="1" x14ac:dyDescent="0.2">
      <c r="A1981" s="640"/>
      <c r="C1981" s="600"/>
      <c r="D1981" s="503"/>
      <c r="E1981" s="639"/>
      <c r="G1981" s="507"/>
      <c r="H1981" s="992"/>
      <c r="I1981" s="993"/>
    </row>
    <row r="1982" spans="1:9" s="480" customFormat="1" x14ac:dyDescent="0.2">
      <c r="A1982" s="640"/>
      <c r="C1982" s="600"/>
      <c r="D1982" s="503"/>
      <c r="E1982" s="639"/>
      <c r="G1982" s="507"/>
      <c r="H1982" s="992"/>
      <c r="I1982" s="993"/>
    </row>
    <row r="1983" spans="1:9" s="480" customFormat="1" x14ac:dyDescent="0.2">
      <c r="A1983" s="640"/>
      <c r="C1983" s="600"/>
      <c r="D1983" s="503"/>
      <c r="E1983" s="639"/>
      <c r="G1983" s="507"/>
      <c r="H1983" s="992"/>
      <c r="I1983" s="993"/>
    </row>
    <row r="1984" spans="1:9" s="480" customFormat="1" x14ac:dyDescent="0.2">
      <c r="A1984" s="640"/>
      <c r="C1984" s="600"/>
      <c r="D1984" s="503"/>
      <c r="E1984" s="639"/>
      <c r="G1984" s="507"/>
      <c r="H1984" s="992"/>
      <c r="I1984" s="993"/>
    </row>
    <row r="1985" spans="1:9" s="480" customFormat="1" x14ac:dyDescent="0.2">
      <c r="A1985" s="640"/>
      <c r="C1985" s="600"/>
      <c r="D1985" s="503"/>
      <c r="E1985" s="639"/>
      <c r="G1985" s="507"/>
      <c r="H1985" s="992"/>
      <c r="I1985" s="993"/>
    </row>
    <row r="1986" spans="1:9" s="480" customFormat="1" x14ac:dyDescent="0.2">
      <c r="A1986" s="640"/>
      <c r="C1986" s="600"/>
      <c r="D1986" s="503"/>
      <c r="E1986" s="639"/>
      <c r="G1986" s="507"/>
      <c r="H1986" s="992"/>
      <c r="I1986" s="993"/>
    </row>
    <row r="1987" spans="1:9" s="480" customFormat="1" x14ac:dyDescent="0.2">
      <c r="A1987" s="640"/>
      <c r="C1987" s="600"/>
      <c r="D1987" s="503"/>
      <c r="E1987" s="639"/>
      <c r="G1987" s="507"/>
      <c r="H1987" s="992"/>
      <c r="I1987" s="993"/>
    </row>
    <row r="1988" spans="1:9" s="480" customFormat="1" x14ac:dyDescent="0.2">
      <c r="A1988" s="640"/>
      <c r="C1988" s="600"/>
      <c r="D1988" s="503"/>
      <c r="E1988" s="639"/>
      <c r="G1988" s="507"/>
      <c r="H1988" s="992"/>
      <c r="I1988" s="993"/>
    </row>
    <row r="1989" spans="1:9" s="480" customFormat="1" x14ac:dyDescent="0.2">
      <c r="A1989" s="640"/>
      <c r="C1989" s="600"/>
      <c r="D1989" s="503"/>
      <c r="E1989" s="639"/>
      <c r="G1989" s="507"/>
      <c r="H1989" s="992"/>
      <c r="I1989" s="993"/>
    </row>
    <row r="1990" spans="1:9" s="480" customFormat="1" x14ac:dyDescent="0.2">
      <c r="A1990" s="640"/>
      <c r="C1990" s="600"/>
      <c r="D1990" s="503"/>
      <c r="E1990" s="639"/>
      <c r="G1990" s="507"/>
      <c r="H1990" s="992"/>
      <c r="I1990" s="993"/>
    </row>
    <row r="1991" spans="1:9" s="480" customFormat="1" x14ac:dyDescent="0.2">
      <c r="A1991" s="640"/>
      <c r="C1991" s="600"/>
      <c r="D1991" s="503"/>
      <c r="E1991" s="639"/>
      <c r="G1991" s="507"/>
      <c r="H1991" s="992"/>
      <c r="I1991" s="993"/>
    </row>
    <row r="1992" spans="1:9" s="480" customFormat="1" x14ac:dyDescent="0.2">
      <c r="A1992" s="640"/>
      <c r="C1992" s="600"/>
      <c r="D1992" s="503"/>
      <c r="E1992" s="639"/>
      <c r="G1992" s="507"/>
      <c r="H1992" s="992"/>
      <c r="I1992" s="993"/>
    </row>
    <row r="1993" spans="1:9" s="480" customFormat="1" x14ac:dyDescent="0.2">
      <c r="A1993" s="640"/>
      <c r="C1993" s="600"/>
      <c r="D1993" s="503"/>
      <c r="E1993" s="639"/>
      <c r="G1993" s="507"/>
      <c r="H1993" s="992"/>
      <c r="I1993" s="993"/>
    </row>
    <row r="1994" spans="1:9" s="480" customFormat="1" x14ac:dyDescent="0.2">
      <c r="A1994" s="640"/>
      <c r="C1994" s="600"/>
      <c r="D1994" s="503"/>
      <c r="E1994" s="639"/>
      <c r="G1994" s="507"/>
      <c r="H1994" s="992"/>
      <c r="I1994" s="993"/>
    </row>
    <row r="1995" spans="1:9" s="480" customFormat="1" x14ac:dyDescent="0.2">
      <c r="A1995" s="640"/>
      <c r="C1995" s="600"/>
      <c r="D1995" s="503"/>
      <c r="E1995" s="639"/>
      <c r="G1995" s="507"/>
      <c r="H1995" s="992"/>
      <c r="I1995" s="993"/>
    </row>
    <row r="1996" spans="1:9" s="480" customFormat="1" x14ac:dyDescent="0.2">
      <c r="A1996" s="640"/>
      <c r="C1996" s="600"/>
      <c r="D1996" s="503"/>
      <c r="E1996" s="639"/>
      <c r="G1996" s="507"/>
      <c r="H1996" s="992"/>
      <c r="I1996" s="993"/>
    </row>
    <row r="1997" spans="1:9" s="480" customFormat="1" x14ac:dyDescent="0.2">
      <c r="A1997" s="640"/>
      <c r="C1997" s="600"/>
      <c r="D1997" s="503"/>
      <c r="E1997" s="639"/>
      <c r="G1997" s="507"/>
      <c r="H1997" s="992"/>
      <c r="I1997" s="993"/>
    </row>
    <row r="1998" spans="1:9" s="480" customFormat="1" x14ac:dyDescent="0.2">
      <c r="A1998" s="640"/>
      <c r="C1998" s="600"/>
      <c r="D1998" s="503"/>
      <c r="E1998" s="639"/>
      <c r="G1998" s="507"/>
      <c r="H1998" s="992"/>
      <c r="I1998" s="993"/>
    </row>
    <row r="1999" spans="1:9" s="480" customFormat="1" x14ac:dyDescent="0.2">
      <c r="A1999" s="640"/>
      <c r="C1999" s="600"/>
      <c r="D1999" s="503"/>
      <c r="E1999" s="639"/>
      <c r="G1999" s="507"/>
      <c r="H1999" s="992"/>
      <c r="I1999" s="993"/>
    </row>
    <row r="2000" spans="1:9" s="480" customFormat="1" x14ac:dyDescent="0.2">
      <c r="A2000" s="640"/>
      <c r="C2000" s="600"/>
      <c r="D2000" s="503"/>
      <c r="E2000" s="639"/>
      <c r="G2000" s="507"/>
      <c r="H2000" s="992"/>
      <c r="I2000" s="993"/>
    </row>
    <row r="2001" spans="1:9" s="480" customFormat="1" x14ac:dyDescent="0.2">
      <c r="A2001" s="640"/>
      <c r="C2001" s="600"/>
      <c r="D2001" s="503"/>
      <c r="E2001" s="639"/>
      <c r="G2001" s="507"/>
      <c r="H2001" s="992"/>
      <c r="I2001" s="993"/>
    </row>
    <row r="2002" spans="1:9" s="480" customFormat="1" x14ac:dyDescent="0.2">
      <c r="A2002" s="640"/>
      <c r="C2002" s="600"/>
      <c r="D2002" s="503"/>
      <c r="E2002" s="639"/>
      <c r="G2002" s="507"/>
      <c r="H2002" s="992"/>
      <c r="I2002" s="993"/>
    </row>
    <row r="2003" spans="1:9" s="480" customFormat="1" x14ac:dyDescent="0.2">
      <c r="A2003" s="640"/>
      <c r="C2003" s="600"/>
      <c r="D2003" s="503"/>
      <c r="E2003" s="639"/>
      <c r="G2003" s="507"/>
      <c r="H2003" s="992"/>
      <c r="I2003" s="993"/>
    </row>
    <row r="2004" spans="1:9" s="480" customFormat="1" x14ac:dyDescent="0.2">
      <c r="A2004" s="640"/>
      <c r="C2004" s="600"/>
      <c r="D2004" s="503"/>
      <c r="E2004" s="639"/>
      <c r="G2004" s="507"/>
      <c r="H2004" s="992"/>
      <c r="I2004" s="993"/>
    </row>
    <row r="2005" spans="1:9" s="480" customFormat="1" x14ac:dyDescent="0.2">
      <c r="A2005" s="640"/>
      <c r="C2005" s="600"/>
      <c r="D2005" s="503"/>
      <c r="E2005" s="639"/>
      <c r="G2005" s="507"/>
      <c r="H2005" s="992"/>
      <c r="I2005" s="993"/>
    </row>
    <row r="2006" spans="1:9" s="480" customFormat="1" x14ac:dyDescent="0.2">
      <c r="A2006" s="640"/>
      <c r="C2006" s="600"/>
      <c r="D2006" s="503"/>
      <c r="E2006" s="639"/>
      <c r="G2006" s="507"/>
      <c r="H2006" s="992"/>
      <c r="I2006" s="993"/>
    </row>
    <row r="2007" spans="1:9" s="480" customFormat="1" x14ac:dyDescent="0.2">
      <c r="A2007" s="640"/>
      <c r="C2007" s="600"/>
      <c r="D2007" s="503"/>
      <c r="E2007" s="639"/>
      <c r="G2007" s="507"/>
      <c r="H2007" s="992"/>
      <c r="I2007" s="993"/>
    </row>
    <row r="2008" spans="1:9" s="480" customFormat="1" x14ac:dyDescent="0.2">
      <c r="A2008" s="640"/>
      <c r="C2008" s="600"/>
      <c r="D2008" s="503"/>
      <c r="E2008" s="639"/>
      <c r="G2008" s="507"/>
      <c r="H2008" s="992"/>
      <c r="I2008" s="993"/>
    </row>
    <row r="2009" spans="1:9" s="480" customFormat="1" x14ac:dyDescent="0.2">
      <c r="A2009" s="640"/>
      <c r="C2009" s="600"/>
      <c r="D2009" s="503"/>
      <c r="E2009" s="639"/>
      <c r="G2009" s="507"/>
      <c r="H2009" s="992"/>
      <c r="I2009" s="993"/>
    </row>
    <row r="2010" spans="1:9" s="480" customFormat="1" x14ac:dyDescent="0.2">
      <c r="A2010" s="640"/>
      <c r="C2010" s="600"/>
      <c r="D2010" s="503"/>
      <c r="E2010" s="639"/>
      <c r="G2010" s="507"/>
      <c r="H2010" s="992"/>
      <c r="I2010" s="993"/>
    </row>
    <row r="2011" spans="1:9" s="480" customFormat="1" x14ac:dyDescent="0.2">
      <c r="A2011" s="640"/>
      <c r="C2011" s="600"/>
      <c r="D2011" s="503"/>
      <c r="E2011" s="639"/>
      <c r="G2011" s="507"/>
      <c r="H2011" s="992"/>
      <c r="I2011" s="993"/>
    </row>
    <row r="2012" spans="1:9" s="480" customFormat="1" x14ac:dyDescent="0.2">
      <c r="A2012" s="640"/>
      <c r="C2012" s="600"/>
      <c r="D2012" s="503"/>
      <c r="E2012" s="639"/>
      <c r="G2012" s="507"/>
      <c r="H2012" s="992"/>
      <c r="I2012" s="993"/>
    </row>
    <row r="2013" spans="1:9" s="480" customFormat="1" x14ac:dyDescent="0.2">
      <c r="A2013" s="640"/>
      <c r="C2013" s="600"/>
      <c r="D2013" s="503"/>
      <c r="E2013" s="639"/>
      <c r="G2013" s="507"/>
      <c r="H2013" s="992"/>
      <c r="I2013" s="993"/>
    </row>
    <row r="2014" spans="1:9" s="480" customFormat="1" x14ac:dyDescent="0.2">
      <c r="A2014" s="640"/>
      <c r="C2014" s="600"/>
      <c r="D2014" s="503"/>
      <c r="E2014" s="639"/>
      <c r="G2014" s="507"/>
      <c r="H2014" s="992"/>
      <c r="I2014" s="993"/>
    </row>
    <row r="2015" spans="1:9" s="480" customFormat="1" x14ac:dyDescent="0.2">
      <c r="A2015" s="640"/>
      <c r="C2015" s="600"/>
      <c r="D2015" s="503"/>
      <c r="E2015" s="639"/>
      <c r="G2015" s="507"/>
      <c r="H2015" s="992"/>
      <c r="I2015" s="993"/>
    </row>
    <row r="2016" spans="1:9" s="480" customFormat="1" x14ac:dyDescent="0.2">
      <c r="A2016" s="640"/>
      <c r="C2016" s="600"/>
      <c r="D2016" s="503"/>
      <c r="E2016" s="639"/>
      <c r="G2016" s="507"/>
      <c r="H2016" s="992"/>
      <c r="I2016" s="993"/>
    </row>
    <row r="2017" spans="1:9" s="480" customFormat="1" x14ac:dyDescent="0.2">
      <c r="A2017" s="640"/>
      <c r="C2017" s="600"/>
      <c r="D2017" s="503"/>
      <c r="E2017" s="639"/>
      <c r="G2017" s="507"/>
      <c r="H2017" s="992"/>
      <c r="I2017" s="993"/>
    </row>
    <row r="2018" spans="1:9" s="480" customFormat="1" x14ac:dyDescent="0.2">
      <c r="A2018" s="640"/>
      <c r="C2018" s="600"/>
      <c r="D2018" s="503"/>
      <c r="E2018" s="639"/>
      <c r="G2018" s="507"/>
      <c r="H2018" s="992"/>
      <c r="I2018" s="993"/>
    </row>
    <row r="2019" spans="1:9" s="480" customFormat="1" x14ac:dyDescent="0.2">
      <c r="A2019" s="640"/>
      <c r="C2019" s="600"/>
      <c r="D2019" s="503"/>
      <c r="E2019" s="639"/>
      <c r="G2019" s="507"/>
      <c r="H2019" s="992"/>
      <c r="I2019" s="993"/>
    </row>
    <row r="2020" spans="1:9" s="480" customFormat="1" x14ac:dyDescent="0.2">
      <c r="A2020" s="640"/>
      <c r="C2020" s="600"/>
      <c r="D2020" s="503"/>
      <c r="E2020" s="639"/>
      <c r="G2020" s="507"/>
      <c r="H2020" s="992"/>
      <c r="I2020" s="993"/>
    </row>
    <row r="2021" spans="1:9" s="480" customFormat="1" x14ac:dyDescent="0.2">
      <c r="A2021" s="640"/>
      <c r="C2021" s="600"/>
      <c r="D2021" s="503"/>
      <c r="E2021" s="639"/>
      <c r="G2021" s="507"/>
      <c r="H2021" s="992"/>
      <c r="I2021" s="993"/>
    </row>
    <row r="2022" spans="1:9" s="480" customFormat="1" x14ac:dyDescent="0.2">
      <c r="A2022" s="640"/>
      <c r="C2022" s="600"/>
      <c r="D2022" s="503"/>
      <c r="E2022" s="639"/>
      <c r="G2022" s="507"/>
      <c r="H2022" s="992"/>
      <c r="I2022" s="993"/>
    </row>
    <row r="2023" spans="1:9" s="480" customFormat="1" x14ac:dyDescent="0.2">
      <c r="A2023" s="640"/>
      <c r="C2023" s="600"/>
      <c r="D2023" s="503"/>
      <c r="E2023" s="639"/>
      <c r="G2023" s="507"/>
      <c r="H2023" s="992"/>
      <c r="I2023" s="993"/>
    </row>
    <row r="2024" spans="1:9" s="480" customFormat="1" x14ac:dyDescent="0.2">
      <c r="A2024" s="640"/>
      <c r="C2024" s="600"/>
      <c r="D2024" s="503"/>
      <c r="E2024" s="639"/>
      <c r="G2024" s="507"/>
      <c r="H2024" s="992"/>
      <c r="I2024" s="993"/>
    </row>
    <row r="2025" spans="1:9" s="480" customFormat="1" x14ac:dyDescent="0.2">
      <c r="A2025" s="640"/>
      <c r="C2025" s="600"/>
      <c r="D2025" s="503"/>
      <c r="E2025" s="639"/>
      <c r="G2025" s="507"/>
      <c r="H2025" s="992"/>
      <c r="I2025" s="993"/>
    </row>
    <row r="2026" spans="1:9" s="480" customFormat="1" x14ac:dyDescent="0.2">
      <c r="A2026" s="640"/>
      <c r="C2026" s="600"/>
      <c r="D2026" s="503"/>
      <c r="E2026" s="639"/>
      <c r="G2026" s="507"/>
      <c r="H2026" s="992"/>
      <c r="I2026" s="993"/>
    </row>
    <row r="2027" spans="1:9" s="480" customFormat="1" x14ac:dyDescent="0.2">
      <c r="A2027" s="640"/>
      <c r="C2027" s="600"/>
      <c r="D2027" s="503"/>
      <c r="E2027" s="639"/>
      <c r="G2027" s="507"/>
      <c r="H2027" s="992"/>
      <c r="I2027" s="993"/>
    </row>
    <row r="2028" spans="1:9" s="480" customFormat="1" x14ac:dyDescent="0.2">
      <c r="A2028" s="640"/>
      <c r="C2028" s="600"/>
      <c r="D2028" s="503"/>
      <c r="E2028" s="639"/>
      <c r="G2028" s="507"/>
      <c r="H2028" s="992"/>
      <c r="I2028" s="993"/>
    </row>
    <row r="2029" spans="1:9" s="480" customFormat="1" x14ac:dyDescent="0.2">
      <c r="A2029" s="640"/>
      <c r="C2029" s="600"/>
      <c r="D2029" s="503"/>
      <c r="E2029" s="639"/>
      <c r="G2029" s="507"/>
      <c r="H2029" s="992"/>
      <c r="I2029" s="993"/>
    </row>
    <row r="2030" spans="1:9" s="480" customFormat="1" x14ac:dyDescent="0.2">
      <c r="A2030" s="640"/>
      <c r="C2030" s="600"/>
      <c r="D2030" s="503"/>
      <c r="E2030" s="639"/>
      <c r="G2030" s="507"/>
      <c r="H2030" s="992"/>
      <c r="I2030" s="993"/>
    </row>
    <row r="2031" spans="1:9" s="480" customFormat="1" x14ac:dyDescent="0.2">
      <c r="A2031" s="640"/>
      <c r="C2031" s="600"/>
      <c r="D2031" s="503"/>
      <c r="E2031" s="639"/>
      <c r="G2031" s="507"/>
      <c r="H2031" s="992"/>
      <c r="I2031" s="993"/>
    </row>
    <row r="2032" spans="1:9" s="480" customFormat="1" x14ac:dyDescent="0.2">
      <c r="A2032" s="640"/>
      <c r="C2032" s="600"/>
      <c r="D2032" s="503"/>
      <c r="E2032" s="639"/>
      <c r="G2032" s="507"/>
      <c r="H2032" s="992"/>
      <c r="I2032" s="993"/>
    </row>
    <row r="2033" spans="1:9" s="480" customFormat="1" x14ac:dyDescent="0.2">
      <c r="A2033" s="640"/>
      <c r="C2033" s="600"/>
      <c r="D2033" s="503"/>
      <c r="E2033" s="639"/>
      <c r="G2033" s="507"/>
      <c r="H2033" s="992"/>
      <c r="I2033" s="993"/>
    </row>
    <row r="2034" spans="1:9" s="480" customFormat="1" x14ac:dyDescent="0.2">
      <c r="A2034" s="640"/>
      <c r="C2034" s="600"/>
      <c r="D2034" s="503"/>
      <c r="E2034" s="639"/>
      <c r="G2034" s="507"/>
      <c r="H2034" s="992"/>
      <c r="I2034" s="993"/>
    </row>
    <row r="2035" spans="1:9" s="480" customFormat="1" x14ac:dyDescent="0.2">
      <c r="A2035" s="640"/>
      <c r="C2035" s="600"/>
      <c r="D2035" s="503"/>
      <c r="E2035" s="639"/>
      <c r="G2035" s="507"/>
      <c r="H2035" s="992"/>
      <c r="I2035" s="993"/>
    </row>
    <row r="2036" spans="1:9" s="480" customFormat="1" x14ac:dyDescent="0.2">
      <c r="A2036" s="640"/>
      <c r="C2036" s="600"/>
      <c r="D2036" s="503"/>
      <c r="E2036" s="639"/>
      <c r="G2036" s="507"/>
      <c r="H2036" s="992"/>
      <c r="I2036" s="993"/>
    </row>
    <row r="2037" spans="1:9" s="480" customFormat="1" x14ac:dyDescent="0.2">
      <c r="A2037" s="640"/>
      <c r="C2037" s="600"/>
      <c r="D2037" s="503"/>
      <c r="E2037" s="639"/>
      <c r="G2037" s="507"/>
      <c r="H2037" s="992"/>
      <c r="I2037" s="993"/>
    </row>
    <row r="2038" spans="1:9" s="480" customFormat="1" x14ac:dyDescent="0.2">
      <c r="A2038" s="640"/>
      <c r="C2038" s="600"/>
      <c r="D2038" s="503"/>
      <c r="E2038" s="639"/>
      <c r="G2038" s="507"/>
      <c r="H2038" s="992"/>
      <c r="I2038" s="993"/>
    </row>
    <row r="2039" spans="1:9" s="480" customFormat="1" x14ac:dyDescent="0.2">
      <c r="A2039" s="640"/>
      <c r="C2039" s="600"/>
      <c r="D2039" s="503"/>
      <c r="E2039" s="639"/>
      <c r="G2039" s="507"/>
      <c r="H2039" s="992"/>
      <c r="I2039" s="993"/>
    </row>
    <row r="2040" spans="1:9" s="480" customFormat="1" x14ac:dyDescent="0.2">
      <c r="A2040" s="640"/>
      <c r="C2040" s="600"/>
      <c r="D2040" s="503"/>
      <c r="E2040" s="639"/>
      <c r="G2040" s="507"/>
      <c r="H2040" s="992"/>
      <c r="I2040" s="993"/>
    </row>
    <row r="2041" spans="1:9" s="480" customFormat="1" x14ac:dyDescent="0.2">
      <c r="A2041" s="640"/>
      <c r="C2041" s="600"/>
      <c r="D2041" s="503"/>
      <c r="E2041" s="639"/>
      <c r="G2041" s="507"/>
      <c r="H2041" s="992"/>
      <c r="I2041" s="993"/>
    </row>
    <row r="2042" spans="1:9" s="480" customFormat="1" x14ac:dyDescent="0.2">
      <c r="A2042" s="640"/>
      <c r="C2042" s="600"/>
      <c r="D2042" s="503"/>
      <c r="E2042" s="639"/>
      <c r="G2042" s="507"/>
      <c r="H2042" s="992"/>
      <c r="I2042" s="993"/>
    </row>
    <row r="2043" spans="1:9" s="480" customFormat="1" x14ac:dyDescent="0.2">
      <c r="A2043" s="640"/>
      <c r="C2043" s="600"/>
      <c r="D2043" s="503"/>
      <c r="E2043" s="639"/>
      <c r="G2043" s="507"/>
      <c r="H2043" s="992"/>
      <c r="I2043" s="993"/>
    </row>
    <row r="2044" spans="1:9" s="480" customFormat="1" x14ac:dyDescent="0.2">
      <c r="A2044" s="640"/>
      <c r="C2044" s="600"/>
      <c r="D2044" s="503"/>
      <c r="E2044" s="639"/>
      <c r="G2044" s="507"/>
      <c r="H2044" s="992"/>
      <c r="I2044" s="993"/>
    </row>
    <row r="2045" spans="1:9" s="480" customFormat="1" x14ac:dyDescent="0.2">
      <c r="A2045" s="640"/>
      <c r="C2045" s="600"/>
      <c r="D2045" s="503"/>
      <c r="E2045" s="639"/>
      <c r="G2045" s="507"/>
      <c r="H2045" s="992"/>
      <c r="I2045" s="993"/>
    </row>
    <row r="2046" spans="1:9" s="480" customFormat="1" x14ac:dyDescent="0.2">
      <c r="A2046" s="640"/>
      <c r="C2046" s="600"/>
      <c r="D2046" s="503"/>
      <c r="E2046" s="639"/>
      <c r="G2046" s="507"/>
      <c r="H2046" s="992"/>
      <c r="I2046" s="993"/>
    </row>
    <row r="2047" spans="1:9" s="480" customFormat="1" x14ac:dyDescent="0.2">
      <c r="A2047" s="640"/>
      <c r="C2047" s="600"/>
      <c r="D2047" s="503"/>
      <c r="E2047" s="639"/>
      <c r="G2047" s="507"/>
      <c r="H2047" s="992"/>
      <c r="I2047" s="993"/>
    </row>
    <row r="2048" spans="1:9" s="480" customFormat="1" x14ac:dyDescent="0.2">
      <c r="A2048" s="640"/>
      <c r="C2048" s="600"/>
      <c r="D2048" s="503"/>
      <c r="E2048" s="639"/>
      <c r="G2048" s="507"/>
      <c r="H2048" s="992"/>
      <c r="I2048" s="993"/>
    </row>
    <row r="2049" spans="1:9" s="480" customFormat="1" x14ac:dyDescent="0.2">
      <c r="A2049" s="640"/>
      <c r="C2049" s="600"/>
      <c r="D2049" s="503"/>
      <c r="E2049" s="639"/>
      <c r="G2049" s="507"/>
      <c r="H2049" s="992"/>
      <c r="I2049" s="993"/>
    </row>
    <row r="2050" spans="1:9" s="480" customFormat="1" x14ac:dyDescent="0.2">
      <c r="A2050" s="640"/>
      <c r="C2050" s="600"/>
      <c r="D2050" s="503"/>
      <c r="E2050" s="639"/>
      <c r="G2050" s="507"/>
      <c r="H2050" s="992"/>
      <c r="I2050" s="993"/>
    </row>
    <row r="2051" spans="1:9" s="480" customFormat="1" x14ac:dyDescent="0.2">
      <c r="A2051" s="640"/>
      <c r="C2051" s="600"/>
      <c r="D2051" s="503"/>
      <c r="E2051" s="639"/>
      <c r="G2051" s="507"/>
      <c r="H2051" s="992"/>
      <c r="I2051" s="993"/>
    </row>
    <row r="2052" spans="1:9" s="480" customFormat="1" x14ac:dyDescent="0.2">
      <c r="A2052" s="640"/>
      <c r="C2052" s="600"/>
      <c r="D2052" s="503"/>
      <c r="E2052" s="639"/>
      <c r="G2052" s="507"/>
      <c r="H2052" s="992"/>
      <c r="I2052" s="993"/>
    </row>
    <row r="2053" spans="1:9" s="480" customFormat="1" x14ac:dyDescent="0.2">
      <c r="A2053" s="640"/>
      <c r="C2053" s="600"/>
      <c r="D2053" s="503"/>
      <c r="E2053" s="639"/>
      <c r="G2053" s="507"/>
      <c r="H2053" s="992"/>
      <c r="I2053" s="993"/>
    </row>
    <row r="2054" spans="1:9" s="480" customFormat="1" x14ac:dyDescent="0.2">
      <c r="A2054" s="640"/>
      <c r="C2054" s="600"/>
      <c r="D2054" s="503"/>
      <c r="E2054" s="639"/>
      <c r="G2054" s="507"/>
      <c r="H2054" s="992"/>
      <c r="I2054" s="993"/>
    </row>
    <row r="2055" spans="1:9" s="480" customFormat="1" x14ac:dyDescent="0.2">
      <c r="A2055" s="640"/>
      <c r="C2055" s="600"/>
      <c r="D2055" s="503"/>
      <c r="E2055" s="639"/>
      <c r="G2055" s="507"/>
      <c r="H2055" s="992"/>
      <c r="I2055" s="993"/>
    </row>
    <row r="2056" spans="1:9" s="480" customFormat="1" x14ac:dyDescent="0.2">
      <c r="A2056" s="640"/>
      <c r="C2056" s="600"/>
      <c r="D2056" s="503"/>
      <c r="E2056" s="639"/>
      <c r="G2056" s="507"/>
      <c r="H2056" s="992"/>
      <c r="I2056" s="993"/>
    </row>
    <row r="2057" spans="1:9" s="480" customFormat="1" x14ac:dyDescent="0.2">
      <c r="A2057" s="640"/>
      <c r="C2057" s="600"/>
      <c r="D2057" s="503"/>
      <c r="E2057" s="639"/>
      <c r="G2057" s="507"/>
      <c r="H2057" s="992"/>
      <c r="I2057" s="993"/>
    </row>
    <row r="2058" spans="1:9" s="480" customFormat="1" x14ac:dyDescent="0.2">
      <c r="A2058" s="640"/>
      <c r="C2058" s="600"/>
      <c r="D2058" s="503"/>
      <c r="E2058" s="639"/>
      <c r="G2058" s="507"/>
      <c r="H2058" s="992"/>
      <c r="I2058" s="993"/>
    </row>
    <row r="2059" spans="1:9" s="480" customFormat="1" x14ac:dyDescent="0.2">
      <c r="A2059" s="640"/>
      <c r="C2059" s="600"/>
      <c r="D2059" s="503"/>
      <c r="E2059" s="639"/>
      <c r="G2059" s="507"/>
      <c r="H2059" s="992"/>
      <c r="I2059" s="993"/>
    </row>
    <row r="2060" spans="1:9" s="480" customFormat="1" x14ac:dyDescent="0.2">
      <c r="A2060" s="640"/>
      <c r="C2060" s="600"/>
      <c r="D2060" s="503"/>
      <c r="E2060" s="639"/>
      <c r="G2060" s="507"/>
      <c r="H2060" s="992"/>
      <c r="I2060" s="993"/>
    </row>
    <row r="2061" spans="1:9" s="480" customFormat="1" x14ac:dyDescent="0.2">
      <c r="A2061" s="640"/>
      <c r="C2061" s="600"/>
      <c r="D2061" s="503"/>
      <c r="E2061" s="639"/>
      <c r="G2061" s="507"/>
      <c r="H2061" s="992"/>
      <c r="I2061" s="993"/>
    </row>
    <row r="2062" spans="1:9" s="480" customFormat="1" x14ac:dyDescent="0.2">
      <c r="A2062" s="640"/>
      <c r="C2062" s="600"/>
      <c r="D2062" s="503"/>
      <c r="E2062" s="639"/>
      <c r="G2062" s="507"/>
      <c r="H2062" s="992"/>
      <c r="I2062" s="993"/>
    </row>
    <row r="2063" spans="1:9" s="480" customFormat="1" x14ac:dyDescent="0.2">
      <c r="A2063" s="640"/>
      <c r="C2063" s="600"/>
      <c r="D2063" s="503"/>
      <c r="E2063" s="639"/>
      <c r="G2063" s="507"/>
      <c r="H2063" s="992"/>
      <c r="I2063" s="993"/>
    </row>
    <row r="2064" spans="1:9" s="480" customFormat="1" x14ac:dyDescent="0.2">
      <c r="A2064" s="640"/>
      <c r="C2064" s="600"/>
      <c r="D2064" s="503"/>
      <c r="E2064" s="639"/>
      <c r="G2064" s="507"/>
      <c r="H2064" s="992"/>
      <c r="I2064" s="993"/>
    </row>
    <row r="2065" spans="1:9" s="480" customFormat="1" x14ac:dyDescent="0.2">
      <c r="A2065" s="640"/>
      <c r="C2065" s="600"/>
      <c r="D2065" s="503"/>
      <c r="E2065" s="639"/>
      <c r="G2065" s="507"/>
      <c r="H2065" s="992"/>
      <c r="I2065" s="993"/>
    </row>
    <row r="2066" spans="1:9" s="480" customFormat="1" x14ac:dyDescent="0.2">
      <c r="A2066" s="640"/>
      <c r="C2066" s="600"/>
      <c r="D2066" s="503"/>
      <c r="E2066" s="639"/>
      <c r="G2066" s="507"/>
      <c r="H2066" s="992"/>
      <c r="I2066" s="993"/>
    </row>
    <row r="2067" spans="1:9" s="480" customFormat="1" x14ac:dyDescent="0.2">
      <c r="A2067" s="640"/>
      <c r="C2067" s="600"/>
      <c r="D2067" s="503"/>
      <c r="E2067" s="639"/>
      <c r="G2067" s="507"/>
      <c r="H2067" s="992"/>
      <c r="I2067" s="993"/>
    </row>
    <row r="2068" spans="1:9" s="480" customFormat="1" x14ac:dyDescent="0.2">
      <c r="A2068" s="640"/>
      <c r="C2068" s="600"/>
      <c r="D2068" s="503"/>
      <c r="E2068" s="639"/>
      <c r="G2068" s="507"/>
      <c r="H2068" s="992"/>
      <c r="I2068" s="993"/>
    </row>
    <row r="2069" spans="1:9" s="480" customFormat="1" x14ac:dyDescent="0.2">
      <c r="A2069" s="640"/>
      <c r="C2069" s="600"/>
      <c r="D2069" s="503"/>
      <c r="E2069" s="639"/>
      <c r="G2069" s="507"/>
      <c r="H2069" s="992"/>
      <c r="I2069" s="993"/>
    </row>
    <row r="2070" spans="1:9" s="480" customFormat="1" x14ac:dyDescent="0.2">
      <c r="A2070" s="640"/>
      <c r="C2070" s="600"/>
      <c r="D2070" s="503"/>
      <c r="E2070" s="639"/>
      <c r="G2070" s="507"/>
      <c r="H2070" s="992"/>
      <c r="I2070" s="993"/>
    </row>
    <row r="2071" spans="1:9" s="480" customFormat="1" x14ac:dyDescent="0.2">
      <c r="A2071" s="640"/>
      <c r="C2071" s="600"/>
      <c r="D2071" s="503"/>
      <c r="E2071" s="639"/>
      <c r="G2071" s="507"/>
      <c r="H2071" s="992"/>
      <c r="I2071" s="993"/>
    </row>
    <row r="2072" spans="1:9" s="480" customFormat="1" x14ac:dyDescent="0.2">
      <c r="A2072" s="640"/>
      <c r="C2072" s="600"/>
      <c r="D2072" s="503"/>
      <c r="E2072" s="639"/>
      <c r="G2072" s="507"/>
      <c r="H2072" s="992"/>
      <c r="I2072" s="993"/>
    </row>
    <row r="2073" spans="1:9" s="480" customFormat="1" x14ac:dyDescent="0.2">
      <c r="A2073" s="640"/>
      <c r="C2073" s="600"/>
      <c r="D2073" s="503"/>
      <c r="E2073" s="639"/>
      <c r="G2073" s="507"/>
      <c r="H2073" s="992"/>
      <c r="I2073" s="993"/>
    </row>
    <row r="2074" spans="1:9" s="480" customFormat="1" x14ac:dyDescent="0.2">
      <c r="A2074" s="640"/>
      <c r="C2074" s="600"/>
      <c r="D2074" s="503"/>
      <c r="E2074" s="639"/>
      <c r="G2074" s="507"/>
      <c r="H2074" s="992"/>
      <c r="I2074" s="993"/>
    </row>
    <row r="2075" spans="1:9" s="480" customFormat="1" x14ac:dyDescent="0.2">
      <c r="A2075" s="640"/>
      <c r="C2075" s="600"/>
      <c r="D2075" s="503"/>
      <c r="E2075" s="639"/>
      <c r="G2075" s="507"/>
      <c r="H2075" s="992"/>
      <c r="I2075" s="993"/>
    </row>
    <row r="2076" spans="1:9" s="480" customFormat="1" x14ac:dyDescent="0.2">
      <c r="A2076" s="640"/>
      <c r="C2076" s="600"/>
      <c r="D2076" s="503"/>
      <c r="E2076" s="639"/>
      <c r="G2076" s="507"/>
      <c r="H2076" s="992"/>
      <c r="I2076" s="993"/>
    </row>
    <row r="2077" spans="1:9" s="480" customFormat="1" x14ac:dyDescent="0.2">
      <c r="A2077" s="640"/>
      <c r="C2077" s="600"/>
      <c r="D2077" s="503"/>
      <c r="E2077" s="639"/>
      <c r="G2077" s="507"/>
      <c r="H2077" s="992"/>
      <c r="I2077" s="993"/>
    </row>
    <row r="2078" spans="1:9" s="480" customFormat="1" x14ac:dyDescent="0.2">
      <c r="A2078" s="640"/>
      <c r="C2078" s="600"/>
      <c r="D2078" s="503"/>
      <c r="E2078" s="639"/>
      <c r="G2078" s="507"/>
      <c r="H2078" s="992"/>
      <c r="I2078" s="993"/>
    </row>
    <row r="2079" spans="1:9" s="480" customFormat="1" x14ac:dyDescent="0.2">
      <c r="A2079" s="640"/>
      <c r="C2079" s="600"/>
      <c r="D2079" s="503"/>
      <c r="E2079" s="639"/>
      <c r="G2079" s="507"/>
      <c r="H2079" s="992"/>
      <c r="I2079" s="993"/>
    </row>
    <row r="2080" spans="1:9" s="480" customFormat="1" x14ac:dyDescent="0.2">
      <c r="A2080" s="640"/>
      <c r="C2080" s="600"/>
      <c r="D2080" s="503"/>
      <c r="E2080" s="639"/>
      <c r="G2080" s="507"/>
      <c r="H2080" s="992"/>
      <c r="I2080" s="993"/>
    </row>
    <row r="2081" spans="1:9" s="480" customFormat="1" x14ac:dyDescent="0.2">
      <c r="A2081" s="640"/>
      <c r="C2081" s="600"/>
      <c r="D2081" s="503"/>
      <c r="E2081" s="639"/>
      <c r="G2081" s="507"/>
      <c r="H2081" s="992"/>
      <c r="I2081" s="993"/>
    </row>
    <row r="2082" spans="1:9" s="480" customFormat="1" x14ac:dyDescent="0.2">
      <c r="A2082" s="640"/>
      <c r="C2082" s="600"/>
      <c r="D2082" s="503"/>
      <c r="E2082" s="639"/>
      <c r="G2082" s="507"/>
      <c r="H2082" s="992"/>
      <c r="I2082" s="993"/>
    </row>
    <row r="2083" spans="1:9" s="480" customFormat="1" x14ac:dyDescent="0.2">
      <c r="A2083" s="640"/>
      <c r="C2083" s="600"/>
      <c r="D2083" s="503"/>
      <c r="E2083" s="639"/>
      <c r="G2083" s="507"/>
      <c r="H2083" s="992"/>
      <c r="I2083" s="993"/>
    </row>
    <row r="2084" spans="1:9" s="480" customFormat="1" x14ac:dyDescent="0.2">
      <c r="A2084" s="640"/>
      <c r="C2084" s="600"/>
      <c r="D2084" s="503"/>
      <c r="E2084" s="639"/>
      <c r="G2084" s="507"/>
      <c r="H2084" s="992"/>
      <c r="I2084" s="993"/>
    </row>
    <row r="2085" spans="1:9" s="480" customFormat="1" x14ac:dyDescent="0.2">
      <c r="A2085" s="640"/>
      <c r="C2085" s="600"/>
      <c r="D2085" s="503"/>
      <c r="E2085" s="639"/>
      <c r="G2085" s="507"/>
      <c r="H2085" s="992"/>
      <c r="I2085" s="993"/>
    </row>
    <row r="2086" spans="1:9" s="480" customFormat="1" x14ac:dyDescent="0.2">
      <c r="A2086" s="640"/>
      <c r="C2086" s="600"/>
      <c r="D2086" s="503"/>
      <c r="E2086" s="639"/>
      <c r="G2086" s="507"/>
      <c r="H2086" s="992"/>
      <c r="I2086" s="993"/>
    </row>
    <row r="2087" spans="1:9" s="480" customFormat="1" x14ac:dyDescent="0.2">
      <c r="A2087" s="640"/>
      <c r="C2087" s="600"/>
      <c r="D2087" s="503"/>
      <c r="E2087" s="639"/>
      <c r="G2087" s="507"/>
      <c r="H2087" s="992"/>
      <c r="I2087" s="993"/>
    </row>
    <row r="2088" spans="1:9" s="480" customFormat="1" x14ac:dyDescent="0.2">
      <c r="A2088" s="640"/>
      <c r="C2088" s="600"/>
      <c r="D2088" s="503"/>
      <c r="E2088" s="639"/>
      <c r="G2088" s="507"/>
      <c r="H2088" s="992"/>
      <c r="I2088" s="993"/>
    </row>
    <row r="2089" spans="1:9" s="480" customFormat="1" x14ac:dyDescent="0.2">
      <c r="A2089" s="640"/>
      <c r="C2089" s="600"/>
      <c r="D2089" s="503"/>
      <c r="E2089" s="639"/>
      <c r="G2089" s="507"/>
      <c r="H2089" s="992"/>
      <c r="I2089" s="993"/>
    </row>
    <row r="2090" spans="1:9" s="480" customFormat="1" x14ac:dyDescent="0.2">
      <c r="A2090" s="640"/>
      <c r="C2090" s="600"/>
      <c r="D2090" s="503"/>
      <c r="E2090" s="639"/>
      <c r="G2090" s="507"/>
      <c r="H2090" s="992"/>
      <c r="I2090" s="993"/>
    </row>
    <row r="2091" spans="1:9" s="480" customFormat="1" x14ac:dyDescent="0.2">
      <c r="A2091" s="640"/>
      <c r="C2091" s="600"/>
      <c r="D2091" s="503"/>
      <c r="E2091" s="639"/>
      <c r="G2091" s="507"/>
      <c r="H2091" s="992"/>
      <c r="I2091" s="993"/>
    </row>
    <row r="2092" spans="1:9" s="480" customFormat="1" x14ac:dyDescent="0.2">
      <c r="A2092" s="640"/>
      <c r="C2092" s="600"/>
      <c r="D2092" s="503"/>
      <c r="E2092" s="639"/>
      <c r="G2092" s="507"/>
      <c r="H2092" s="992"/>
      <c r="I2092" s="993"/>
    </row>
    <row r="2093" spans="1:9" s="480" customFormat="1" x14ac:dyDescent="0.2">
      <c r="A2093" s="640"/>
      <c r="C2093" s="600"/>
      <c r="D2093" s="503"/>
      <c r="E2093" s="639"/>
      <c r="G2093" s="507"/>
      <c r="H2093" s="992"/>
      <c r="I2093" s="993"/>
    </row>
    <row r="2094" spans="1:9" s="480" customFormat="1" x14ac:dyDescent="0.2">
      <c r="A2094" s="640"/>
      <c r="C2094" s="600"/>
      <c r="D2094" s="503"/>
      <c r="E2094" s="639"/>
      <c r="G2094" s="507"/>
      <c r="H2094" s="992"/>
      <c r="I2094" s="993"/>
    </row>
    <row r="2095" spans="1:9" s="480" customFormat="1" x14ac:dyDescent="0.2">
      <c r="A2095" s="640"/>
      <c r="C2095" s="600"/>
      <c r="D2095" s="503"/>
      <c r="E2095" s="639"/>
      <c r="G2095" s="507"/>
      <c r="H2095" s="992"/>
      <c r="I2095" s="993"/>
    </row>
    <row r="2096" spans="1:9" s="480" customFormat="1" x14ac:dyDescent="0.2">
      <c r="A2096" s="640"/>
      <c r="C2096" s="600"/>
      <c r="D2096" s="503"/>
      <c r="E2096" s="639"/>
      <c r="G2096" s="507"/>
      <c r="H2096" s="992"/>
      <c r="I2096" s="993"/>
    </row>
    <row r="2097" spans="1:9" s="480" customFormat="1" x14ac:dyDescent="0.2">
      <c r="A2097" s="640"/>
      <c r="C2097" s="600"/>
      <c r="D2097" s="503"/>
      <c r="E2097" s="639"/>
      <c r="G2097" s="507"/>
      <c r="H2097" s="992"/>
      <c r="I2097" s="993"/>
    </row>
    <row r="2098" spans="1:9" s="480" customFormat="1" x14ac:dyDescent="0.2">
      <c r="A2098" s="640"/>
      <c r="C2098" s="600"/>
      <c r="D2098" s="503"/>
      <c r="E2098" s="639"/>
      <c r="G2098" s="507"/>
      <c r="H2098" s="992"/>
      <c r="I2098" s="993"/>
    </row>
    <row r="2099" spans="1:9" s="480" customFormat="1" x14ac:dyDescent="0.2">
      <c r="A2099" s="640"/>
      <c r="C2099" s="600"/>
      <c r="D2099" s="503"/>
      <c r="E2099" s="639"/>
      <c r="G2099" s="507"/>
      <c r="H2099" s="992"/>
      <c r="I2099" s="993"/>
    </row>
    <row r="2100" spans="1:9" s="480" customFormat="1" x14ac:dyDescent="0.2">
      <c r="A2100" s="640"/>
      <c r="C2100" s="600"/>
      <c r="D2100" s="503"/>
      <c r="E2100" s="639"/>
      <c r="G2100" s="507"/>
      <c r="H2100" s="992"/>
      <c r="I2100" s="993"/>
    </row>
    <row r="2101" spans="1:9" s="480" customFormat="1" x14ac:dyDescent="0.2">
      <c r="A2101" s="640"/>
      <c r="C2101" s="600"/>
      <c r="D2101" s="503"/>
      <c r="E2101" s="639"/>
      <c r="G2101" s="507"/>
      <c r="H2101" s="992"/>
      <c r="I2101" s="993"/>
    </row>
    <row r="2102" spans="1:9" s="480" customFormat="1" x14ac:dyDescent="0.2">
      <c r="A2102" s="640"/>
      <c r="C2102" s="600"/>
      <c r="D2102" s="503"/>
      <c r="E2102" s="639"/>
      <c r="G2102" s="507"/>
      <c r="H2102" s="992"/>
      <c r="I2102" s="993"/>
    </row>
    <row r="2103" spans="1:9" s="480" customFormat="1" x14ac:dyDescent="0.2">
      <c r="A2103" s="640"/>
      <c r="C2103" s="600"/>
      <c r="D2103" s="503"/>
      <c r="E2103" s="639"/>
      <c r="G2103" s="507"/>
      <c r="H2103" s="992"/>
      <c r="I2103" s="993"/>
    </row>
    <row r="2104" spans="1:9" s="480" customFormat="1" x14ac:dyDescent="0.2">
      <c r="A2104" s="640"/>
      <c r="C2104" s="600"/>
      <c r="D2104" s="503"/>
      <c r="E2104" s="639"/>
      <c r="G2104" s="507"/>
      <c r="H2104" s="992"/>
      <c r="I2104" s="993"/>
    </row>
    <row r="2105" spans="1:9" s="480" customFormat="1" x14ac:dyDescent="0.2">
      <c r="A2105" s="640"/>
      <c r="C2105" s="600"/>
      <c r="D2105" s="503"/>
      <c r="E2105" s="639"/>
      <c r="G2105" s="507"/>
      <c r="H2105" s="992"/>
      <c r="I2105" s="993"/>
    </row>
    <row r="2106" spans="1:9" s="480" customFormat="1" x14ac:dyDescent="0.2">
      <c r="A2106" s="640"/>
      <c r="C2106" s="600"/>
      <c r="D2106" s="503"/>
      <c r="E2106" s="639"/>
      <c r="G2106" s="507"/>
      <c r="H2106" s="992"/>
      <c r="I2106" s="993"/>
    </row>
    <row r="2107" spans="1:9" s="480" customFormat="1" x14ac:dyDescent="0.2">
      <c r="A2107" s="640"/>
      <c r="C2107" s="600"/>
      <c r="D2107" s="503"/>
      <c r="E2107" s="639"/>
      <c r="G2107" s="507"/>
      <c r="H2107" s="992"/>
      <c r="I2107" s="993"/>
    </row>
    <row r="2108" spans="1:9" s="480" customFormat="1" x14ac:dyDescent="0.2">
      <c r="A2108" s="640"/>
      <c r="C2108" s="600"/>
      <c r="D2108" s="503"/>
      <c r="E2108" s="639"/>
      <c r="G2108" s="507"/>
      <c r="H2108" s="992"/>
      <c r="I2108" s="993"/>
    </row>
    <row r="2109" spans="1:9" s="480" customFormat="1" x14ac:dyDescent="0.2">
      <c r="A2109" s="640"/>
      <c r="C2109" s="600"/>
      <c r="D2109" s="503"/>
      <c r="E2109" s="639"/>
      <c r="G2109" s="507"/>
      <c r="H2109" s="992"/>
      <c r="I2109" s="993"/>
    </row>
    <row r="2110" spans="1:9" s="480" customFormat="1" x14ac:dyDescent="0.2">
      <c r="A2110" s="640"/>
      <c r="C2110" s="600"/>
      <c r="D2110" s="503"/>
      <c r="E2110" s="639"/>
      <c r="G2110" s="507"/>
      <c r="H2110" s="992"/>
      <c r="I2110" s="993"/>
    </row>
    <row r="2111" spans="1:9" s="480" customFormat="1" x14ac:dyDescent="0.2">
      <c r="A2111" s="640"/>
      <c r="C2111" s="600"/>
      <c r="D2111" s="503"/>
      <c r="E2111" s="639"/>
      <c r="G2111" s="507"/>
      <c r="H2111" s="992"/>
      <c r="I2111" s="993"/>
    </row>
    <row r="2112" spans="1:9" s="480" customFormat="1" x14ac:dyDescent="0.2">
      <c r="A2112" s="640"/>
      <c r="C2112" s="600"/>
      <c r="D2112" s="503"/>
      <c r="E2112" s="639"/>
      <c r="G2112" s="507"/>
      <c r="H2112" s="992"/>
      <c r="I2112" s="993"/>
    </row>
    <row r="2113" spans="1:9" s="480" customFormat="1" x14ac:dyDescent="0.2">
      <c r="A2113" s="640"/>
      <c r="C2113" s="600"/>
      <c r="D2113" s="503"/>
      <c r="E2113" s="639"/>
      <c r="G2113" s="507"/>
      <c r="H2113" s="992"/>
      <c r="I2113" s="993"/>
    </row>
    <row r="2114" spans="1:9" s="480" customFormat="1" x14ac:dyDescent="0.2">
      <c r="A2114" s="640"/>
      <c r="C2114" s="600"/>
      <c r="D2114" s="503"/>
      <c r="E2114" s="639"/>
      <c r="G2114" s="507"/>
      <c r="H2114" s="992"/>
      <c r="I2114" s="993"/>
    </row>
    <row r="2115" spans="1:9" s="480" customFormat="1" x14ac:dyDescent="0.2">
      <c r="A2115" s="640"/>
      <c r="C2115" s="600"/>
      <c r="D2115" s="503"/>
      <c r="E2115" s="639"/>
      <c r="G2115" s="507"/>
      <c r="H2115" s="992"/>
      <c r="I2115" s="993"/>
    </row>
    <row r="2116" spans="1:9" s="480" customFormat="1" x14ac:dyDescent="0.2">
      <c r="A2116" s="640"/>
      <c r="C2116" s="600"/>
      <c r="D2116" s="503"/>
      <c r="E2116" s="639"/>
      <c r="G2116" s="507"/>
      <c r="H2116" s="992"/>
      <c r="I2116" s="993"/>
    </row>
    <row r="2117" spans="1:9" s="480" customFormat="1" x14ac:dyDescent="0.2">
      <c r="A2117" s="640"/>
      <c r="C2117" s="600"/>
      <c r="D2117" s="503"/>
      <c r="E2117" s="639"/>
      <c r="G2117" s="507"/>
      <c r="H2117" s="992"/>
      <c r="I2117" s="993"/>
    </row>
    <row r="2118" spans="1:9" s="480" customFormat="1" x14ac:dyDescent="0.2">
      <c r="A2118" s="640"/>
      <c r="C2118" s="600"/>
      <c r="D2118" s="503"/>
      <c r="E2118" s="639"/>
      <c r="G2118" s="507"/>
      <c r="H2118" s="992"/>
      <c r="I2118" s="993"/>
    </row>
    <row r="2119" spans="1:9" s="480" customFormat="1" x14ac:dyDescent="0.2">
      <c r="A2119" s="640"/>
      <c r="C2119" s="600"/>
      <c r="D2119" s="503"/>
      <c r="E2119" s="639"/>
      <c r="G2119" s="507"/>
      <c r="H2119" s="992"/>
      <c r="I2119" s="993"/>
    </row>
    <row r="2120" spans="1:9" s="480" customFormat="1" x14ac:dyDescent="0.2">
      <c r="A2120" s="640"/>
      <c r="C2120" s="600"/>
      <c r="D2120" s="503"/>
      <c r="E2120" s="639"/>
      <c r="G2120" s="507"/>
      <c r="H2120" s="992"/>
      <c r="I2120" s="993"/>
    </row>
    <row r="2121" spans="1:9" s="480" customFormat="1" x14ac:dyDescent="0.2">
      <c r="A2121" s="640"/>
      <c r="C2121" s="600"/>
      <c r="D2121" s="503"/>
      <c r="E2121" s="639"/>
      <c r="G2121" s="507"/>
      <c r="H2121" s="992"/>
      <c r="I2121" s="993"/>
    </row>
    <row r="2122" spans="1:9" s="480" customFormat="1" x14ac:dyDescent="0.2">
      <c r="A2122" s="640"/>
      <c r="C2122" s="600"/>
      <c r="D2122" s="503"/>
      <c r="E2122" s="639"/>
      <c r="G2122" s="507"/>
      <c r="H2122" s="992"/>
      <c r="I2122" s="993"/>
    </row>
    <row r="2123" spans="1:9" s="480" customFormat="1" x14ac:dyDescent="0.2">
      <c r="A2123" s="640"/>
      <c r="C2123" s="600"/>
      <c r="D2123" s="503"/>
      <c r="E2123" s="639"/>
      <c r="G2123" s="507"/>
      <c r="H2123" s="992"/>
      <c r="I2123" s="993"/>
    </row>
    <row r="2124" spans="1:9" s="480" customFormat="1" x14ac:dyDescent="0.2">
      <c r="A2124" s="640"/>
      <c r="C2124" s="600"/>
      <c r="D2124" s="503"/>
      <c r="E2124" s="639"/>
      <c r="G2124" s="507"/>
      <c r="H2124" s="992"/>
      <c r="I2124" s="993"/>
    </row>
    <row r="2125" spans="1:9" s="480" customFormat="1" x14ac:dyDescent="0.2">
      <c r="A2125" s="640"/>
      <c r="C2125" s="600"/>
      <c r="D2125" s="503"/>
      <c r="E2125" s="639"/>
      <c r="G2125" s="507"/>
      <c r="H2125" s="992"/>
      <c r="I2125" s="993"/>
    </row>
    <row r="2126" spans="1:9" s="480" customFormat="1" x14ac:dyDescent="0.2">
      <c r="A2126" s="640"/>
      <c r="C2126" s="600"/>
      <c r="D2126" s="503"/>
      <c r="E2126" s="639"/>
      <c r="G2126" s="507"/>
      <c r="H2126" s="992"/>
      <c r="I2126" s="993"/>
    </row>
    <row r="2127" spans="1:9" s="480" customFormat="1" x14ac:dyDescent="0.2">
      <c r="A2127" s="640"/>
      <c r="C2127" s="600"/>
      <c r="D2127" s="503"/>
      <c r="E2127" s="639"/>
      <c r="G2127" s="507"/>
      <c r="H2127" s="992"/>
      <c r="I2127" s="993"/>
    </row>
    <row r="2128" spans="1:9" s="480" customFormat="1" x14ac:dyDescent="0.2">
      <c r="A2128" s="640"/>
      <c r="C2128" s="600"/>
      <c r="D2128" s="503"/>
      <c r="E2128" s="639"/>
      <c r="G2128" s="507"/>
      <c r="H2128" s="992"/>
      <c r="I2128" s="993"/>
    </row>
    <row r="2129" spans="1:9" s="480" customFormat="1" x14ac:dyDescent="0.2">
      <c r="A2129" s="640"/>
      <c r="C2129" s="600"/>
      <c r="D2129" s="503"/>
      <c r="E2129" s="639"/>
      <c r="G2129" s="507"/>
      <c r="H2129" s="992"/>
      <c r="I2129" s="993"/>
    </row>
    <row r="2130" spans="1:9" s="480" customFormat="1" x14ac:dyDescent="0.2">
      <c r="A2130" s="640"/>
      <c r="C2130" s="600"/>
      <c r="D2130" s="503"/>
      <c r="E2130" s="639"/>
      <c r="G2130" s="507"/>
      <c r="H2130" s="992"/>
      <c r="I2130" s="993"/>
    </row>
    <row r="2131" spans="1:9" s="480" customFormat="1" x14ac:dyDescent="0.2">
      <c r="A2131" s="640"/>
      <c r="C2131" s="600"/>
      <c r="D2131" s="503"/>
      <c r="E2131" s="639"/>
      <c r="G2131" s="507"/>
      <c r="H2131" s="992"/>
      <c r="I2131" s="993"/>
    </row>
    <row r="2132" spans="1:9" s="480" customFormat="1" x14ac:dyDescent="0.2">
      <c r="A2132" s="640"/>
      <c r="C2132" s="600"/>
      <c r="D2132" s="503"/>
      <c r="E2132" s="639"/>
      <c r="G2132" s="507"/>
      <c r="H2132" s="992"/>
      <c r="I2132" s="993"/>
    </row>
    <row r="2133" spans="1:9" s="480" customFormat="1" x14ac:dyDescent="0.2">
      <c r="A2133" s="640"/>
      <c r="C2133" s="600"/>
      <c r="D2133" s="503"/>
      <c r="E2133" s="639"/>
      <c r="G2133" s="507"/>
      <c r="H2133" s="992"/>
      <c r="I2133" s="993"/>
    </row>
    <row r="2134" spans="1:9" s="480" customFormat="1" x14ac:dyDescent="0.2">
      <c r="A2134" s="640"/>
      <c r="C2134" s="600"/>
      <c r="D2134" s="503"/>
      <c r="E2134" s="639"/>
      <c r="G2134" s="507"/>
      <c r="H2134" s="992"/>
      <c r="I2134" s="993"/>
    </row>
    <row r="2135" spans="1:9" s="480" customFormat="1" x14ac:dyDescent="0.2">
      <c r="A2135" s="640"/>
      <c r="C2135" s="600"/>
      <c r="D2135" s="503"/>
      <c r="E2135" s="639"/>
      <c r="G2135" s="507"/>
      <c r="H2135" s="992"/>
      <c r="I2135" s="993"/>
    </row>
    <row r="2136" spans="1:9" s="480" customFormat="1" x14ac:dyDescent="0.2">
      <c r="A2136" s="640"/>
      <c r="C2136" s="600"/>
      <c r="D2136" s="503"/>
      <c r="E2136" s="639"/>
      <c r="G2136" s="507"/>
      <c r="H2136" s="992"/>
      <c r="I2136" s="993"/>
    </row>
    <row r="2137" spans="1:9" s="480" customFormat="1" x14ac:dyDescent="0.2">
      <c r="A2137" s="640"/>
      <c r="C2137" s="600"/>
      <c r="D2137" s="503"/>
      <c r="E2137" s="639"/>
      <c r="G2137" s="507"/>
      <c r="H2137" s="992"/>
      <c r="I2137" s="993"/>
    </row>
    <row r="2138" spans="1:9" s="480" customFormat="1" x14ac:dyDescent="0.2">
      <c r="A2138" s="640"/>
      <c r="C2138" s="600"/>
      <c r="D2138" s="503"/>
      <c r="E2138" s="639"/>
      <c r="G2138" s="507"/>
      <c r="H2138" s="992"/>
      <c r="I2138" s="993"/>
    </row>
    <row r="2139" spans="1:9" s="480" customFormat="1" x14ac:dyDescent="0.2">
      <c r="A2139" s="640"/>
      <c r="C2139" s="600"/>
      <c r="D2139" s="503"/>
      <c r="E2139" s="639"/>
      <c r="G2139" s="507"/>
      <c r="H2139" s="992"/>
      <c r="I2139" s="993"/>
    </row>
    <row r="2140" spans="1:9" s="480" customFormat="1" x14ac:dyDescent="0.2">
      <c r="A2140" s="640"/>
      <c r="C2140" s="600"/>
      <c r="D2140" s="503"/>
      <c r="E2140" s="639"/>
      <c r="G2140" s="507"/>
      <c r="H2140" s="992"/>
      <c r="I2140" s="993"/>
    </row>
    <row r="2141" spans="1:9" s="480" customFormat="1" x14ac:dyDescent="0.2">
      <c r="A2141" s="640"/>
      <c r="C2141" s="600"/>
      <c r="D2141" s="503"/>
      <c r="E2141" s="639"/>
      <c r="G2141" s="507"/>
      <c r="H2141" s="992"/>
      <c r="I2141" s="993"/>
    </row>
    <row r="2142" spans="1:9" s="480" customFormat="1" x14ac:dyDescent="0.2">
      <c r="A2142" s="640"/>
      <c r="C2142" s="600"/>
      <c r="D2142" s="503"/>
      <c r="E2142" s="639"/>
      <c r="G2142" s="507"/>
      <c r="H2142" s="992"/>
      <c r="I2142" s="993"/>
    </row>
    <row r="2143" spans="1:9" s="480" customFormat="1" x14ac:dyDescent="0.2">
      <c r="A2143" s="640"/>
      <c r="C2143" s="600"/>
      <c r="D2143" s="503"/>
      <c r="E2143" s="639"/>
      <c r="G2143" s="507"/>
      <c r="H2143" s="992"/>
      <c r="I2143" s="993"/>
    </row>
  </sheetData>
  <autoFilter ref="H1:H2143" xr:uid="{AD0DE98F-F599-4233-9FFC-45FDDE18761C}"/>
  <mergeCells count="9">
    <mergeCell ref="A3:I3"/>
    <mergeCell ref="F4:I7"/>
    <mergeCell ref="A8:A9"/>
    <mergeCell ref="C8:C9"/>
    <mergeCell ref="D8:D9"/>
    <mergeCell ref="F8:F9"/>
    <mergeCell ref="G8:G9"/>
    <mergeCell ref="H8:H9"/>
    <mergeCell ref="I8:I9"/>
  </mergeCells>
  <dataValidations disablePrompts="1" count="2">
    <dataValidation allowBlank="1" showInputMessage="1" showErrorMessage="1" error="Only numeric values are allowed." sqref="G491:I491" xr:uid="{A6D4CCD3-F401-475D-BAC4-8108589AC50B}"/>
    <dataValidation type="decimal" allowBlank="1" showInputMessage="1" showErrorMessage="1" error="Only numeric values are allowed." sqref="I26 I28 H26:H28 H29:I29 I45 H45:H47 I47 I65 H48:I48 I485 I553 H539:I539 I551 H551:H553 H617:I617 I650 I836 I852 I850 H850:H852 I868 I866 H853:I853 H866:H868 I834 H834:H836 H820:I820 I464 I116 I118 H116:H118 H448:I448 H485:H490 I487:I490 H464:H469 I466:I469 I67:I96 H94:H96 H517:H521 I652:I659 H65:H83 H85 H87:H88 H90 H92 I492:I521 H492 H500:H511 H513 H515 H650:H659 H661 H663 H665:H667 H669 H671:H673 H675 H677 H679 H681:I687 H689 H691 H693:I696" xr:uid="{DD89E0CB-AB16-413C-A755-A9C9BAE01233}">
      <formula1>0</formula1>
      <formula2>100000000</formula2>
    </dataValidation>
  </dataValidations>
  <printOptions horizontalCentered="1"/>
  <pageMargins left="0" right="0" top="0.2" bottom="0.2" header="0.2" footer="0.2"/>
  <pageSetup paperSize="9" scale="74" firstPageNumber="66" orientation="landscape" r:id="rId1"/>
  <headerFooter scaleWithDoc="0" alignWithMargins="0">
    <oddFooter>&amp;CPage &amp;P of &amp;N</oddFooter>
  </headerFooter>
  <rowBreaks count="65" manualBreakCount="65">
    <brk id="28" max="8" man="1"/>
    <brk id="47" max="8" man="1"/>
    <brk id="67" max="8" man="1"/>
    <brk id="96" max="8" man="1"/>
    <brk id="118" max="8" man="1"/>
    <brk id="132" max="8" man="1"/>
    <brk id="147" max="8" man="1"/>
    <brk id="166" max="8" man="1"/>
    <brk id="183" max="8" man="1"/>
    <brk id="194" max="8" man="1"/>
    <brk id="214" max="8" man="1"/>
    <brk id="241" max="8" man="1"/>
    <brk id="255" max="8" man="1"/>
    <brk id="271" max="8" man="1"/>
    <brk id="283" max="8" man="1"/>
    <brk id="297" max="8" man="1"/>
    <brk id="311" max="8" man="1"/>
    <brk id="329" max="8" man="1"/>
    <brk id="344" max="8" man="1"/>
    <brk id="362" max="8" man="1"/>
    <brk id="383" max="8" man="1"/>
    <brk id="401" max="8" man="1"/>
    <brk id="419" max="8" man="1"/>
    <brk id="431" max="8" man="1"/>
    <brk id="447" max="8" man="1"/>
    <brk id="466" max="8" man="1"/>
    <brk id="487" max="8" man="1"/>
    <brk id="507" max="8" man="1"/>
    <brk id="521" max="8" man="1"/>
    <brk id="538" max="8" man="1"/>
    <brk id="553" max="8" man="1"/>
    <brk id="566" max="8" man="1"/>
    <brk id="583" max="8" man="1"/>
    <brk id="599" max="8" man="1"/>
    <brk id="616" max="8" man="1"/>
    <brk id="652" max="8" man="1"/>
    <brk id="684" max="8" man="1"/>
    <brk id="696" max="8" man="1"/>
    <brk id="712" max="8" man="1"/>
    <brk id="728" max="8" man="1"/>
    <brk id="740" max="16383" man="1"/>
    <brk id="754" max="16383" man="1"/>
    <brk id="768" max="16383" man="1"/>
    <brk id="782" max="8" man="1"/>
    <brk id="799" max="16383" man="1"/>
    <brk id="819" max="8" man="1"/>
    <brk id="836" max="8" man="1"/>
    <brk id="852" max="8" man="1"/>
    <brk id="868" max="8" man="1"/>
    <brk id="889" max="8" man="1"/>
    <brk id="906" max="8" man="1"/>
    <brk id="930" max="8" man="1"/>
    <brk id="949" max="8" man="1"/>
    <brk id="973" max="16383" man="1"/>
    <brk id="992" max="8" man="1"/>
    <brk id="1020" max="8" man="1"/>
    <brk id="1036" max="8" man="1"/>
    <brk id="1051" max="16383" man="1"/>
    <brk id="1066" max="8" man="1"/>
    <brk id="1078" max="8" man="1"/>
    <brk id="1094" max="8" man="1"/>
    <brk id="1107" max="8" man="1"/>
    <brk id="1124" max="8" man="1"/>
    <brk id="1153" max="8" man="1"/>
    <brk id="1183" max="8"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056D9-04BD-48ED-B592-E47CC9EAB96E}">
  <dimension ref="A1:G85"/>
  <sheetViews>
    <sheetView zoomScale="160" zoomScaleNormal="160" workbookViewId="0">
      <selection activeCell="G20" sqref="G20"/>
    </sheetView>
  </sheetViews>
  <sheetFormatPr defaultColWidth="9.140625" defaultRowHeight="15" x14ac:dyDescent="0.25"/>
  <cols>
    <col min="1" max="1" width="8.5703125" style="913" customWidth="1"/>
    <col min="2" max="2" width="4" style="913" customWidth="1"/>
    <col min="3" max="3" width="37.85546875" style="913" bestFit="1" customWidth="1"/>
    <col min="4" max="4" width="10.140625" style="914" customWidth="1"/>
    <col min="5" max="5" width="10.28515625" style="915" customWidth="1"/>
    <col min="6" max="6" width="12.42578125" style="938" customWidth="1"/>
    <col min="7" max="7" width="11.140625" style="913" customWidth="1"/>
    <col min="8" max="16384" width="9.140625" style="913"/>
  </cols>
  <sheetData>
    <row r="1" spans="1:7" x14ac:dyDescent="0.25">
      <c r="F1" s="916" t="s">
        <v>2728</v>
      </c>
    </row>
    <row r="2" spans="1:7" ht="15.75" thickBot="1" x14ac:dyDescent="0.3">
      <c r="C2" s="917" t="s">
        <v>2729</v>
      </c>
      <c r="D2" s="918"/>
      <c r="E2" s="919"/>
      <c r="F2" s="918" t="s">
        <v>2730</v>
      </c>
      <c r="G2" s="918" t="s">
        <v>2731</v>
      </c>
    </row>
    <row r="3" spans="1:7" x14ac:dyDescent="0.25">
      <c r="C3" s="917"/>
      <c r="D3" s="918"/>
      <c r="E3" s="919"/>
      <c r="F3" s="920" t="s">
        <v>2732</v>
      </c>
      <c r="G3" s="921" t="s">
        <v>2733</v>
      </c>
    </row>
    <row r="4" spans="1:7" s="922" customFormat="1" x14ac:dyDescent="0.25">
      <c r="A4" s="922" t="s">
        <v>2734</v>
      </c>
      <c r="B4" s="913"/>
      <c r="C4" s="923" t="s">
        <v>2735</v>
      </c>
      <c r="D4" s="924" t="s">
        <v>2736</v>
      </c>
      <c r="E4" s="925"/>
      <c r="F4" s="926" t="s">
        <v>2737</v>
      </c>
      <c r="G4" s="927" t="s">
        <v>2737</v>
      </c>
    </row>
    <row r="5" spans="1:7" x14ac:dyDescent="0.25">
      <c r="C5" s="928" t="s">
        <v>2738</v>
      </c>
      <c r="D5" s="929" t="s">
        <v>52</v>
      </c>
      <c r="E5" s="930"/>
      <c r="F5" s="931">
        <v>0.6</v>
      </c>
      <c r="G5" s="932">
        <v>4.4000000000000004</v>
      </c>
    </row>
    <row r="6" spans="1:7" x14ac:dyDescent="0.25">
      <c r="C6" s="928" t="s">
        <v>2739</v>
      </c>
      <c r="D6" s="929" t="s">
        <v>52</v>
      </c>
      <c r="E6" s="930"/>
      <c r="F6" s="931">
        <v>0.6</v>
      </c>
      <c r="G6" s="932">
        <v>2.8</v>
      </c>
    </row>
    <row r="7" spans="1:7" x14ac:dyDescent="0.25">
      <c r="C7" s="933" t="s">
        <v>2740</v>
      </c>
      <c r="D7" s="929" t="s">
        <v>52</v>
      </c>
      <c r="E7" s="930"/>
      <c r="F7" s="934">
        <v>1</v>
      </c>
      <c r="G7" s="932">
        <f>0.44+0.6+2.11</f>
        <v>3.15</v>
      </c>
    </row>
    <row r="8" spans="1:7" x14ac:dyDescent="0.25">
      <c r="C8" s="935"/>
      <c r="D8" s="936"/>
      <c r="F8" s="937"/>
      <c r="G8" s="938"/>
    </row>
    <row r="9" spans="1:7" ht="19.5" customHeight="1" x14ac:dyDescent="0.25">
      <c r="C9" s="928" t="s">
        <v>2741</v>
      </c>
      <c r="D9" s="929" t="s">
        <v>52</v>
      </c>
      <c r="E9" s="930"/>
      <c r="F9" s="931">
        <v>0.35</v>
      </c>
      <c r="G9" s="932">
        <v>0.35</v>
      </c>
    </row>
    <row r="10" spans="1:7" x14ac:dyDescent="0.25">
      <c r="C10" s="928" t="s">
        <v>2742</v>
      </c>
      <c r="D10" s="929" t="s">
        <v>52</v>
      </c>
      <c r="E10" s="930"/>
      <c r="F10" s="931">
        <v>0.35</v>
      </c>
      <c r="G10" s="932">
        <v>0.25</v>
      </c>
    </row>
    <row r="11" spans="1:7" x14ac:dyDescent="0.25">
      <c r="C11" s="928" t="s">
        <v>2743</v>
      </c>
      <c r="D11" s="929" t="s">
        <v>52</v>
      </c>
      <c r="E11" s="930"/>
      <c r="F11" s="931">
        <v>0.35</v>
      </c>
      <c r="G11" s="932">
        <v>0.35</v>
      </c>
    </row>
    <row r="12" spans="1:7" x14ac:dyDescent="0.25">
      <c r="C12" s="939" t="s">
        <v>2744</v>
      </c>
      <c r="D12" s="929" t="s">
        <v>52</v>
      </c>
      <c r="E12" s="930"/>
      <c r="F12" s="931">
        <v>0.4</v>
      </c>
      <c r="G12" s="932">
        <v>0.35</v>
      </c>
    </row>
    <row r="13" spans="1:7" x14ac:dyDescent="0.25">
      <c r="C13" s="928"/>
      <c r="D13" s="929"/>
      <c r="E13" s="930"/>
      <c r="F13" s="931"/>
      <c r="G13" s="932"/>
    </row>
    <row r="14" spans="1:7" x14ac:dyDescent="0.25">
      <c r="C14" s="928" t="s">
        <v>2745</v>
      </c>
      <c r="D14" s="929" t="s">
        <v>52</v>
      </c>
      <c r="E14" s="930"/>
      <c r="F14" s="931">
        <v>0</v>
      </c>
      <c r="G14" s="932">
        <v>0.5</v>
      </c>
    </row>
    <row r="15" spans="1:7" x14ac:dyDescent="0.25">
      <c r="C15" s="928" t="s">
        <v>2746</v>
      </c>
      <c r="D15" s="929" t="s">
        <v>52</v>
      </c>
      <c r="E15" s="930"/>
      <c r="F15" s="931">
        <v>0</v>
      </c>
      <c r="G15" s="932">
        <v>0.35</v>
      </c>
    </row>
    <row r="16" spans="1:7" x14ac:dyDescent="0.25">
      <c r="C16" s="928" t="s">
        <v>2747</v>
      </c>
      <c r="D16" s="929" t="s">
        <v>52</v>
      </c>
      <c r="E16" s="930"/>
      <c r="F16" s="931">
        <v>7.4999999999999997E-2</v>
      </c>
      <c r="G16" s="932">
        <v>0.1</v>
      </c>
    </row>
    <row r="17" spans="1:7" x14ac:dyDescent="0.25">
      <c r="C17" s="928"/>
      <c r="D17" s="929"/>
      <c r="E17" s="930"/>
      <c r="F17" s="931"/>
      <c r="G17" s="932"/>
    </row>
    <row r="18" spans="1:7" x14ac:dyDescent="0.25">
      <c r="C18" s="928" t="s">
        <v>2748</v>
      </c>
      <c r="D18" s="929" t="s">
        <v>52</v>
      </c>
      <c r="E18" s="930"/>
      <c r="F18" s="931">
        <v>0</v>
      </c>
      <c r="G18" s="932">
        <f>1.05*2</f>
        <v>2.1</v>
      </c>
    </row>
    <row r="19" spans="1:7" x14ac:dyDescent="0.25">
      <c r="C19" s="928" t="s">
        <v>2749</v>
      </c>
      <c r="D19" s="929" t="s">
        <v>52</v>
      </c>
      <c r="E19" s="930"/>
      <c r="F19" s="931">
        <v>0</v>
      </c>
      <c r="G19" s="932">
        <f>0.625*2</f>
        <v>1.25</v>
      </c>
    </row>
    <row r="20" spans="1:7" x14ac:dyDescent="0.25">
      <c r="C20" s="928" t="s">
        <v>2750</v>
      </c>
      <c r="D20" s="929"/>
      <c r="E20" s="930"/>
      <c r="F20" s="931">
        <v>0</v>
      </c>
      <c r="G20" s="932">
        <f>0.15*2</f>
        <v>0.3</v>
      </c>
    </row>
    <row r="21" spans="1:7" x14ac:dyDescent="0.25">
      <c r="C21" s="940"/>
      <c r="D21" s="936"/>
      <c r="F21" s="937"/>
      <c r="G21" s="938"/>
    </row>
    <row r="22" spans="1:7" x14ac:dyDescent="0.25">
      <c r="C22" s="940"/>
      <c r="D22" s="936"/>
      <c r="F22" s="937"/>
      <c r="G22" s="938"/>
    </row>
    <row r="23" spans="1:7" s="922" customFormat="1" x14ac:dyDescent="0.25">
      <c r="C23" s="923" t="s">
        <v>2751</v>
      </c>
      <c r="D23" s="924"/>
      <c r="E23" s="925"/>
      <c r="F23" s="926"/>
      <c r="G23" s="927"/>
    </row>
    <row r="24" spans="1:7" x14ac:dyDescent="0.25">
      <c r="A24" s="922" t="s">
        <v>2752</v>
      </c>
      <c r="B24" s="913">
        <v>1</v>
      </c>
      <c r="C24" s="941" t="s">
        <v>2753</v>
      </c>
      <c r="D24" s="942" t="s">
        <v>59</v>
      </c>
      <c r="E24" s="943">
        <v>6</v>
      </c>
      <c r="F24" s="944">
        <f>+(F7+F11+F14)*(F5+F5+F9+F12+F9+F12)*(F6+F6+F9+F12+F9+F12)</f>
        <v>9.8414999999999999</v>
      </c>
      <c r="G24" s="945">
        <f t="shared" ref="G24" si="0">+(G7+G11+G14)*(G5+G5+G9+G12+G9+G12)*(G6+G6+G9+G12+G9+G12)</f>
        <v>285.59999999999991</v>
      </c>
    </row>
    <row r="25" spans="1:7" x14ac:dyDescent="0.25">
      <c r="B25" s="913">
        <v>2</v>
      </c>
      <c r="C25" s="941" t="s">
        <v>2754</v>
      </c>
      <c r="D25" s="942" t="s">
        <v>59</v>
      </c>
      <c r="E25" s="943">
        <v>9</v>
      </c>
      <c r="F25" s="944">
        <f>F24-F29-F30-(F5*F6*(F7-F10))</f>
        <v>6.2283125000000013</v>
      </c>
      <c r="G25" s="945">
        <f t="shared" ref="G25" si="1">G24-G29-G30-(G5*G6*(G7-G10))</f>
        <v>210.79774999999992</v>
      </c>
    </row>
    <row r="26" spans="1:7" x14ac:dyDescent="0.25">
      <c r="B26" s="913">
        <v>3</v>
      </c>
      <c r="C26" s="941"/>
      <c r="D26" s="942"/>
      <c r="E26" s="943"/>
      <c r="F26" s="946"/>
      <c r="G26" s="947"/>
    </row>
    <row r="27" spans="1:7" x14ac:dyDescent="0.25">
      <c r="C27" s="948"/>
      <c r="D27" s="936"/>
      <c r="F27" s="937"/>
      <c r="G27" s="938"/>
    </row>
    <row r="28" spans="1:7" s="922" customFormat="1" x14ac:dyDescent="0.25">
      <c r="C28" s="923" t="s">
        <v>2755</v>
      </c>
      <c r="D28" s="924"/>
      <c r="E28" s="925"/>
      <c r="F28" s="926"/>
      <c r="G28" s="927"/>
    </row>
    <row r="29" spans="1:7" x14ac:dyDescent="0.25">
      <c r="C29" s="949" t="s">
        <v>2756</v>
      </c>
      <c r="D29" s="942" t="s">
        <v>59</v>
      </c>
      <c r="E29" s="943">
        <f>290+80</f>
        <v>370</v>
      </c>
      <c r="F29" s="950">
        <f>(F16)*(F5+(2*F9)+(2*(F12+F16)))*(F6+(2*F9)+(2*(F12+F16)))</f>
        <v>0.37968749999999996</v>
      </c>
      <c r="G29" s="951">
        <f t="shared" ref="G29" si="2">(G16)*(G5+(2*G9)+(2*(G12+G16)))*(G6+(2*G9)+(2*(G12+G16)))</f>
        <v>2.6400000000000006</v>
      </c>
    </row>
    <row r="30" spans="1:7" x14ac:dyDescent="0.25">
      <c r="C30" s="949" t="s">
        <v>2757</v>
      </c>
      <c r="D30" s="942" t="s">
        <v>59</v>
      </c>
      <c r="E30" s="943">
        <f>320+250</f>
        <v>570</v>
      </c>
      <c r="F30" s="950">
        <f>SUM(F31:F37)</f>
        <v>2.9994999999999989</v>
      </c>
      <c r="G30" s="951">
        <f t="shared" ref="G30" si="3">SUM(G31:G37)</f>
        <v>36.434249999999999</v>
      </c>
    </row>
    <row r="31" spans="1:7" ht="15.75" thickBot="1" x14ac:dyDescent="0.3">
      <c r="C31" s="952" t="s">
        <v>2758</v>
      </c>
      <c r="D31" s="953" t="s">
        <v>59</v>
      </c>
      <c r="E31" s="954"/>
      <c r="F31" s="955">
        <f>(F11)*(F5+(2*F9)+(2*F12))*(F6+(2*F9)+(2*F12))</f>
        <v>1.5434999999999994</v>
      </c>
      <c r="G31" s="956">
        <f t="shared" ref="G31" si="4">(G11)*(G5+(2*G9)+(2*G12))*(G6+(2*G9)+(2*G12))</f>
        <v>8.5260000000000016</v>
      </c>
    </row>
    <row r="32" spans="1:7" ht="15.75" thickBot="1" x14ac:dyDescent="0.3">
      <c r="C32" s="957" t="s">
        <v>2759</v>
      </c>
      <c r="D32" s="958" t="s">
        <v>59</v>
      </c>
      <c r="E32" s="959"/>
      <c r="F32" s="960">
        <f>((F15+F14)*F14/2)*((2*(F5+F9+(F12/2)))+(2*(F6+F9+(F12/2))))</f>
        <v>0</v>
      </c>
      <c r="G32" s="961">
        <f t="shared" ref="G32" si="5">((G15+G14)*G14/2)*((2*(G5+G9+(G12/2)))+(2*(G6+G9+(G12/2))))</f>
        <v>3.5062500000000001</v>
      </c>
    </row>
    <row r="33" spans="3:7" ht="15.75" thickBot="1" x14ac:dyDescent="0.3">
      <c r="C33" s="962" t="s">
        <v>2760</v>
      </c>
      <c r="D33" s="963" t="s">
        <v>59</v>
      </c>
      <c r="E33" s="964"/>
      <c r="F33" s="965">
        <f>(F9)*(F7)*(2*(F5+F9+F9)+(F6)*2)</f>
        <v>1.3299999999999998</v>
      </c>
      <c r="G33" s="966">
        <f t="shared" ref="G33" si="6">(G9)*(G7)*(2*(G5+G9+G9)+(G6)*2)</f>
        <v>17.419499999999996</v>
      </c>
    </row>
    <row r="34" spans="3:7" ht="15.75" thickBot="1" x14ac:dyDescent="0.3">
      <c r="C34" s="967" t="s">
        <v>2761</v>
      </c>
      <c r="D34" s="958" t="s">
        <v>59</v>
      </c>
      <c r="E34" s="959"/>
      <c r="F34" s="960">
        <f>1.5*F9*1.8*3*0</f>
        <v>0</v>
      </c>
      <c r="G34" s="961">
        <f t="shared" ref="G34" si="7">1.5*G9*1.8*3</f>
        <v>2.8349999999999995</v>
      </c>
    </row>
    <row r="35" spans="3:7" ht="15.75" thickBot="1" x14ac:dyDescent="0.3">
      <c r="C35" s="962" t="s">
        <v>2762</v>
      </c>
      <c r="D35" s="963" t="s">
        <v>59</v>
      </c>
      <c r="E35" s="964"/>
      <c r="F35" s="965">
        <f>F5*F6*F10</f>
        <v>0.126</v>
      </c>
      <c r="G35" s="966">
        <f t="shared" ref="G35" si="8">G5*G6*G10</f>
        <v>3.08</v>
      </c>
    </row>
    <row r="36" spans="3:7" ht="15.75" thickBot="1" x14ac:dyDescent="0.3">
      <c r="C36" s="967" t="s">
        <v>2763</v>
      </c>
      <c r="D36" s="958" t="s">
        <v>59</v>
      </c>
      <c r="E36" s="959"/>
      <c r="F36" s="960">
        <f>+F6*0.4*(0.5-F10)*0</f>
        <v>0</v>
      </c>
      <c r="G36" s="961">
        <f t="shared" ref="G36" si="9">+G6*0.4*(0.5-G10)</f>
        <v>0.27999999999999997</v>
      </c>
    </row>
    <row r="37" spans="3:7" ht="15.75" thickBot="1" x14ac:dyDescent="0.3">
      <c r="C37" s="968" t="s">
        <v>2764</v>
      </c>
      <c r="D37" s="958" t="s">
        <v>59</v>
      </c>
      <c r="E37" s="959"/>
      <c r="F37" s="960">
        <f>F18*F19*F20</f>
        <v>0</v>
      </c>
      <c r="G37" s="961">
        <f t="shared" ref="G37" si="10">G18*G19*G20</f>
        <v>0.78749999999999998</v>
      </c>
    </row>
    <row r="38" spans="3:7" x14ac:dyDescent="0.25">
      <c r="C38" s="940"/>
      <c r="D38" s="936"/>
      <c r="F38" s="937"/>
      <c r="G38" s="938"/>
    </row>
    <row r="39" spans="3:7" x14ac:dyDescent="0.25">
      <c r="C39" s="949" t="s">
        <v>2765</v>
      </c>
      <c r="D39" s="942" t="s">
        <v>2766</v>
      </c>
      <c r="E39" s="943">
        <v>3.5</v>
      </c>
      <c r="F39" s="944">
        <f>SUM(F40:F43)</f>
        <v>0.35402499999999998</v>
      </c>
      <c r="G39" s="945">
        <f t="shared" ref="G39" si="11">SUM(G40:G43)</f>
        <v>5.2908449999999991</v>
      </c>
    </row>
    <row r="40" spans="3:7" x14ac:dyDescent="0.25">
      <c r="C40" s="969" t="s">
        <v>2767</v>
      </c>
      <c r="D40" s="970">
        <f>70/1000</f>
        <v>7.0000000000000007E-2</v>
      </c>
      <c r="E40" s="971"/>
      <c r="F40" s="972">
        <f>$D$40*SUM(F31:F32)</f>
        <v>0.10804499999999997</v>
      </c>
      <c r="G40" s="973">
        <f t="shared" ref="G40" si="12">$D$40*SUM(G31:G32)</f>
        <v>0.84225750000000021</v>
      </c>
    </row>
    <row r="41" spans="3:7" x14ac:dyDescent="0.25">
      <c r="C41" s="969" t="s">
        <v>2768</v>
      </c>
      <c r="D41" s="970">
        <v>0.17499999999999999</v>
      </c>
      <c r="E41" s="971"/>
      <c r="F41" s="972">
        <f>$D$41*SUM(F33:F34)</f>
        <v>0.23274999999999996</v>
      </c>
      <c r="G41" s="973">
        <f t="shared" ref="G41" si="13">$D$41*SUM(G33:G34)</f>
        <v>3.5445374999999992</v>
      </c>
    </row>
    <row r="42" spans="3:7" x14ac:dyDescent="0.25">
      <c r="C42" s="969" t="s">
        <v>2769</v>
      </c>
      <c r="D42" s="970">
        <v>0.105</v>
      </c>
      <c r="E42" s="971"/>
      <c r="F42" s="972">
        <f>$D$42*SUM(F35:F36)</f>
        <v>1.323E-2</v>
      </c>
      <c r="G42" s="973">
        <f t="shared" ref="G42" si="14">$D$42*SUM(G35:G36)</f>
        <v>0.35279999999999995</v>
      </c>
    </row>
    <row r="43" spans="3:7" x14ac:dyDescent="0.25">
      <c r="C43" s="969" t="s">
        <v>2770</v>
      </c>
      <c r="D43" s="970">
        <v>0.7</v>
      </c>
      <c r="E43" s="971"/>
      <c r="F43" s="972">
        <f>$D$43*F37</f>
        <v>0</v>
      </c>
      <c r="G43" s="973">
        <f t="shared" ref="G43" si="15">$D$43*G37</f>
        <v>0.55124999999999991</v>
      </c>
    </row>
    <row r="44" spans="3:7" x14ac:dyDescent="0.25">
      <c r="D44" s="936"/>
      <c r="F44" s="937"/>
      <c r="G44" s="938"/>
    </row>
    <row r="45" spans="3:7" s="922" customFormat="1" x14ac:dyDescent="0.25">
      <c r="C45" s="923" t="s">
        <v>2771</v>
      </c>
      <c r="D45" s="924"/>
      <c r="E45" s="925"/>
      <c r="F45" s="926"/>
      <c r="G45" s="927"/>
    </row>
    <row r="46" spans="3:7" x14ac:dyDescent="0.25">
      <c r="C46" s="941" t="s">
        <v>2772</v>
      </c>
      <c r="D46" s="942" t="s">
        <v>2773</v>
      </c>
      <c r="E46" s="943">
        <v>45</v>
      </c>
      <c r="F46" s="974">
        <f>SUM(F47:F49)</f>
        <v>9.6099999999999977</v>
      </c>
      <c r="G46" s="975">
        <f t="shared" ref="G46" si="16">SUM(G47:G49)</f>
        <v>96.657857142857139</v>
      </c>
    </row>
    <row r="47" spans="3:7" x14ac:dyDescent="0.25">
      <c r="C47" s="976" t="s">
        <v>2774</v>
      </c>
      <c r="D47" s="970" t="s">
        <v>2773</v>
      </c>
      <c r="E47" s="971"/>
      <c r="F47" s="977">
        <f>SUM(F31:F32)/F11</f>
        <v>4.4099999999999984</v>
      </c>
      <c r="G47" s="978">
        <f t="shared" ref="G47" si="17">SUM(G31:G32)/G11</f>
        <v>34.377857142857145</v>
      </c>
    </row>
    <row r="48" spans="3:7" x14ac:dyDescent="0.25">
      <c r="C48" s="976" t="s">
        <v>2760</v>
      </c>
      <c r="D48" s="970" t="s">
        <v>2773</v>
      </c>
      <c r="E48" s="971"/>
      <c r="F48" s="979">
        <f>(SUM(F33:F34)/F9)+F7*2*F9*2</f>
        <v>5.1999999999999993</v>
      </c>
      <c r="G48" s="980">
        <f t="shared" ref="G48" si="18">(SUM(G33:G34)/G9)+G7*2*G9*2</f>
        <v>62.279999999999994</v>
      </c>
    </row>
    <row r="49" spans="3:7" x14ac:dyDescent="0.25">
      <c r="C49" s="976" t="s">
        <v>2762</v>
      </c>
      <c r="D49" s="970" t="s">
        <v>2773</v>
      </c>
      <c r="E49" s="971"/>
      <c r="F49" s="979"/>
      <c r="G49" s="980"/>
    </row>
    <row r="50" spans="3:7" x14ac:dyDescent="0.25">
      <c r="C50" s="941" t="s">
        <v>2775</v>
      </c>
      <c r="D50" s="942" t="s">
        <v>59</v>
      </c>
      <c r="E50" s="943">
        <v>15</v>
      </c>
      <c r="F50" s="950">
        <f>(F29*0.025)/F16</f>
        <v>0.12656249999999999</v>
      </c>
      <c r="G50" s="951">
        <f t="shared" ref="G50" si="19">(G29*0.025)/G16</f>
        <v>0.66000000000000014</v>
      </c>
    </row>
    <row r="51" spans="3:7" x14ac:dyDescent="0.25">
      <c r="C51" s="941" t="s">
        <v>2776</v>
      </c>
      <c r="D51" s="942" t="s">
        <v>2773</v>
      </c>
      <c r="E51" s="943">
        <v>50</v>
      </c>
      <c r="F51" s="950">
        <f>SUM(F52:F54)</f>
        <v>2.2799999999999998</v>
      </c>
      <c r="G51" s="951">
        <f t="shared" ref="G51" si="20">SUM(G52:G54)</f>
        <v>66.400000000000006</v>
      </c>
    </row>
    <row r="52" spans="3:7" x14ac:dyDescent="0.25">
      <c r="C52" s="976" t="s">
        <v>2774</v>
      </c>
      <c r="D52" s="970" t="s">
        <v>2773</v>
      </c>
      <c r="E52" s="971"/>
      <c r="F52" s="979">
        <f>F5*F6</f>
        <v>0.36</v>
      </c>
      <c r="G52" s="980">
        <f t="shared" ref="G52" si="21">G5*G6</f>
        <v>12.32</v>
      </c>
    </row>
    <row r="53" spans="3:7" x14ac:dyDescent="0.25">
      <c r="C53" s="976" t="s">
        <v>2760</v>
      </c>
      <c r="D53" s="970" t="s">
        <v>2773</v>
      </c>
      <c r="E53" s="971"/>
      <c r="F53" s="979">
        <f>2*(((F7-F10)*F5)+((F7-F10)*F6))</f>
        <v>1.56</v>
      </c>
      <c r="G53" s="980">
        <f t="shared" ref="G53" si="22">2*(((G7-G10)*G5)+((G7-G10)*G6))</f>
        <v>41.76</v>
      </c>
    </row>
    <row r="54" spans="3:7" x14ac:dyDescent="0.25">
      <c r="C54" s="976" t="s">
        <v>2762</v>
      </c>
      <c r="D54" s="970" t="s">
        <v>2773</v>
      </c>
      <c r="E54" s="971"/>
      <c r="F54" s="979">
        <f>F5*F6</f>
        <v>0.36</v>
      </c>
      <c r="G54" s="980">
        <f t="shared" ref="G54" si="23">G5*G6</f>
        <v>12.32</v>
      </c>
    </row>
    <row r="55" spans="3:7" x14ac:dyDescent="0.25">
      <c r="C55" s="941" t="s">
        <v>2777</v>
      </c>
      <c r="D55" s="942" t="s">
        <v>2773</v>
      </c>
      <c r="E55" s="943">
        <v>7</v>
      </c>
      <c r="F55" s="981">
        <f>F29/F16</f>
        <v>5.0625</v>
      </c>
      <c r="G55" s="982">
        <f t="shared" ref="G55" si="24">G29/G16</f>
        <v>26.400000000000006</v>
      </c>
    </row>
    <row r="56" spans="3:7" x14ac:dyDescent="0.25">
      <c r="D56" s="936"/>
      <c r="F56" s="937"/>
      <c r="G56" s="938"/>
    </row>
    <row r="57" spans="3:7" s="922" customFormat="1" x14ac:dyDescent="0.25">
      <c r="C57" s="983" t="s">
        <v>2778</v>
      </c>
      <c r="D57" s="984"/>
      <c r="E57" s="985"/>
      <c r="F57" s="986"/>
      <c r="G57" s="987"/>
    </row>
    <row r="58" spans="3:7" x14ac:dyDescent="0.25">
      <c r="C58" s="941" t="s">
        <v>2779</v>
      </c>
      <c r="D58" s="942" t="s">
        <v>2780</v>
      </c>
      <c r="E58" s="943">
        <v>150</v>
      </c>
      <c r="F58" s="950">
        <f>F7</f>
        <v>1</v>
      </c>
      <c r="G58" s="982">
        <f t="shared" ref="G58" si="25">CEILING(G7,0.5)</f>
        <v>3.5</v>
      </c>
    </row>
    <row r="59" spans="3:7" x14ac:dyDescent="0.25">
      <c r="C59" s="941" t="s">
        <v>2781</v>
      </c>
      <c r="D59" s="942" t="s">
        <v>2782</v>
      </c>
      <c r="E59" s="943"/>
      <c r="F59" s="981">
        <v>1</v>
      </c>
      <c r="G59" s="982">
        <v>1</v>
      </c>
    </row>
    <row r="60" spans="3:7" x14ac:dyDescent="0.25">
      <c r="C60" s="941" t="s">
        <v>2783</v>
      </c>
      <c r="D60" s="942" t="s">
        <v>2784</v>
      </c>
      <c r="E60" s="943"/>
      <c r="F60" s="981">
        <v>3</v>
      </c>
      <c r="G60" s="982">
        <v>3</v>
      </c>
    </row>
    <row r="61" spans="3:7" x14ac:dyDescent="0.25">
      <c r="C61" s="941" t="s">
        <v>2785</v>
      </c>
      <c r="D61" s="942" t="s">
        <v>2782</v>
      </c>
      <c r="E61" s="943">
        <v>1700</v>
      </c>
      <c r="F61" s="981">
        <v>1</v>
      </c>
      <c r="G61" s="982">
        <v>1</v>
      </c>
    </row>
    <row r="62" spans="3:7" x14ac:dyDescent="0.25">
      <c r="C62" s="941" t="s">
        <v>2786</v>
      </c>
      <c r="D62" s="942" t="s">
        <v>2787</v>
      </c>
      <c r="E62" s="943"/>
      <c r="F62" s="981"/>
      <c r="G62" s="982"/>
    </row>
    <row r="63" spans="3:7" ht="15.75" thickBot="1" x14ac:dyDescent="0.3">
      <c r="C63" s="941" t="s">
        <v>2788</v>
      </c>
      <c r="D63" s="942" t="s">
        <v>2789</v>
      </c>
      <c r="E63" s="943">
        <v>15</v>
      </c>
      <c r="F63" s="988">
        <f>((F5+F9)+(F6+F9))*2</f>
        <v>3.8</v>
      </c>
      <c r="G63" s="989">
        <f t="shared" ref="G63" si="26">((G5+G9)+(G6+G9))*2</f>
        <v>15.8</v>
      </c>
    </row>
    <row r="66" spans="1:7" x14ac:dyDescent="0.25">
      <c r="F66" s="990">
        <f>SUMPRODUCT(F24:F63,$E$24:$E$63)</f>
        <v>4457.3282124999996</v>
      </c>
      <c r="G66" s="990">
        <f t="shared" ref="G66" si="27">SUMPRODUCT(G24:G63,$E$24:$E$63)</f>
        <v>35699.923778928576</v>
      </c>
    </row>
    <row r="68" spans="1:7" x14ac:dyDescent="0.25">
      <c r="F68" s="990">
        <f>F66/(F5*F6*(F7-0.4+0.25))</f>
        <v>14566.432066993462</v>
      </c>
      <c r="G68" s="990">
        <f t="shared" ref="G68" si="28">G66/(G5*G6*(G7-0.4+0.25))</f>
        <v>965.90702865066487</v>
      </c>
    </row>
    <row r="72" spans="1:7" x14ac:dyDescent="0.25">
      <c r="A72" s="913" t="s">
        <v>2790</v>
      </c>
      <c r="C72" s="914"/>
    </row>
    <row r="74" spans="1:7" x14ac:dyDescent="0.25">
      <c r="B74" s="914"/>
    </row>
    <row r="75" spans="1:7" x14ac:dyDescent="0.25">
      <c r="B75" s="914"/>
      <c r="C75" s="991"/>
    </row>
    <row r="77" spans="1:7" x14ac:dyDescent="0.25">
      <c r="A77" s="913" t="s">
        <v>2760</v>
      </c>
      <c r="C77" s="914"/>
    </row>
    <row r="79" spans="1:7" x14ac:dyDescent="0.25">
      <c r="B79" s="914"/>
    </row>
    <row r="80" spans="1:7" x14ac:dyDescent="0.25">
      <c r="B80" s="914"/>
      <c r="C80" s="991"/>
    </row>
    <row r="82" spans="1:3" x14ac:dyDescent="0.25">
      <c r="A82" s="913" t="s">
        <v>2762</v>
      </c>
      <c r="C82" s="914"/>
    </row>
    <row r="84" spans="1:3" x14ac:dyDescent="0.25">
      <c r="B84" s="914"/>
    </row>
    <row r="85" spans="1:3" x14ac:dyDescent="0.25">
      <c r="B85" s="914"/>
      <c r="C85" s="991"/>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3F238-2F83-48C9-B0B6-91977035D682}">
  <dimension ref="A1:G85"/>
  <sheetViews>
    <sheetView topLeftCell="A51" zoomScale="160" zoomScaleNormal="160" workbookViewId="0">
      <selection activeCell="G20" sqref="G20"/>
    </sheetView>
  </sheetViews>
  <sheetFormatPr defaultColWidth="9.140625" defaultRowHeight="15" x14ac:dyDescent="0.25"/>
  <cols>
    <col min="1" max="1" width="8.5703125" style="913" customWidth="1"/>
    <col min="2" max="2" width="4" style="913" customWidth="1"/>
    <col min="3" max="3" width="37.85546875" style="913" bestFit="1" customWidth="1"/>
    <col min="4" max="4" width="10.140625" style="914" customWidth="1"/>
    <col min="5" max="5" width="10.28515625" style="915" customWidth="1"/>
    <col min="6" max="6" width="12.42578125" style="938" customWidth="1"/>
    <col min="7" max="7" width="11.140625" style="913" customWidth="1"/>
    <col min="8" max="16384" width="9.140625" style="913"/>
  </cols>
  <sheetData>
    <row r="1" spans="1:7" x14ac:dyDescent="0.25">
      <c r="F1" s="916" t="s">
        <v>2728</v>
      </c>
    </row>
    <row r="2" spans="1:7" ht="15.75" thickBot="1" x14ac:dyDescent="0.3">
      <c r="C2" s="917" t="s">
        <v>2729</v>
      </c>
      <c r="D2" s="918"/>
      <c r="E2" s="919"/>
      <c r="F2" s="918" t="s">
        <v>2730</v>
      </c>
      <c r="G2" s="918" t="s">
        <v>2731</v>
      </c>
    </row>
    <row r="3" spans="1:7" x14ac:dyDescent="0.25">
      <c r="C3" s="917"/>
      <c r="D3" s="918"/>
      <c r="E3" s="919"/>
      <c r="F3" s="920" t="s">
        <v>2732</v>
      </c>
      <c r="G3" s="921" t="s">
        <v>2733</v>
      </c>
    </row>
    <row r="4" spans="1:7" s="922" customFormat="1" x14ac:dyDescent="0.25">
      <c r="A4" s="922" t="s">
        <v>2734</v>
      </c>
      <c r="B4" s="913"/>
      <c r="C4" s="923" t="s">
        <v>2735</v>
      </c>
      <c r="D4" s="924" t="s">
        <v>2736</v>
      </c>
      <c r="E4" s="925"/>
      <c r="F4" s="926" t="s">
        <v>2737</v>
      </c>
      <c r="G4" s="927" t="s">
        <v>2737</v>
      </c>
    </row>
    <row r="5" spans="1:7" x14ac:dyDescent="0.25">
      <c r="C5" s="928" t="s">
        <v>2738</v>
      </c>
      <c r="D5" s="929" t="s">
        <v>52</v>
      </c>
      <c r="E5" s="930"/>
      <c r="F5" s="931">
        <v>2</v>
      </c>
      <c r="G5" s="932">
        <v>4.4000000000000004</v>
      </c>
    </row>
    <row r="6" spans="1:7" x14ac:dyDescent="0.25">
      <c r="C6" s="928" t="s">
        <v>2739</v>
      </c>
      <c r="D6" s="929" t="s">
        <v>52</v>
      </c>
      <c r="E6" s="930"/>
      <c r="F6" s="931">
        <v>1</v>
      </c>
      <c r="G6" s="932">
        <v>2.8</v>
      </c>
    </row>
    <row r="7" spans="1:7" x14ac:dyDescent="0.25">
      <c r="C7" s="933" t="s">
        <v>2740</v>
      </c>
      <c r="D7" s="929" t="s">
        <v>52</v>
      </c>
      <c r="E7" s="930"/>
      <c r="F7" s="934">
        <v>1</v>
      </c>
      <c r="G7" s="932">
        <f>0.44+0.6+2.11</f>
        <v>3.15</v>
      </c>
    </row>
    <row r="8" spans="1:7" x14ac:dyDescent="0.25">
      <c r="C8" s="935"/>
      <c r="D8" s="936"/>
      <c r="F8" s="937"/>
      <c r="G8" s="938"/>
    </row>
    <row r="9" spans="1:7" ht="19.5" customHeight="1" x14ac:dyDescent="0.25">
      <c r="C9" s="928" t="s">
        <v>2741</v>
      </c>
      <c r="D9" s="929" t="s">
        <v>52</v>
      </c>
      <c r="E9" s="930"/>
      <c r="F9" s="931">
        <v>0.2</v>
      </c>
      <c r="G9" s="932">
        <v>0.35</v>
      </c>
    </row>
    <row r="10" spans="1:7" x14ac:dyDescent="0.25">
      <c r="C10" s="928" t="s">
        <v>2742</v>
      </c>
      <c r="D10" s="929" t="s">
        <v>52</v>
      </c>
      <c r="E10" s="930"/>
      <c r="F10" s="931">
        <v>0.2</v>
      </c>
      <c r="G10" s="932">
        <v>0.25</v>
      </c>
    </row>
    <row r="11" spans="1:7" x14ac:dyDescent="0.25">
      <c r="C11" s="928" t="s">
        <v>2743</v>
      </c>
      <c r="D11" s="929" t="s">
        <v>52</v>
      </c>
      <c r="E11" s="930"/>
      <c r="F11" s="931">
        <v>0.2</v>
      </c>
      <c r="G11" s="932">
        <v>0.35</v>
      </c>
    </row>
    <row r="12" spans="1:7" x14ac:dyDescent="0.25">
      <c r="C12" s="939" t="s">
        <v>2744</v>
      </c>
      <c r="D12" s="929" t="s">
        <v>52</v>
      </c>
      <c r="E12" s="930"/>
      <c r="F12" s="931">
        <v>0.4</v>
      </c>
      <c r="G12" s="932">
        <v>0.35</v>
      </c>
    </row>
    <row r="13" spans="1:7" x14ac:dyDescent="0.25">
      <c r="C13" s="928"/>
      <c r="D13" s="929"/>
      <c r="E13" s="930"/>
      <c r="F13" s="931"/>
      <c r="G13" s="932"/>
    </row>
    <row r="14" spans="1:7" x14ac:dyDescent="0.25">
      <c r="C14" s="928" t="s">
        <v>2745</v>
      </c>
      <c r="D14" s="929" t="s">
        <v>52</v>
      </c>
      <c r="E14" s="930"/>
      <c r="F14" s="931">
        <v>0</v>
      </c>
      <c r="G14" s="932">
        <v>0.5</v>
      </c>
    </row>
    <row r="15" spans="1:7" x14ac:dyDescent="0.25">
      <c r="C15" s="928" t="s">
        <v>2746</v>
      </c>
      <c r="D15" s="929" t="s">
        <v>52</v>
      </c>
      <c r="E15" s="930"/>
      <c r="F15" s="931">
        <v>0</v>
      </c>
      <c r="G15" s="932">
        <v>0.35</v>
      </c>
    </row>
    <row r="16" spans="1:7" x14ac:dyDescent="0.25">
      <c r="C16" s="928" t="s">
        <v>2747</v>
      </c>
      <c r="D16" s="929" t="s">
        <v>52</v>
      </c>
      <c r="E16" s="930"/>
      <c r="F16" s="931">
        <v>7.4999999999999997E-2</v>
      </c>
      <c r="G16" s="932">
        <v>0.1</v>
      </c>
    </row>
    <row r="17" spans="1:7" x14ac:dyDescent="0.25">
      <c r="C17" s="928"/>
      <c r="D17" s="929"/>
      <c r="E17" s="930"/>
      <c r="F17" s="931"/>
      <c r="G17" s="932"/>
    </row>
    <row r="18" spans="1:7" x14ac:dyDescent="0.25">
      <c r="C18" s="928" t="s">
        <v>2748</v>
      </c>
      <c r="D18" s="929" t="s">
        <v>52</v>
      </c>
      <c r="E18" s="930"/>
      <c r="F18" s="931">
        <v>0</v>
      </c>
      <c r="G18" s="932">
        <f>1.05*2</f>
        <v>2.1</v>
      </c>
    </row>
    <row r="19" spans="1:7" x14ac:dyDescent="0.25">
      <c r="C19" s="928" t="s">
        <v>2749</v>
      </c>
      <c r="D19" s="929" t="s">
        <v>52</v>
      </c>
      <c r="E19" s="930"/>
      <c r="F19" s="931">
        <v>0</v>
      </c>
      <c r="G19" s="932">
        <f>0.625*2</f>
        <v>1.25</v>
      </c>
    </row>
    <row r="20" spans="1:7" x14ac:dyDescent="0.25">
      <c r="C20" s="928" t="s">
        <v>2750</v>
      </c>
      <c r="D20" s="929"/>
      <c r="E20" s="930"/>
      <c r="F20" s="931">
        <v>0</v>
      </c>
      <c r="G20" s="932">
        <f>0.15*2</f>
        <v>0.3</v>
      </c>
    </row>
    <row r="21" spans="1:7" x14ac:dyDescent="0.25">
      <c r="C21" s="940"/>
      <c r="D21" s="936"/>
      <c r="F21" s="937"/>
      <c r="G21" s="938"/>
    </row>
    <row r="22" spans="1:7" x14ac:dyDescent="0.25">
      <c r="C22" s="940"/>
      <c r="D22" s="936"/>
      <c r="F22" s="937"/>
      <c r="G22" s="938"/>
    </row>
    <row r="23" spans="1:7" s="922" customFormat="1" x14ac:dyDescent="0.25">
      <c r="C23" s="923" t="s">
        <v>2751</v>
      </c>
      <c r="D23" s="924"/>
      <c r="E23" s="925"/>
      <c r="F23" s="926"/>
      <c r="G23" s="927"/>
    </row>
    <row r="24" spans="1:7" x14ac:dyDescent="0.25">
      <c r="A24" s="922" t="s">
        <v>2752</v>
      </c>
      <c r="B24" s="913">
        <v>1</v>
      </c>
      <c r="C24" s="941" t="s">
        <v>2753</v>
      </c>
      <c r="D24" s="942" t="s">
        <v>59</v>
      </c>
      <c r="E24" s="943">
        <v>6</v>
      </c>
      <c r="F24" s="944">
        <f>+(F7+F11+F14)*(F5+F5+F9+F12+F9+F12)*(F6+F6+F9+F12+F9+F12)</f>
        <v>19.968000000000004</v>
      </c>
      <c r="G24" s="945">
        <f t="shared" ref="G24" si="0">+(G7+G11+G14)*(G5+G5+G9+G12+G9+G12)*(G6+G6+G9+G12+G9+G12)</f>
        <v>285.59999999999991</v>
      </c>
    </row>
    <row r="25" spans="1:7" x14ac:dyDescent="0.25">
      <c r="B25" s="913">
        <v>2</v>
      </c>
      <c r="C25" s="941" t="s">
        <v>2754</v>
      </c>
      <c r="D25" s="942" t="s">
        <v>59</v>
      </c>
      <c r="E25" s="943">
        <v>9</v>
      </c>
      <c r="F25" s="944">
        <f>F24-F29-F30-(F5*F6*(F7-F10))</f>
        <v>14.609562500000004</v>
      </c>
      <c r="G25" s="945">
        <f t="shared" ref="G25" si="1">G24-G29-G30-(G5*G6*(G7-G10))</f>
        <v>210.79774999999992</v>
      </c>
    </row>
    <row r="26" spans="1:7" x14ac:dyDescent="0.25">
      <c r="B26" s="913">
        <v>3</v>
      </c>
      <c r="C26" s="941"/>
      <c r="D26" s="942"/>
      <c r="E26" s="943"/>
      <c r="F26" s="946"/>
      <c r="G26" s="947"/>
    </row>
    <row r="27" spans="1:7" x14ac:dyDescent="0.25">
      <c r="C27" s="948"/>
      <c r="D27" s="936"/>
      <c r="F27" s="937"/>
      <c r="G27" s="938"/>
    </row>
    <row r="28" spans="1:7" s="922" customFormat="1" x14ac:dyDescent="0.25">
      <c r="C28" s="923" t="s">
        <v>2755</v>
      </c>
      <c r="D28" s="924"/>
      <c r="E28" s="925"/>
      <c r="F28" s="926"/>
      <c r="G28" s="927"/>
    </row>
    <row r="29" spans="1:7" x14ac:dyDescent="0.25">
      <c r="C29" s="949" t="s">
        <v>2756</v>
      </c>
      <c r="D29" s="942" t="s">
        <v>59</v>
      </c>
      <c r="E29" s="943">
        <f>290+80</f>
        <v>370</v>
      </c>
      <c r="F29" s="950">
        <f>(F16)*(F5+(2*F9)+(2*(F12+F16)))*(F6+(2*F9)+(2*(F12+F16)))</f>
        <v>0.59043749999999995</v>
      </c>
      <c r="G29" s="951">
        <f t="shared" ref="G29" si="2">(G16)*(G5+(2*G9)+(2*(G12+G16)))*(G6+(2*G9)+(2*(G12+G16)))</f>
        <v>2.6400000000000006</v>
      </c>
    </row>
    <row r="30" spans="1:7" x14ac:dyDescent="0.25">
      <c r="C30" s="949" t="s">
        <v>2757</v>
      </c>
      <c r="D30" s="942" t="s">
        <v>59</v>
      </c>
      <c r="E30" s="943">
        <f>320+250</f>
        <v>570</v>
      </c>
      <c r="F30" s="950">
        <f>SUM(F31:F37)</f>
        <v>3.1680000000000006</v>
      </c>
      <c r="G30" s="951">
        <f t="shared" ref="G30" si="3">SUM(G31:G37)</f>
        <v>36.434249999999999</v>
      </c>
    </row>
    <row r="31" spans="1:7" ht="15.75" thickBot="1" x14ac:dyDescent="0.3">
      <c r="C31" s="952" t="s">
        <v>2758</v>
      </c>
      <c r="D31" s="953" t="s">
        <v>59</v>
      </c>
      <c r="E31" s="954"/>
      <c r="F31" s="955">
        <f>(F11)*(F5+(2*F9)+(2*F12))*(F6+(2*F9)+(2*F12))</f>
        <v>1.4080000000000004</v>
      </c>
      <c r="G31" s="956">
        <f t="shared" ref="G31" si="4">(G11)*(G5+(2*G9)+(2*G12))*(G6+(2*G9)+(2*G12))</f>
        <v>8.5260000000000016</v>
      </c>
    </row>
    <row r="32" spans="1:7" ht="15.75" thickBot="1" x14ac:dyDescent="0.3">
      <c r="C32" s="957" t="s">
        <v>2759</v>
      </c>
      <c r="D32" s="958" t="s">
        <v>59</v>
      </c>
      <c r="E32" s="959"/>
      <c r="F32" s="960">
        <f>((F15+F14)*F14/2)*((2*(F5+F9+(F12/2)))+(2*(F6+F9+(F12/2))))</f>
        <v>0</v>
      </c>
      <c r="G32" s="961">
        <f t="shared" ref="G32" si="5">((G15+G14)*G14/2)*((2*(G5+G9+(G12/2)))+(2*(G6+G9+(G12/2))))</f>
        <v>3.5062500000000001</v>
      </c>
    </row>
    <row r="33" spans="3:7" ht="15.75" thickBot="1" x14ac:dyDescent="0.3">
      <c r="C33" s="962" t="s">
        <v>2760</v>
      </c>
      <c r="D33" s="963" t="s">
        <v>59</v>
      </c>
      <c r="E33" s="964"/>
      <c r="F33" s="965">
        <f>(F9)*(F7)*(2*(F5+F9+F9)+(F6)*2)</f>
        <v>1.3600000000000003</v>
      </c>
      <c r="G33" s="966">
        <f t="shared" ref="G33" si="6">(G9)*(G7)*(2*(G5+G9+G9)+(G6)*2)</f>
        <v>17.419499999999996</v>
      </c>
    </row>
    <row r="34" spans="3:7" ht="15.75" thickBot="1" x14ac:dyDescent="0.3">
      <c r="C34" s="967" t="s">
        <v>2761</v>
      </c>
      <c r="D34" s="958" t="s">
        <v>59</v>
      </c>
      <c r="E34" s="959"/>
      <c r="F34" s="960">
        <f>1.5*F9*1.8*3*0</f>
        <v>0</v>
      </c>
      <c r="G34" s="961">
        <f t="shared" ref="G34" si="7">1.5*G9*1.8*3</f>
        <v>2.8349999999999995</v>
      </c>
    </row>
    <row r="35" spans="3:7" ht="15.75" thickBot="1" x14ac:dyDescent="0.3">
      <c r="C35" s="962" t="s">
        <v>2762</v>
      </c>
      <c r="D35" s="963" t="s">
        <v>59</v>
      </c>
      <c r="E35" s="964"/>
      <c r="F35" s="965">
        <f>F5*F6*F10</f>
        <v>0.4</v>
      </c>
      <c r="G35" s="966">
        <f t="shared" ref="G35" si="8">G5*G6*G10</f>
        <v>3.08</v>
      </c>
    </row>
    <row r="36" spans="3:7" ht="15.75" thickBot="1" x14ac:dyDescent="0.3">
      <c r="C36" s="967" t="s">
        <v>2763</v>
      </c>
      <c r="D36" s="958" t="s">
        <v>59</v>
      </c>
      <c r="E36" s="959"/>
      <c r="F36" s="960">
        <f>+F6*0.4*(0.5-F10)*0</f>
        <v>0</v>
      </c>
      <c r="G36" s="961">
        <f t="shared" ref="G36" si="9">+G6*0.4*(0.5-G10)</f>
        <v>0.27999999999999997</v>
      </c>
    </row>
    <row r="37" spans="3:7" ht="15.75" thickBot="1" x14ac:dyDescent="0.3">
      <c r="C37" s="968" t="s">
        <v>2764</v>
      </c>
      <c r="D37" s="958" t="s">
        <v>59</v>
      </c>
      <c r="E37" s="959"/>
      <c r="F37" s="960">
        <f>F18*F19*F20</f>
        <v>0</v>
      </c>
      <c r="G37" s="961">
        <f t="shared" ref="G37" si="10">G18*G19*G20</f>
        <v>0.78749999999999998</v>
      </c>
    </row>
    <row r="38" spans="3:7" x14ac:dyDescent="0.25">
      <c r="C38" s="940"/>
      <c r="D38" s="936"/>
      <c r="F38" s="937"/>
      <c r="G38" s="938"/>
    </row>
    <row r="39" spans="3:7" x14ac:dyDescent="0.25">
      <c r="C39" s="949" t="s">
        <v>2765</v>
      </c>
      <c r="D39" s="942" t="s">
        <v>2766</v>
      </c>
      <c r="E39" s="943">
        <v>3.5</v>
      </c>
      <c r="F39" s="944">
        <f>SUM(F40:F43)</f>
        <v>0.37856000000000006</v>
      </c>
      <c r="G39" s="945">
        <f t="shared" ref="G39" si="11">SUM(G40:G43)</f>
        <v>5.2908449999999991</v>
      </c>
    </row>
    <row r="40" spans="3:7" x14ac:dyDescent="0.25">
      <c r="C40" s="969" t="s">
        <v>2767</v>
      </c>
      <c r="D40" s="970">
        <f>70/1000</f>
        <v>7.0000000000000007E-2</v>
      </c>
      <c r="E40" s="971"/>
      <c r="F40" s="972">
        <f>$D$40*SUM(F31:F32)</f>
        <v>9.8560000000000036E-2</v>
      </c>
      <c r="G40" s="973">
        <f t="shared" ref="G40" si="12">$D$40*SUM(G31:G32)</f>
        <v>0.84225750000000021</v>
      </c>
    </row>
    <row r="41" spans="3:7" x14ac:dyDescent="0.25">
      <c r="C41" s="969" t="s">
        <v>2768</v>
      </c>
      <c r="D41" s="970">
        <v>0.17499999999999999</v>
      </c>
      <c r="E41" s="971"/>
      <c r="F41" s="972">
        <f>$D$41*SUM(F33:F34)</f>
        <v>0.23800000000000004</v>
      </c>
      <c r="G41" s="973">
        <f t="shared" ref="G41" si="13">$D$41*SUM(G33:G34)</f>
        <v>3.5445374999999992</v>
      </c>
    </row>
    <row r="42" spans="3:7" x14ac:dyDescent="0.25">
      <c r="C42" s="969" t="s">
        <v>2769</v>
      </c>
      <c r="D42" s="970">
        <v>0.105</v>
      </c>
      <c r="E42" s="971"/>
      <c r="F42" s="972">
        <f>$D$42*SUM(F35:F36)</f>
        <v>4.2000000000000003E-2</v>
      </c>
      <c r="G42" s="973">
        <f t="shared" ref="G42" si="14">$D$42*SUM(G35:G36)</f>
        <v>0.35279999999999995</v>
      </c>
    </row>
    <row r="43" spans="3:7" x14ac:dyDescent="0.25">
      <c r="C43" s="969" t="s">
        <v>2770</v>
      </c>
      <c r="D43" s="970">
        <v>0.7</v>
      </c>
      <c r="E43" s="971"/>
      <c r="F43" s="972">
        <f>$D$43*F37</f>
        <v>0</v>
      </c>
      <c r="G43" s="973">
        <f t="shared" ref="G43" si="15">$D$43*G37</f>
        <v>0.55124999999999991</v>
      </c>
    </row>
    <row r="44" spans="3:7" x14ac:dyDescent="0.25">
      <c r="D44" s="936"/>
      <c r="F44" s="937"/>
      <c r="G44" s="938"/>
    </row>
    <row r="45" spans="3:7" s="922" customFormat="1" x14ac:dyDescent="0.25">
      <c r="C45" s="923" t="s">
        <v>2771</v>
      </c>
      <c r="D45" s="924"/>
      <c r="E45" s="925"/>
      <c r="F45" s="926"/>
      <c r="G45" s="927"/>
    </row>
    <row r="46" spans="3:7" x14ac:dyDescent="0.25">
      <c r="C46" s="941" t="s">
        <v>2772</v>
      </c>
      <c r="D46" s="942" t="s">
        <v>2773</v>
      </c>
      <c r="E46" s="943">
        <v>45</v>
      </c>
      <c r="F46" s="974">
        <f>SUM(F47:F49)</f>
        <v>14.640000000000004</v>
      </c>
      <c r="G46" s="975">
        <f t="shared" ref="G46" si="16">SUM(G47:G49)</f>
        <v>96.657857142857139</v>
      </c>
    </row>
    <row r="47" spans="3:7" x14ac:dyDescent="0.25">
      <c r="C47" s="976" t="s">
        <v>2774</v>
      </c>
      <c r="D47" s="970" t="s">
        <v>2773</v>
      </c>
      <c r="E47" s="971"/>
      <c r="F47" s="977">
        <f>SUM(F31:F32)/F11</f>
        <v>7.0400000000000018</v>
      </c>
      <c r="G47" s="978">
        <f t="shared" ref="G47" si="17">SUM(G31:G32)/G11</f>
        <v>34.377857142857145</v>
      </c>
    </row>
    <row r="48" spans="3:7" x14ac:dyDescent="0.25">
      <c r="C48" s="976" t="s">
        <v>2760</v>
      </c>
      <c r="D48" s="970" t="s">
        <v>2773</v>
      </c>
      <c r="E48" s="971"/>
      <c r="F48" s="979">
        <f>(SUM(F33:F34)/F9)+F7*2*F9*2</f>
        <v>7.6000000000000014</v>
      </c>
      <c r="G48" s="980">
        <f t="shared" ref="G48" si="18">(SUM(G33:G34)/G9)+G7*2*G9*2</f>
        <v>62.279999999999994</v>
      </c>
    </row>
    <row r="49" spans="3:7" x14ac:dyDescent="0.25">
      <c r="C49" s="976" t="s">
        <v>2762</v>
      </c>
      <c r="D49" s="970" t="s">
        <v>2773</v>
      </c>
      <c r="E49" s="971"/>
      <c r="F49" s="979"/>
      <c r="G49" s="980"/>
    </row>
    <row r="50" spans="3:7" x14ac:dyDescent="0.25">
      <c r="C50" s="941" t="s">
        <v>2775</v>
      </c>
      <c r="D50" s="942" t="s">
        <v>59</v>
      </c>
      <c r="E50" s="943">
        <v>15</v>
      </c>
      <c r="F50" s="950">
        <f>(F29*0.025)/F16</f>
        <v>0.1968125</v>
      </c>
      <c r="G50" s="951">
        <f t="shared" ref="G50" si="19">(G29*0.025)/G16</f>
        <v>0.66000000000000014</v>
      </c>
    </row>
    <row r="51" spans="3:7" x14ac:dyDescent="0.25">
      <c r="C51" s="941" t="s">
        <v>2776</v>
      </c>
      <c r="D51" s="942" t="s">
        <v>2773</v>
      </c>
      <c r="E51" s="943">
        <v>50</v>
      </c>
      <c r="F51" s="950">
        <f>SUM(F52:F54)</f>
        <v>8.8000000000000007</v>
      </c>
      <c r="G51" s="951">
        <f t="shared" ref="G51" si="20">SUM(G52:G54)</f>
        <v>66.400000000000006</v>
      </c>
    </row>
    <row r="52" spans="3:7" x14ac:dyDescent="0.25">
      <c r="C52" s="976" t="s">
        <v>2774</v>
      </c>
      <c r="D52" s="970" t="s">
        <v>2773</v>
      </c>
      <c r="E52" s="971"/>
      <c r="F52" s="979">
        <f>F5*F6</f>
        <v>2</v>
      </c>
      <c r="G52" s="980">
        <f t="shared" ref="G52" si="21">G5*G6</f>
        <v>12.32</v>
      </c>
    </row>
    <row r="53" spans="3:7" x14ac:dyDescent="0.25">
      <c r="C53" s="976" t="s">
        <v>2760</v>
      </c>
      <c r="D53" s="970" t="s">
        <v>2773</v>
      </c>
      <c r="E53" s="971"/>
      <c r="F53" s="979">
        <f>2*(((F7-F10)*F5)+((F7-F10)*F6))</f>
        <v>4.8000000000000007</v>
      </c>
      <c r="G53" s="980">
        <f t="shared" ref="G53" si="22">2*(((G7-G10)*G5)+((G7-G10)*G6))</f>
        <v>41.76</v>
      </c>
    </row>
    <row r="54" spans="3:7" x14ac:dyDescent="0.25">
      <c r="C54" s="976" t="s">
        <v>2762</v>
      </c>
      <c r="D54" s="970" t="s">
        <v>2773</v>
      </c>
      <c r="E54" s="971"/>
      <c r="F54" s="979">
        <f>F5*F6</f>
        <v>2</v>
      </c>
      <c r="G54" s="980">
        <f t="shared" ref="G54" si="23">G5*G6</f>
        <v>12.32</v>
      </c>
    </row>
    <row r="55" spans="3:7" x14ac:dyDescent="0.25">
      <c r="C55" s="941" t="s">
        <v>2777</v>
      </c>
      <c r="D55" s="942" t="s">
        <v>2773</v>
      </c>
      <c r="E55" s="943">
        <v>7</v>
      </c>
      <c r="F55" s="981">
        <f>F29/F16</f>
        <v>7.8724999999999996</v>
      </c>
      <c r="G55" s="982">
        <f t="shared" ref="G55" si="24">G29/G16</f>
        <v>26.400000000000006</v>
      </c>
    </row>
    <row r="56" spans="3:7" x14ac:dyDescent="0.25">
      <c r="D56" s="936"/>
      <c r="F56" s="937"/>
      <c r="G56" s="938"/>
    </row>
    <row r="57" spans="3:7" s="922" customFormat="1" x14ac:dyDescent="0.25">
      <c r="C57" s="983" t="s">
        <v>2778</v>
      </c>
      <c r="D57" s="984"/>
      <c r="E57" s="985"/>
      <c r="F57" s="986"/>
      <c r="G57" s="987"/>
    </row>
    <row r="58" spans="3:7" x14ac:dyDescent="0.25">
      <c r="C58" s="941" t="s">
        <v>2779</v>
      </c>
      <c r="D58" s="942" t="s">
        <v>2780</v>
      </c>
      <c r="E58" s="943">
        <v>150</v>
      </c>
      <c r="F58" s="950">
        <f>F7</f>
        <v>1</v>
      </c>
      <c r="G58" s="982">
        <f t="shared" ref="G58" si="25">CEILING(G7,0.5)</f>
        <v>3.5</v>
      </c>
    </row>
    <row r="59" spans="3:7" x14ac:dyDescent="0.25">
      <c r="C59" s="941" t="s">
        <v>2781</v>
      </c>
      <c r="D59" s="942" t="s">
        <v>2782</v>
      </c>
      <c r="E59" s="943"/>
      <c r="F59" s="981">
        <v>1</v>
      </c>
      <c r="G59" s="982">
        <v>1</v>
      </c>
    </row>
    <row r="60" spans="3:7" x14ac:dyDescent="0.25">
      <c r="C60" s="941" t="s">
        <v>2783</v>
      </c>
      <c r="D60" s="942" t="s">
        <v>2784</v>
      </c>
      <c r="E60" s="943"/>
      <c r="F60" s="981">
        <v>3</v>
      </c>
      <c r="G60" s="982">
        <v>3</v>
      </c>
    </row>
    <row r="61" spans="3:7" x14ac:dyDescent="0.25">
      <c r="C61" s="941" t="s">
        <v>2785</v>
      </c>
      <c r="D61" s="942" t="s">
        <v>2782</v>
      </c>
      <c r="E61" s="943">
        <v>1700</v>
      </c>
      <c r="F61" s="981">
        <v>1</v>
      </c>
      <c r="G61" s="982">
        <v>1</v>
      </c>
    </row>
    <row r="62" spans="3:7" x14ac:dyDescent="0.25">
      <c r="C62" s="941" t="s">
        <v>2786</v>
      </c>
      <c r="D62" s="942" t="s">
        <v>2787</v>
      </c>
      <c r="E62" s="943"/>
      <c r="F62" s="981"/>
      <c r="G62" s="982"/>
    </row>
    <row r="63" spans="3:7" ht="15.75" thickBot="1" x14ac:dyDescent="0.3">
      <c r="C63" s="941" t="s">
        <v>2788</v>
      </c>
      <c r="D63" s="942" t="s">
        <v>2789</v>
      </c>
      <c r="E63" s="943">
        <v>15</v>
      </c>
      <c r="F63" s="988">
        <f>((F5+F9)+(F6+F9))*2</f>
        <v>6.8000000000000007</v>
      </c>
      <c r="G63" s="989">
        <f t="shared" ref="G63" si="26">((G5+G9)+(G6+G9))*2</f>
        <v>15.8</v>
      </c>
    </row>
    <row r="66" spans="1:7" x14ac:dyDescent="0.25">
      <c r="F66" s="990">
        <f>SUMPRODUCT(F24:F63,$E$24:$E$63)</f>
        <v>5385.7005850000005</v>
      </c>
      <c r="G66" s="990">
        <f t="shared" ref="G66" si="27">SUMPRODUCT(G24:G63,$E$24:$E$63)</f>
        <v>35699.923778928576</v>
      </c>
    </row>
    <row r="68" spans="1:7" x14ac:dyDescent="0.25">
      <c r="F68" s="990">
        <f>F66/(F5*F6*(F7-0.4+0.25))</f>
        <v>3168.059167647059</v>
      </c>
      <c r="G68" s="990">
        <f t="shared" ref="G68" si="28">G66/(G5*G6*(G7-0.4+0.25))</f>
        <v>965.90702865066487</v>
      </c>
    </row>
    <row r="72" spans="1:7" x14ac:dyDescent="0.25">
      <c r="A72" s="913" t="s">
        <v>2790</v>
      </c>
      <c r="C72" s="914"/>
    </row>
    <row r="74" spans="1:7" x14ac:dyDescent="0.25">
      <c r="B74" s="914"/>
    </row>
    <row r="75" spans="1:7" x14ac:dyDescent="0.25">
      <c r="B75" s="914"/>
      <c r="C75" s="991"/>
    </row>
    <row r="77" spans="1:7" x14ac:dyDescent="0.25">
      <c r="A77" s="913" t="s">
        <v>2760</v>
      </c>
      <c r="C77" s="914"/>
    </row>
    <row r="79" spans="1:7" x14ac:dyDescent="0.25">
      <c r="B79" s="914"/>
    </row>
    <row r="80" spans="1:7" x14ac:dyDescent="0.25">
      <c r="B80" s="914"/>
      <c r="C80" s="991"/>
    </row>
    <row r="82" spans="1:3" x14ac:dyDescent="0.25">
      <c r="A82" s="913" t="s">
        <v>2762</v>
      </c>
      <c r="C82" s="914"/>
    </row>
    <row r="84" spans="1:3" x14ac:dyDescent="0.25">
      <c r="B84" s="914"/>
    </row>
    <row r="85" spans="1:3" x14ac:dyDescent="0.25">
      <c r="B85" s="914"/>
      <c r="C85" s="99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C82016F4-8EDA-4CE3-815F-246B220E2D33}">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General Summary </vt:lpstr>
      <vt:lpstr>Cover1</vt:lpstr>
      <vt:lpstr>Preamble1</vt:lpstr>
      <vt:lpstr>P.1</vt:lpstr>
      <vt:lpstr>Cover2</vt:lpstr>
      <vt:lpstr>Preamble2</vt:lpstr>
      <vt:lpstr>P.2</vt:lpstr>
      <vt:lpstr>Cover3</vt:lpstr>
      <vt:lpstr>Preamble3</vt:lpstr>
      <vt:lpstr>P.3</vt:lpstr>
      <vt:lpstr>Chamber1</vt:lpstr>
      <vt:lpstr>MAN TYPE1</vt:lpstr>
      <vt:lpstr>Cover1!Print_Area</vt:lpstr>
      <vt:lpstr>Cover2!Print_Area</vt:lpstr>
      <vt:lpstr>Cover3!Print_Area</vt:lpstr>
      <vt:lpstr>'General Summary '!Print_Area</vt:lpstr>
      <vt:lpstr>P.1!Print_Area</vt:lpstr>
      <vt:lpstr>P.2!Print_Area</vt:lpstr>
      <vt:lpstr>P.3!Print_Area</vt:lpstr>
      <vt:lpstr>Preamble1!Print_Area</vt:lpstr>
      <vt:lpstr>Preamble2!Print_Area</vt:lpstr>
      <vt:lpstr>Preamble3!Print_Area</vt:lpstr>
      <vt:lpstr>Cover1!Print_Titles</vt:lpstr>
      <vt:lpstr>Cover2!Print_Titles</vt:lpstr>
      <vt:lpstr>Cover3!Print_Titles</vt:lpstr>
      <vt:lpstr>'General Summary '!Print_Titles</vt:lpstr>
      <vt:lpstr>P.1!Print_Titles</vt:lpstr>
      <vt:lpstr>P.2!Print_Titles</vt:lpstr>
      <vt:lpstr>P.3!Print_Titles</vt:lpstr>
      <vt:lpstr>Preamble1!Print_Titles</vt:lpstr>
      <vt:lpstr>Preamble2!Print_Titles</vt:lpstr>
      <vt:lpstr>Preamble3!Print_Titles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keywords>|</cp:keywords>
  <cp:lastModifiedBy>Rakan S. Alotaibi / راكان العتيبي</cp:lastModifiedBy>
  <cp:lastPrinted>2025-10-14T09:14:34Z</cp:lastPrinted>
  <dcterms:created xsi:type="dcterms:W3CDTF">2021-03-21T06:36:01Z</dcterms:created>
  <dcterms:modified xsi:type="dcterms:W3CDTF">2025-11-11T06:46:40Z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41c57e72-305a-4927-9294-869157c4d5ee</vt:lpwstr>
  </property>
  <property fmtid="{D5CDD505-2E9C-101B-9397-08002B2CF9AE}" pid="3" name="bjDocumentSecurityLabel">
    <vt:lpwstr>No Marking</vt:lpwstr>
  </property>
  <property fmtid="{D5CDD505-2E9C-101B-9397-08002B2CF9AE}" pid="4" name="bjSaver">
    <vt:lpwstr>Wc9380+xzJeY1RsrvE2R0ofIOrDoqid5</vt:lpwstr>
  </property>
  <property fmtid="{D5CDD505-2E9C-101B-9397-08002B2CF9AE}" pid="5" name="bjClsUserRVM">
    <vt:lpwstr>[]</vt:lpwstr>
  </property>
  <property fmtid="{D5CDD505-2E9C-101B-9397-08002B2CF9AE}" pid="6" name="SecloreClassification">
    <vt:lpwstr>{"Modon Production PolicyServer":{"ClassificationDisplayName":"Confidential","ClassificationMode":"ClassificationMode_UserDriven","LabelId":"4","Version":"1"}}</vt:lpwstr>
  </property>
  <property fmtid="{D5CDD505-2E9C-101B-9397-08002B2CF9AE}" pid="7" name="SecloreClassificationDisplayName">
    <vt:lpwstr>Confidential</vt:lpwstr>
  </property>
  <property fmtid="{D5CDD505-2E9C-101B-9397-08002B2CF9AE}" pid="8" name="SecloreClassificationFooterTextValue">
    <vt:lpwstr>Confidential | مقيد</vt:lpwstr>
  </property>
  <property fmtid="{D5CDD505-2E9C-101B-9397-08002B2CF9AE}" pid="9" name="SecloreClassificationFooterColorHex">
    <vt:lpwstr>#f0c231</vt:lpwstr>
  </property>
  <property fmtid="{D5CDD505-2E9C-101B-9397-08002B2CF9AE}" pid="10" name="SecloreClassificationFooterFontSize">
    <vt:lpwstr>12</vt:lpwstr>
  </property>
  <property fmtid="{D5CDD505-2E9C-101B-9397-08002B2CF9AE}" pid="11" name="SecloreClassificationFooterAlignment">
    <vt:lpwstr>Left</vt:lpwstr>
  </property>
</Properties>
</file>
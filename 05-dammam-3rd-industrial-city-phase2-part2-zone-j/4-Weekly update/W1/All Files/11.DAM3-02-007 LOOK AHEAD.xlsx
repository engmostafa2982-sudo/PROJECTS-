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1-Infrastructure_BLOCK J_MODON (3) @06-OCT.2026\"/>
    </mc:Choice>
  </mc:AlternateContent>
  <xr:revisionPtr revIDLastSave="0" documentId="13_ncr:1_{D55EE2A8-A5DC-4DD6-91BF-5F7E0BCF7894}" xr6:coauthVersionLast="47" xr6:coauthVersionMax="47" xr10:uidLastSave="{00000000-0000-0000-0000-000000000000}"/>
  <bookViews>
    <workbookView xWindow="28680" yWindow="-120" windowWidth="29040" windowHeight="15720" xr2:uid="{421A975E-62EA-4779-B271-22094B53BFAA}"/>
  </bookViews>
  <sheets>
    <sheet name="القطاع الشرقي" sheetId="1" r:id="rId1"/>
  </sheets>
  <definedNames>
    <definedName name="_xlnm._FilterDatabase" localSheetId="0" hidden="1">'القطاع الشرقي'!$A$2:$T$3</definedName>
    <definedName name="_xlnm.Print_Area" localSheetId="0">'القطاع الشرقي'!$A$1:$U$3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</calcChain>
</file>

<file path=xl/sharedStrings.xml><?xml version="1.0" encoding="utf-8"?>
<sst xmlns="http://schemas.openxmlformats.org/spreadsheetml/2006/main" count="35" uniqueCount="34">
  <si>
    <t>القطاع الشرقي</t>
  </si>
  <si>
    <t xml:space="preserve">Mobilization
</t>
  </si>
  <si>
    <t>Procurement (Long Lead Items)
توريد المواد طويلة الأجل</t>
  </si>
  <si>
    <t>Civil Work
الأعمال المدنيه</t>
  </si>
  <si>
    <t>Mechnical Work
أعمال الميكانيكل</t>
  </si>
  <si>
    <t>Mechnical Work
أعمال الكهرباء</t>
  </si>
  <si>
    <t>تأثير التأخير (إن وجد) على المبادرات في الربع الاول 2026</t>
  </si>
  <si>
    <t>نهاية المشروع المتوقعة</t>
  </si>
  <si>
    <t xml:space="preserve">مجموع المبالغ المفوتره </t>
  </si>
  <si>
    <t>ملاحظات</t>
  </si>
  <si>
    <t>#</t>
  </si>
  <si>
    <t>القطاع</t>
  </si>
  <si>
    <t>المبادرة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</si>
  <si>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</si>
  <si>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</si>
  <si>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</si>
  <si>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</si>
  <si>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</si>
  <si>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</si>
  <si>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مدة المشروع (أشهر)</t>
  </si>
  <si>
    <t>نهاية المشروع المتوقعة/ الالتزام</t>
  </si>
  <si>
    <t xml:space="preserve">قيمة المشروع </t>
  </si>
  <si>
    <t>NIS</t>
  </si>
  <si>
    <t>محمد العيسى</t>
  </si>
  <si>
    <t>شركة انساب للمقاولات العامة</t>
  </si>
  <si>
    <t>تطوير شبكات البنية التحتية للمدينة الصناعية الثالثة بالدمام المرحلة الثانية - الجزء الثاني ( بلوك J)</t>
  </si>
  <si>
    <t>تم الانتهاء</t>
  </si>
  <si>
    <t xml:space="preserve">
.استكمال أعمال شبكة تصريف مياة الأمطار
.استكمال أعمال شبكة الصرف الصحي
.استكمال أعمال شبكة الري
.استكمال أعمال شبكة المياة</t>
  </si>
  <si>
    <t>جاري تركيب أعمدة الإنارة وتمديد الكابلات
*جاري أعمال تمديد كابلات الجهد المتوسط
*جاري أعمال تركيب تقاطعات شبكة الهاتف</t>
  </si>
  <si>
    <t>لايوجد</t>
  </si>
  <si>
    <t>* RMU / تم الإعتماد وتم توريد 
*Generator./تم الإعتماد
*Pumps for Pump Station/تم  الإعتماد
*Odor control system/تم  الإعتماد
*Penstock(Pump station)/تم الإعتماد
*CCTV system /تم إعتمادالعرض الفني
*Flow Metar/تم الإعتماد
*LV cable /تم الإعتماد
*Street lighting Poles/تم التوريد بالموقع عدد 156 عمود إنارة
*Street lighting Fixtures /تم  الإعتماد
*MV cable /تم التوريد بالموقع كمية 5000تر طولي كابلات
*Local Control Panel ( SCADA) /جاريالمراجعة
*إستكمال أعمال توريد مواسير شبكة المياة والري والهاتف
 إستكمال توريد كابلات الجهد المتوسط وأعمدة الإنارة
* استكمال توريد كيابل الكهرباء</t>
  </si>
  <si>
    <t>*تم الأنتهاء من خط الصرف الصحي بطريق (18,17,16,15).
 *تم عمل طبقة الطين لجميع الطرق عدا طريق (09) .
*تم الأنتهاء من أعمال القطع على جميع الطرق  .
*تم تسوية وتجهيز منطقة المختبر.
*تم الأنتهاء من تمديد شبكة السيول بطريق (18,17,16,15).
*تم الأنتهاء من تنزيل منهولات صرف الأمطار ومصائد الأمطار في طريق رقم (18,17,16,15) .
*تم الانتهاء من شبكة المياة بطريق (18,17,16,15).
*تم الانتهاء من شبكة الري بطريق (18,17,16,15).
*تم الانتهاء من أعمال الحفر لبحيرة رقم 1 .
تم الإنتهاء من أعمال الأسفلت طريق 18,17,16</t>
  </si>
  <si>
    <t>مجموع المبالغ المفوترة  المستهدفة بنهاية Q2  2026</t>
  </si>
  <si>
    <t>نسبة الانجاز المستهدفة بنهاية Q4 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</si>
</sst>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/mmm/yy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heSansArab Light"/>
      <family val="2"/>
    </font>
    <font>
      <b/>
      <sz val="16"/>
      <color theme="0"/>
      <name val="TheSansArab "/>
    </font>
    <font>
      <b/>
      <sz val="16"/>
      <color theme="0"/>
      <name val="TheSansArab Light"/>
      <family val="2"/>
    </font>
    <font>
      <b/>
      <sz val="16"/>
      <color rgb="FF000000"/>
      <name val="TheSansArab Light"/>
      <family val="2"/>
    </font>
    <font>
      <b/>
      <sz val="16"/>
      <color theme="0"/>
      <name val="TheSansArab Plain"/>
      <family val="2"/>
    </font>
    <font>
      <sz val="16"/>
      <color theme="1"/>
      <name val="TheSansArab Plain"/>
      <family val="2"/>
    </font>
    <font>
      <sz val="16"/>
      <color rgb="FFFF0000"/>
      <name val="TheSansArab Plain"/>
      <family val="2"/>
    </font>
    <font>
      <b/>
      <sz val="18"/>
      <color theme="1"/>
      <name val="TheSansArab Plain"/>
      <family val="2"/>
    </font>
    <font>
      <b/>
      <sz val="18"/>
      <color rgb="FFFF0000"/>
      <name val="TheSansArab Plain"/>
      <family val="2"/>
    </font>
    <font>
      <b/>
      <sz val="1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heSansArab Plain"/>
      <family val="2"/>
    </font>
    <font>
      <sz val="11"/>
      <color theme="1"/>
      <name val="TheSansArab 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4" fontId="6" fillId="7" borderId="4" xfId="0" applyNumberFormat="1" applyFont="1" applyFill="1" applyBorder="1" applyAlignment="1">
      <alignment horizontal="center" vertical="center" wrapText="1" readingOrder="2"/>
    </xf>
    <xf numFmtId="4" fontId="6" fillId="7" borderId="10" xfId="0" applyNumberFormat="1" applyFont="1" applyFill="1" applyBorder="1" applyAlignment="1">
      <alignment horizontal="center" vertical="center" wrapText="1" readingOrder="2"/>
    </xf>
    <xf numFmtId="3" fontId="6" fillId="7" borderId="10" xfId="0" applyNumberFormat="1" applyFont="1" applyFill="1" applyBorder="1" applyAlignment="1">
      <alignment horizontal="center" vertical="center" wrapText="1" readingOrder="2"/>
    </xf>
    <xf numFmtId="3" fontId="6" fillId="7" borderId="11" xfId="0" applyNumberFormat="1" applyFont="1" applyFill="1" applyBorder="1" applyAlignment="1">
      <alignment horizontal="center" vertical="center" wrapText="1" readingOrder="2"/>
    </xf>
    <xf numFmtId="0" fontId="7" fillId="0" borderId="17" xfId="0" applyFont="1" applyBorder="1" applyAlignment="1">
      <alignment horizontal="center" vertical="center" readingOrder="2"/>
    </xf>
    <xf numFmtId="0" fontId="7" fillId="0" borderId="17" xfId="0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readingOrder="2"/>
    </xf>
    <xf numFmtId="1" fontId="7" fillId="0" borderId="17" xfId="1" applyNumberFormat="1" applyFont="1" applyFill="1" applyBorder="1" applyAlignment="1">
      <alignment horizontal="center" vertical="center" wrapText="1" readingOrder="2"/>
    </xf>
    <xf numFmtId="164" fontId="7" fillId="0" borderId="17" xfId="0" applyNumberFormat="1" applyFont="1" applyBorder="1" applyAlignment="1">
      <alignment horizontal="center" vertical="center" readingOrder="2"/>
    </xf>
    <xf numFmtId="37" fontId="7" fillId="0" borderId="17" xfId="1" applyNumberFormat="1" applyFont="1" applyFill="1" applyBorder="1" applyAlignment="1">
      <alignment horizontal="center" vertical="center" readingOrder="2"/>
    </xf>
    <xf numFmtId="164" fontId="10" fillId="6" borderId="17" xfId="0" applyNumberFormat="1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 readingOrder="2"/>
    </xf>
    <xf numFmtId="3" fontId="13" fillId="0" borderId="19" xfId="0" applyNumberFormat="1" applyFont="1" applyBorder="1" applyAlignment="1">
      <alignment horizontal="center" vertical="center" wrapText="1" readingOrder="2"/>
    </xf>
    <xf numFmtId="9" fontId="9" fillId="6" borderId="17" xfId="0" applyNumberFormat="1" applyFont="1" applyFill="1" applyBorder="1" applyAlignment="1">
      <alignment horizontal="right" vertical="center" wrapText="1" readingOrder="2"/>
    </xf>
    <xf numFmtId="37" fontId="11" fillId="0" borderId="17" xfId="1" applyNumberFormat="1" applyFont="1" applyBorder="1" applyAlignment="1">
      <alignment horizontal="center" vertical="center" wrapText="1"/>
    </xf>
    <xf numFmtId="37" fontId="12" fillId="0" borderId="18" xfId="1" applyNumberFormat="1" applyFont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readingOrder="2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 readingOrder="2"/>
    </xf>
    <xf numFmtId="0" fontId="14" fillId="8" borderId="0" xfId="0" applyFont="1" applyFill="1" applyAlignment="1">
      <alignment horizontal="right" vertical="center" wrapText="1" readingOrder="2"/>
    </xf>
    <xf numFmtId="164" fontId="14" fillId="8" borderId="0" xfId="0" applyNumberFormat="1" applyFont="1" applyFill="1" applyAlignment="1">
      <alignment horizontal="center" vertical="center" readingOrder="2"/>
    </xf>
    <xf numFmtId="1" fontId="14" fillId="8" borderId="0" xfId="1" applyNumberFormat="1" applyFont="1" applyFill="1" applyBorder="1" applyAlignment="1">
      <alignment horizontal="center" vertical="center" wrapText="1" readingOrder="2"/>
    </xf>
    <xf numFmtId="37" fontId="14" fillId="8" borderId="0" xfId="1" applyNumberFormat="1" applyFont="1" applyFill="1" applyBorder="1" applyAlignment="1">
      <alignment horizontal="center" vertical="center" readingOrder="2"/>
    </xf>
    <xf numFmtId="0" fontId="15" fillId="8" borderId="0" xfId="0" applyFont="1" applyFill="1" applyAlignment="1">
      <alignment horizontal="center" vertical="center" wrapText="1" readingOrder="2"/>
    </xf>
    <xf numFmtId="0" fontId="15" fillId="0" borderId="0" xfId="0" applyFont="1"/>
    <xf numFmtId="0" fontId="0" fillId="0" borderId="0" xfId="0" applyAlignment="1">
      <alignment horizontal="center" readingOrder="2"/>
    </xf>
    <xf numFmtId="10" fontId="11" fillId="0" borderId="17" xfId="2" applyNumberFormat="1" applyFont="1" applyFill="1" applyBorder="1" applyAlignment="1">
      <alignment horizontal="center" vertical="center" wrapText="1"/>
    </xf>
    <xf numFmtId="9" fontId="9" fillId="6" borderId="17" xfId="0" applyNumberFormat="1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4" fontId="5" fillId="6" borderId="9" xfId="0" applyNumberFormat="1" applyFont="1" applyFill="1" applyBorder="1" applyAlignment="1">
      <alignment horizontal="center" vertical="center" wrapText="1" readingOrder="2"/>
    </xf>
    <xf numFmtId="4" fontId="5" fillId="6" borderId="16" xfId="0" applyNumberFormat="1" applyFont="1" applyFill="1" applyBorder="1" applyAlignment="1">
      <alignment horizontal="center" vertical="center" wrapText="1" readingOrder="2"/>
    </xf>
    <xf numFmtId="4" fontId="2" fillId="2" borderId="1" xfId="0" applyNumberFormat="1" applyFont="1" applyFill="1" applyBorder="1" applyAlignment="1">
      <alignment horizontal="center" vertical="center" readingOrder="2"/>
    </xf>
    <xf numFmtId="4" fontId="2" fillId="2" borderId="2" xfId="0" applyNumberFormat="1" applyFont="1" applyFill="1" applyBorder="1" applyAlignment="1">
      <alignment horizontal="center" vertical="center" readingOrder="2"/>
    </xf>
    <xf numFmtId="4" fontId="2" fillId="2" borderId="3" xfId="0" applyNumberFormat="1" applyFont="1" applyFill="1" applyBorder="1" applyAlignment="1">
      <alignment horizontal="center" vertical="center" readingOrder="2"/>
    </xf>
    <xf numFmtId="4" fontId="3" fillId="3" borderId="4" xfId="0" applyNumberFormat="1" applyFont="1" applyFill="1" applyBorder="1" applyAlignment="1">
      <alignment horizontal="center" vertical="center" wrapText="1" readingOrder="2"/>
    </xf>
    <xf numFmtId="4" fontId="3" fillId="3" borderId="12" xfId="0" applyNumberFormat="1" applyFont="1" applyFill="1" applyBorder="1" applyAlignment="1">
      <alignment horizontal="center" vertical="center" wrapText="1" readingOrder="2"/>
    </xf>
    <xf numFmtId="4" fontId="3" fillId="3" borderId="5" xfId="0" applyNumberFormat="1" applyFont="1" applyFill="1" applyBorder="1" applyAlignment="1">
      <alignment horizontal="center" vertical="center" wrapText="1" readingOrder="2"/>
    </xf>
    <xf numFmtId="4" fontId="3" fillId="3" borderId="13" xfId="0" applyNumberFormat="1" applyFont="1" applyFill="1" applyBorder="1" applyAlignment="1">
      <alignment horizontal="center" vertical="center" wrapText="1" readingOrder="2"/>
    </xf>
    <xf numFmtId="4" fontId="4" fillId="4" borderId="6" xfId="0" applyNumberFormat="1" applyFont="1" applyFill="1" applyBorder="1" applyAlignment="1">
      <alignment horizontal="center" vertical="center" wrapText="1" readingOrder="2"/>
    </xf>
    <xf numFmtId="4" fontId="4" fillId="4" borderId="14" xfId="0" applyNumberFormat="1" applyFont="1" applyFill="1" applyBorder="1" applyAlignment="1">
      <alignment horizontal="center" vertical="center" wrapText="1" readingOrder="2"/>
    </xf>
    <xf numFmtId="4" fontId="4" fillId="4" borderId="7" xfId="0" applyNumberFormat="1" applyFont="1" applyFill="1" applyBorder="1" applyAlignment="1">
      <alignment horizontal="center" vertical="center" wrapText="1" readingOrder="2"/>
    </xf>
    <xf numFmtId="4" fontId="4" fillId="4" borderId="15" xfId="0" applyNumberFormat="1" applyFont="1" applyFill="1" applyBorder="1" applyAlignment="1">
      <alignment horizontal="center" vertical="center" wrapText="1" readingOrder="2"/>
    </xf>
    <xf numFmtId="4" fontId="4" fillId="4" borderId="8" xfId="0" applyNumberFormat="1" applyFont="1" applyFill="1" applyBorder="1" applyAlignment="1">
      <alignment horizontal="center" vertical="center" wrapText="1" readingOrder="2"/>
    </xf>
    <xf numFmtId="4" fontId="5" fillId="5" borderId="9" xfId="0" applyNumberFormat="1" applyFont="1" applyFill="1" applyBorder="1" applyAlignment="1">
      <alignment horizontal="center" vertical="center" wrapText="1" readingOrder="2"/>
    </xf>
    <xf numFmtId="4" fontId="5" fillId="5" borderId="16" xfId="0" applyNumberFormat="1" applyFont="1" applyFill="1" applyBorder="1" applyAlignment="1">
      <alignment horizontal="center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FC15-DA21-44E5-876D-0181363F1238}">
  <sheetPr>
    <pageSetUpPr fitToPage="1"/>
  </sheetPr>
  <dimension ref="A1:W27"/>
  <sheetViews>
    <sheetView rightToLeft="1" tabSelected="1" view="pageBreakPreview" topLeftCell="P1" zoomScale="64" zoomScaleNormal="64" zoomScaleSheetLayoutView="64" workbookViewId="0">
      <selection activeCell="U3" sqref="U3"/>
    </sheetView>
  </sheetViews>
  <sheetFormatPr defaultRowHeight="14.4"/>
  <cols>
    <col min="1" max="1" width="5.5546875" style="26" customWidth="1"/>
    <col min="2" max="2" width="15.5546875" style="26" bestFit="1" customWidth="1"/>
    <col min="3" max="3" width="14.5546875" style="26" customWidth="1"/>
    <col min="4" max="4" width="0.109375" style="26" customWidth="1"/>
    <col min="5" max="5" width="100.6640625" style="26" customWidth="1"/>
    <col min="6" max="6" width="15.5546875" style="26" customWidth="1"/>
    <col min="7" max="7" width="20.5546875" style="26" customWidth="1"/>
    <col min="8" max="8" width="24.6640625" style="26" bestFit="1" customWidth="1"/>
    <col min="9" max="9" width="34.109375" style="26" bestFit="1" customWidth="1"/>
    <col min="10" max="11" width="20.5546875" style="26" customWidth="1"/>
    <col min="12" max="12" width="22.109375" style="26" bestFit="1" customWidth="1"/>
    <col min="13" max="13" width="30.5546875" style="30" customWidth="1"/>
    <col min="14" max="17" width="75.5546875" style="25" customWidth="1"/>
    <col min="18" max="21" width="30.5546875" customWidth="1"/>
    <col min="22" max="22" width="24.88671875" customWidth="1"/>
    <col min="23" max="23" width="63.6640625" customWidth="1"/>
  </cols>
  <sheetData>
    <row r="1" spans="1:23" ht="50.1" customHeight="1" thickBo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6" t="s">
        <v>1</v>
      </c>
      <c r="N1" s="38" t="s">
        <v>2</v>
      </c>
      <c r="O1" s="38" t="s">
        <v>3</v>
      </c>
      <c r="P1" s="38" t="s">
        <v>4</v>
      </c>
      <c r="Q1" s="38" t="s">
        <v>5</v>
      </c>
      <c r="R1" s="40" t="s">
        <v>6</v>
      </c>
      <c r="S1" s="40" t="s">
        <v>33</v>
      </c>
      <c r="T1" s="42" t="s">
        <v>32</v>
      </c>
      <c r="U1" s="44" t="s">
        <v>7</v>
      </c>
      <c r="V1" s="45" t="s">
        <v>8</v>
      </c>
      <c r="W1" s="31" t="s">
        <v>9</v>
      </c>
    </row>
    <row r="2" spans="1:23" ht="77.25" customHeight="1" thickBo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K2" s="2" t="s">
        <v>20</v>
      </c>
      <c r="L2" s="4" t="s">
        <v>21</v>
      </c>
      <c r="M2" s="37"/>
      <c r="N2" s="39"/>
      <c r="O2" s="39"/>
      <c r="P2" s="39"/>
      <c r="Q2" s="39"/>
      <c r="R2" s="41"/>
      <c r="S2" s="41"/>
      <c r="T2" s="43"/>
      <c r="U2" s="44"/>
      <c r="V2" s="46"/>
      <c r="W2" s="32"/>
    </row>
    <row r="3" spans="1:23" ht="408.6" customHeight="1">
      <c r="A3" s="5">
        <v>6</v>
      </c>
      <c r="B3" s="6" t="s">
        <v>0</v>
      </c>
      <c r="C3" s="6" t="s">
        <v>22</v>
      </c>
      <c r="D3" s="6"/>
      <c r="E3" s="6" t="s">
        <v>25</v>
      </c>
      <c r="F3" s="6" t="s">
        <v>23</v>
      </c>
      <c r="G3" s="6" t="s">
        <v>24</v>
      </c>
      <c r="H3" s="7">
        <v>45669</v>
      </c>
      <c r="I3" s="7">
        <v>46398</v>
      </c>
      <c r="J3" s="8">
        <v>24</v>
      </c>
      <c r="K3" s="9"/>
      <c r="L3" s="10">
        <v>117391773.91304348</v>
      </c>
      <c r="M3" s="28" t="s">
        <v>26</v>
      </c>
      <c r="N3" s="14" t="s">
        <v>30</v>
      </c>
      <c r="O3" s="14" t="s">
        <v>31</v>
      </c>
      <c r="P3" s="14" t="s">
        <v>27</v>
      </c>
      <c r="Q3" s="14" t="s">
        <v>28</v>
      </c>
      <c r="R3" s="11" t="s">
        <v>29</v>
      </c>
      <c r="S3" s="27">
        <v>1</v>
      </c>
      <c r="T3" s="15">
        <v>102130084</v>
      </c>
      <c r="U3" s="12">
        <v>46325</v>
      </c>
      <c r="V3" s="16"/>
      <c r="W3" s="13"/>
    </row>
    <row r="4" spans="1:23" ht="17.399999999999999">
      <c r="A4" s="17"/>
      <c r="B4" s="18"/>
      <c r="C4" s="19"/>
      <c r="D4" s="19"/>
      <c r="E4" s="20"/>
      <c r="F4" s="19"/>
      <c r="G4" s="19"/>
      <c r="H4" s="21"/>
      <c r="I4" s="21"/>
      <c r="J4" s="22"/>
      <c r="K4" s="21"/>
      <c r="L4" s="23"/>
      <c r="M4" s="29"/>
      <c r="N4"/>
      <c r="O4"/>
      <c r="P4"/>
      <c r="Q4"/>
    </row>
    <row r="5" spans="1:23" ht="14.4" customHeight="1">
      <c r="A5"/>
      <c r="B5"/>
      <c r="C5"/>
      <c r="D5"/>
      <c r="E5"/>
      <c r="F5"/>
      <c r="G5"/>
      <c r="H5"/>
      <c r="I5"/>
      <c r="J5"/>
      <c r="K5"/>
      <c r="L5"/>
      <c r="M5" s="29"/>
      <c r="N5"/>
      <c r="O5"/>
      <c r="P5"/>
      <c r="Q5"/>
    </row>
    <row r="6" spans="1:23" ht="15" customHeight="1">
      <c r="A6"/>
      <c r="B6"/>
      <c r="C6"/>
      <c r="D6"/>
      <c r="E6"/>
      <c r="F6"/>
      <c r="G6"/>
      <c r="H6"/>
      <c r="I6"/>
      <c r="J6"/>
      <c r="K6"/>
      <c r="L6"/>
      <c r="M6" s="29"/>
      <c r="N6"/>
      <c r="O6"/>
      <c r="P6"/>
      <c r="Q6"/>
    </row>
    <row r="7" spans="1:23">
      <c r="A7"/>
      <c r="B7"/>
      <c r="C7"/>
      <c r="D7"/>
      <c r="E7"/>
      <c r="F7"/>
      <c r="G7"/>
      <c r="H7"/>
      <c r="I7"/>
      <c r="J7"/>
      <c r="K7"/>
      <c r="L7"/>
      <c r="M7" s="29"/>
      <c r="N7"/>
      <c r="O7"/>
      <c r="P7"/>
      <c r="Q7"/>
    </row>
    <row r="8" spans="1:23" ht="14.4" customHeight="1">
      <c r="A8"/>
      <c r="B8"/>
      <c r="C8"/>
      <c r="D8"/>
      <c r="E8"/>
      <c r="F8"/>
      <c r="G8"/>
      <c r="H8"/>
      <c r="I8"/>
      <c r="J8"/>
      <c r="K8"/>
      <c r="L8"/>
      <c r="M8" s="29"/>
      <c r="N8"/>
      <c r="O8"/>
      <c r="P8"/>
      <c r="Q8"/>
      <c r="T8">
        <f>0.87*L3</f>
        <v>102130843.30434783</v>
      </c>
    </row>
    <row r="9" spans="1:23" ht="15" customHeight="1">
      <c r="A9"/>
      <c r="B9"/>
      <c r="C9"/>
      <c r="D9"/>
      <c r="E9"/>
      <c r="F9"/>
      <c r="G9"/>
      <c r="H9"/>
      <c r="I9"/>
      <c r="J9"/>
      <c r="K9"/>
      <c r="L9"/>
      <c r="M9" s="29"/>
      <c r="N9"/>
      <c r="O9"/>
      <c r="P9"/>
      <c r="Q9"/>
    </row>
    <row r="10" spans="1:23">
      <c r="A10"/>
      <c r="B10"/>
      <c r="C10"/>
      <c r="D10"/>
      <c r="E10"/>
      <c r="F10"/>
      <c r="G10"/>
      <c r="H10"/>
      <c r="I10"/>
      <c r="J10"/>
      <c r="K10"/>
      <c r="L10"/>
      <c r="M10" s="29"/>
      <c r="N10"/>
      <c r="O10"/>
      <c r="P10"/>
      <c r="Q10"/>
    </row>
    <row r="11" spans="1:23" ht="14.4" customHeight="1">
      <c r="A11"/>
      <c r="B11"/>
      <c r="C11"/>
      <c r="D11"/>
      <c r="E11"/>
      <c r="F11"/>
      <c r="G11"/>
      <c r="H11"/>
      <c r="I11"/>
      <c r="J11"/>
      <c r="K11"/>
      <c r="L11"/>
      <c r="M11" s="29"/>
      <c r="N11"/>
      <c r="O11"/>
      <c r="P11"/>
      <c r="Q11"/>
    </row>
    <row r="12" spans="1:23" ht="15" customHeight="1">
      <c r="A12"/>
      <c r="B12"/>
      <c r="C12"/>
      <c r="D12"/>
      <c r="E12"/>
      <c r="F12"/>
      <c r="G12"/>
      <c r="H12"/>
      <c r="I12"/>
      <c r="J12"/>
      <c r="K12"/>
      <c r="L12"/>
      <c r="M12" s="29"/>
      <c r="N12"/>
      <c r="O12"/>
      <c r="P12"/>
      <c r="Q12"/>
    </row>
    <row r="13" spans="1:23">
      <c r="A13"/>
      <c r="B13"/>
      <c r="C13"/>
      <c r="D13"/>
      <c r="E13"/>
      <c r="F13"/>
      <c r="G13"/>
      <c r="H13"/>
      <c r="I13"/>
      <c r="J13"/>
      <c r="K13"/>
      <c r="L13"/>
      <c r="M13" s="29"/>
      <c r="N13"/>
      <c r="O13"/>
      <c r="P13"/>
      <c r="Q13"/>
    </row>
    <row r="14" spans="1:23" ht="14.4" customHeight="1">
      <c r="A14"/>
      <c r="B14"/>
      <c r="C14"/>
      <c r="D14"/>
      <c r="E14"/>
      <c r="F14"/>
      <c r="G14"/>
      <c r="H14"/>
      <c r="I14"/>
      <c r="J14"/>
      <c r="K14"/>
      <c r="L14"/>
      <c r="M14" s="29"/>
      <c r="N14"/>
      <c r="O14"/>
      <c r="P14"/>
      <c r="Q14"/>
    </row>
    <row r="15" spans="1:23" ht="15" customHeight="1">
      <c r="A15"/>
      <c r="B15"/>
      <c r="C15"/>
      <c r="D15"/>
      <c r="E15"/>
      <c r="F15"/>
      <c r="G15"/>
      <c r="H15"/>
      <c r="I15"/>
      <c r="J15"/>
      <c r="K15"/>
      <c r="L15"/>
      <c r="M15" s="29"/>
      <c r="N15"/>
      <c r="O15"/>
      <c r="P15"/>
      <c r="Q15"/>
    </row>
    <row r="16" spans="1:23">
      <c r="A16"/>
      <c r="B16"/>
      <c r="C16"/>
      <c r="D16"/>
      <c r="E16"/>
      <c r="F16"/>
      <c r="G16"/>
      <c r="H16"/>
      <c r="I16"/>
      <c r="J16"/>
      <c r="K16"/>
      <c r="L16"/>
      <c r="M16" s="29"/>
      <c r="N16"/>
      <c r="O16"/>
      <c r="P16"/>
      <c r="Q16"/>
    </row>
    <row r="17" spans="1:23" ht="14.4" customHeight="1">
      <c r="A17"/>
      <c r="B17"/>
      <c r="C17"/>
      <c r="D17"/>
      <c r="E17"/>
      <c r="F17"/>
      <c r="G17"/>
      <c r="H17"/>
      <c r="I17"/>
      <c r="J17"/>
      <c r="K17"/>
      <c r="L17"/>
      <c r="M17" s="29"/>
      <c r="N17"/>
      <c r="O17"/>
      <c r="P17"/>
      <c r="Q17"/>
    </row>
    <row r="18" spans="1:23" ht="15" customHeight="1">
      <c r="A18"/>
      <c r="B18"/>
      <c r="C18"/>
      <c r="D18"/>
      <c r="E18"/>
      <c r="F18"/>
      <c r="G18"/>
      <c r="H18"/>
      <c r="I18"/>
      <c r="J18"/>
      <c r="K18"/>
      <c r="L18"/>
      <c r="M18" s="29"/>
      <c r="N18"/>
      <c r="O18"/>
      <c r="P18"/>
      <c r="Q18"/>
    </row>
    <row r="19" spans="1:23">
      <c r="A19"/>
      <c r="B19"/>
      <c r="C19"/>
      <c r="D19"/>
      <c r="E19"/>
      <c r="F19"/>
      <c r="G19"/>
      <c r="H19"/>
      <c r="I19"/>
      <c r="J19"/>
      <c r="K19"/>
      <c r="L19"/>
      <c r="M19" s="29"/>
      <c r="N19"/>
      <c r="O19"/>
      <c r="P19"/>
      <c r="Q19"/>
    </row>
    <row r="20" spans="1:23" ht="14.4" customHeight="1">
      <c r="A20"/>
      <c r="B20"/>
      <c r="C20"/>
      <c r="D20"/>
      <c r="E20"/>
      <c r="F20"/>
      <c r="G20"/>
      <c r="H20"/>
      <c r="I20"/>
      <c r="J20"/>
      <c r="K20"/>
      <c r="L20"/>
      <c r="M20" s="29"/>
      <c r="N20"/>
      <c r="O20"/>
      <c r="P20"/>
      <c r="Q20"/>
    </row>
    <row r="21" spans="1:23" ht="15" customHeight="1">
      <c r="A21"/>
      <c r="B21"/>
      <c r="C21"/>
      <c r="D21"/>
      <c r="E21"/>
      <c r="F21"/>
      <c r="G21"/>
      <c r="H21"/>
      <c r="I21"/>
      <c r="J21"/>
      <c r="K21"/>
      <c r="L21"/>
      <c r="M21" s="29"/>
      <c r="N21"/>
      <c r="O21"/>
      <c r="P21"/>
      <c r="Q21"/>
    </row>
    <row r="22" spans="1:2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23" s="25" customFormat="1" ht="14.4" customHeight="1">
      <c r="M23" s="30"/>
      <c r="R23"/>
      <c r="S23"/>
      <c r="T23"/>
      <c r="U23"/>
      <c r="V23"/>
      <c r="W23"/>
    </row>
    <row r="24" spans="1:23" s="25" customFormat="1" ht="15" customHeight="1">
      <c r="M24" s="30"/>
      <c r="R24"/>
      <c r="S24"/>
      <c r="T24"/>
      <c r="U24"/>
      <c r="V24"/>
      <c r="W24"/>
    </row>
    <row r="25" spans="1:23" s="25" customFormat="1">
      <c r="M25" s="30"/>
      <c r="R25"/>
      <c r="S25"/>
      <c r="T25"/>
      <c r="U25"/>
      <c r="V25"/>
      <c r="W25"/>
    </row>
    <row r="26" spans="1:23" s="25" customFormat="1" ht="14.4" customHeight="1">
      <c r="M26" s="30"/>
      <c r="R26"/>
      <c r="S26"/>
      <c r="T26"/>
      <c r="U26"/>
      <c r="V26"/>
      <c r="W26"/>
    </row>
    <row r="27" spans="1:23" s="25" customFormat="1" ht="15" customHeight="1">
      <c r="M27" s="30"/>
      <c r="R27"/>
      <c r="S27"/>
      <c r="T27"/>
      <c r="U27"/>
      <c r="V27"/>
      <c r="W27"/>
    </row>
  </sheetData>
  <mergeCells count="12">
    <mergeCell ref="W1:W2"/>
    <mergeCell ref="A1:L1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rintOptions horizontalCentered="1"/>
  <pageMargins left="0" right="0" top="0.75" bottom="0.75" header="0.3" footer="0.3"/>
  <pageSetup paperSize="8" scale="28" fitToHeight="0" orientation="landscape" horizontalDpi="300" verticalDpi="300" r:id="rId1"/>
  <headerFooter>
    <oddFooter>&amp;L_x000D_&amp;1#&amp;"Aptos"&amp;10&amp;K000000 Data sensitivity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القطاع الشرقي</vt:lpstr>
      <vt:lpstr>'القطاع الشرقي'!Print_Area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ABOUGABAL Ibrahim</dc:creator>
  <cp:lastModifiedBy>Ahmed Gomaa Mohamed</cp:lastModifiedBy>
  <dcterms:created xsi:type="dcterms:W3CDTF">2026-01-12T10:49:45Z</dcterms:created>
  <dcterms:modified xsi:type="dcterms:W3CDTF">2026-10-06T12:44:03Z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94d68a-d2f5-40e0-927d-026bfab8fc4b_Enabled">
    <vt:lpwstr>true</vt:lpwstr>
  </property>
  <property fmtid="{D5CDD505-2E9C-101B-9397-08002B2CF9AE}" pid="3" name="MSIP_Label_c294d68a-d2f5-40e0-927d-026bfab8fc4b_SetDate">
    <vt:lpwstr>2026-01-12T10:50:14Z</vt:lpwstr>
  </property>
  <property fmtid="{D5CDD505-2E9C-101B-9397-08002B2CF9AE}" pid="4" name="MSIP_Label_c294d68a-d2f5-40e0-927d-026bfab8fc4b_Method">
    <vt:lpwstr>Privileged</vt:lpwstr>
  </property>
  <property fmtid="{D5CDD505-2E9C-101B-9397-08002B2CF9AE}" pid="5" name="MSIP_Label_c294d68a-d2f5-40e0-927d-026bfab8fc4b_Name">
    <vt:lpwstr>l1_internal</vt:lpwstr>
  </property>
  <property fmtid="{D5CDD505-2E9C-101B-9397-08002B2CF9AE}" pid="6" name="MSIP_Label_c294d68a-d2f5-40e0-927d-026bfab8fc4b_SiteId">
    <vt:lpwstr>a5877034-8d6a-496a-8cf8-ceb5e3451109</vt:lpwstr>
  </property>
  <property fmtid="{D5CDD505-2E9C-101B-9397-08002B2CF9AE}" pid="7" name="MSIP_Label_c294d68a-d2f5-40e0-927d-026bfab8fc4b_ActionId">
    <vt:lpwstr>83b7a8b3-ebab-4a29-8e4d-bf8b98044751</vt:lpwstr>
  </property>
  <property fmtid="{D5CDD505-2E9C-101B-9397-08002B2CF9AE}" pid="8" name="MSIP_Label_c294d68a-d2f5-40e0-927d-026bfab8fc4b_ContentBits">
    <vt:lpwstr>2</vt:lpwstr>
  </property>
  <property fmtid="{D5CDD505-2E9C-101B-9397-08002B2CF9AE}" pid="9" name="MSIP_Label_c294d68a-d2f5-40e0-927d-026bfab8fc4b_Tag">
    <vt:lpwstr>10, 0, 1, 1</vt:lpwstr>
  </property>
</Properties>
</file>
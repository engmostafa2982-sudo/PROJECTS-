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E6ADBA-6123-4884-B947-F50BD14430A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3" sheetId="1" r:id="rId1"/>
    <sheet name="Sheet2" sheetId="2" r:id="rId2"/>
    <sheet name="ملخص الانحراف" sheetId="3" r:id="rId3"/>
  </sheets>
  <definedNames>
    <definedName name="_xlnm._FilterDatabase" localSheetId="0" hidden="1">Sheet3!$A$1:$T$93</definedName>
    <definedName name="_xlnm.Print_Area" localSheetId="0">Sheet3!$A$1:$T$93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11" i="3"/>
  <c r="C10" i="3"/>
  <c r="B10" i="3"/>
  <c r="C9" i="3"/>
  <c r="B9" i="3"/>
  <c r="C8" i="3"/>
  <c r="B8" i="3"/>
  <c r="C7" i="3"/>
  <c r="B7" i="3"/>
  <c r="B6" i="3"/>
  <c r="B5" i="3"/>
  <c r="B16" i="3" s="1"/>
  <c r="B2" i="3"/>
  <c r="B17" i="2"/>
  <c r="O93" i="1"/>
  <c r="K93" i="1"/>
  <c r="Q93" i="1" s="1"/>
  <c r="J93" i="1"/>
  <c r="L93" i="1" s="1"/>
  <c r="O92" i="1"/>
  <c r="K92" i="1"/>
  <c r="Q92" i="1" s="1"/>
  <c r="J92" i="1"/>
  <c r="L92" i="1" s="1"/>
  <c r="O91" i="1"/>
  <c r="K91" i="1"/>
  <c r="Q91" i="1" s="1"/>
  <c r="D15" i="3" s="1"/>
  <c r="J91" i="1"/>
  <c r="L91" i="1" s="1"/>
  <c r="O90" i="1"/>
  <c r="I90" i="1"/>
  <c r="O89" i="1"/>
  <c r="I89" i="1"/>
  <c r="O88" i="1"/>
  <c r="I88" i="1"/>
  <c r="O87" i="1"/>
  <c r="K87" i="1"/>
  <c r="Q87" i="1" s="1"/>
  <c r="J87" i="1"/>
  <c r="L87" i="1" s="1"/>
  <c r="O86" i="1"/>
  <c r="L86" i="1"/>
  <c r="K86" i="1"/>
  <c r="Q86" i="1" s="1"/>
  <c r="J86" i="1"/>
  <c r="O85" i="1"/>
  <c r="P85" i="1" s="1"/>
  <c r="S85" i="1" s="1"/>
  <c r="I85" i="1"/>
  <c r="O84" i="1"/>
  <c r="I84" i="1"/>
  <c r="O83" i="1"/>
  <c r="I83" i="1"/>
  <c r="O82" i="1"/>
  <c r="I82" i="1"/>
  <c r="O81" i="1"/>
  <c r="I81" i="1"/>
  <c r="O80" i="1"/>
  <c r="I80" i="1"/>
  <c r="O79" i="1"/>
  <c r="I79" i="1"/>
  <c r="O78" i="1"/>
  <c r="I78" i="1"/>
  <c r="O77" i="1"/>
  <c r="I77" i="1"/>
  <c r="O76" i="1"/>
  <c r="I76" i="1"/>
  <c r="O75" i="1"/>
  <c r="I75" i="1"/>
  <c r="O74" i="1"/>
  <c r="I74" i="1"/>
  <c r="O73" i="1"/>
  <c r="K73" i="1"/>
  <c r="Q73" i="1" s="1"/>
  <c r="J73" i="1"/>
  <c r="L73" i="1" s="1"/>
  <c r="O72" i="1"/>
  <c r="C12" i="3" s="1"/>
  <c r="I72" i="1"/>
  <c r="O71" i="1"/>
  <c r="K71" i="1"/>
  <c r="Q71" i="1" s="1"/>
  <c r="J71" i="1"/>
  <c r="L71" i="1" s="1"/>
  <c r="O70" i="1"/>
  <c r="I70" i="1"/>
  <c r="O69" i="1"/>
  <c r="K69" i="1"/>
  <c r="Q69" i="1" s="1"/>
  <c r="J69" i="1"/>
  <c r="L69" i="1" s="1"/>
  <c r="O68" i="1"/>
  <c r="I68" i="1"/>
  <c r="O67" i="1"/>
  <c r="K67" i="1"/>
  <c r="Q67" i="1" s="1"/>
  <c r="J67" i="1"/>
  <c r="L67" i="1" s="1"/>
  <c r="O66" i="1"/>
  <c r="I66" i="1"/>
  <c r="O65" i="1"/>
  <c r="K65" i="1"/>
  <c r="Q65" i="1" s="1"/>
  <c r="J65" i="1"/>
  <c r="L65" i="1" s="1"/>
  <c r="O64" i="1"/>
  <c r="I64" i="1"/>
  <c r="O63" i="1"/>
  <c r="K63" i="1"/>
  <c r="Q63" i="1" s="1"/>
  <c r="J63" i="1"/>
  <c r="L63" i="1" s="1"/>
  <c r="O62" i="1"/>
  <c r="I62" i="1"/>
  <c r="O61" i="1"/>
  <c r="K61" i="1"/>
  <c r="Q61" i="1" s="1"/>
  <c r="J61" i="1"/>
  <c r="L61" i="1" s="1"/>
  <c r="O60" i="1"/>
  <c r="K60" i="1"/>
  <c r="Q60" i="1" s="1"/>
  <c r="I60" i="1"/>
  <c r="J60" i="1" s="1"/>
  <c r="L60" i="1" s="1"/>
  <c r="O59" i="1"/>
  <c r="K59" i="1"/>
  <c r="Q59" i="1" s="1"/>
  <c r="J59" i="1"/>
  <c r="L59" i="1" s="1"/>
  <c r="O58" i="1"/>
  <c r="K58" i="1"/>
  <c r="Q58" i="1" s="1"/>
  <c r="J58" i="1"/>
  <c r="L58" i="1" s="1"/>
  <c r="O57" i="1"/>
  <c r="I57" i="1"/>
  <c r="O56" i="1"/>
  <c r="I56" i="1"/>
  <c r="O55" i="1"/>
  <c r="I55" i="1"/>
  <c r="O54" i="1"/>
  <c r="I54" i="1"/>
  <c r="O53" i="1"/>
  <c r="I53" i="1"/>
  <c r="O52" i="1"/>
  <c r="I52" i="1"/>
  <c r="O51" i="1"/>
  <c r="I51" i="1"/>
  <c r="O50" i="1"/>
  <c r="I50" i="1"/>
  <c r="O49" i="1"/>
  <c r="I49" i="1"/>
  <c r="O48" i="1"/>
  <c r="I48" i="1"/>
  <c r="O47" i="1"/>
  <c r="I47" i="1"/>
  <c r="O46" i="1"/>
  <c r="I46" i="1"/>
  <c r="O45" i="1"/>
  <c r="I45" i="1"/>
  <c r="O44" i="1"/>
  <c r="I44" i="1"/>
  <c r="O43" i="1"/>
  <c r="I43" i="1"/>
  <c r="O42" i="1"/>
  <c r="I42" i="1"/>
  <c r="O41" i="1"/>
  <c r="I41" i="1"/>
  <c r="O40" i="1"/>
  <c r="I40" i="1"/>
  <c r="O39" i="1"/>
  <c r="I39" i="1"/>
  <c r="O38" i="1"/>
  <c r="I38" i="1"/>
  <c r="O37" i="1"/>
  <c r="I37" i="1"/>
  <c r="O36" i="1"/>
  <c r="I36" i="1"/>
  <c r="O35" i="1"/>
  <c r="K35" i="1"/>
  <c r="Q35" i="1" s="1"/>
  <c r="I35" i="1"/>
  <c r="J35" i="1" s="1"/>
  <c r="L35" i="1" s="1"/>
  <c r="O34" i="1"/>
  <c r="I34" i="1"/>
  <c r="O33" i="1"/>
  <c r="I33" i="1"/>
  <c r="O32" i="1"/>
  <c r="I32" i="1"/>
  <c r="O31" i="1"/>
  <c r="I31" i="1"/>
  <c r="O30" i="1"/>
  <c r="I30" i="1"/>
  <c r="O29" i="1"/>
  <c r="I29" i="1"/>
  <c r="O28" i="1"/>
  <c r="I28" i="1"/>
  <c r="O27" i="1"/>
  <c r="I27" i="1"/>
  <c r="O26" i="1"/>
  <c r="I26" i="1"/>
  <c r="O25" i="1"/>
  <c r="I25" i="1"/>
  <c r="O24" i="1"/>
  <c r="I24" i="1"/>
  <c r="O23" i="1"/>
  <c r="I23" i="1"/>
  <c r="O22" i="1"/>
  <c r="I22" i="1"/>
  <c r="O21" i="1"/>
  <c r="I21" i="1"/>
  <c r="O20" i="1"/>
  <c r="K20" i="1"/>
  <c r="Q20" i="1" s="1"/>
  <c r="J20" i="1"/>
  <c r="L20" i="1" s="1"/>
  <c r="O19" i="1"/>
  <c r="K19" i="1"/>
  <c r="Q19" i="1" s="1"/>
  <c r="J19" i="1"/>
  <c r="L19" i="1" s="1"/>
  <c r="O18" i="1"/>
  <c r="I18" i="1"/>
  <c r="O17" i="1"/>
  <c r="I17" i="1"/>
  <c r="O16" i="1"/>
  <c r="I16" i="1"/>
  <c r="O15" i="1"/>
  <c r="I15" i="1"/>
  <c r="O14" i="1"/>
  <c r="I14" i="1"/>
  <c r="O13" i="1"/>
  <c r="O12" i="1"/>
  <c r="I12" i="1"/>
  <c r="O11" i="1"/>
  <c r="I11" i="1"/>
  <c r="O10" i="1"/>
  <c r="I10" i="1"/>
  <c r="O9" i="1"/>
  <c r="I9" i="1"/>
  <c r="O8" i="1"/>
  <c r="I8" i="1"/>
  <c r="O7" i="1"/>
  <c r="I7" i="1"/>
  <c r="O6" i="1"/>
  <c r="I6" i="1"/>
  <c r="O5" i="1"/>
  <c r="O4" i="1"/>
  <c r="I4" i="1"/>
  <c r="O3" i="1"/>
  <c r="I3" i="1"/>
  <c r="O2" i="1"/>
  <c r="I2" i="1"/>
  <c r="C16" i="3" l="1"/>
  <c r="C11" i="3"/>
  <c r="P93" i="1"/>
  <c r="S93" i="1" s="1"/>
  <c r="R93" i="1"/>
  <c r="T93" i="1"/>
  <c r="P92" i="1"/>
  <c r="S92" i="1"/>
  <c r="R92" i="1"/>
  <c r="T92" i="1" s="1"/>
  <c r="C15" i="3"/>
  <c r="E15" i="3" s="1"/>
  <c r="R91" i="1"/>
  <c r="P91" i="1"/>
  <c r="S91" i="1"/>
  <c r="T91" i="1"/>
  <c r="P90" i="1"/>
  <c r="S90" i="1" s="1"/>
  <c r="K90" i="1"/>
  <c r="Q90" i="1" s="1"/>
  <c r="J90" i="1"/>
  <c r="L90" i="1" s="1"/>
  <c r="P89" i="1"/>
  <c r="S89" i="1" s="1"/>
  <c r="J89" i="1"/>
  <c r="L89" i="1" s="1"/>
  <c r="K89" i="1"/>
  <c r="Q89" i="1" s="1"/>
  <c r="C14" i="3"/>
  <c r="P88" i="1"/>
  <c r="S88" i="1" s="1"/>
  <c r="J88" i="1"/>
  <c r="L88" i="1" s="1"/>
  <c r="K88" i="1"/>
  <c r="Q88" i="1" s="1"/>
  <c r="T87" i="1"/>
  <c r="R87" i="1"/>
  <c r="P87" i="1"/>
  <c r="S87" i="1"/>
  <c r="R86" i="1"/>
  <c r="T86" i="1" s="1"/>
  <c r="P86" i="1"/>
  <c r="S86" i="1" s="1"/>
  <c r="J85" i="1"/>
  <c r="L85" i="1" s="1"/>
  <c r="K85" i="1"/>
  <c r="Q85" i="1" s="1"/>
  <c r="P84" i="1"/>
  <c r="S84" i="1" s="1"/>
  <c r="J84" i="1"/>
  <c r="L84" i="1" s="1"/>
  <c r="K84" i="1"/>
  <c r="Q84" i="1" s="1"/>
  <c r="P83" i="1"/>
  <c r="S83" i="1"/>
  <c r="K83" i="1"/>
  <c r="Q83" i="1" s="1"/>
  <c r="J83" i="1"/>
  <c r="L83" i="1" s="1"/>
  <c r="P82" i="1"/>
  <c r="S82" i="1" s="1"/>
  <c r="K82" i="1"/>
  <c r="Q82" i="1" s="1"/>
  <c r="J82" i="1"/>
  <c r="L82" i="1" s="1"/>
  <c r="P81" i="1"/>
  <c r="S81" i="1"/>
  <c r="J81" i="1"/>
  <c r="L81" i="1" s="1"/>
  <c r="K81" i="1"/>
  <c r="Q81" i="1" s="1"/>
  <c r="P80" i="1"/>
  <c r="S80" i="1" s="1"/>
  <c r="J80" i="1"/>
  <c r="L80" i="1" s="1"/>
  <c r="K80" i="1"/>
  <c r="Q80" i="1" s="1"/>
  <c r="P79" i="1"/>
  <c r="S79" i="1" s="1"/>
  <c r="K79" i="1"/>
  <c r="Q79" i="1" s="1"/>
  <c r="J79" i="1"/>
  <c r="L79" i="1" s="1"/>
  <c r="P78" i="1"/>
  <c r="S78" i="1" s="1"/>
  <c r="K78" i="1"/>
  <c r="Q78" i="1" s="1"/>
  <c r="J78" i="1"/>
  <c r="L78" i="1" s="1"/>
  <c r="T77" i="1"/>
  <c r="R77" i="1"/>
  <c r="P77" i="1"/>
  <c r="S77" i="1" s="1"/>
  <c r="C13" i="3"/>
  <c r="K77" i="1"/>
  <c r="Q77" i="1" s="1"/>
  <c r="J77" i="1"/>
  <c r="L77" i="1" s="1"/>
  <c r="P76" i="1"/>
  <c r="S76" i="1" s="1"/>
  <c r="K76" i="1"/>
  <c r="Q76" i="1" s="1"/>
  <c r="J76" i="1"/>
  <c r="L76" i="1" s="1"/>
  <c r="P75" i="1"/>
  <c r="S75" i="1" s="1"/>
  <c r="J75" i="1"/>
  <c r="L75" i="1" s="1"/>
  <c r="K75" i="1"/>
  <c r="Q75" i="1" s="1"/>
  <c r="P74" i="1"/>
  <c r="S74" i="1" s="1"/>
  <c r="K74" i="1"/>
  <c r="Q74" i="1" s="1"/>
  <c r="J74" i="1"/>
  <c r="L74" i="1" s="1"/>
  <c r="T73" i="1"/>
  <c r="R73" i="1"/>
  <c r="P73" i="1"/>
  <c r="S73" i="1" s="1"/>
  <c r="P72" i="1"/>
  <c r="S72" i="1" s="1"/>
  <c r="K72" i="1"/>
  <c r="Q72" i="1" s="1"/>
  <c r="J72" i="1"/>
  <c r="L72" i="1" s="1"/>
  <c r="R71" i="1"/>
  <c r="P71" i="1"/>
  <c r="S71" i="1" s="1"/>
  <c r="T71" i="1"/>
  <c r="P70" i="1"/>
  <c r="S70" i="1" s="1"/>
  <c r="J70" i="1"/>
  <c r="L70" i="1" s="1"/>
  <c r="K70" i="1"/>
  <c r="Q70" i="1" s="1"/>
  <c r="T69" i="1"/>
  <c r="R69" i="1"/>
  <c r="P69" i="1"/>
  <c r="S69" i="1" s="1"/>
  <c r="P68" i="1"/>
  <c r="S68" i="1" s="1"/>
  <c r="K68" i="1"/>
  <c r="Q68" i="1" s="1"/>
  <c r="J68" i="1"/>
  <c r="L68" i="1" s="1"/>
  <c r="T67" i="1"/>
  <c r="R67" i="1"/>
  <c r="P67" i="1"/>
  <c r="S67" i="1" s="1"/>
  <c r="P66" i="1"/>
  <c r="S66" i="1"/>
  <c r="J66" i="1"/>
  <c r="L66" i="1" s="1"/>
  <c r="K66" i="1"/>
  <c r="Q66" i="1" s="1"/>
  <c r="T65" i="1"/>
  <c r="R65" i="1"/>
  <c r="P65" i="1"/>
  <c r="S65" i="1" s="1"/>
  <c r="P64" i="1"/>
  <c r="S64" i="1" s="1"/>
  <c r="J64" i="1"/>
  <c r="L64" i="1" s="1"/>
  <c r="K64" i="1"/>
  <c r="Q64" i="1" s="1"/>
  <c r="P63" i="1"/>
  <c r="R63" i="1"/>
  <c r="T63" i="1" s="1"/>
  <c r="S63" i="1"/>
  <c r="P62" i="1"/>
  <c r="S62" i="1" s="1"/>
  <c r="J62" i="1"/>
  <c r="L62" i="1" s="1"/>
  <c r="K62" i="1"/>
  <c r="Q62" i="1" s="1"/>
  <c r="P61" i="1"/>
  <c r="S61" i="1" s="1"/>
  <c r="R61" i="1"/>
  <c r="T61" i="1"/>
  <c r="P60" i="1"/>
  <c r="S60" i="1"/>
  <c r="R60" i="1"/>
  <c r="T60" i="1" s="1"/>
  <c r="P59" i="1"/>
  <c r="R59" i="1"/>
  <c r="T59" i="1"/>
  <c r="S59" i="1"/>
  <c r="P58" i="1"/>
  <c r="R58" i="1"/>
  <c r="S58" i="1"/>
  <c r="T58" i="1"/>
  <c r="P57" i="1"/>
  <c r="S57" i="1" s="1"/>
  <c r="J57" i="1"/>
  <c r="L57" i="1" s="1"/>
  <c r="K57" i="1"/>
  <c r="Q57" i="1" s="1"/>
  <c r="P56" i="1"/>
  <c r="S56" i="1"/>
  <c r="J56" i="1"/>
  <c r="L56" i="1" s="1"/>
  <c r="K56" i="1"/>
  <c r="Q56" i="1" s="1"/>
  <c r="P55" i="1"/>
  <c r="S55" i="1" s="1"/>
  <c r="J55" i="1"/>
  <c r="L55" i="1" s="1"/>
  <c r="K55" i="1"/>
  <c r="Q55" i="1" s="1"/>
  <c r="P54" i="1"/>
  <c r="S54" i="1" s="1"/>
  <c r="K54" i="1"/>
  <c r="Q54" i="1" s="1"/>
  <c r="J54" i="1"/>
  <c r="L54" i="1" s="1"/>
  <c r="P53" i="1"/>
  <c r="S53" i="1" s="1"/>
  <c r="K53" i="1"/>
  <c r="Q53" i="1" s="1"/>
  <c r="J53" i="1"/>
  <c r="L53" i="1" s="1"/>
  <c r="P52" i="1"/>
  <c r="S52" i="1" s="1"/>
  <c r="J52" i="1"/>
  <c r="L52" i="1" s="1"/>
  <c r="K52" i="1"/>
  <c r="Q52" i="1" s="1"/>
  <c r="P51" i="1"/>
  <c r="S51" i="1"/>
  <c r="J51" i="1"/>
  <c r="L51" i="1" s="1"/>
  <c r="K51" i="1"/>
  <c r="Q51" i="1" s="1"/>
  <c r="P50" i="1"/>
  <c r="S50" i="1" s="1"/>
  <c r="K50" i="1"/>
  <c r="Q50" i="1" s="1"/>
  <c r="J50" i="1"/>
  <c r="L50" i="1" s="1"/>
  <c r="P49" i="1"/>
  <c r="S49" i="1" s="1"/>
  <c r="K49" i="1"/>
  <c r="Q49" i="1" s="1"/>
  <c r="J49" i="1"/>
  <c r="L49" i="1" s="1"/>
  <c r="P48" i="1"/>
  <c r="S48" i="1" s="1"/>
  <c r="K48" i="1"/>
  <c r="Q48" i="1" s="1"/>
  <c r="J48" i="1"/>
  <c r="L48" i="1" s="1"/>
  <c r="P47" i="1"/>
  <c r="S47" i="1" s="1"/>
  <c r="K47" i="1"/>
  <c r="Q47" i="1" s="1"/>
  <c r="J47" i="1"/>
  <c r="L47" i="1" s="1"/>
  <c r="P46" i="1"/>
  <c r="S46" i="1" s="1"/>
  <c r="K46" i="1"/>
  <c r="Q46" i="1" s="1"/>
  <c r="R46" i="1" s="1"/>
  <c r="T46" i="1" s="1"/>
  <c r="J46" i="1"/>
  <c r="L46" i="1" s="1"/>
  <c r="P45" i="1"/>
  <c r="S45" i="1" s="1"/>
  <c r="K45" i="1"/>
  <c r="Q45" i="1" s="1"/>
  <c r="J45" i="1"/>
  <c r="L45" i="1" s="1"/>
  <c r="P44" i="1"/>
  <c r="S44" i="1" s="1"/>
  <c r="J44" i="1"/>
  <c r="L44" i="1" s="1"/>
  <c r="K44" i="1"/>
  <c r="Q44" i="1" s="1"/>
  <c r="P43" i="1"/>
  <c r="S43" i="1" s="1"/>
  <c r="J43" i="1"/>
  <c r="L43" i="1" s="1"/>
  <c r="K43" i="1"/>
  <c r="Q43" i="1" s="1"/>
  <c r="P42" i="1"/>
  <c r="S42" i="1"/>
  <c r="K42" i="1"/>
  <c r="Q42" i="1" s="1"/>
  <c r="J42" i="1"/>
  <c r="L42" i="1" s="1"/>
  <c r="P41" i="1"/>
  <c r="S41" i="1" s="1"/>
  <c r="K41" i="1"/>
  <c r="Q41" i="1" s="1"/>
  <c r="J41" i="1"/>
  <c r="L41" i="1" s="1"/>
  <c r="P40" i="1"/>
  <c r="S40" i="1" s="1"/>
  <c r="K40" i="1"/>
  <c r="Q40" i="1" s="1"/>
  <c r="J40" i="1"/>
  <c r="L40" i="1" s="1"/>
  <c r="P39" i="1"/>
  <c r="S39" i="1" s="1"/>
  <c r="K39" i="1"/>
  <c r="Q39" i="1" s="1"/>
  <c r="J39" i="1"/>
  <c r="L39" i="1" s="1"/>
  <c r="R38" i="1"/>
  <c r="T38" i="1" s="1"/>
  <c r="P38" i="1"/>
  <c r="S38" i="1" s="1"/>
  <c r="C6" i="3"/>
  <c r="J38" i="1"/>
  <c r="L38" i="1" s="1"/>
  <c r="K38" i="1"/>
  <c r="Q38" i="1" s="1"/>
  <c r="P37" i="1"/>
  <c r="S37" i="1" s="1"/>
  <c r="K37" i="1"/>
  <c r="Q37" i="1" s="1"/>
  <c r="J37" i="1"/>
  <c r="L37" i="1" s="1"/>
  <c r="P36" i="1"/>
  <c r="S36" i="1" s="1"/>
  <c r="K36" i="1"/>
  <c r="Q36" i="1" s="1"/>
  <c r="J36" i="1"/>
  <c r="L36" i="1" s="1"/>
  <c r="P35" i="1"/>
  <c r="S35" i="1"/>
  <c r="R35" i="1"/>
  <c r="T35" i="1"/>
  <c r="P34" i="1"/>
  <c r="S34" i="1" s="1"/>
  <c r="J34" i="1"/>
  <c r="L34" i="1" s="1"/>
  <c r="K34" i="1"/>
  <c r="Q34" i="1" s="1"/>
  <c r="P33" i="1"/>
  <c r="S33" i="1"/>
  <c r="K33" i="1"/>
  <c r="Q33" i="1" s="1"/>
  <c r="J33" i="1"/>
  <c r="L33" i="1" s="1"/>
  <c r="P32" i="1"/>
  <c r="S32" i="1"/>
  <c r="K32" i="1"/>
  <c r="Q32" i="1" s="1"/>
  <c r="J32" i="1"/>
  <c r="L32" i="1" s="1"/>
  <c r="P31" i="1"/>
  <c r="S31" i="1"/>
  <c r="J31" i="1"/>
  <c r="L31" i="1" s="1"/>
  <c r="K31" i="1"/>
  <c r="Q31" i="1" s="1"/>
  <c r="P30" i="1"/>
  <c r="S30" i="1" s="1"/>
  <c r="J30" i="1"/>
  <c r="L30" i="1" s="1"/>
  <c r="K30" i="1"/>
  <c r="Q30" i="1" s="1"/>
  <c r="P29" i="1"/>
  <c r="S29" i="1" s="1"/>
  <c r="K29" i="1"/>
  <c r="Q29" i="1" s="1"/>
  <c r="J29" i="1"/>
  <c r="L29" i="1" s="1"/>
  <c r="P28" i="1"/>
  <c r="S28" i="1"/>
  <c r="K28" i="1"/>
  <c r="Q28" i="1" s="1"/>
  <c r="J28" i="1"/>
  <c r="L28" i="1" s="1"/>
  <c r="P27" i="1"/>
  <c r="S27" i="1"/>
  <c r="J27" i="1"/>
  <c r="L27" i="1" s="1"/>
  <c r="K27" i="1"/>
  <c r="Q27" i="1" s="1"/>
  <c r="P26" i="1"/>
  <c r="S26" i="1" s="1"/>
  <c r="J26" i="1"/>
  <c r="L26" i="1" s="1"/>
  <c r="K26" i="1"/>
  <c r="Q26" i="1" s="1"/>
  <c r="P25" i="1"/>
  <c r="S25" i="1" s="1"/>
  <c r="J25" i="1"/>
  <c r="L25" i="1" s="1"/>
  <c r="K25" i="1"/>
  <c r="Q25" i="1" s="1"/>
  <c r="P24" i="1"/>
  <c r="S24" i="1"/>
  <c r="J24" i="1"/>
  <c r="L24" i="1" s="1"/>
  <c r="K24" i="1"/>
  <c r="Q24" i="1" s="1"/>
  <c r="P23" i="1"/>
  <c r="S23" i="1"/>
  <c r="J23" i="1"/>
  <c r="L23" i="1" s="1"/>
  <c r="K23" i="1"/>
  <c r="Q23" i="1" s="1"/>
  <c r="P22" i="1"/>
  <c r="S22" i="1"/>
  <c r="K22" i="1"/>
  <c r="Q22" i="1" s="1"/>
  <c r="J22" i="1"/>
  <c r="L22" i="1" s="1"/>
  <c r="P21" i="1"/>
  <c r="S21" i="1" s="1"/>
  <c r="K21" i="1"/>
  <c r="Q21" i="1" s="1"/>
  <c r="J21" i="1"/>
  <c r="L21" i="1" s="1"/>
  <c r="T20" i="1"/>
  <c r="R20" i="1"/>
  <c r="P20" i="1"/>
  <c r="S20" i="1" s="1"/>
  <c r="R19" i="1"/>
  <c r="T19" i="1" s="1"/>
  <c r="P19" i="1"/>
  <c r="S19" i="1" s="1"/>
  <c r="P18" i="1"/>
  <c r="S18" i="1" s="1"/>
  <c r="J18" i="1"/>
  <c r="L18" i="1" s="1"/>
  <c r="K18" i="1"/>
  <c r="Q18" i="1" s="1"/>
  <c r="P17" i="1"/>
  <c r="S17" i="1"/>
  <c r="K17" i="1"/>
  <c r="Q17" i="1" s="1"/>
  <c r="J17" i="1"/>
  <c r="L17" i="1" s="1"/>
  <c r="P16" i="1"/>
  <c r="S16" i="1" s="1"/>
  <c r="J16" i="1"/>
  <c r="L16" i="1" s="1"/>
  <c r="K16" i="1"/>
  <c r="Q16" i="1" s="1"/>
  <c r="P15" i="1"/>
  <c r="S15" i="1" s="1"/>
  <c r="K15" i="1"/>
  <c r="Q15" i="1" s="1"/>
  <c r="R15" i="1" s="1"/>
  <c r="T15" i="1" s="1"/>
  <c r="J15" i="1"/>
  <c r="L15" i="1" s="1"/>
  <c r="P14" i="1"/>
  <c r="S14" i="1" s="1"/>
  <c r="K14" i="1"/>
  <c r="Q14" i="1" s="1"/>
  <c r="J14" i="1"/>
  <c r="L14" i="1" s="1"/>
  <c r="P13" i="1"/>
  <c r="S13" i="1" s="1"/>
  <c r="K13" i="1"/>
  <c r="Q13" i="1" s="1"/>
  <c r="J13" i="1"/>
  <c r="L13" i="1" s="1"/>
  <c r="P12" i="1"/>
  <c r="S12" i="1" s="1"/>
  <c r="K12" i="1"/>
  <c r="Q12" i="1" s="1"/>
  <c r="J12" i="1"/>
  <c r="L12" i="1" s="1"/>
  <c r="P11" i="1"/>
  <c r="S11" i="1" s="1"/>
  <c r="J11" i="1"/>
  <c r="L11" i="1" s="1"/>
  <c r="K11" i="1"/>
  <c r="Q11" i="1" s="1"/>
  <c r="P10" i="1"/>
  <c r="S10" i="1"/>
  <c r="K10" i="1"/>
  <c r="Q10" i="1" s="1"/>
  <c r="J10" i="1"/>
  <c r="L10" i="1" s="1"/>
  <c r="P9" i="1"/>
  <c r="S9" i="1" s="1"/>
  <c r="K9" i="1"/>
  <c r="Q9" i="1" s="1"/>
  <c r="J9" i="1"/>
  <c r="L9" i="1" s="1"/>
  <c r="P8" i="1"/>
  <c r="S8" i="1" s="1"/>
  <c r="J8" i="1"/>
  <c r="L8" i="1" s="1"/>
  <c r="K8" i="1"/>
  <c r="Q8" i="1" s="1"/>
  <c r="P7" i="1"/>
  <c r="S7" i="1"/>
  <c r="J7" i="1"/>
  <c r="L7" i="1" s="1"/>
  <c r="K7" i="1"/>
  <c r="Q7" i="1" s="1"/>
  <c r="P6" i="1"/>
  <c r="C5" i="3"/>
  <c r="S6" i="1"/>
  <c r="J6" i="1"/>
  <c r="L6" i="1" s="1"/>
  <c r="K6" i="1"/>
  <c r="Q6" i="1" s="1"/>
  <c r="P5" i="1"/>
  <c r="S5" i="1"/>
  <c r="J5" i="1"/>
  <c r="L5" i="1" s="1"/>
  <c r="K5" i="1"/>
  <c r="Q5" i="1" s="1"/>
  <c r="P4" i="1"/>
  <c r="S4" i="1" s="1"/>
  <c r="J4" i="1"/>
  <c r="L4" i="1" s="1"/>
  <c r="K4" i="1"/>
  <c r="Q4" i="1" s="1"/>
  <c r="P3" i="1"/>
  <c r="S3" i="1" s="1"/>
  <c r="K3" i="1"/>
  <c r="Q3" i="1" s="1"/>
  <c r="J3" i="1"/>
  <c r="L3" i="1" s="1"/>
  <c r="P2" i="1"/>
  <c r="S2" i="1" s="1"/>
  <c r="J2" i="1"/>
  <c r="L2" i="1" s="1"/>
  <c r="K2" i="1"/>
  <c r="Q2" i="1" s="1"/>
  <c r="T5" i="1" l="1"/>
  <c r="R5" i="1"/>
  <c r="F15" i="3"/>
  <c r="G15" i="3"/>
  <c r="H15" i="3"/>
  <c r="R85" i="1"/>
  <c r="T85" i="1" s="1"/>
  <c r="G8" i="3"/>
  <c r="H8" i="3"/>
  <c r="F8" i="3"/>
  <c r="F7" i="3"/>
  <c r="H7" i="3"/>
  <c r="G7" i="3"/>
  <c r="D5" i="3"/>
  <c r="E5" i="3" s="1"/>
  <c r="D16" i="3"/>
  <c r="E16" i="3" s="1"/>
  <c r="D13" i="3"/>
  <c r="E13" i="3" s="1"/>
  <c r="D6" i="3"/>
  <c r="E6" i="3" s="1"/>
  <c r="T90" i="1"/>
  <c r="R90" i="1"/>
  <c r="R89" i="1"/>
  <c r="T89" i="1"/>
  <c r="D14" i="3"/>
  <c r="E14" i="3" s="1"/>
  <c r="R88" i="1"/>
  <c r="T88" i="1"/>
  <c r="R84" i="1"/>
  <c r="T84" i="1" s="1"/>
  <c r="R83" i="1"/>
  <c r="T83" i="1"/>
  <c r="T82" i="1"/>
  <c r="R82" i="1"/>
  <c r="R81" i="1"/>
  <c r="T81" i="1" s="1"/>
  <c r="R80" i="1"/>
  <c r="T80" i="1"/>
  <c r="R79" i="1"/>
  <c r="T79" i="1" s="1"/>
  <c r="R78" i="1"/>
  <c r="T78" i="1"/>
  <c r="T76" i="1"/>
  <c r="R76" i="1"/>
  <c r="R75" i="1"/>
  <c r="T75" i="1"/>
  <c r="R74" i="1"/>
  <c r="T74" i="1" s="1"/>
  <c r="D12" i="3"/>
  <c r="E12" i="3" s="1"/>
  <c r="R72" i="1"/>
  <c r="T72" i="1" s="1"/>
  <c r="D11" i="3"/>
  <c r="E11" i="3" s="1"/>
  <c r="R70" i="1"/>
  <c r="T70" i="1"/>
  <c r="D10" i="3"/>
  <c r="E10" i="3" s="1"/>
  <c r="R68" i="1"/>
  <c r="T68" i="1"/>
  <c r="D9" i="3"/>
  <c r="E9" i="3" s="1"/>
  <c r="R66" i="1"/>
  <c r="T66" i="1"/>
  <c r="D8" i="3"/>
  <c r="E8" i="3" s="1"/>
  <c r="R64" i="1"/>
  <c r="T64" i="1"/>
  <c r="D7" i="3"/>
  <c r="E7" i="3" s="1"/>
  <c r="T62" i="1"/>
  <c r="R62" i="1"/>
  <c r="R57" i="1"/>
  <c r="T57" i="1"/>
  <c r="R56" i="1"/>
  <c r="T56" i="1"/>
  <c r="R55" i="1"/>
  <c r="T55" i="1" s="1"/>
  <c r="R54" i="1"/>
  <c r="T54" i="1" s="1"/>
  <c r="R53" i="1"/>
  <c r="T53" i="1" s="1"/>
  <c r="R52" i="1"/>
  <c r="T52" i="1"/>
  <c r="R51" i="1"/>
  <c r="T51" i="1" s="1"/>
  <c r="R50" i="1"/>
  <c r="T50" i="1"/>
  <c r="R49" i="1"/>
  <c r="T49" i="1" s="1"/>
  <c r="R48" i="1"/>
  <c r="T48" i="1"/>
  <c r="R47" i="1"/>
  <c r="T47" i="1"/>
  <c r="R45" i="1"/>
  <c r="T45" i="1"/>
  <c r="T44" i="1"/>
  <c r="R44" i="1"/>
  <c r="R43" i="1"/>
  <c r="T43" i="1" s="1"/>
  <c r="R42" i="1"/>
  <c r="T42" i="1"/>
  <c r="R41" i="1"/>
  <c r="T41" i="1"/>
  <c r="R40" i="1"/>
  <c r="T40" i="1" s="1"/>
  <c r="R39" i="1"/>
  <c r="T39" i="1"/>
  <c r="R37" i="1"/>
  <c r="T37" i="1" s="1"/>
  <c r="R36" i="1"/>
  <c r="T36" i="1" s="1"/>
  <c r="R34" i="1"/>
  <c r="T34" i="1" s="1"/>
  <c r="R33" i="1"/>
  <c r="T33" i="1" s="1"/>
  <c r="R32" i="1"/>
  <c r="T32" i="1" s="1"/>
  <c r="R31" i="1"/>
  <c r="T31" i="1" s="1"/>
  <c r="R30" i="1"/>
  <c r="T30" i="1"/>
  <c r="R29" i="1"/>
  <c r="T29" i="1"/>
  <c r="T28" i="1"/>
  <c r="R28" i="1"/>
  <c r="R27" i="1"/>
  <c r="T27" i="1"/>
  <c r="R26" i="1"/>
  <c r="T26" i="1"/>
  <c r="T25" i="1"/>
  <c r="R25" i="1"/>
  <c r="R24" i="1"/>
  <c r="T24" i="1"/>
  <c r="R23" i="1"/>
  <c r="T23" i="1" s="1"/>
  <c r="R22" i="1"/>
  <c r="T22" i="1"/>
  <c r="R21" i="1"/>
  <c r="T21" i="1" s="1"/>
  <c r="T18" i="1"/>
  <c r="R18" i="1"/>
  <c r="R17" i="1"/>
  <c r="T17" i="1"/>
  <c r="R16" i="1"/>
  <c r="T16" i="1"/>
  <c r="R14" i="1"/>
  <c r="T14" i="1" s="1"/>
  <c r="R13" i="1"/>
  <c r="T13" i="1" s="1"/>
  <c r="T12" i="1"/>
  <c r="R12" i="1"/>
  <c r="R11" i="1"/>
  <c r="T11" i="1"/>
  <c r="R10" i="1"/>
  <c r="T10" i="1" s="1"/>
  <c r="R9" i="1"/>
  <c r="T9" i="1"/>
  <c r="R8" i="1"/>
  <c r="T8" i="1" s="1"/>
  <c r="R7" i="1"/>
  <c r="T7" i="1"/>
  <c r="R6" i="1"/>
  <c r="T6" i="1" s="1"/>
  <c r="R4" i="1"/>
  <c r="T4" i="1" s="1"/>
  <c r="T3" i="1"/>
  <c r="R3" i="1"/>
  <c r="T2" i="1"/>
  <c r="R2" i="1"/>
  <c r="H14" i="3" l="1"/>
  <c r="G14" i="3"/>
  <c r="F14" i="3"/>
  <c r="H13" i="3"/>
  <c r="G13" i="3"/>
  <c r="F13" i="3"/>
  <c r="F12" i="3"/>
  <c r="H12" i="3"/>
  <c r="G12" i="3"/>
  <c r="F11" i="3"/>
  <c r="H11" i="3"/>
  <c r="G11" i="3"/>
  <c r="G10" i="3"/>
  <c r="H10" i="3"/>
  <c r="F10" i="3"/>
  <c r="H9" i="3"/>
  <c r="G9" i="3"/>
  <c r="F9" i="3"/>
  <c r="F6" i="3"/>
  <c r="G6" i="3"/>
  <c r="H6" i="3"/>
  <c r="H5" i="3"/>
  <c r="G5" i="3"/>
  <c r="F5" i="3"/>
  <c r="H16" i="3" l="1"/>
  <c r="F16" i="3"/>
  <c r="G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63" authorId="0" shapeId="0" xr:uid="{00000000-0006-0000-0000-000001000000}">
      <text>
        <r>
          <rPr>
            <sz val="10"/>
            <rFont val="FreeSans"/>
            <family val="2"/>
          </rPr>
          <t xml:space="preserve">من شيت المتبقي: المتبقي </t>
        </r>
        <r>
          <rPr>
            <sz val="10"/>
            <rFont val="Arial"/>
            <family val="2"/>
          </rPr>
          <t>752.25 من إجمالي 1003 (25% منفذ)، وُزّع على الطبقة الأولى ثم الثانية.</t>
        </r>
      </text>
    </comment>
    <comment ref="I65" authorId="0" shapeId="0" xr:uid="{00000000-0006-0000-0000-000002000000}">
      <text>
        <r>
          <rPr>
            <sz val="10"/>
            <rFont val="FreeSans"/>
            <family val="2"/>
          </rPr>
          <t xml:space="preserve">من شيت المتبقي: المتبقي </t>
        </r>
        <r>
          <rPr>
            <sz val="10"/>
            <rFont val="Arial"/>
            <family val="2"/>
          </rPr>
          <t>752.25 من إجمالي 1003 (25% منفذ)، وُزّع على الطبقة الأولى ثم الثانية.</t>
        </r>
      </text>
    </comment>
    <comment ref="I86" authorId="0" shapeId="0" xr:uid="{00000000-0006-0000-0000-000003000000}">
      <text>
        <r>
          <rPr>
            <sz val="10"/>
            <rFont val="FreeSans"/>
            <family val="2"/>
          </rPr>
          <t xml:space="preserve">من شيت المتبقي: المتبقي </t>
        </r>
        <r>
          <rPr>
            <sz val="10"/>
            <rFont val="Arial"/>
            <family val="2"/>
          </rPr>
          <t>2131 من إجمالي 4262 (50% منفذ)، وُزّع على الطبقة الأولى ثم الثانية.</t>
        </r>
      </text>
    </comment>
    <comment ref="I87" authorId="0" shapeId="0" xr:uid="{00000000-0006-0000-0000-000004000000}">
      <text>
        <r>
          <rPr>
            <sz val="10"/>
            <rFont val="FreeSans"/>
            <family val="2"/>
          </rPr>
          <t xml:space="preserve">من شيت المتبقي: المتبقي </t>
        </r>
        <r>
          <rPr>
            <sz val="10"/>
            <rFont val="Arial"/>
            <family val="2"/>
          </rPr>
          <t>2131 من إجمالي 4262 (50% منفذ)، وُزّع على الطبقة الأولى ثم الثانية.</t>
        </r>
      </text>
    </comment>
  </commentList>
</comments>
</file>

<file path=xl/sharedStrings.xml><?xml version="1.0" encoding="utf-8"?>
<sst xmlns="http://schemas.openxmlformats.org/spreadsheetml/2006/main" count="287" uniqueCount="118">
  <si>
    <t>م</t>
  </si>
  <si>
    <t>الطريق</t>
  </si>
  <si>
    <t xml:space="preserve">تاريخ بداية الاعمال </t>
  </si>
  <si>
    <t>تاريخ نهاية الاعمال</t>
  </si>
  <si>
    <t>الشبكة</t>
  </si>
  <si>
    <t>البند</t>
  </si>
  <si>
    <t>الوحدة</t>
  </si>
  <si>
    <t>الكمية الإجمالية</t>
  </si>
  <si>
    <t>الكمية المنفذة</t>
  </si>
  <si>
    <t>الكمية المتبقية</t>
  </si>
  <si>
    <t>نسبة المنفذ</t>
  </si>
  <si>
    <t>نسبة المتبقي</t>
  </si>
  <si>
    <t>تاريخ البداية</t>
  </si>
  <si>
    <t>تاريخ النهاية</t>
  </si>
  <si>
    <t>المخطط % حتى اليوم</t>
  </si>
  <si>
    <t>الكمية المخططة حتى اليوم</t>
  </si>
  <si>
    <t>المنفذ % فعلياً</t>
  </si>
  <si>
    <t>الفرق % (منفذ − مخطط)</t>
  </si>
  <si>
    <t>الفرق بالكمية (منفذ − مخطط)</t>
  </si>
  <si>
    <t>الحالة</t>
  </si>
  <si>
    <t>تاريخ التحديث</t>
  </si>
  <si>
    <t>RD10</t>
  </si>
  <si>
    <t>30-10-2026</t>
  </si>
  <si>
    <t xml:space="preserve"> شبكة تصريف السيول </t>
  </si>
  <si>
    <t>تركيب المناهل Manhole</t>
  </si>
  <si>
    <t>عدد</t>
  </si>
  <si>
    <t>تركيب مصائد الأمطارCatchBase</t>
  </si>
  <si>
    <t>تشكيل قاع المناهل الرئيسيه Penching</t>
  </si>
  <si>
    <t>تركيب الكفرات مصائد الأمطارCovers Catsh Base</t>
  </si>
  <si>
    <t>تركيب الكفرات للمناهل الرئيسية Manhole Cover</t>
  </si>
  <si>
    <t xml:space="preserve">شبكة المياه </t>
  </si>
  <si>
    <t>حفر وتمديد الخطوط الرئيسية Main Pipe</t>
  </si>
  <si>
    <t>م.ط</t>
  </si>
  <si>
    <t xml:space="preserve">شبكة الري </t>
  </si>
  <si>
    <t>المحابس valve</t>
  </si>
  <si>
    <t>غرف الري(خرسانة)  valve Chamber</t>
  </si>
  <si>
    <t>تركيب غرف المحابس (ميكانيكا) valve Chamber</t>
  </si>
  <si>
    <t>اختبارات الخطوط Test</t>
  </si>
  <si>
    <t xml:space="preserve"> شبكة الاتصالات </t>
  </si>
  <si>
    <t>اعمال الحفر والتأسيس للشبكه</t>
  </si>
  <si>
    <t>اعمال تركيب الهاند هول/مانهول</t>
  </si>
  <si>
    <t>اعمال الطرق</t>
  </si>
  <si>
    <t>اعمال البردورات+انترلوك</t>
  </si>
  <si>
    <t>أعمال طبقة ال Capping (30سم)</t>
  </si>
  <si>
    <t>م3</t>
  </si>
  <si>
    <t>أعمال طبقة الصب جريد (30سم)</t>
  </si>
  <si>
    <t>أعمال طبقة البيسكورس</t>
  </si>
  <si>
    <t>أعمال الأسفلت طبقة اولي</t>
  </si>
  <si>
    <t>أعمال الأسفلت طبقة تانيه</t>
  </si>
  <si>
    <t>RD9</t>
  </si>
  <si>
    <t>حفر وتمديد  الخطوط الرئيسيه Main Pipe</t>
  </si>
  <si>
    <t>غرف الخط المزدوج</t>
  </si>
  <si>
    <t>حفر وتمديد  الخطوط الفرعية Main Pipe</t>
  </si>
  <si>
    <t xml:space="preserve">  شبكة الصرف</t>
  </si>
  <si>
    <t>تشكيل قاع المناهل Penching</t>
  </si>
  <si>
    <t>تركيب الكفرات للمناهل  Manhole Cover</t>
  </si>
  <si>
    <t>اختبارات الخطوط الرئيسية test</t>
  </si>
  <si>
    <t>غرف المحابس valve Chamber</t>
  </si>
  <si>
    <t>تركيب غرف المحابس valve Chamber</t>
  </si>
  <si>
    <t>تركيب طفايات الحريق Fire</t>
  </si>
  <si>
    <t>اختبارات الخطوط test</t>
  </si>
  <si>
    <t>شبكة الري</t>
  </si>
  <si>
    <t>شبكة الجهد المتوسط</t>
  </si>
  <si>
    <t>حفر وتمديد الكابلات</t>
  </si>
  <si>
    <t>صب حيز المحولات -safety barrier</t>
  </si>
  <si>
    <t>تركيب قواعد  RMU</t>
  </si>
  <si>
    <t>تركيب RMU</t>
  </si>
  <si>
    <t>شبكة الإنارة</t>
  </si>
  <si>
    <t>تركيب قواعد الأعمده</t>
  </si>
  <si>
    <t>تركيب أعمدة الإنارة</t>
  </si>
  <si>
    <t>تركيب كشافات إنارة</t>
  </si>
  <si>
    <t>شبكة الاتصالات</t>
  </si>
  <si>
    <t>أعمال الأسفلت</t>
  </si>
  <si>
    <t>RD11</t>
  </si>
  <si>
    <t>أعمال الأسفلت طبقة ثانية</t>
  </si>
  <si>
    <t>RD 14</t>
  </si>
  <si>
    <t>RD15</t>
  </si>
  <si>
    <t>RD16</t>
  </si>
  <si>
    <t>RD17</t>
  </si>
  <si>
    <t>RD18</t>
  </si>
  <si>
    <t>RD23</t>
  </si>
  <si>
    <t>21/10/2026</t>
  </si>
  <si>
    <t>غرف  طرد</t>
  </si>
  <si>
    <t>RDEXT</t>
  </si>
  <si>
    <t>20-09-2026</t>
  </si>
  <si>
    <t>Lift Station</t>
  </si>
  <si>
    <t>20/10/2026</t>
  </si>
  <si>
    <t>حفر المحطة</t>
  </si>
  <si>
    <t>صب الخرسانات</t>
  </si>
  <si>
    <t>التركيبات الميكانيكيه والكهربائيه</t>
  </si>
  <si>
    <t>Item</t>
  </si>
  <si>
    <t>اسم المعده</t>
  </si>
  <si>
    <t>العدد</t>
  </si>
  <si>
    <t xml:space="preserve">حفار </t>
  </si>
  <si>
    <t>شيول</t>
  </si>
  <si>
    <t>جريدر</t>
  </si>
  <si>
    <t>جي سي بي</t>
  </si>
  <si>
    <t>رصاصة</t>
  </si>
  <si>
    <t>بلدوزر</t>
  </si>
  <si>
    <t>تانكر مياه</t>
  </si>
  <si>
    <t>قلاب</t>
  </si>
  <si>
    <t>مضخة</t>
  </si>
  <si>
    <t>كرين</t>
  </si>
  <si>
    <t>سطحة</t>
  </si>
  <si>
    <t>مولد كهربائي</t>
  </si>
  <si>
    <t>بوبكات</t>
  </si>
  <si>
    <t>عدد الفرق</t>
  </si>
  <si>
    <t>اجمالي العمالة</t>
  </si>
  <si>
    <t>اجمالي المعدات</t>
  </si>
  <si>
    <t>ملخص الانحراف بين المخطط والمنفذ لكل طريق — Block J</t>
  </si>
  <si>
    <t>عدد البنود</t>
  </si>
  <si>
    <t>متوسط المخطط %</t>
  </si>
  <si>
    <t>متوسط المنفذ %</t>
  </si>
  <si>
    <t>بنود متأخرة</t>
  </si>
  <si>
    <t>بنود مطابقة / متقدمة</t>
  </si>
  <si>
    <t>بنود لم يحن موعدها</t>
  </si>
  <si>
    <t>RD14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</si>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</sst>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;@"/>
    <numFmt numFmtId="165" formatCode="0.0%"/>
    <numFmt numFmtId="166" formatCode="dd/mm/yyyy"/>
    <numFmt numFmtId="167" formatCode="\+0.0%;\-0.0%;0.0%"/>
    <numFmt numFmtId="168" formatCode="\+#,##0.00;\-#,##0.00;0.00"/>
  </numFmts>
  <fonts count="19">
    <font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4"/>
      <color rgb="FF0000FF"/>
      <name val="Arial"/>
      <family val="2"/>
      <charset val="1"/>
    </font>
    <font>
      <i/>
      <sz val="11"/>
      <name val="Arial"/>
      <family val="2"/>
      <charset val="1"/>
    </font>
    <font>
      <b/>
      <sz val="12"/>
      <name val="Arial"/>
      <family val="2"/>
      <charset val="1"/>
    </font>
    <font>
      <b/>
      <sz val="12"/>
      <color theme="1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b/>
      <sz val="14"/>
      <color theme="1"/>
      <name val="FreeSans"/>
      <family val="2"/>
      <charset val="1"/>
    </font>
    <font>
      <sz val="10"/>
      <name val="FreeSans"/>
      <family val="2"/>
    </font>
    <font>
      <sz val="10"/>
      <name val="Arial"/>
      <family val="2"/>
    </font>
    <font>
      <b/>
      <sz val="16"/>
      <color theme="1"/>
      <name val="FreeSans"/>
      <family val="2"/>
      <charset val="1"/>
    </font>
    <font>
      <b/>
      <sz val="14"/>
      <color rgb="FF1F4E78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8000"/>
      <name val="Arial"/>
      <family val="2"/>
      <charset val="1"/>
    </font>
    <font>
      <b/>
      <sz val="11"/>
      <color rgb="FFFFFFFF"/>
      <name val="Arial"/>
      <family val="2"/>
      <charset val="1"/>
    </font>
    <font>
      <sz val="11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376092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F2CC"/>
      </patternFill>
    </fill>
    <fill>
      <patternFill patternType="solid">
        <fgColor theme="6" tint="0.59978026673177287"/>
        <bgColor rgb="FFDDEBF7"/>
      </patternFill>
    </fill>
    <fill>
      <patternFill patternType="solid">
        <fgColor theme="8" tint="0.39979247413556324"/>
        <bgColor rgb="FFBFBFBF"/>
      </patternFill>
    </fill>
    <fill>
      <patternFill patternType="solid">
        <fgColor theme="9" tint="-0.249977111117893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theme="2" tint="-0.499984740745262"/>
        <bgColor rgb="FF808080"/>
      </patternFill>
    </fill>
    <fill>
      <patternFill patternType="solid">
        <fgColor theme="4" tint="-0.249977111117893"/>
        <bgColor rgb="FF1F4E78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3" tint="0.39979247413556324"/>
        <bgColor rgb="FF80808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0" tint="-0.499984740745262"/>
        <bgColor rgb="FF948A54"/>
      </patternFill>
    </fill>
  </fills>
  <borders count="31">
    <border>
      <left/>
      <right/>
      <top/>
      <bottom/>
      <diagonal/>
    </border>
    <border>
      <left style="thick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ck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ck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ck">
        <color theme="1"/>
      </bottom>
      <diagonal/>
    </border>
    <border>
      <left style="thin">
        <color theme="1"/>
      </left>
      <right style="thick">
        <color theme="1"/>
      </right>
      <top/>
      <bottom style="thick">
        <color theme="1"/>
      </bottom>
      <diagonal/>
    </border>
    <border>
      <left style="thin">
        <color theme="1"/>
      </left>
      <right/>
      <top/>
      <bottom style="thick">
        <color theme="1"/>
      </bottom>
      <diagonal/>
    </border>
    <border>
      <left style="thick">
        <color theme="1"/>
      </left>
      <right style="thin">
        <color theme="1"/>
      </right>
      <top/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ck">
        <color theme="1"/>
      </right>
      <top style="thin">
        <color theme="1"/>
      </top>
      <bottom/>
      <diagonal/>
    </border>
    <border>
      <left style="thin">
        <color theme="1"/>
      </left>
      <right/>
      <top style="thick">
        <color theme="1"/>
      </top>
      <bottom/>
      <diagonal/>
    </border>
    <border>
      <left style="thin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80">
    <xf numFmtId="0" fontId="0" fillId="0" borderId="0" xfId="0"/>
    <xf numFmtId="0" fontId="3" fillId="7" borderId="17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64" fontId="3" fillId="6" borderId="6" xfId="0" applyNumberFormat="1" applyFont="1" applyFill="1" applyBorder="1" applyAlignment="1">
      <alignment horizontal="center" vertical="center" wrapText="1"/>
    </xf>
    <xf numFmtId="164" fontId="3" fillId="6" borderId="5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4" fontId="3" fillId="3" borderId="6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4" fontId="3" fillId="3" borderId="7" xfId="0" applyNumberFormat="1" applyFont="1" applyFill="1" applyBorder="1" applyAlignment="1">
      <alignment horizontal="center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66" fontId="3" fillId="3" borderId="7" xfId="0" applyNumberFormat="1" applyFont="1" applyFill="1" applyBorder="1" applyAlignment="1">
      <alignment horizontal="center" vertical="center" wrapText="1"/>
    </xf>
    <xf numFmtId="166" fontId="3" fillId="3" borderId="8" xfId="0" applyNumberFormat="1" applyFont="1" applyFill="1" applyBorder="1" applyAlignment="1">
      <alignment horizontal="center" vertical="center" wrapText="1"/>
    </xf>
    <xf numFmtId="165" fontId="3" fillId="3" borderId="8" xfId="0" applyNumberFormat="1" applyFont="1" applyFill="1" applyBorder="1" applyAlignment="1">
      <alignment horizontal="center" vertical="center" wrapText="1"/>
    </xf>
    <xf numFmtId="4" fontId="3" fillId="3" borderId="8" xfId="0" applyNumberFormat="1" applyFont="1" applyFill="1" applyBorder="1" applyAlignment="1">
      <alignment horizontal="center" vertical="center" wrapText="1"/>
    </xf>
    <xf numFmtId="167" fontId="3" fillId="3" borderId="8" xfId="0" applyNumberFormat="1" applyFont="1" applyFill="1" applyBorder="1" applyAlignment="1">
      <alignment horizontal="center" vertical="center" wrapText="1"/>
    </xf>
    <xf numFmtId="168" fontId="3" fillId="3" borderId="8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66" fontId="4" fillId="4" borderId="3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4" fontId="3" fillId="3" borderId="9" xfId="0" applyNumberFormat="1" applyFont="1" applyFill="1" applyBorder="1" applyAlignment="1">
      <alignment horizontal="center" vertical="center" wrapText="1"/>
    </xf>
    <xf numFmtId="165" fontId="3" fillId="3" borderId="9" xfId="0" applyNumberFormat="1" applyFont="1" applyFill="1" applyBorder="1" applyAlignment="1">
      <alignment horizontal="center" vertical="center" wrapText="1"/>
    </xf>
    <xf numFmtId="166" fontId="3" fillId="3" borderId="9" xfId="0" applyNumberFormat="1" applyFont="1" applyFill="1" applyBorder="1" applyAlignment="1">
      <alignment horizontal="center" vertical="center" wrapText="1"/>
    </xf>
    <xf numFmtId="166" fontId="3" fillId="3" borderId="10" xfId="0" applyNumberFormat="1" applyFont="1" applyFill="1" applyBorder="1" applyAlignment="1">
      <alignment horizontal="center" vertical="center" wrapText="1"/>
    </xf>
    <xf numFmtId="165" fontId="3" fillId="3" borderId="10" xfId="0" applyNumberFormat="1" applyFont="1" applyFill="1" applyBorder="1" applyAlignment="1">
      <alignment horizontal="center" vertical="center" wrapText="1"/>
    </xf>
    <xf numFmtId="4" fontId="3" fillId="3" borderId="10" xfId="0" applyNumberFormat="1" applyFont="1" applyFill="1" applyBorder="1" applyAlignment="1">
      <alignment horizontal="center" vertical="center" wrapText="1"/>
    </xf>
    <xf numFmtId="167" fontId="3" fillId="3" borderId="10" xfId="0" applyNumberFormat="1" applyFont="1" applyFill="1" applyBorder="1" applyAlignment="1">
      <alignment horizontal="center" vertical="center" wrapText="1"/>
    </xf>
    <xf numFmtId="168" fontId="3" fillId="3" borderId="10" xfId="0" applyNumberFormat="1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4" fontId="3" fillId="3" borderId="11" xfId="0" applyNumberFormat="1" applyFont="1" applyFill="1" applyBorder="1" applyAlignment="1">
      <alignment horizontal="center" vertical="center" wrapText="1"/>
    </xf>
    <xf numFmtId="165" fontId="3" fillId="3" borderId="11" xfId="0" applyNumberFormat="1" applyFont="1" applyFill="1" applyBorder="1" applyAlignment="1">
      <alignment horizontal="center" vertical="center" wrapText="1"/>
    </xf>
    <xf numFmtId="166" fontId="3" fillId="3" borderId="11" xfId="0" applyNumberFormat="1" applyFont="1" applyFill="1" applyBorder="1" applyAlignment="1">
      <alignment horizontal="center" vertical="center" wrapText="1"/>
    </xf>
    <xf numFmtId="166" fontId="3" fillId="3" borderId="12" xfId="0" applyNumberFormat="1" applyFont="1" applyFill="1" applyBorder="1" applyAlignment="1">
      <alignment horizontal="center" vertical="center" wrapText="1"/>
    </xf>
    <xf numFmtId="165" fontId="3" fillId="3" borderId="12" xfId="0" applyNumberFormat="1" applyFont="1" applyFill="1" applyBorder="1" applyAlignment="1">
      <alignment horizontal="center" vertical="center" wrapText="1"/>
    </xf>
    <xf numFmtId="4" fontId="3" fillId="3" borderId="12" xfId="0" applyNumberFormat="1" applyFont="1" applyFill="1" applyBorder="1" applyAlignment="1">
      <alignment horizontal="center" vertical="center" wrapText="1"/>
    </xf>
    <xf numFmtId="167" fontId="3" fillId="3" borderId="12" xfId="0" applyNumberFormat="1" applyFont="1" applyFill="1" applyBorder="1" applyAlignment="1">
      <alignment horizontal="center" vertical="center" wrapText="1"/>
    </xf>
    <xf numFmtId="168" fontId="3" fillId="3" borderId="12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4" fontId="3" fillId="3" borderId="13" xfId="0" applyNumberFormat="1" applyFont="1" applyFill="1" applyBorder="1" applyAlignment="1">
      <alignment horizontal="center" vertical="center" wrapText="1"/>
    </xf>
    <xf numFmtId="165" fontId="3" fillId="3" borderId="13" xfId="0" applyNumberFormat="1" applyFont="1" applyFill="1" applyBorder="1" applyAlignment="1">
      <alignment horizontal="center" vertical="center" wrapText="1"/>
    </xf>
    <xf numFmtId="166" fontId="3" fillId="3" borderId="13" xfId="0" applyNumberFormat="1" applyFont="1" applyFill="1" applyBorder="1" applyAlignment="1">
      <alignment horizontal="center" vertical="center" wrapText="1"/>
    </xf>
    <xf numFmtId="166" fontId="3" fillId="3" borderId="14" xfId="0" applyNumberFormat="1" applyFont="1" applyFill="1" applyBorder="1" applyAlignment="1">
      <alignment horizontal="center" vertical="center" wrapText="1"/>
    </xf>
    <xf numFmtId="165" fontId="3" fillId="3" borderId="14" xfId="0" applyNumberFormat="1" applyFont="1" applyFill="1" applyBorder="1" applyAlignment="1">
      <alignment horizontal="center" vertical="center" wrapText="1"/>
    </xf>
    <xf numFmtId="4" fontId="3" fillId="3" borderId="14" xfId="0" applyNumberFormat="1" applyFont="1" applyFill="1" applyBorder="1" applyAlignment="1">
      <alignment horizontal="center" vertical="center" wrapText="1"/>
    </xf>
    <xf numFmtId="167" fontId="3" fillId="3" borderId="14" xfId="0" applyNumberFormat="1" applyFont="1" applyFill="1" applyBorder="1" applyAlignment="1">
      <alignment horizontal="center" vertical="center" wrapText="1"/>
    </xf>
    <xf numFmtId="168" fontId="3" fillId="3" borderId="14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4" fontId="3" fillId="3" borderId="15" xfId="0" applyNumberFormat="1" applyFont="1" applyFill="1" applyBorder="1" applyAlignment="1">
      <alignment horizontal="center" vertical="center" wrapText="1"/>
    </xf>
    <xf numFmtId="165" fontId="3" fillId="3" borderId="15" xfId="0" applyNumberFormat="1" applyFont="1" applyFill="1" applyBorder="1" applyAlignment="1">
      <alignment horizontal="center" vertical="center" wrapText="1"/>
    </xf>
    <xf numFmtId="166" fontId="3" fillId="3" borderId="15" xfId="0" applyNumberFormat="1" applyFont="1" applyFill="1" applyBorder="1" applyAlignment="1">
      <alignment horizontal="center" vertical="center" wrapText="1"/>
    </xf>
    <xf numFmtId="166" fontId="3" fillId="3" borderId="16" xfId="0" applyNumberFormat="1" applyFont="1" applyFill="1" applyBorder="1" applyAlignment="1">
      <alignment horizontal="center" vertical="center" wrapText="1"/>
    </xf>
    <xf numFmtId="165" fontId="3" fillId="3" borderId="16" xfId="0" applyNumberFormat="1" applyFont="1" applyFill="1" applyBorder="1" applyAlignment="1">
      <alignment horizontal="center" vertical="center" wrapText="1"/>
    </xf>
    <xf numFmtId="4" fontId="3" fillId="3" borderId="16" xfId="0" applyNumberFormat="1" applyFont="1" applyFill="1" applyBorder="1" applyAlignment="1">
      <alignment horizontal="center" vertical="center" wrapText="1"/>
    </xf>
    <xf numFmtId="167" fontId="3" fillId="3" borderId="16" xfId="0" applyNumberFormat="1" applyFont="1" applyFill="1" applyBorder="1" applyAlignment="1">
      <alignment horizontal="center" vertical="center" wrapText="1"/>
    </xf>
    <xf numFmtId="168" fontId="3" fillId="3" borderId="16" xfId="0" applyNumberFormat="1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10" fontId="3" fillId="5" borderId="9" xfId="0" applyNumberFormat="1" applyFont="1" applyFill="1" applyBorder="1" applyAlignment="1">
      <alignment horizontal="center" vertical="center" wrapText="1"/>
    </xf>
    <xf numFmtId="14" fontId="3" fillId="5" borderId="9" xfId="0" applyNumberFormat="1" applyFont="1" applyFill="1" applyBorder="1" applyAlignment="1">
      <alignment horizontal="center" vertical="center" wrapText="1"/>
    </xf>
    <xf numFmtId="14" fontId="3" fillId="5" borderId="10" xfId="0" applyNumberFormat="1" applyFont="1" applyFill="1" applyBorder="1" applyAlignment="1">
      <alignment horizontal="center" vertical="center" wrapText="1"/>
    </xf>
    <xf numFmtId="165" fontId="3" fillId="5" borderId="10" xfId="0" applyNumberFormat="1" applyFont="1" applyFill="1" applyBorder="1" applyAlignment="1">
      <alignment horizontal="center" vertical="center" wrapText="1"/>
    </xf>
    <xf numFmtId="4" fontId="3" fillId="5" borderId="10" xfId="0" applyNumberFormat="1" applyFont="1" applyFill="1" applyBorder="1" applyAlignment="1">
      <alignment horizontal="center" vertical="center" wrapText="1"/>
    </xf>
    <xf numFmtId="167" fontId="3" fillId="5" borderId="10" xfId="0" applyNumberFormat="1" applyFont="1" applyFill="1" applyBorder="1" applyAlignment="1">
      <alignment horizontal="center" vertical="center" wrapText="1"/>
    </xf>
    <xf numFmtId="168" fontId="3" fillId="5" borderId="10" xfId="0" applyNumberFormat="1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0" fontId="3" fillId="5" borderId="7" xfId="0" applyNumberFormat="1" applyFont="1" applyFill="1" applyBorder="1" applyAlignment="1">
      <alignment horizontal="center" vertical="center" wrapText="1"/>
    </xf>
    <xf numFmtId="14" fontId="3" fillId="5" borderId="7" xfId="0" applyNumberFormat="1" applyFont="1" applyFill="1" applyBorder="1" applyAlignment="1">
      <alignment horizontal="center" vertical="center" wrapText="1"/>
    </xf>
    <xf numFmtId="14" fontId="3" fillId="5" borderId="8" xfId="0" applyNumberFormat="1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 wrapText="1"/>
    </xf>
    <xf numFmtId="4" fontId="3" fillId="5" borderId="8" xfId="0" applyNumberFormat="1" applyFont="1" applyFill="1" applyBorder="1" applyAlignment="1">
      <alignment horizontal="center" vertical="center" wrapText="1"/>
    </xf>
    <xf numFmtId="167" fontId="3" fillId="5" borderId="8" xfId="0" applyNumberFormat="1" applyFont="1" applyFill="1" applyBorder="1" applyAlignment="1">
      <alignment horizontal="center" vertical="center" wrapText="1"/>
    </xf>
    <xf numFmtId="168" fontId="3" fillId="5" borderId="8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10" fontId="3" fillId="5" borderId="11" xfId="0" applyNumberFormat="1" applyFont="1" applyFill="1" applyBorder="1" applyAlignment="1">
      <alignment horizontal="center" vertical="center" wrapText="1"/>
    </xf>
    <xf numFmtId="14" fontId="3" fillId="5" borderId="11" xfId="0" applyNumberFormat="1" applyFont="1" applyFill="1" applyBorder="1" applyAlignment="1">
      <alignment horizontal="center" vertical="center" wrapText="1"/>
    </xf>
    <xf numFmtId="14" fontId="3" fillId="5" borderId="12" xfId="0" applyNumberFormat="1" applyFont="1" applyFill="1" applyBorder="1" applyAlignment="1">
      <alignment horizontal="center" vertical="center" wrapText="1"/>
    </xf>
    <xf numFmtId="165" fontId="3" fillId="5" borderId="12" xfId="0" applyNumberFormat="1" applyFont="1" applyFill="1" applyBorder="1" applyAlignment="1">
      <alignment horizontal="center" vertical="center" wrapText="1"/>
    </xf>
    <xf numFmtId="4" fontId="3" fillId="5" borderId="12" xfId="0" applyNumberFormat="1" applyFont="1" applyFill="1" applyBorder="1" applyAlignment="1">
      <alignment horizontal="center" vertical="center" wrapText="1"/>
    </xf>
    <xf numFmtId="167" fontId="3" fillId="5" borderId="12" xfId="0" applyNumberFormat="1" applyFont="1" applyFill="1" applyBorder="1" applyAlignment="1">
      <alignment horizontal="center" vertical="center" wrapText="1"/>
    </xf>
    <xf numFmtId="168" fontId="3" fillId="5" borderId="12" xfId="0" applyNumberFormat="1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0" fontId="3" fillId="5" borderId="15" xfId="0" applyNumberFormat="1" applyFont="1" applyFill="1" applyBorder="1" applyAlignment="1">
      <alignment horizontal="center" vertical="center" wrapText="1"/>
    </xf>
    <xf numFmtId="14" fontId="3" fillId="5" borderId="15" xfId="0" applyNumberFormat="1" applyFont="1" applyFill="1" applyBorder="1" applyAlignment="1">
      <alignment horizontal="center" vertical="center" wrapText="1"/>
    </xf>
    <xf numFmtId="14" fontId="3" fillId="5" borderId="16" xfId="0" applyNumberFormat="1" applyFont="1" applyFill="1" applyBorder="1" applyAlignment="1">
      <alignment horizontal="center" vertical="center" wrapText="1"/>
    </xf>
    <xf numFmtId="165" fontId="3" fillId="5" borderId="16" xfId="0" applyNumberFormat="1" applyFont="1" applyFill="1" applyBorder="1" applyAlignment="1">
      <alignment horizontal="center" vertical="center" wrapText="1"/>
    </xf>
    <xf numFmtId="4" fontId="3" fillId="5" borderId="16" xfId="0" applyNumberFormat="1" applyFont="1" applyFill="1" applyBorder="1" applyAlignment="1">
      <alignment horizontal="center" vertical="center" wrapText="1"/>
    </xf>
    <xf numFmtId="167" fontId="3" fillId="5" borderId="16" xfId="0" applyNumberFormat="1" applyFont="1" applyFill="1" applyBorder="1" applyAlignment="1">
      <alignment horizontal="center" vertical="center" wrapText="1"/>
    </xf>
    <xf numFmtId="168" fontId="3" fillId="5" borderId="16" xfId="0" applyNumberFormat="1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4" fontId="3" fillId="6" borderId="17" xfId="0" applyNumberFormat="1" applyFont="1" applyFill="1" applyBorder="1" applyAlignment="1">
      <alignment horizontal="center" vertical="center" wrapText="1"/>
    </xf>
    <xf numFmtId="165" fontId="3" fillId="6" borderId="17" xfId="0" applyNumberFormat="1" applyFont="1" applyFill="1" applyBorder="1" applyAlignment="1">
      <alignment horizontal="center" vertical="center" wrapText="1"/>
    </xf>
    <xf numFmtId="166" fontId="3" fillId="6" borderId="17" xfId="0" applyNumberFormat="1" applyFont="1" applyFill="1" applyBorder="1" applyAlignment="1">
      <alignment horizontal="center" vertical="center" wrapText="1"/>
    </xf>
    <xf numFmtId="166" fontId="3" fillId="6" borderId="18" xfId="0" applyNumberFormat="1" applyFont="1" applyFill="1" applyBorder="1" applyAlignment="1">
      <alignment horizontal="center" vertical="center" wrapText="1"/>
    </xf>
    <xf numFmtId="165" fontId="3" fillId="6" borderId="18" xfId="0" applyNumberFormat="1" applyFont="1" applyFill="1" applyBorder="1" applyAlignment="1">
      <alignment horizontal="center" vertical="center" wrapText="1"/>
    </xf>
    <xf numFmtId="4" fontId="3" fillId="6" borderId="18" xfId="0" applyNumberFormat="1" applyFont="1" applyFill="1" applyBorder="1" applyAlignment="1">
      <alignment horizontal="center" vertical="center" wrapText="1"/>
    </xf>
    <xf numFmtId="167" fontId="3" fillId="6" borderId="18" xfId="0" applyNumberFormat="1" applyFont="1" applyFill="1" applyBorder="1" applyAlignment="1">
      <alignment horizontal="center" vertical="center" wrapText="1"/>
    </xf>
    <xf numFmtId="168" fontId="3" fillId="6" borderId="18" xfId="0" applyNumberFormat="1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4" fontId="3" fillId="7" borderId="9" xfId="0" applyNumberFormat="1" applyFont="1" applyFill="1" applyBorder="1" applyAlignment="1">
      <alignment horizontal="center" vertical="center" wrapText="1"/>
    </xf>
    <xf numFmtId="165" fontId="3" fillId="7" borderId="9" xfId="0" applyNumberFormat="1" applyFont="1" applyFill="1" applyBorder="1" applyAlignment="1">
      <alignment horizontal="center" vertical="center" wrapText="1"/>
    </xf>
    <xf numFmtId="166" fontId="3" fillId="7" borderId="9" xfId="0" applyNumberFormat="1" applyFont="1" applyFill="1" applyBorder="1" applyAlignment="1">
      <alignment horizontal="center" vertical="center" wrapText="1"/>
    </xf>
    <xf numFmtId="166" fontId="3" fillId="7" borderId="10" xfId="0" applyNumberFormat="1" applyFont="1" applyFill="1" applyBorder="1" applyAlignment="1">
      <alignment horizontal="center" vertical="center" wrapText="1"/>
    </xf>
    <xf numFmtId="165" fontId="3" fillId="7" borderId="10" xfId="0" applyNumberFormat="1" applyFont="1" applyFill="1" applyBorder="1" applyAlignment="1">
      <alignment horizontal="center" vertical="center" wrapText="1"/>
    </xf>
    <xf numFmtId="4" fontId="3" fillId="7" borderId="10" xfId="0" applyNumberFormat="1" applyFont="1" applyFill="1" applyBorder="1" applyAlignment="1">
      <alignment horizontal="center" vertical="center" wrapText="1"/>
    </xf>
    <xf numFmtId="167" fontId="3" fillId="7" borderId="10" xfId="0" applyNumberFormat="1" applyFont="1" applyFill="1" applyBorder="1" applyAlignment="1">
      <alignment horizontal="center" vertical="center" wrapText="1"/>
    </xf>
    <xf numFmtId="168" fontId="3" fillId="7" borderId="10" xfId="0" applyNumberFormat="1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4" fontId="3" fillId="7" borderId="11" xfId="0" applyNumberFormat="1" applyFont="1" applyFill="1" applyBorder="1" applyAlignment="1">
      <alignment horizontal="center" vertical="center" wrapText="1"/>
    </xf>
    <xf numFmtId="165" fontId="3" fillId="7" borderId="11" xfId="0" applyNumberFormat="1" applyFont="1" applyFill="1" applyBorder="1" applyAlignment="1">
      <alignment horizontal="center" vertical="center" wrapText="1"/>
    </xf>
    <xf numFmtId="166" fontId="3" fillId="7" borderId="11" xfId="0" applyNumberFormat="1" applyFont="1" applyFill="1" applyBorder="1" applyAlignment="1">
      <alignment horizontal="center" vertical="center" wrapText="1"/>
    </xf>
    <xf numFmtId="166" fontId="3" fillId="7" borderId="12" xfId="0" applyNumberFormat="1" applyFont="1" applyFill="1" applyBorder="1" applyAlignment="1">
      <alignment horizontal="center" vertical="center" wrapText="1"/>
    </xf>
    <xf numFmtId="165" fontId="3" fillId="7" borderId="12" xfId="0" applyNumberFormat="1" applyFont="1" applyFill="1" applyBorder="1" applyAlignment="1">
      <alignment horizontal="center" vertical="center" wrapText="1"/>
    </xf>
    <xf numFmtId="4" fontId="3" fillId="7" borderId="12" xfId="0" applyNumberFormat="1" applyFont="1" applyFill="1" applyBorder="1" applyAlignment="1">
      <alignment horizontal="center" vertical="center" wrapText="1"/>
    </xf>
    <xf numFmtId="167" fontId="3" fillId="7" borderId="12" xfId="0" applyNumberFormat="1" applyFont="1" applyFill="1" applyBorder="1" applyAlignment="1">
      <alignment horizontal="center" vertical="center" wrapText="1"/>
    </xf>
    <xf numFmtId="168" fontId="3" fillId="7" borderId="12" xfId="0" applyNumberFormat="1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4" fontId="3" fillId="8" borderId="7" xfId="0" applyNumberFormat="1" applyFont="1" applyFill="1" applyBorder="1" applyAlignment="1">
      <alignment horizontal="center" vertical="center" wrapText="1"/>
    </xf>
    <xf numFmtId="165" fontId="3" fillId="8" borderId="7" xfId="0" applyNumberFormat="1" applyFont="1" applyFill="1" applyBorder="1" applyAlignment="1">
      <alignment horizontal="center" vertical="center" wrapText="1"/>
    </xf>
    <xf numFmtId="166" fontId="3" fillId="8" borderId="7" xfId="0" applyNumberFormat="1" applyFont="1" applyFill="1" applyBorder="1" applyAlignment="1">
      <alignment horizontal="center" vertical="center" wrapText="1"/>
    </xf>
    <xf numFmtId="166" fontId="3" fillId="8" borderId="8" xfId="0" applyNumberFormat="1" applyFont="1" applyFill="1" applyBorder="1" applyAlignment="1">
      <alignment horizontal="center" vertical="center" wrapText="1"/>
    </xf>
    <xf numFmtId="165" fontId="3" fillId="8" borderId="8" xfId="0" applyNumberFormat="1" applyFont="1" applyFill="1" applyBorder="1" applyAlignment="1">
      <alignment horizontal="center" vertical="center" wrapText="1"/>
    </xf>
    <xf numFmtId="4" fontId="3" fillId="8" borderId="8" xfId="0" applyNumberFormat="1" applyFont="1" applyFill="1" applyBorder="1" applyAlignment="1">
      <alignment horizontal="center" vertical="center" wrapText="1"/>
    </xf>
    <xf numFmtId="167" fontId="3" fillId="8" borderId="8" xfId="0" applyNumberFormat="1" applyFont="1" applyFill="1" applyBorder="1" applyAlignment="1">
      <alignment horizontal="center" vertical="center" wrapText="1"/>
    </xf>
    <xf numFmtId="168" fontId="3" fillId="8" borderId="8" xfId="0" applyNumberFormat="1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4" fontId="6" fillId="8" borderId="11" xfId="0" applyNumberFormat="1" applyFont="1" applyFill="1" applyBorder="1" applyAlignment="1">
      <alignment horizontal="center" vertical="center" wrapText="1"/>
    </xf>
    <xf numFmtId="165" fontId="6" fillId="8" borderId="11" xfId="0" applyNumberFormat="1" applyFont="1" applyFill="1" applyBorder="1" applyAlignment="1">
      <alignment horizontal="center" vertical="center" wrapText="1"/>
    </xf>
    <xf numFmtId="166" fontId="6" fillId="8" borderId="11" xfId="0" applyNumberFormat="1" applyFont="1" applyFill="1" applyBorder="1" applyAlignment="1">
      <alignment horizontal="center" vertical="center" wrapText="1"/>
    </xf>
    <xf numFmtId="166" fontId="6" fillId="8" borderId="12" xfId="0" applyNumberFormat="1" applyFont="1" applyFill="1" applyBorder="1" applyAlignment="1">
      <alignment horizontal="center" vertical="center" wrapText="1"/>
    </xf>
    <xf numFmtId="165" fontId="6" fillId="8" borderId="12" xfId="0" applyNumberFormat="1" applyFont="1" applyFill="1" applyBorder="1" applyAlignment="1">
      <alignment horizontal="center" vertical="center" wrapText="1"/>
    </xf>
    <xf numFmtId="4" fontId="6" fillId="8" borderId="12" xfId="0" applyNumberFormat="1" applyFont="1" applyFill="1" applyBorder="1" applyAlignment="1">
      <alignment horizontal="center" vertical="center" wrapText="1"/>
    </xf>
    <xf numFmtId="167" fontId="6" fillId="8" borderId="12" xfId="0" applyNumberFormat="1" applyFont="1" applyFill="1" applyBorder="1" applyAlignment="1">
      <alignment horizontal="center" vertical="center" wrapText="1"/>
    </xf>
    <xf numFmtId="168" fontId="6" fillId="8" borderId="12" xfId="0" applyNumberFormat="1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/>
    </xf>
    <xf numFmtId="4" fontId="6" fillId="9" borderId="7" xfId="0" applyNumberFormat="1" applyFont="1" applyFill="1" applyBorder="1" applyAlignment="1">
      <alignment horizontal="center" vertical="center" wrapText="1"/>
    </xf>
    <xf numFmtId="165" fontId="6" fillId="9" borderId="7" xfId="0" applyNumberFormat="1" applyFont="1" applyFill="1" applyBorder="1" applyAlignment="1">
      <alignment horizontal="center" vertical="center" wrapText="1"/>
    </xf>
    <xf numFmtId="166" fontId="6" fillId="9" borderId="7" xfId="0" applyNumberFormat="1" applyFont="1" applyFill="1" applyBorder="1" applyAlignment="1">
      <alignment horizontal="center" vertical="center" wrapText="1"/>
    </xf>
    <xf numFmtId="166" fontId="6" fillId="9" borderId="8" xfId="0" applyNumberFormat="1" applyFont="1" applyFill="1" applyBorder="1" applyAlignment="1">
      <alignment horizontal="center" vertical="center" wrapText="1"/>
    </xf>
    <xf numFmtId="165" fontId="6" fillId="9" borderId="8" xfId="0" applyNumberFormat="1" applyFont="1" applyFill="1" applyBorder="1" applyAlignment="1">
      <alignment horizontal="center" vertical="center" wrapText="1"/>
    </xf>
    <xf numFmtId="4" fontId="6" fillId="9" borderId="8" xfId="0" applyNumberFormat="1" applyFont="1" applyFill="1" applyBorder="1" applyAlignment="1">
      <alignment horizontal="center" vertical="center" wrapText="1"/>
    </xf>
    <xf numFmtId="167" fontId="6" fillId="9" borderId="8" xfId="0" applyNumberFormat="1" applyFont="1" applyFill="1" applyBorder="1" applyAlignment="1">
      <alignment horizontal="center" vertical="center" wrapText="1"/>
    </xf>
    <xf numFmtId="168" fontId="6" fillId="9" borderId="8" xfId="0" applyNumberFormat="1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4" fontId="6" fillId="9" borderId="11" xfId="0" applyNumberFormat="1" applyFont="1" applyFill="1" applyBorder="1" applyAlignment="1">
      <alignment horizontal="center" vertical="center" wrapText="1"/>
    </xf>
    <xf numFmtId="165" fontId="6" fillId="9" borderId="11" xfId="0" applyNumberFormat="1" applyFont="1" applyFill="1" applyBorder="1" applyAlignment="1">
      <alignment horizontal="center" vertical="center" wrapText="1"/>
    </xf>
    <xf numFmtId="166" fontId="6" fillId="9" borderId="11" xfId="0" applyNumberFormat="1" applyFont="1" applyFill="1" applyBorder="1" applyAlignment="1">
      <alignment horizontal="center" vertical="center" wrapText="1"/>
    </xf>
    <xf numFmtId="166" fontId="6" fillId="9" borderId="12" xfId="0" applyNumberFormat="1" applyFont="1" applyFill="1" applyBorder="1" applyAlignment="1">
      <alignment horizontal="center" vertical="center" wrapText="1"/>
    </xf>
    <xf numFmtId="165" fontId="6" fillId="9" borderId="12" xfId="0" applyNumberFormat="1" applyFont="1" applyFill="1" applyBorder="1" applyAlignment="1">
      <alignment horizontal="center" vertical="center" wrapText="1"/>
    </xf>
    <xf numFmtId="4" fontId="6" fillId="9" borderId="12" xfId="0" applyNumberFormat="1" applyFont="1" applyFill="1" applyBorder="1" applyAlignment="1">
      <alignment horizontal="center" vertical="center" wrapText="1"/>
    </xf>
    <xf numFmtId="167" fontId="6" fillId="9" borderId="12" xfId="0" applyNumberFormat="1" applyFont="1" applyFill="1" applyBorder="1" applyAlignment="1">
      <alignment horizontal="center" vertical="center" wrapText="1"/>
    </xf>
    <xf numFmtId="168" fontId="6" fillId="9" borderId="12" xfId="0" applyNumberFormat="1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4" fontId="8" fillId="10" borderId="15" xfId="0" applyNumberFormat="1" applyFont="1" applyFill="1" applyBorder="1" applyAlignment="1">
      <alignment horizontal="center" vertical="center" wrapText="1"/>
    </xf>
    <xf numFmtId="165" fontId="8" fillId="10" borderId="15" xfId="0" applyNumberFormat="1" applyFont="1" applyFill="1" applyBorder="1" applyAlignment="1">
      <alignment horizontal="center" vertical="center" wrapText="1"/>
    </xf>
    <xf numFmtId="166" fontId="8" fillId="10" borderId="15" xfId="0" applyNumberFormat="1" applyFont="1" applyFill="1" applyBorder="1" applyAlignment="1">
      <alignment horizontal="center" vertical="center" wrapText="1"/>
    </xf>
    <xf numFmtId="166" fontId="8" fillId="10" borderId="16" xfId="0" applyNumberFormat="1" applyFont="1" applyFill="1" applyBorder="1" applyAlignment="1">
      <alignment horizontal="center" vertical="center" wrapText="1"/>
    </xf>
    <xf numFmtId="165" fontId="8" fillId="10" borderId="16" xfId="0" applyNumberFormat="1" applyFont="1" applyFill="1" applyBorder="1" applyAlignment="1">
      <alignment horizontal="center" vertical="center" wrapText="1"/>
    </xf>
    <xf numFmtId="4" fontId="8" fillId="10" borderId="16" xfId="0" applyNumberFormat="1" applyFont="1" applyFill="1" applyBorder="1" applyAlignment="1">
      <alignment horizontal="center" vertical="center" wrapText="1"/>
    </xf>
    <xf numFmtId="167" fontId="8" fillId="10" borderId="16" xfId="0" applyNumberFormat="1" applyFont="1" applyFill="1" applyBorder="1" applyAlignment="1">
      <alignment horizontal="center" vertical="center" wrapText="1"/>
    </xf>
    <xf numFmtId="168" fontId="8" fillId="10" borderId="16" xfId="0" applyNumberFormat="1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 vertical="center" wrapText="1"/>
    </xf>
    <xf numFmtId="4" fontId="8" fillId="10" borderId="21" xfId="0" applyNumberFormat="1" applyFont="1" applyFill="1" applyBorder="1" applyAlignment="1">
      <alignment horizontal="center" vertical="center" wrapText="1"/>
    </xf>
    <xf numFmtId="165" fontId="8" fillId="10" borderId="21" xfId="0" applyNumberFormat="1" applyFont="1" applyFill="1" applyBorder="1" applyAlignment="1">
      <alignment horizontal="center" vertical="center" wrapText="1"/>
    </xf>
    <xf numFmtId="166" fontId="8" fillId="10" borderId="21" xfId="0" applyNumberFormat="1" applyFont="1" applyFill="1" applyBorder="1" applyAlignment="1">
      <alignment horizontal="center" vertical="center" wrapText="1"/>
    </xf>
    <xf numFmtId="166" fontId="8" fillId="10" borderId="22" xfId="0" applyNumberFormat="1" applyFont="1" applyFill="1" applyBorder="1" applyAlignment="1">
      <alignment horizontal="center" vertical="center" wrapText="1"/>
    </xf>
    <xf numFmtId="165" fontId="8" fillId="10" borderId="22" xfId="0" applyNumberFormat="1" applyFont="1" applyFill="1" applyBorder="1" applyAlignment="1">
      <alignment horizontal="center" vertical="center" wrapText="1"/>
    </xf>
    <xf numFmtId="4" fontId="8" fillId="10" borderId="22" xfId="0" applyNumberFormat="1" applyFont="1" applyFill="1" applyBorder="1" applyAlignment="1">
      <alignment horizontal="center" vertical="center" wrapText="1"/>
    </xf>
    <xf numFmtId="167" fontId="8" fillId="10" borderId="22" xfId="0" applyNumberFormat="1" applyFont="1" applyFill="1" applyBorder="1" applyAlignment="1">
      <alignment horizontal="center" vertical="center" wrapText="1"/>
    </xf>
    <xf numFmtId="168" fontId="8" fillId="10" borderId="22" xfId="0" applyNumberFormat="1" applyFont="1" applyFill="1" applyBorder="1" applyAlignment="1">
      <alignment horizontal="center" vertical="center" wrapText="1"/>
    </xf>
    <xf numFmtId="0" fontId="8" fillId="10" borderId="2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166" fontId="6" fillId="3" borderId="2" xfId="0" applyNumberFormat="1" applyFont="1" applyFill="1" applyBorder="1" applyAlignment="1">
      <alignment horizontal="center" vertical="center" wrapText="1"/>
    </xf>
    <xf numFmtId="166" fontId="6" fillId="3" borderId="3" xfId="0" applyNumberFormat="1" applyFont="1" applyFill="1" applyBorder="1" applyAlignment="1">
      <alignment horizontal="center" vertical="center" wrapText="1"/>
    </xf>
    <xf numFmtId="165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167" fontId="6" fillId="3" borderId="3" xfId="0" applyNumberFormat="1" applyFont="1" applyFill="1" applyBorder="1" applyAlignment="1">
      <alignment horizontal="center" vertical="center" wrapText="1"/>
    </xf>
    <xf numFmtId="168" fontId="6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4" fontId="6" fillId="3" borderId="11" xfId="0" applyNumberFormat="1" applyFont="1" applyFill="1" applyBorder="1" applyAlignment="1">
      <alignment horizontal="center" vertical="center" wrapText="1"/>
    </xf>
    <xf numFmtId="165" fontId="6" fillId="3" borderId="11" xfId="0" applyNumberFormat="1" applyFont="1" applyFill="1" applyBorder="1" applyAlignment="1">
      <alignment horizontal="center" vertical="center" wrapText="1"/>
    </xf>
    <xf numFmtId="166" fontId="6" fillId="3" borderId="11" xfId="0" applyNumberFormat="1" applyFont="1" applyFill="1" applyBorder="1" applyAlignment="1">
      <alignment horizontal="center" vertical="center" wrapText="1"/>
    </xf>
    <xf numFmtId="166" fontId="6" fillId="3" borderId="12" xfId="0" applyNumberFormat="1" applyFont="1" applyFill="1" applyBorder="1" applyAlignment="1">
      <alignment horizontal="center" vertical="center" wrapText="1"/>
    </xf>
    <xf numFmtId="165" fontId="6" fillId="3" borderId="12" xfId="0" applyNumberFormat="1" applyFont="1" applyFill="1" applyBorder="1" applyAlignment="1">
      <alignment horizontal="center" vertical="center" wrapText="1"/>
    </xf>
    <xf numFmtId="4" fontId="6" fillId="3" borderId="12" xfId="0" applyNumberFormat="1" applyFont="1" applyFill="1" applyBorder="1" applyAlignment="1">
      <alignment horizontal="center" vertical="center" wrapText="1"/>
    </xf>
    <xf numFmtId="167" fontId="6" fillId="3" borderId="12" xfId="0" applyNumberFormat="1" applyFont="1" applyFill="1" applyBorder="1" applyAlignment="1">
      <alignment horizontal="center" vertical="center" wrapText="1"/>
    </xf>
    <xf numFmtId="168" fontId="6" fillId="3" borderId="12" xfId="0" applyNumberFormat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4" fontId="3" fillId="11" borderId="7" xfId="0" applyNumberFormat="1" applyFont="1" applyFill="1" applyBorder="1" applyAlignment="1">
      <alignment horizontal="center" vertical="center" wrapText="1"/>
    </xf>
    <xf numFmtId="165" fontId="3" fillId="11" borderId="7" xfId="0" applyNumberFormat="1" applyFont="1" applyFill="1" applyBorder="1" applyAlignment="1">
      <alignment horizontal="center" vertical="center" wrapText="1"/>
    </xf>
    <xf numFmtId="164" fontId="3" fillId="11" borderId="7" xfId="0" applyNumberFormat="1" applyFont="1" applyFill="1" applyBorder="1" applyAlignment="1">
      <alignment horizontal="center" vertical="center" wrapText="1"/>
    </xf>
    <xf numFmtId="164" fontId="3" fillId="11" borderId="8" xfId="0" applyNumberFormat="1" applyFont="1" applyFill="1" applyBorder="1" applyAlignment="1">
      <alignment horizontal="center" vertical="center" wrapText="1"/>
    </xf>
    <xf numFmtId="165" fontId="3" fillId="11" borderId="8" xfId="0" applyNumberFormat="1" applyFont="1" applyFill="1" applyBorder="1" applyAlignment="1">
      <alignment horizontal="center" vertical="center" wrapText="1"/>
    </xf>
    <xf numFmtId="4" fontId="3" fillId="11" borderId="8" xfId="0" applyNumberFormat="1" applyFont="1" applyFill="1" applyBorder="1" applyAlignment="1">
      <alignment horizontal="center" vertical="center" wrapText="1"/>
    </xf>
    <xf numFmtId="167" fontId="3" fillId="11" borderId="8" xfId="0" applyNumberFormat="1" applyFont="1" applyFill="1" applyBorder="1" applyAlignment="1">
      <alignment horizontal="center" vertical="center" wrapText="1"/>
    </xf>
    <xf numFmtId="168" fontId="3" fillId="11" borderId="8" xfId="0" applyNumberFormat="1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4" fontId="3" fillId="11" borderId="9" xfId="0" applyNumberFormat="1" applyFont="1" applyFill="1" applyBorder="1" applyAlignment="1">
      <alignment horizontal="center" vertical="center" wrapText="1"/>
    </xf>
    <xf numFmtId="165" fontId="3" fillId="11" borderId="9" xfId="0" applyNumberFormat="1" applyFont="1" applyFill="1" applyBorder="1" applyAlignment="1">
      <alignment horizontal="center" vertical="center" wrapText="1"/>
    </xf>
    <xf numFmtId="164" fontId="3" fillId="11" borderId="9" xfId="0" applyNumberFormat="1" applyFont="1" applyFill="1" applyBorder="1" applyAlignment="1">
      <alignment horizontal="center" vertical="center" wrapText="1"/>
    </xf>
    <xf numFmtId="164" fontId="3" fillId="11" borderId="10" xfId="0" applyNumberFormat="1" applyFont="1" applyFill="1" applyBorder="1" applyAlignment="1">
      <alignment horizontal="center" vertical="center" wrapText="1"/>
    </xf>
    <xf numFmtId="165" fontId="3" fillId="11" borderId="10" xfId="0" applyNumberFormat="1" applyFont="1" applyFill="1" applyBorder="1" applyAlignment="1">
      <alignment horizontal="center" vertical="center" wrapText="1"/>
    </xf>
    <xf numFmtId="4" fontId="3" fillId="11" borderId="10" xfId="0" applyNumberFormat="1" applyFont="1" applyFill="1" applyBorder="1" applyAlignment="1">
      <alignment horizontal="center" vertical="center" wrapText="1"/>
    </xf>
    <xf numFmtId="167" fontId="3" fillId="11" borderId="10" xfId="0" applyNumberFormat="1" applyFont="1" applyFill="1" applyBorder="1" applyAlignment="1">
      <alignment horizontal="center" vertical="center" wrapText="1"/>
    </xf>
    <xf numFmtId="168" fontId="3" fillId="11" borderId="10" xfId="0" applyNumberFormat="1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4" fontId="3" fillId="11" borderId="11" xfId="0" applyNumberFormat="1" applyFont="1" applyFill="1" applyBorder="1" applyAlignment="1">
      <alignment horizontal="center" vertical="center" wrapText="1"/>
    </xf>
    <xf numFmtId="165" fontId="3" fillId="11" borderId="11" xfId="0" applyNumberFormat="1" applyFont="1" applyFill="1" applyBorder="1" applyAlignment="1">
      <alignment horizontal="center" vertical="center" wrapText="1"/>
    </xf>
    <xf numFmtId="164" fontId="3" fillId="11" borderId="11" xfId="0" applyNumberFormat="1" applyFont="1" applyFill="1" applyBorder="1" applyAlignment="1">
      <alignment horizontal="center" vertical="center" wrapText="1"/>
    </xf>
    <xf numFmtId="164" fontId="3" fillId="11" borderId="12" xfId="0" applyNumberFormat="1" applyFont="1" applyFill="1" applyBorder="1" applyAlignment="1">
      <alignment horizontal="center" vertical="center" wrapText="1"/>
    </xf>
    <xf numFmtId="165" fontId="3" fillId="11" borderId="12" xfId="0" applyNumberFormat="1" applyFont="1" applyFill="1" applyBorder="1" applyAlignment="1">
      <alignment horizontal="center" vertical="center" wrapText="1"/>
    </xf>
    <xf numFmtId="4" fontId="3" fillId="11" borderId="12" xfId="0" applyNumberFormat="1" applyFont="1" applyFill="1" applyBorder="1" applyAlignment="1">
      <alignment horizontal="center" vertical="center" wrapText="1"/>
    </xf>
    <xf numFmtId="167" fontId="3" fillId="11" borderId="12" xfId="0" applyNumberFormat="1" applyFont="1" applyFill="1" applyBorder="1" applyAlignment="1">
      <alignment horizontal="center" vertical="center" wrapText="1"/>
    </xf>
    <xf numFmtId="168" fontId="3" fillId="11" borderId="12" xfId="0" applyNumberFormat="1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4" fontId="3" fillId="11" borderId="15" xfId="0" applyNumberFormat="1" applyFont="1" applyFill="1" applyBorder="1" applyAlignment="1">
      <alignment horizontal="center" vertical="center" wrapText="1"/>
    </xf>
    <xf numFmtId="165" fontId="3" fillId="11" borderId="15" xfId="0" applyNumberFormat="1" applyFont="1" applyFill="1" applyBorder="1" applyAlignment="1">
      <alignment horizontal="center" vertical="center" wrapText="1"/>
    </xf>
    <xf numFmtId="164" fontId="3" fillId="11" borderId="15" xfId="0" applyNumberFormat="1" applyFont="1" applyFill="1" applyBorder="1" applyAlignment="1">
      <alignment horizontal="center" vertical="center" wrapText="1"/>
    </xf>
    <xf numFmtId="164" fontId="3" fillId="11" borderId="16" xfId="0" applyNumberFormat="1" applyFont="1" applyFill="1" applyBorder="1" applyAlignment="1">
      <alignment horizontal="center" vertical="center" wrapText="1"/>
    </xf>
    <xf numFmtId="165" fontId="3" fillId="11" borderId="16" xfId="0" applyNumberFormat="1" applyFont="1" applyFill="1" applyBorder="1" applyAlignment="1">
      <alignment horizontal="center" vertical="center" wrapText="1"/>
    </xf>
    <xf numFmtId="4" fontId="3" fillId="11" borderId="16" xfId="0" applyNumberFormat="1" applyFont="1" applyFill="1" applyBorder="1" applyAlignment="1">
      <alignment horizontal="center" vertical="center" wrapText="1"/>
    </xf>
    <xf numFmtId="167" fontId="3" fillId="11" borderId="16" xfId="0" applyNumberFormat="1" applyFont="1" applyFill="1" applyBorder="1" applyAlignment="1">
      <alignment horizontal="center" vertical="center" wrapText="1"/>
    </xf>
    <xf numFmtId="168" fontId="3" fillId="11" borderId="16" xfId="0" applyNumberFormat="1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1" borderId="21" xfId="0" applyFont="1" applyFill="1" applyBorder="1" applyAlignment="1">
      <alignment horizontal="center" vertical="center" wrapText="1"/>
    </xf>
    <xf numFmtId="4" fontId="3" fillId="11" borderId="21" xfId="0" applyNumberFormat="1" applyFont="1" applyFill="1" applyBorder="1" applyAlignment="1">
      <alignment horizontal="center" vertical="center" wrapText="1"/>
    </xf>
    <xf numFmtId="165" fontId="3" fillId="11" borderId="21" xfId="0" applyNumberFormat="1" applyFont="1" applyFill="1" applyBorder="1" applyAlignment="1">
      <alignment horizontal="center" vertical="center" wrapText="1"/>
    </xf>
    <xf numFmtId="164" fontId="3" fillId="11" borderId="21" xfId="0" applyNumberFormat="1" applyFont="1" applyFill="1" applyBorder="1" applyAlignment="1">
      <alignment horizontal="center" vertical="center" wrapText="1"/>
    </xf>
    <xf numFmtId="164" fontId="3" fillId="11" borderId="22" xfId="0" applyNumberFormat="1" applyFont="1" applyFill="1" applyBorder="1" applyAlignment="1">
      <alignment horizontal="center" vertical="center" wrapText="1"/>
    </xf>
    <xf numFmtId="165" fontId="3" fillId="11" borderId="22" xfId="0" applyNumberFormat="1" applyFont="1" applyFill="1" applyBorder="1" applyAlignment="1">
      <alignment horizontal="center" vertical="center" wrapText="1"/>
    </xf>
    <xf numFmtId="4" fontId="3" fillId="11" borderId="22" xfId="0" applyNumberFormat="1" applyFont="1" applyFill="1" applyBorder="1" applyAlignment="1">
      <alignment horizontal="center" vertical="center" wrapText="1"/>
    </xf>
    <xf numFmtId="167" fontId="3" fillId="11" borderId="22" xfId="0" applyNumberFormat="1" applyFont="1" applyFill="1" applyBorder="1" applyAlignment="1">
      <alignment horizontal="center" vertical="center" wrapText="1"/>
    </xf>
    <xf numFmtId="168" fontId="3" fillId="11" borderId="22" xfId="0" applyNumberFormat="1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4" fontId="3" fillId="12" borderId="7" xfId="0" applyNumberFormat="1" applyFont="1" applyFill="1" applyBorder="1" applyAlignment="1">
      <alignment horizontal="center" vertical="center" wrapText="1"/>
    </xf>
    <xf numFmtId="165" fontId="3" fillId="12" borderId="7" xfId="0" applyNumberFormat="1" applyFont="1" applyFill="1" applyBorder="1" applyAlignment="1">
      <alignment horizontal="center" vertical="center" wrapText="1"/>
    </xf>
    <xf numFmtId="164" fontId="3" fillId="12" borderId="7" xfId="0" applyNumberFormat="1" applyFont="1" applyFill="1" applyBorder="1" applyAlignment="1">
      <alignment horizontal="center" vertical="center" wrapText="1"/>
    </xf>
    <xf numFmtId="164" fontId="3" fillId="12" borderId="8" xfId="0" applyNumberFormat="1" applyFont="1" applyFill="1" applyBorder="1" applyAlignment="1">
      <alignment horizontal="center" vertical="center" wrapText="1"/>
    </xf>
    <xf numFmtId="165" fontId="3" fillId="12" borderId="8" xfId="0" applyNumberFormat="1" applyFont="1" applyFill="1" applyBorder="1" applyAlignment="1">
      <alignment horizontal="center" vertical="center" wrapText="1"/>
    </xf>
    <xf numFmtId="4" fontId="3" fillId="12" borderId="8" xfId="0" applyNumberFormat="1" applyFont="1" applyFill="1" applyBorder="1" applyAlignment="1">
      <alignment horizontal="center" vertical="center" wrapText="1"/>
    </xf>
    <xf numFmtId="167" fontId="3" fillId="12" borderId="8" xfId="0" applyNumberFormat="1" applyFont="1" applyFill="1" applyBorder="1" applyAlignment="1">
      <alignment horizontal="center" vertical="center" wrapText="1"/>
    </xf>
    <xf numFmtId="168" fontId="3" fillId="12" borderId="8" xfId="0" applyNumberFormat="1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4" fontId="3" fillId="12" borderId="9" xfId="0" applyNumberFormat="1" applyFont="1" applyFill="1" applyBorder="1" applyAlignment="1">
      <alignment horizontal="center" vertical="center" wrapText="1"/>
    </xf>
    <xf numFmtId="165" fontId="3" fillId="12" borderId="9" xfId="0" applyNumberFormat="1" applyFont="1" applyFill="1" applyBorder="1" applyAlignment="1">
      <alignment horizontal="center" vertical="center" wrapText="1"/>
    </xf>
    <xf numFmtId="164" fontId="3" fillId="12" borderId="9" xfId="0" applyNumberFormat="1" applyFont="1" applyFill="1" applyBorder="1" applyAlignment="1">
      <alignment horizontal="center" vertical="center" wrapText="1"/>
    </xf>
    <xf numFmtId="164" fontId="3" fillId="12" borderId="10" xfId="0" applyNumberFormat="1" applyFont="1" applyFill="1" applyBorder="1" applyAlignment="1">
      <alignment horizontal="center" vertical="center" wrapText="1"/>
    </xf>
    <xf numFmtId="165" fontId="3" fillId="12" borderId="10" xfId="0" applyNumberFormat="1" applyFont="1" applyFill="1" applyBorder="1" applyAlignment="1">
      <alignment horizontal="center" vertical="center" wrapText="1"/>
    </xf>
    <xf numFmtId="4" fontId="3" fillId="12" borderId="10" xfId="0" applyNumberFormat="1" applyFont="1" applyFill="1" applyBorder="1" applyAlignment="1">
      <alignment horizontal="center" vertical="center" wrapText="1"/>
    </xf>
    <xf numFmtId="167" fontId="3" fillId="12" borderId="10" xfId="0" applyNumberFormat="1" applyFont="1" applyFill="1" applyBorder="1" applyAlignment="1">
      <alignment horizontal="center" vertical="center" wrapText="1"/>
    </xf>
    <xf numFmtId="168" fontId="3" fillId="12" borderId="10" xfId="0" applyNumberFormat="1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4" fontId="3" fillId="12" borderId="11" xfId="0" applyNumberFormat="1" applyFont="1" applyFill="1" applyBorder="1" applyAlignment="1">
      <alignment horizontal="center" vertical="center" wrapText="1"/>
    </xf>
    <xf numFmtId="165" fontId="3" fillId="12" borderId="11" xfId="0" applyNumberFormat="1" applyFont="1" applyFill="1" applyBorder="1" applyAlignment="1">
      <alignment horizontal="center" vertical="center" wrapText="1"/>
    </xf>
    <xf numFmtId="164" fontId="3" fillId="12" borderId="11" xfId="0" applyNumberFormat="1" applyFont="1" applyFill="1" applyBorder="1" applyAlignment="1">
      <alignment horizontal="center" vertical="center" wrapText="1"/>
    </xf>
    <xf numFmtId="164" fontId="3" fillId="12" borderId="12" xfId="0" applyNumberFormat="1" applyFont="1" applyFill="1" applyBorder="1" applyAlignment="1">
      <alignment horizontal="center" vertical="center" wrapText="1"/>
    </xf>
    <xf numFmtId="165" fontId="3" fillId="12" borderId="12" xfId="0" applyNumberFormat="1" applyFont="1" applyFill="1" applyBorder="1" applyAlignment="1">
      <alignment horizontal="center" vertical="center" wrapText="1"/>
    </xf>
    <xf numFmtId="4" fontId="3" fillId="12" borderId="12" xfId="0" applyNumberFormat="1" applyFont="1" applyFill="1" applyBorder="1" applyAlignment="1">
      <alignment horizontal="center" vertical="center" wrapText="1"/>
    </xf>
    <xf numFmtId="167" fontId="3" fillId="12" borderId="12" xfId="0" applyNumberFormat="1" applyFont="1" applyFill="1" applyBorder="1" applyAlignment="1">
      <alignment horizontal="center" vertical="center" wrapText="1"/>
    </xf>
    <xf numFmtId="168" fontId="3" fillId="12" borderId="12" xfId="0" applyNumberFormat="1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/>
    </xf>
    <xf numFmtId="164" fontId="9" fillId="13" borderId="7" xfId="0" applyNumberFormat="1" applyFont="1" applyFill="1" applyBorder="1" applyAlignment="1">
      <alignment horizontal="center" vertical="center"/>
    </xf>
    <xf numFmtId="164" fontId="9" fillId="13" borderId="8" xfId="0" applyNumberFormat="1" applyFont="1" applyFill="1" applyBorder="1" applyAlignment="1">
      <alignment horizontal="center" vertical="center"/>
    </xf>
    <xf numFmtId="165" fontId="9" fillId="13" borderId="8" xfId="0" applyNumberFormat="1" applyFont="1" applyFill="1" applyBorder="1" applyAlignment="1">
      <alignment horizontal="center" vertical="center"/>
    </xf>
    <xf numFmtId="4" fontId="9" fillId="13" borderId="8" xfId="0" applyNumberFormat="1" applyFont="1" applyFill="1" applyBorder="1" applyAlignment="1">
      <alignment horizontal="center" vertical="center"/>
    </xf>
    <xf numFmtId="167" fontId="9" fillId="13" borderId="8" xfId="0" applyNumberFormat="1" applyFont="1" applyFill="1" applyBorder="1" applyAlignment="1">
      <alignment horizontal="center" vertical="center"/>
    </xf>
    <xf numFmtId="168" fontId="9" fillId="13" borderId="8" xfId="0" applyNumberFormat="1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66" fontId="9" fillId="13" borderId="9" xfId="0" applyNumberFormat="1" applyFont="1" applyFill="1" applyBorder="1" applyAlignment="1">
      <alignment horizontal="center" vertical="center"/>
    </xf>
    <xf numFmtId="164" fontId="9" fillId="13" borderId="10" xfId="0" applyNumberFormat="1" applyFont="1" applyFill="1" applyBorder="1" applyAlignment="1">
      <alignment horizontal="center" vertical="center"/>
    </xf>
    <xf numFmtId="165" fontId="9" fillId="13" borderId="10" xfId="0" applyNumberFormat="1" applyFont="1" applyFill="1" applyBorder="1" applyAlignment="1">
      <alignment horizontal="center" vertical="center"/>
    </xf>
    <xf numFmtId="4" fontId="9" fillId="13" borderId="10" xfId="0" applyNumberFormat="1" applyFont="1" applyFill="1" applyBorder="1" applyAlignment="1">
      <alignment horizontal="center" vertical="center"/>
    </xf>
    <xf numFmtId="167" fontId="9" fillId="13" borderId="10" xfId="0" applyNumberFormat="1" applyFont="1" applyFill="1" applyBorder="1" applyAlignment="1">
      <alignment horizontal="center" vertical="center"/>
    </xf>
    <xf numFmtId="168" fontId="9" fillId="13" borderId="10" xfId="0" applyNumberFormat="1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0" fontId="9" fillId="13" borderId="11" xfId="0" applyFont="1" applyFill="1" applyBorder="1" applyAlignment="1">
      <alignment horizontal="center" vertical="center"/>
    </xf>
    <xf numFmtId="164" fontId="9" fillId="13" borderId="11" xfId="0" applyNumberFormat="1" applyFont="1" applyFill="1" applyBorder="1" applyAlignment="1">
      <alignment horizontal="center" vertical="center"/>
    </xf>
    <xf numFmtId="164" fontId="9" fillId="13" borderId="12" xfId="0" applyNumberFormat="1" applyFont="1" applyFill="1" applyBorder="1" applyAlignment="1">
      <alignment horizontal="center" vertical="center"/>
    </xf>
    <xf numFmtId="165" fontId="9" fillId="13" borderId="12" xfId="0" applyNumberFormat="1" applyFont="1" applyFill="1" applyBorder="1" applyAlignment="1">
      <alignment horizontal="center" vertical="center"/>
    </xf>
    <xf numFmtId="4" fontId="9" fillId="13" borderId="12" xfId="0" applyNumberFormat="1" applyFont="1" applyFill="1" applyBorder="1" applyAlignment="1">
      <alignment horizontal="center" vertical="center"/>
    </xf>
    <xf numFmtId="167" fontId="9" fillId="13" borderId="12" xfId="0" applyNumberFormat="1" applyFont="1" applyFill="1" applyBorder="1" applyAlignment="1">
      <alignment horizontal="center" vertical="center"/>
    </xf>
    <xf numFmtId="168" fontId="9" fillId="13" borderId="12" xfId="0" applyNumberFormat="1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center" vertical="center"/>
    </xf>
    <xf numFmtId="0" fontId="13" fillId="14" borderId="27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0" fillId="15" borderId="28" xfId="0" applyFont="1" applyFill="1" applyBorder="1" applyAlignment="1">
      <alignment horizontal="center" vertical="center"/>
    </xf>
    <xf numFmtId="0" fontId="9" fillId="15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15" borderId="29" xfId="0" applyFont="1" applyFill="1" applyBorder="1" applyAlignment="1">
      <alignment horizontal="center" vertical="center"/>
    </xf>
    <xf numFmtId="0" fontId="9" fillId="15" borderId="22" xfId="0" applyFont="1" applyFill="1" applyBorder="1" applyAlignment="1">
      <alignment horizontal="center" vertical="center"/>
    </xf>
    <xf numFmtId="0" fontId="10" fillId="16" borderId="29" xfId="0" applyFont="1" applyFill="1" applyBorder="1" applyAlignment="1">
      <alignment horizontal="center" vertical="center"/>
    </xf>
    <xf numFmtId="0" fontId="9" fillId="16" borderId="22" xfId="0" applyFont="1" applyFill="1" applyBorder="1" applyAlignment="1">
      <alignment horizontal="center" vertical="center"/>
    </xf>
    <xf numFmtId="0" fontId="10" fillId="16" borderId="30" xfId="0" applyFont="1" applyFill="1" applyBorder="1" applyAlignment="1">
      <alignment horizontal="center" vertical="center"/>
    </xf>
    <xf numFmtId="0" fontId="9" fillId="16" borderId="12" xfId="0" applyFont="1" applyFill="1" applyBorder="1" applyAlignment="1">
      <alignment horizontal="center" vertical="center"/>
    </xf>
    <xf numFmtId="0" fontId="15" fillId="0" borderId="0" xfId="0" applyFont="1"/>
    <xf numFmtId="166" fontId="16" fillId="0" borderId="0" xfId="0" applyNumberFormat="1" applyFont="1"/>
    <xf numFmtId="0" fontId="17" fillId="2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165" fontId="18" fillId="0" borderId="9" xfId="0" applyNumberFormat="1" applyFont="1" applyBorder="1" applyAlignment="1">
      <alignment horizontal="center"/>
    </xf>
    <xf numFmtId="167" fontId="18" fillId="0" borderId="9" xfId="0" applyNumberFormat="1" applyFont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165" fontId="15" fillId="5" borderId="9" xfId="0" applyNumberFormat="1" applyFont="1" applyFill="1" applyBorder="1" applyAlignment="1">
      <alignment horizontal="center"/>
    </xf>
    <xf numFmtId="167" fontId="15" fillId="5" borderId="9" xfId="0" applyNumberFormat="1" applyFont="1" applyFill="1" applyBorder="1" applyAlignment="1">
      <alignment horizontal="center"/>
    </xf>
    <xf numFmtId="0" fontId="18" fillId="0" borderId="0" xfId="0" applyFont="1"/>
    <xf numFmtId="164" fontId="3" fillId="7" borderId="17" xfId="0" applyNumberFormat="1" applyFont="1" applyFill="1" applyBorder="1" applyAlignment="1">
      <alignment horizontal="center" vertical="center" wrapText="1"/>
    </xf>
    <xf numFmtId="164" fontId="3" fillId="7" borderId="19" xfId="0" applyNumberFormat="1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164" fontId="3" fillId="8" borderId="5" xfId="0" applyNumberFormat="1" applyFont="1" applyFill="1" applyBorder="1" applyAlignment="1">
      <alignment horizontal="center" vertical="center" wrapText="1"/>
    </xf>
    <xf numFmtId="164" fontId="3" fillId="8" borderId="6" xfId="0" applyNumberFormat="1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164" fontId="6" fillId="9" borderId="5" xfId="0" applyNumberFormat="1" applyFont="1" applyFill="1" applyBorder="1" applyAlignment="1">
      <alignment horizontal="center" vertical="center" wrapText="1"/>
    </xf>
    <xf numFmtId="164" fontId="6" fillId="9" borderId="6" xfId="0" applyNumberFormat="1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164" fontId="8" fillId="10" borderId="5" xfId="0" applyNumberFormat="1" applyFont="1" applyFill="1" applyBorder="1" applyAlignment="1">
      <alignment horizontal="center" vertical="center" wrapText="1"/>
    </xf>
    <xf numFmtId="164" fontId="8" fillId="10" borderId="6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center" vertical="center" wrapText="1"/>
    </xf>
    <xf numFmtId="164" fontId="6" fillId="3" borderId="6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164" fontId="3" fillId="11" borderId="2" xfId="0" applyNumberFormat="1" applyFont="1" applyFill="1" applyBorder="1" applyAlignment="1">
      <alignment horizontal="center" vertical="center" wrapText="1"/>
    </xf>
    <xf numFmtId="164" fontId="3" fillId="11" borderId="23" xfId="0" applyNumberFormat="1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164" fontId="3" fillId="12" borderId="5" xfId="0" applyNumberFormat="1" applyFont="1" applyFill="1" applyBorder="1" applyAlignment="1">
      <alignment horizontal="center" vertical="center" wrapText="1"/>
    </xf>
    <xf numFmtId="164" fontId="3" fillId="12" borderId="24" xfId="0" applyNumberFormat="1" applyFont="1" applyFill="1" applyBorder="1" applyAlignment="1">
      <alignment horizontal="center" vertical="center" wrapText="1"/>
    </xf>
    <xf numFmtId="0" fontId="9" fillId="13" borderId="25" xfId="0" applyFont="1" applyFill="1" applyBorder="1" applyAlignment="1">
      <alignment horizontal="center" vertical="center"/>
    </xf>
    <xf numFmtId="0" fontId="9" fillId="13" borderId="26" xfId="0" applyFont="1" applyFill="1" applyBorder="1" applyAlignment="1">
      <alignment horizontal="center" vertical="center" wrapText="1"/>
    </xf>
    <xf numFmtId="164" fontId="9" fillId="13" borderId="26" xfId="0" applyNumberFormat="1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5">
    <dxf>
      <font>
        <b/>
        <sz val="11"/>
        <color rgb="FFFF0000"/>
        <name val="Arial"/>
        <charset val="1"/>
      </font>
    </dxf>
    <dxf>
      <font>
        <b/>
        <sz val="11"/>
        <color rgb="FFFF0000"/>
        <name val="Arial"/>
        <charset val="1"/>
      </font>
      <fill>
        <patternFill>
          <bgColor rgb="FFFFC7CE"/>
        </patternFill>
      </fill>
    </dxf>
    <dxf>
      <font>
        <b/>
        <sz val="14"/>
        <color rgb="FF006100"/>
        <name val="Arial"/>
        <charset val="1"/>
      </font>
    </dxf>
    <dxf>
      <font>
        <b/>
        <sz val="14"/>
        <color rgb="FFFF0000"/>
        <name val="Arial"/>
        <charset val="1"/>
      </font>
      <fill>
        <patternFill>
          <bgColor rgb="FFFFC7CE"/>
        </patternFill>
      </fill>
    </dxf>
    <dxf>
      <font>
        <b/>
        <sz val="14"/>
        <color rgb="FFFF0000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48A54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CE4D6"/>
      <rgbColor rgb="FF93CDDD"/>
      <rgbColor rgb="FFFF99CC"/>
      <rgbColor rgb="FFCC99FF"/>
      <rgbColor rgb="FFFFC7CE"/>
      <rgbColor rgb="FF558ED5"/>
      <rgbColor rgb="FF33CCCC"/>
      <rgbColor rgb="FF99CC00"/>
      <rgbColor rgb="FFFFCC00"/>
      <rgbColor rgb="FFFF9900"/>
      <rgbColor rgb="FFE46C0A"/>
      <rgbColor rgb="FF376092"/>
      <rgbColor rgb="FFA6A6A6"/>
      <rgbColor rgb="FF003366"/>
      <rgbColor rgb="FF339966"/>
      <rgbColor rgb="FF0061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rightToLeft="1" tabSelected="1" topLeftCell="C64" zoomScale="85" zoomScaleNormal="85" workbookViewId="0">
      <selection activeCell="I93" sqref="I93"/>
    </sheetView>
  </sheetViews>
  <sheetFormatPr defaultColWidth="8.6640625" defaultRowHeight="18"/>
  <cols>
    <col min="1" max="1" width="4.109375" style="15" customWidth="1"/>
    <col min="2" max="2" width="10.44140625" style="15" customWidth="1"/>
    <col min="3" max="3" width="23.5546875" style="15" customWidth="1"/>
    <col min="4" max="4" width="17" style="15" customWidth="1"/>
    <col min="5" max="5" width="14.21875" style="15" customWidth="1"/>
    <col min="6" max="6" width="43.88671875" style="15" customWidth="1"/>
    <col min="7" max="7" width="8.88671875" style="15" customWidth="1"/>
    <col min="8" max="8" width="13" style="15" customWidth="1"/>
    <col min="9" max="9" width="11.77734375" style="15" customWidth="1"/>
    <col min="10" max="10" width="13.5546875" style="15" customWidth="1"/>
    <col min="11" max="11" width="11.77734375" style="15" customWidth="1"/>
    <col min="12" max="12" width="13.109375" style="15" customWidth="1"/>
    <col min="13" max="13" width="15.21875" style="15" customWidth="1"/>
    <col min="14" max="14" width="19.77734375" style="15" customWidth="1"/>
    <col min="15" max="15" width="17" style="15" customWidth="1"/>
    <col min="16" max="16" width="19" customWidth="1"/>
    <col min="17" max="17" width="16" customWidth="1"/>
    <col min="18" max="18" width="19" customWidth="1"/>
    <col min="19" max="19" width="21" customWidth="1"/>
    <col min="20" max="20" width="16" hidden="1" customWidth="1"/>
    <col min="21" max="21" width="4" customWidth="1"/>
    <col min="22" max="22" width="20" hidden="1" customWidth="1"/>
    <col min="23" max="23" width="16" customWidth="1"/>
  </cols>
  <sheetData>
    <row r="1" spans="1:23" ht="36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V1" s="18" t="s">
        <v>20</v>
      </c>
    </row>
    <row r="2" spans="1:23" ht="18" customHeight="1">
      <c r="A2" s="14">
        <v>1</v>
      </c>
      <c r="B2" s="13" t="s">
        <v>21</v>
      </c>
      <c r="C2" s="12">
        <v>46272</v>
      </c>
      <c r="D2" s="12" t="s">
        <v>22</v>
      </c>
      <c r="E2" s="14" t="s">
        <v>23</v>
      </c>
      <c r="F2" s="20" t="s">
        <v>24</v>
      </c>
      <c r="G2" s="20" t="s">
        <v>25</v>
      </c>
      <c r="H2" s="21">
        <v>50</v>
      </c>
      <c r="I2" s="21">
        <f>H2-5</f>
        <v>45</v>
      </c>
      <c r="J2" s="21">
        <f t="shared" ref="J2:J33" si="0">H2-I2</f>
        <v>5</v>
      </c>
      <c r="K2" s="22">
        <f t="shared" ref="K2:K33" si="1">I2/H2</f>
        <v>0.9</v>
      </c>
      <c r="L2" s="22">
        <f t="shared" ref="L2:L33" si="2">J2/H2</f>
        <v>0.1</v>
      </c>
      <c r="M2" s="23">
        <v>46272</v>
      </c>
      <c r="N2" s="24">
        <v>46280</v>
      </c>
      <c r="O2" s="25">
        <f t="shared" ref="O2:O33" si="3">IF(OR(M2="",N2=""),"",IF($V$2&lt;M2,0,IF($V$2&gt;=N2,1,NETWORKDAYS.INTL(M2,$V$2,"0000110")/MAX(1,NETWORKDAYS.INTL(M2,N2,"0000110")))))</f>
        <v>1</v>
      </c>
      <c r="P2" s="26">
        <f t="shared" ref="P2:P33" si="4">IF(O2="","",O2*H2)</f>
        <v>50</v>
      </c>
      <c r="Q2" s="25">
        <f t="shared" ref="Q2:Q33" si="5">K2</f>
        <v>0.9</v>
      </c>
      <c r="R2" s="27">
        <f t="shared" ref="R2:R33" si="6">IF(O2="","",Q2-O2)</f>
        <v>-9.9999999999999978E-2</v>
      </c>
      <c r="S2" s="28">
        <f t="shared" ref="S2:S33" si="7">IF(O2="","",I2-P2)</f>
        <v>-5</v>
      </c>
      <c r="T2" s="29" t="str">
        <f t="shared" ref="T2:T33" si="8">IF(O2="","",IF(AND(O2=0,Q2=0),"لم يحن موعده",IF(R2&lt;-0.005,"متأخر",IF(R2&gt;0.005,"متقدم","مطابق"))))</f>
        <v>متأخر</v>
      </c>
      <c r="V2" s="30">
        <v>46294</v>
      </c>
    </row>
    <row r="3" spans="1:23" ht="18" customHeight="1">
      <c r="A3" s="14"/>
      <c r="B3" s="13"/>
      <c r="C3" s="12"/>
      <c r="D3" s="12"/>
      <c r="E3" s="14"/>
      <c r="F3" s="31" t="s">
        <v>26</v>
      </c>
      <c r="G3" s="31" t="s">
        <v>25</v>
      </c>
      <c r="H3" s="32">
        <v>106</v>
      </c>
      <c r="I3" s="32">
        <f>H3-9</f>
        <v>97</v>
      </c>
      <c r="J3" s="32">
        <f t="shared" si="0"/>
        <v>9</v>
      </c>
      <c r="K3" s="33">
        <f t="shared" si="1"/>
        <v>0.91509433962264153</v>
      </c>
      <c r="L3" s="33">
        <f t="shared" si="2"/>
        <v>8.4905660377358486E-2</v>
      </c>
      <c r="M3" s="34">
        <v>46272</v>
      </c>
      <c r="N3" s="35">
        <v>46280</v>
      </c>
      <c r="O3" s="36">
        <f t="shared" si="3"/>
        <v>1</v>
      </c>
      <c r="P3" s="37">
        <f t="shared" si="4"/>
        <v>106</v>
      </c>
      <c r="Q3" s="36">
        <f t="shared" si="5"/>
        <v>0.91509433962264153</v>
      </c>
      <c r="R3" s="38">
        <f t="shared" si="6"/>
        <v>-8.4905660377358472E-2</v>
      </c>
      <c r="S3" s="39">
        <f t="shared" si="7"/>
        <v>-9</v>
      </c>
      <c r="T3" s="40" t="str">
        <f t="shared" si="8"/>
        <v>متأخر</v>
      </c>
      <c r="V3" s="11"/>
      <c r="W3" s="11"/>
    </row>
    <row r="4" spans="1:23" ht="18" customHeight="1">
      <c r="A4" s="14"/>
      <c r="B4" s="13"/>
      <c r="C4" s="12"/>
      <c r="D4" s="12"/>
      <c r="E4" s="14"/>
      <c r="F4" s="31" t="s">
        <v>27</v>
      </c>
      <c r="G4" s="31" t="s">
        <v>25</v>
      </c>
      <c r="H4" s="32">
        <v>50</v>
      </c>
      <c r="I4" s="32">
        <f>H4-50</f>
        <v>0</v>
      </c>
      <c r="J4" s="32">
        <f t="shared" si="0"/>
        <v>50</v>
      </c>
      <c r="K4" s="33">
        <f t="shared" si="1"/>
        <v>0</v>
      </c>
      <c r="L4" s="33">
        <f t="shared" si="2"/>
        <v>1</v>
      </c>
      <c r="M4" s="34">
        <v>46295</v>
      </c>
      <c r="N4" s="35">
        <v>46302</v>
      </c>
      <c r="O4" s="36">
        <f t="shared" si="3"/>
        <v>0</v>
      </c>
      <c r="P4" s="37">
        <f t="shared" si="4"/>
        <v>0</v>
      </c>
      <c r="Q4" s="36">
        <f t="shared" si="5"/>
        <v>0</v>
      </c>
      <c r="R4" s="38">
        <f t="shared" si="6"/>
        <v>0</v>
      </c>
      <c r="S4" s="39">
        <f t="shared" si="7"/>
        <v>0</v>
      </c>
      <c r="T4" s="40" t="str">
        <f t="shared" si="8"/>
        <v>لم يحن موعده</v>
      </c>
      <c r="V4" s="11"/>
      <c r="W4" s="11"/>
    </row>
    <row r="5" spans="1:23" ht="34.5" customHeight="1">
      <c r="A5" s="14"/>
      <c r="B5" s="13"/>
      <c r="C5" s="12"/>
      <c r="D5" s="12"/>
      <c r="E5" s="14"/>
      <c r="F5" s="31" t="s">
        <v>28</v>
      </c>
      <c r="G5" s="31" t="s">
        <v>25</v>
      </c>
      <c r="H5" s="32">
        <v>106</v>
      </c>
      <c r="I5" s="32">
        <v>0</v>
      </c>
      <c r="J5" s="32">
        <f t="shared" si="0"/>
        <v>106</v>
      </c>
      <c r="K5" s="33">
        <f t="shared" si="1"/>
        <v>0</v>
      </c>
      <c r="L5" s="33">
        <f t="shared" si="2"/>
        <v>1</v>
      </c>
      <c r="M5" s="34">
        <v>46295</v>
      </c>
      <c r="N5" s="35">
        <v>46302</v>
      </c>
      <c r="O5" s="36">
        <f t="shared" si="3"/>
        <v>0</v>
      </c>
      <c r="P5" s="37">
        <f t="shared" si="4"/>
        <v>0</v>
      </c>
      <c r="Q5" s="36">
        <f t="shared" si="5"/>
        <v>0</v>
      </c>
      <c r="R5" s="38">
        <f t="shared" si="6"/>
        <v>0</v>
      </c>
      <c r="S5" s="39">
        <f t="shared" si="7"/>
        <v>0</v>
      </c>
      <c r="T5" s="40" t="str">
        <f t="shared" si="8"/>
        <v>لم يحن موعده</v>
      </c>
      <c r="V5" s="11"/>
      <c r="W5" s="11"/>
    </row>
    <row r="6" spans="1:23" ht="35.25" customHeight="1">
      <c r="A6" s="14"/>
      <c r="B6" s="13"/>
      <c r="C6" s="12"/>
      <c r="D6" s="12"/>
      <c r="E6" s="14"/>
      <c r="F6" s="41" t="s">
        <v>29</v>
      </c>
      <c r="G6" s="41" t="s">
        <v>25</v>
      </c>
      <c r="H6" s="42">
        <v>50</v>
      </c>
      <c r="I6" s="42">
        <f>H6-50</f>
        <v>0</v>
      </c>
      <c r="J6" s="42">
        <f t="shared" si="0"/>
        <v>50</v>
      </c>
      <c r="K6" s="43">
        <f t="shared" si="1"/>
        <v>0</v>
      </c>
      <c r="L6" s="43">
        <f t="shared" si="2"/>
        <v>1</v>
      </c>
      <c r="M6" s="44">
        <v>46296</v>
      </c>
      <c r="N6" s="45">
        <v>46303</v>
      </c>
      <c r="O6" s="46">
        <f t="shared" si="3"/>
        <v>0</v>
      </c>
      <c r="P6" s="47">
        <f t="shared" si="4"/>
        <v>0</v>
      </c>
      <c r="Q6" s="46">
        <f t="shared" si="5"/>
        <v>0</v>
      </c>
      <c r="R6" s="48">
        <f t="shared" si="6"/>
        <v>0</v>
      </c>
      <c r="S6" s="49">
        <f t="shared" si="7"/>
        <v>0</v>
      </c>
      <c r="T6" s="50" t="str">
        <f t="shared" si="8"/>
        <v>لم يحن موعده</v>
      </c>
      <c r="V6" s="11"/>
      <c r="W6" s="11"/>
    </row>
    <row r="7" spans="1:23" ht="18.75" customHeight="1">
      <c r="A7" s="14"/>
      <c r="B7" s="13"/>
      <c r="C7" s="12"/>
      <c r="D7" s="12"/>
      <c r="E7" s="19" t="s">
        <v>30</v>
      </c>
      <c r="F7" s="51" t="s">
        <v>31</v>
      </c>
      <c r="G7" s="51" t="s">
        <v>32</v>
      </c>
      <c r="H7" s="52">
        <v>4583</v>
      </c>
      <c r="I7" s="52">
        <f>H7-150</f>
        <v>4433</v>
      </c>
      <c r="J7" s="52">
        <f t="shared" si="0"/>
        <v>150</v>
      </c>
      <c r="K7" s="53">
        <f t="shared" si="1"/>
        <v>0.96727034693432246</v>
      </c>
      <c r="L7" s="53">
        <f t="shared" si="2"/>
        <v>3.2729653065677503E-2</v>
      </c>
      <c r="M7" s="54">
        <v>46272</v>
      </c>
      <c r="N7" s="55">
        <v>46280</v>
      </c>
      <c r="O7" s="56">
        <f t="shared" si="3"/>
        <v>1</v>
      </c>
      <c r="P7" s="57">
        <f t="shared" si="4"/>
        <v>4583</v>
      </c>
      <c r="Q7" s="56">
        <f t="shared" si="5"/>
        <v>0.96727034693432246</v>
      </c>
      <c r="R7" s="58">
        <f t="shared" si="6"/>
        <v>-3.2729653065677544E-2</v>
      </c>
      <c r="S7" s="59">
        <f t="shared" si="7"/>
        <v>-150</v>
      </c>
      <c r="T7" s="60" t="str">
        <f t="shared" si="8"/>
        <v>متأخر</v>
      </c>
    </row>
    <row r="8" spans="1:23" ht="18" customHeight="1">
      <c r="A8" s="14"/>
      <c r="B8" s="13"/>
      <c r="C8" s="12"/>
      <c r="D8" s="12"/>
      <c r="E8" s="14" t="s">
        <v>33</v>
      </c>
      <c r="F8" s="20" t="s">
        <v>31</v>
      </c>
      <c r="G8" s="20" t="s">
        <v>32</v>
      </c>
      <c r="H8" s="21">
        <v>5866</v>
      </c>
      <c r="I8" s="21">
        <f>H8-3381</f>
        <v>2485</v>
      </c>
      <c r="J8" s="21">
        <f t="shared" si="0"/>
        <v>3381</v>
      </c>
      <c r="K8" s="22">
        <f t="shared" si="1"/>
        <v>0.4236276849642005</v>
      </c>
      <c r="L8" s="22">
        <f t="shared" si="2"/>
        <v>0.57637231503579955</v>
      </c>
      <c r="M8" s="23">
        <v>46272</v>
      </c>
      <c r="N8" s="24">
        <v>46283</v>
      </c>
      <c r="O8" s="25">
        <f t="shared" si="3"/>
        <v>1</v>
      </c>
      <c r="P8" s="26">
        <f t="shared" si="4"/>
        <v>5866</v>
      </c>
      <c r="Q8" s="25">
        <f t="shared" si="5"/>
        <v>0.4236276849642005</v>
      </c>
      <c r="R8" s="27">
        <f t="shared" si="6"/>
        <v>-0.57637231503579955</v>
      </c>
      <c r="S8" s="28">
        <f t="shared" si="7"/>
        <v>-3381</v>
      </c>
      <c r="T8" s="29" t="str">
        <f t="shared" si="8"/>
        <v>متأخر</v>
      </c>
    </row>
    <row r="9" spans="1:23" ht="18" customHeight="1">
      <c r="A9" s="14"/>
      <c r="B9" s="13"/>
      <c r="C9" s="12"/>
      <c r="D9" s="12"/>
      <c r="E9" s="14"/>
      <c r="F9" s="31" t="s">
        <v>34</v>
      </c>
      <c r="G9" s="31" t="s">
        <v>25</v>
      </c>
      <c r="H9" s="32">
        <v>30</v>
      </c>
      <c r="I9" s="32">
        <f>H9-30</f>
        <v>0</v>
      </c>
      <c r="J9" s="32">
        <f t="shared" si="0"/>
        <v>30</v>
      </c>
      <c r="K9" s="33">
        <f t="shared" si="1"/>
        <v>0</v>
      </c>
      <c r="L9" s="33">
        <f t="shared" si="2"/>
        <v>1</v>
      </c>
      <c r="M9" s="34">
        <v>46283</v>
      </c>
      <c r="N9" s="35">
        <v>46290</v>
      </c>
      <c r="O9" s="36">
        <f t="shared" si="3"/>
        <v>1</v>
      </c>
      <c r="P9" s="37">
        <f t="shared" si="4"/>
        <v>30</v>
      </c>
      <c r="Q9" s="36">
        <f t="shared" si="5"/>
        <v>0</v>
      </c>
      <c r="R9" s="38">
        <f t="shared" si="6"/>
        <v>-1</v>
      </c>
      <c r="S9" s="39">
        <f t="shared" si="7"/>
        <v>-30</v>
      </c>
      <c r="T9" s="40" t="str">
        <f t="shared" si="8"/>
        <v>متأخر</v>
      </c>
    </row>
    <row r="10" spans="1:23" ht="18" customHeight="1">
      <c r="A10" s="14"/>
      <c r="B10" s="13"/>
      <c r="C10" s="12"/>
      <c r="D10" s="12"/>
      <c r="E10" s="14"/>
      <c r="F10" s="31" t="s">
        <v>35</v>
      </c>
      <c r="G10" s="31" t="s">
        <v>25</v>
      </c>
      <c r="H10" s="32">
        <v>19</v>
      </c>
      <c r="I10" s="32">
        <f>H10-12</f>
        <v>7</v>
      </c>
      <c r="J10" s="32">
        <f t="shared" si="0"/>
        <v>12</v>
      </c>
      <c r="K10" s="33">
        <f t="shared" si="1"/>
        <v>0.36842105263157893</v>
      </c>
      <c r="L10" s="33">
        <f t="shared" si="2"/>
        <v>0.63157894736842102</v>
      </c>
      <c r="M10" s="34">
        <v>46278</v>
      </c>
      <c r="N10" s="35">
        <v>46285</v>
      </c>
      <c r="O10" s="36">
        <f t="shared" si="3"/>
        <v>1</v>
      </c>
      <c r="P10" s="37">
        <f t="shared" si="4"/>
        <v>19</v>
      </c>
      <c r="Q10" s="36">
        <f t="shared" si="5"/>
        <v>0.36842105263157893</v>
      </c>
      <c r="R10" s="38">
        <f t="shared" si="6"/>
        <v>-0.63157894736842102</v>
      </c>
      <c r="S10" s="39">
        <f t="shared" si="7"/>
        <v>-12</v>
      </c>
      <c r="T10" s="40" t="str">
        <f t="shared" si="8"/>
        <v>متأخر</v>
      </c>
    </row>
    <row r="11" spans="1:23" ht="35.25" customHeight="1">
      <c r="A11" s="14"/>
      <c r="B11" s="13"/>
      <c r="C11" s="12"/>
      <c r="D11" s="12"/>
      <c r="E11" s="14"/>
      <c r="F11" s="31" t="s">
        <v>36</v>
      </c>
      <c r="G11" s="31" t="s">
        <v>25</v>
      </c>
      <c r="H11" s="32">
        <v>19</v>
      </c>
      <c r="I11" s="32">
        <f>H11-19</f>
        <v>0</v>
      </c>
      <c r="J11" s="32">
        <f t="shared" si="0"/>
        <v>19</v>
      </c>
      <c r="K11" s="33">
        <f t="shared" si="1"/>
        <v>0</v>
      </c>
      <c r="L11" s="33">
        <f t="shared" si="2"/>
        <v>1</v>
      </c>
      <c r="M11" s="34">
        <v>46281</v>
      </c>
      <c r="N11" s="35">
        <v>46288</v>
      </c>
      <c r="O11" s="36">
        <f t="shared" si="3"/>
        <v>1</v>
      </c>
      <c r="P11" s="37">
        <f t="shared" si="4"/>
        <v>19</v>
      </c>
      <c r="Q11" s="36">
        <f t="shared" si="5"/>
        <v>0</v>
      </c>
      <c r="R11" s="38">
        <f t="shared" si="6"/>
        <v>-1</v>
      </c>
      <c r="S11" s="39">
        <f t="shared" si="7"/>
        <v>-19</v>
      </c>
      <c r="T11" s="40" t="str">
        <f t="shared" si="8"/>
        <v>متأخر</v>
      </c>
    </row>
    <row r="12" spans="1:23" ht="18" customHeight="1">
      <c r="A12" s="14"/>
      <c r="B12" s="13"/>
      <c r="C12" s="12"/>
      <c r="D12" s="12"/>
      <c r="E12" s="14"/>
      <c r="F12" s="41" t="s">
        <v>37</v>
      </c>
      <c r="G12" s="41" t="s">
        <v>32</v>
      </c>
      <c r="H12" s="42">
        <v>5866</v>
      </c>
      <c r="I12" s="42">
        <f>H12-5866</f>
        <v>0</v>
      </c>
      <c r="J12" s="42">
        <f t="shared" si="0"/>
        <v>5866</v>
      </c>
      <c r="K12" s="43">
        <f t="shared" si="1"/>
        <v>0</v>
      </c>
      <c r="L12" s="43">
        <f t="shared" si="2"/>
        <v>1</v>
      </c>
      <c r="M12" s="44">
        <v>46307</v>
      </c>
      <c r="N12" s="45">
        <v>46325</v>
      </c>
      <c r="O12" s="46">
        <f t="shared" si="3"/>
        <v>0</v>
      </c>
      <c r="P12" s="47">
        <f t="shared" si="4"/>
        <v>0</v>
      </c>
      <c r="Q12" s="46">
        <f t="shared" si="5"/>
        <v>0</v>
      </c>
      <c r="R12" s="48">
        <f t="shared" si="6"/>
        <v>0</v>
      </c>
      <c r="S12" s="49">
        <f t="shared" si="7"/>
        <v>0</v>
      </c>
      <c r="T12" s="50" t="str">
        <f t="shared" si="8"/>
        <v>لم يحن موعده</v>
      </c>
    </row>
    <row r="13" spans="1:23" ht="18" customHeight="1">
      <c r="A13" s="14"/>
      <c r="B13" s="13"/>
      <c r="C13" s="12"/>
      <c r="D13" s="12"/>
      <c r="E13" s="14" t="s">
        <v>38</v>
      </c>
      <c r="F13" s="20" t="s">
        <v>39</v>
      </c>
      <c r="G13" s="20" t="s">
        <v>32</v>
      </c>
      <c r="H13" s="21">
        <v>3140</v>
      </c>
      <c r="I13" s="21">
        <v>0</v>
      </c>
      <c r="J13" s="21">
        <f t="shared" si="0"/>
        <v>3140</v>
      </c>
      <c r="K13" s="22">
        <f t="shared" si="1"/>
        <v>0</v>
      </c>
      <c r="L13" s="22">
        <f t="shared" si="2"/>
        <v>1</v>
      </c>
      <c r="M13" s="23">
        <v>46285</v>
      </c>
      <c r="N13" s="24">
        <v>46290</v>
      </c>
      <c r="O13" s="25">
        <f t="shared" si="3"/>
        <v>1</v>
      </c>
      <c r="P13" s="26">
        <f t="shared" si="4"/>
        <v>3140</v>
      </c>
      <c r="Q13" s="25">
        <f t="shared" si="5"/>
        <v>0</v>
      </c>
      <c r="R13" s="27">
        <f t="shared" si="6"/>
        <v>-1</v>
      </c>
      <c r="S13" s="28">
        <f t="shared" si="7"/>
        <v>-3140</v>
      </c>
      <c r="T13" s="29" t="str">
        <f t="shared" si="8"/>
        <v>متأخر</v>
      </c>
    </row>
    <row r="14" spans="1:23" ht="18" customHeight="1">
      <c r="A14" s="14"/>
      <c r="B14" s="13"/>
      <c r="C14" s="12"/>
      <c r="D14" s="12"/>
      <c r="E14" s="14"/>
      <c r="F14" s="41" t="s">
        <v>40</v>
      </c>
      <c r="G14" s="41" t="s">
        <v>25</v>
      </c>
      <c r="H14" s="42">
        <v>18</v>
      </c>
      <c r="I14" s="42">
        <f>H14-18</f>
        <v>0</v>
      </c>
      <c r="J14" s="42">
        <f t="shared" si="0"/>
        <v>18</v>
      </c>
      <c r="K14" s="43">
        <f t="shared" si="1"/>
        <v>0</v>
      </c>
      <c r="L14" s="43">
        <f t="shared" si="2"/>
        <v>1</v>
      </c>
      <c r="M14" s="44">
        <v>46285</v>
      </c>
      <c r="N14" s="45">
        <v>46287</v>
      </c>
      <c r="O14" s="46">
        <f t="shared" si="3"/>
        <v>1</v>
      </c>
      <c r="P14" s="47">
        <f t="shared" si="4"/>
        <v>18</v>
      </c>
      <c r="Q14" s="46">
        <f t="shared" si="5"/>
        <v>0</v>
      </c>
      <c r="R14" s="48">
        <f t="shared" si="6"/>
        <v>-1</v>
      </c>
      <c r="S14" s="49">
        <f t="shared" si="7"/>
        <v>-18</v>
      </c>
      <c r="T14" s="50" t="str">
        <f t="shared" si="8"/>
        <v>متأخر</v>
      </c>
    </row>
    <row r="15" spans="1:23" ht="18" customHeight="1">
      <c r="A15" s="14"/>
      <c r="B15" s="13"/>
      <c r="C15" s="12"/>
      <c r="D15" s="12"/>
      <c r="E15" s="14" t="s">
        <v>41</v>
      </c>
      <c r="F15" s="61" t="s">
        <v>42</v>
      </c>
      <c r="G15" s="61" t="s">
        <v>32</v>
      </c>
      <c r="H15" s="62">
        <v>14500</v>
      </c>
      <c r="I15" s="62">
        <f>H15-14500</f>
        <v>0</v>
      </c>
      <c r="J15" s="62">
        <f t="shared" si="0"/>
        <v>14500</v>
      </c>
      <c r="K15" s="63">
        <f t="shared" si="1"/>
        <v>0</v>
      </c>
      <c r="L15" s="63">
        <f t="shared" si="2"/>
        <v>1</v>
      </c>
      <c r="M15" s="64">
        <v>46283</v>
      </c>
      <c r="N15" s="65">
        <v>46294</v>
      </c>
      <c r="O15" s="66">
        <f t="shared" si="3"/>
        <v>1</v>
      </c>
      <c r="P15" s="67">
        <f t="shared" si="4"/>
        <v>14500</v>
      </c>
      <c r="Q15" s="66">
        <f t="shared" si="5"/>
        <v>0</v>
      </c>
      <c r="R15" s="68">
        <f t="shared" si="6"/>
        <v>-1</v>
      </c>
      <c r="S15" s="69">
        <f t="shared" si="7"/>
        <v>-14500</v>
      </c>
      <c r="T15" s="70" t="str">
        <f t="shared" si="8"/>
        <v>متأخر</v>
      </c>
    </row>
    <row r="16" spans="1:23" ht="18" customHeight="1">
      <c r="A16" s="14"/>
      <c r="B16" s="13"/>
      <c r="C16" s="12"/>
      <c r="D16" s="12"/>
      <c r="E16" s="14"/>
      <c r="F16" s="31" t="s">
        <v>43</v>
      </c>
      <c r="G16" s="31" t="s">
        <v>44</v>
      </c>
      <c r="H16" s="32">
        <v>17615</v>
      </c>
      <c r="I16" s="32">
        <f>H16-17615</f>
        <v>0</v>
      </c>
      <c r="J16" s="32">
        <f t="shared" si="0"/>
        <v>17615</v>
      </c>
      <c r="K16" s="33">
        <f t="shared" si="1"/>
        <v>0</v>
      </c>
      <c r="L16" s="33">
        <f t="shared" si="2"/>
        <v>1</v>
      </c>
      <c r="M16" s="34">
        <v>46278</v>
      </c>
      <c r="N16" s="35">
        <v>46283</v>
      </c>
      <c r="O16" s="36">
        <f t="shared" si="3"/>
        <v>1</v>
      </c>
      <c r="P16" s="37">
        <f t="shared" si="4"/>
        <v>17615</v>
      </c>
      <c r="Q16" s="36">
        <f t="shared" si="5"/>
        <v>0</v>
      </c>
      <c r="R16" s="38">
        <f t="shared" si="6"/>
        <v>-1</v>
      </c>
      <c r="S16" s="39">
        <f t="shared" si="7"/>
        <v>-17615</v>
      </c>
      <c r="T16" s="40" t="str">
        <f t="shared" si="8"/>
        <v>متأخر</v>
      </c>
    </row>
    <row r="17" spans="1:20" ht="18" customHeight="1">
      <c r="A17" s="14"/>
      <c r="B17" s="13"/>
      <c r="C17" s="12"/>
      <c r="D17" s="12"/>
      <c r="E17" s="14"/>
      <c r="F17" s="31" t="s">
        <v>45</v>
      </c>
      <c r="G17" s="31" t="s">
        <v>44</v>
      </c>
      <c r="H17" s="32">
        <v>16969</v>
      </c>
      <c r="I17" s="32">
        <f>H17-16969</f>
        <v>0</v>
      </c>
      <c r="J17" s="32">
        <f t="shared" si="0"/>
        <v>16969</v>
      </c>
      <c r="K17" s="33">
        <f t="shared" si="1"/>
        <v>0</v>
      </c>
      <c r="L17" s="33">
        <f t="shared" si="2"/>
        <v>1</v>
      </c>
      <c r="M17" s="34">
        <v>46281</v>
      </c>
      <c r="N17" s="35">
        <v>46288</v>
      </c>
      <c r="O17" s="36">
        <f t="shared" si="3"/>
        <v>1</v>
      </c>
      <c r="P17" s="37">
        <f t="shared" si="4"/>
        <v>16969</v>
      </c>
      <c r="Q17" s="36">
        <f t="shared" si="5"/>
        <v>0</v>
      </c>
      <c r="R17" s="38">
        <f t="shared" si="6"/>
        <v>-1</v>
      </c>
      <c r="S17" s="39">
        <f t="shared" si="7"/>
        <v>-16969</v>
      </c>
      <c r="T17" s="40" t="str">
        <f t="shared" si="8"/>
        <v>متأخر</v>
      </c>
    </row>
    <row r="18" spans="1:20" ht="18" customHeight="1">
      <c r="A18" s="14"/>
      <c r="B18" s="13"/>
      <c r="C18" s="12"/>
      <c r="D18" s="12"/>
      <c r="E18" s="14"/>
      <c r="F18" s="31" t="s">
        <v>46</v>
      </c>
      <c r="G18" s="31" t="s">
        <v>44</v>
      </c>
      <c r="H18" s="32">
        <v>10929</v>
      </c>
      <c r="I18" s="32">
        <f>H18-10929</f>
        <v>0</v>
      </c>
      <c r="J18" s="32">
        <f t="shared" si="0"/>
        <v>10929</v>
      </c>
      <c r="K18" s="33">
        <f t="shared" si="1"/>
        <v>0</v>
      </c>
      <c r="L18" s="33">
        <f t="shared" si="2"/>
        <v>1</v>
      </c>
      <c r="M18" s="34">
        <v>46288</v>
      </c>
      <c r="N18" s="35">
        <v>46293</v>
      </c>
      <c r="O18" s="36">
        <f t="shared" si="3"/>
        <v>1</v>
      </c>
      <c r="P18" s="37">
        <f t="shared" si="4"/>
        <v>10929</v>
      </c>
      <c r="Q18" s="36">
        <f t="shared" si="5"/>
        <v>0</v>
      </c>
      <c r="R18" s="38">
        <f t="shared" si="6"/>
        <v>-1</v>
      </c>
      <c r="S18" s="39">
        <f t="shared" si="7"/>
        <v>-10929</v>
      </c>
      <c r="T18" s="40" t="str">
        <f t="shared" si="8"/>
        <v>متأخر</v>
      </c>
    </row>
    <row r="19" spans="1:20" ht="18" customHeight="1">
      <c r="A19" s="14"/>
      <c r="B19" s="13"/>
      <c r="C19" s="12"/>
      <c r="D19" s="12"/>
      <c r="E19" s="14"/>
      <c r="F19" s="31" t="s">
        <v>47</v>
      </c>
      <c r="G19" s="31" t="s">
        <v>44</v>
      </c>
      <c r="H19" s="32">
        <v>4284.6666666666697</v>
      </c>
      <c r="I19" s="32">
        <v>0</v>
      </c>
      <c r="J19" s="32">
        <f t="shared" si="0"/>
        <v>4284.6666666666697</v>
      </c>
      <c r="K19" s="33">
        <f t="shared" si="1"/>
        <v>0</v>
      </c>
      <c r="L19" s="33">
        <f t="shared" si="2"/>
        <v>1</v>
      </c>
      <c r="M19" s="34">
        <v>46293</v>
      </c>
      <c r="N19" s="35">
        <v>46295</v>
      </c>
      <c r="O19" s="36">
        <f t="shared" si="3"/>
        <v>0.66666666666666663</v>
      </c>
      <c r="P19" s="37">
        <f t="shared" si="4"/>
        <v>2856.4444444444462</v>
      </c>
      <c r="Q19" s="36">
        <f t="shared" si="5"/>
        <v>0</v>
      </c>
      <c r="R19" s="38">
        <f t="shared" si="6"/>
        <v>-0.66666666666666663</v>
      </c>
      <c r="S19" s="39">
        <f t="shared" si="7"/>
        <v>-2856.4444444444462</v>
      </c>
      <c r="T19" s="40" t="str">
        <f t="shared" si="8"/>
        <v>متأخر</v>
      </c>
    </row>
    <row r="20" spans="1:20" ht="18" customHeight="1">
      <c r="A20" s="14"/>
      <c r="B20" s="13"/>
      <c r="C20" s="12"/>
      <c r="D20" s="12"/>
      <c r="E20" s="14"/>
      <c r="F20" s="41" t="s">
        <v>48</v>
      </c>
      <c r="G20" s="41" t="s">
        <v>44</v>
      </c>
      <c r="H20" s="42">
        <v>2677.9166666666702</v>
      </c>
      <c r="I20" s="42">
        <v>0</v>
      </c>
      <c r="J20" s="42">
        <f t="shared" si="0"/>
        <v>2677.9166666666702</v>
      </c>
      <c r="K20" s="43">
        <f t="shared" si="1"/>
        <v>0</v>
      </c>
      <c r="L20" s="43">
        <f t="shared" si="2"/>
        <v>1</v>
      </c>
      <c r="M20" s="44">
        <v>46304</v>
      </c>
      <c r="N20" s="45">
        <v>46306</v>
      </c>
      <c r="O20" s="46">
        <f t="shared" si="3"/>
        <v>0</v>
      </c>
      <c r="P20" s="47">
        <f t="shared" si="4"/>
        <v>0</v>
      </c>
      <c r="Q20" s="46">
        <f t="shared" si="5"/>
        <v>0</v>
      </c>
      <c r="R20" s="48">
        <f t="shared" si="6"/>
        <v>0</v>
      </c>
      <c r="S20" s="49">
        <f t="shared" si="7"/>
        <v>0</v>
      </c>
      <c r="T20" s="50" t="str">
        <f t="shared" si="8"/>
        <v>لم يحن موعده</v>
      </c>
    </row>
    <row r="21" spans="1:20" ht="18" customHeight="1">
      <c r="A21" s="10">
        <v>2</v>
      </c>
      <c r="B21" s="9" t="s">
        <v>49</v>
      </c>
      <c r="C21" s="8">
        <v>46272</v>
      </c>
      <c r="D21" s="7" t="s">
        <v>22</v>
      </c>
      <c r="E21" s="10" t="s">
        <v>23</v>
      </c>
      <c r="F21" s="71" t="s">
        <v>50</v>
      </c>
      <c r="G21" s="71" t="s">
        <v>32</v>
      </c>
      <c r="H21" s="71">
        <v>2007</v>
      </c>
      <c r="I21" s="71">
        <f>H21-306</f>
        <v>1701</v>
      </c>
      <c r="J21" s="71">
        <f t="shared" si="0"/>
        <v>306</v>
      </c>
      <c r="K21" s="72">
        <f t="shared" si="1"/>
        <v>0.84753363228699552</v>
      </c>
      <c r="L21" s="72">
        <f t="shared" si="2"/>
        <v>0.15246636771300448</v>
      </c>
      <c r="M21" s="73">
        <v>46273</v>
      </c>
      <c r="N21" s="74">
        <v>46280</v>
      </c>
      <c r="O21" s="75">
        <f t="shared" si="3"/>
        <v>1</v>
      </c>
      <c r="P21" s="76">
        <f t="shared" si="4"/>
        <v>2007</v>
      </c>
      <c r="Q21" s="75">
        <f t="shared" si="5"/>
        <v>0.84753363228699552</v>
      </c>
      <c r="R21" s="77">
        <f t="shared" si="6"/>
        <v>-0.15246636771300448</v>
      </c>
      <c r="S21" s="78">
        <f t="shared" si="7"/>
        <v>-306</v>
      </c>
      <c r="T21" s="79" t="str">
        <f t="shared" si="8"/>
        <v>متأخر</v>
      </c>
    </row>
    <row r="22" spans="1:20" ht="34.5" customHeight="1">
      <c r="A22" s="10"/>
      <c r="B22" s="9"/>
      <c r="C22" s="9"/>
      <c r="D22" s="7"/>
      <c r="E22" s="10"/>
      <c r="F22" s="71" t="s">
        <v>51</v>
      </c>
      <c r="G22" s="71" t="s">
        <v>25</v>
      </c>
      <c r="H22" s="71">
        <v>24</v>
      </c>
      <c r="I22" s="71">
        <f>H22-14</f>
        <v>10</v>
      </c>
      <c r="J22" s="71">
        <f t="shared" si="0"/>
        <v>14</v>
      </c>
      <c r="K22" s="72">
        <f t="shared" si="1"/>
        <v>0.41666666666666669</v>
      </c>
      <c r="L22" s="72">
        <f t="shared" si="2"/>
        <v>0.58333333333333337</v>
      </c>
      <c r="M22" s="73">
        <v>46274</v>
      </c>
      <c r="N22" s="74">
        <v>46278</v>
      </c>
      <c r="O22" s="75">
        <f t="shared" si="3"/>
        <v>1</v>
      </c>
      <c r="P22" s="76">
        <f t="shared" si="4"/>
        <v>24</v>
      </c>
      <c r="Q22" s="75">
        <f t="shared" si="5"/>
        <v>0.41666666666666669</v>
      </c>
      <c r="R22" s="77">
        <f t="shared" si="6"/>
        <v>-0.58333333333333326</v>
      </c>
      <c r="S22" s="78">
        <f t="shared" si="7"/>
        <v>-14</v>
      </c>
      <c r="T22" s="79" t="str">
        <f t="shared" si="8"/>
        <v>متأخر</v>
      </c>
    </row>
    <row r="23" spans="1:20" ht="18" customHeight="1">
      <c r="A23" s="10"/>
      <c r="B23" s="9"/>
      <c r="C23" s="9"/>
      <c r="D23" s="7"/>
      <c r="E23" s="10"/>
      <c r="F23" s="71" t="s">
        <v>24</v>
      </c>
      <c r="G23" s="71" t="s">
        <v>25</v>
      </c>
      <c r="H23" s="71">
        <v>44</v>
      </c>
      <c r="I23" s="71">
        <f>H23-18</f>
        <v>26</v>
      </c>
      <c r="J23" s="71">
        <f t="shared" si="0"/>
        <v>18</v>
      </c>
      <c r="K23" s="72">
        <f t="shared" si="1"/>
        <v>0.59090909090909094</v>
      </c>
      <c r="L23" s="72">
        <f t="shared" si="2"/>
        <v>0.40909090909090912</v>
      </c>
      <c r="M23" s="73">
        <v>46275</v>
      </c>
      <c r="N23" s="74">
        <v>46280</v>
      </c>
      <c r="O23" s="75">
        <f t="shared" si="3"/>
        <v>1</v>
      </c>
      <c r="P23" s="76">
        <f t="shared" si="4"/>
        <v>44</v>
      </c>
      <c r="Q23" s="75">
        <f t="shared" si="5"/>
        <v>0.59090909090909094</v>
      </c>
      <c r="R23" s="77">
        <f t="shared" si="6"/>
        <v>-0.40909090909090906</v>
      </c>
      <c r="S23" s="78">
        <f t="shared" si="7"/>
        <v>-18</v>
      </c>
      <c r="T23" s="79" t="str">
        <f t="shared" si="8"/>
        <v>متأخر</v>
      </c>
    </row>
    <row r="24" spans="1:20" ht="18" customHeight="1">
      <c r="A24" s="10"/>
      <c r="B24" s="9"/>
      <c r="C24" s="9"/>
      <c r="D24" s="7"/>
      <c r="E24" s="10"/>
      <c r="F24" s="71" t="s">
        <v>52</v>
      </c>
      <c r="G24" s="71" t="s">
        <v>32</v>
      </c>
      <c r="H24" s="71">
        <v>2655</v>
      </c>
      <c r="I24" s="71">
        <f>H24-2655</f>
        <v>0</v>
      </c>
      <c r="J24" s="71">
        <f t="shared" si="0"/>
        <v>2655</v>
      </c>
      <c r="K24" s="72">
        <f t="shared" si="1"/>
        <v>0</v>
      </c>
      <c r="L24" s="72">
        <f t="shared" si="2"/>
        <v>1</v>
      </c>
      <c r="M24" s="73">
        <v>46280</v>
      </c>
      <c r="N24" s="74">
        <v>46285</v>
      </c>
      <c r="O24" s="75">
        <f t="shared" si="3"/>
        <v>1</v>
      </c>
      <c r="P24" s="76">
        <f t="shared" si="4"/>
        <v>2655</v>
      </c>
      <c r="Q24" s="75">
        <f t="shared" si="5"/>
        <v>0</v>
      </c>
      <c r="R24" s="77">
        <f t="shared" si="6"/>
        <v>-1</v>
      </c>
      <c r="S24" s="78">
        <f t="shared" si="7"/>
        <v>-2655</v>
      </c>
      <c r="T24" s="79" t="str">
        <f t="shared" si="8"/>
        <v>متأخر</v>
      </c>
    </row>
    <row r="25" spans="1:20" ht="18" customHeight="1">
      <c r="A25" s="10"/>
      <c r="B25" s="9"/>
      <c r="C25" s="9"/>
      <c r="D25" s="7"/>
      <c r="E25" s="10"/>
      <c r="F25" s="71" t="s">
        <v>27</v>
      </c>
      <c r="G25" s="71" t="s">
        <v>25</v>
      </c>
      <c r="H25" s="71">
        <v>44</v>
      </c>
      <c r="I25" s="71">
        <f>H25-44</f>
        <v>0</v>
      </c>
      <c r="J25" s="71">
        <f t="shared" si="0"/>
        <v>44</v>
      </c>
      <c r="K25" s="72">
        <f t="shared" si="1"/>
        <v>0</v>
      </c>
      <c r="L25" s="72">
        <f t="shared" si="2"/>
        <v>1</v>
      </c>
      <c r="M25" s="73">
        <v>46305</v>
      </c>
      <c r="N25" s="74">
        <v>46312</v>
      </c>
      <c r="O25" s="75">
        <f t="shared" si="3"/>
        <v>0</v>
      </c>
      <c r="P25" s="76">
        <f t="shared" si="4"/>
        <v>0</v>
      </c>
      <c r="Q25" s="75">
        <f t="shared" si="5"/>
        <v>0</v>
      </c>
      <c r="R25" s="77">
        <f t="shared" si="6"/>
        <v>0</v>
      </c>
      <c r="S25" s="78">
        <f t="shared" si="7"/>
        <v>0</v>
      </c>
      <c r="T25" s="79" t="str">
        <f t="shared" si="8"/>
        <v>لم يحن موعده</v>
      </c>
    </row>
    <row r="26" spans="1:20" ht="34.5" customHeight="1">
      <c r="A26" s="10"/>
      <c r="B26" s="9"/>
      <c r="C26" s="9"/>
      <c r="D26" s="7"/>
      <c r="E26" s="10"/>
      <c r="F26" s="71" t="s">
        <v>29</v>
      </c>
      <c r="G26" s="71" t="s">
        <v>25</v>
      </c>
      <c r="H26" s="71">
        <v>44</v>
      </c>
      <c r="I26" s="71">
        <f>H26-44</f>
        <v>0</v>
      </c>
      <c r="J26" s="71">
        <f t="shared" si="0"/>
        <v>44</v>
      </c>
      <c r="K26" s="72">
        <f t="shared" si="1"/>
        <v>0</v>
      </c>
      <c r="L26" s="72">
        <f t="shared" si="2"/>
        <v>1</v>
      </c>
      <c r="M26" s="73">
        <v>46305</v>
      </c>
      <c r="N26" s="74">
        <v>46312</v>
      </c>
      <c r="O26" s="75">
        <f t="shared" si="3"/>
        <v>0</v>
      </c>
      <c r="P26" s="76">
        <f t="shared" si="4"/>
        <v>0</v>
      </c>
      <c r="Q26" s="75">
        <f t="shared" si="5"/>
        <v>0</v>
      </c>
      <c r="R26" s="77">
        <f t="shared" si="6"/>
        <v>0</v>
      </c>
      <c r="S26" s="78">
        <f t="shared" si="7"/>
        <v>0</v>
      </c>
      <c r="T26" s="79" t="str">
        <f t="shared" si="8"/>
        <v>لم يحن موعده</v>
      </c>
    </row>
    <row r="27" spans="1:20" ht="18" customHeight="1">
      <c r="A27" s="10"/>
      <c r="B27" s="9"/>
      <c r="C27" s="9"/>
      <c r="D27" s="7"/>
      <c r="E27" s="10"/>
      <c r="F27" s="71" t="s">
        <v>26</v>
      </c>
      <c r="G27" s="71" t="s">
        <v>25</v>
      </c>
      <c r="H27" s="71">
        <v>127</v>
      </c>
      <c r="I27" s="71">
        <f>H27-55</f>
        <v>72</v>
      </c>
      <c r="J27" s="71">
        <f t="shared" si="0"/>
        <v>55</v>
      </c>
      <c r="K27" s="72">
        <f t="shared" si="1"/>
        <v>0.56692913385826771</v>
      </c>
      <c r="L27" s="72">
        <f t="shared" si="2"/>
        <v>0.43307086614173229</v>
      </c>
      <c r="M27" s="73">
        <v>46275</v>
      </c>
      <c r="N27" s="74">
        <v>46279</v>
      </c>
      <c r="O27" s="75">
        <f t="shared" si="3"/>
        <v>1</v>
      </c>
      <c r="P27" s="76">
        <f t="shared" si="4"/>
        <v>127</v>
      </c>
      <c r="Q27" s="75">
        <f t="shared" si="5"/>
        <v>0.56692913385826771</v>
      </c>
      <c r="R27" s="77">
        <f t="shared" si="6"/>
        <v>-0.43307086614173229</v>
      </c>
      <c r="S27" s="78">
        <f t="shared" si="7"/>
        <v>-55</v>
      </c>
      <c r="T27" s="79" t="str">
        <f t="shared" si="8"/>
        <v>متأخر</v>
      </c>
    </row>
    <row r="28" spans="1:20" ht="35.25" customHeight="1">
      <c r="A28" s="10"/>
      <c r="B28" s="9"/>
      <c r="C28" s="9"/>
      <c r="D28" s="7"/>
      <c r="E28" s="10"/>
      <c r="F28" s="71" t="s">
        <v>28</v>
      </c>
      <c r="G28" s="71" t="s">
        <v>25</v>
      </c>
      <c r="H28" s="71">
        <v>127</v>
      </c>
      <c r="I28" s="71">
        <f>H28-127</f>
        <v>0</v>
      </c>
      <c r="J28" s="71">
        <f t="shared" si="0"/>
        <v>127</v>
      </c>
      <c r="K28" s="72">
        <f t="shared" si="1"/>
        <v>0</v>
      </c>
      <c r="L28" s="72">
        <f t="shared" si="2"/>
        <v>1</v>
      </c>
      <c r="M28" s="73">
        <v>46305</v>
      </c>
      <c r="N28" s="74">
        <v>46312</v>
      </c>
      <c r="O28" s="75">
        <f t="shared" si="3"/>
        <v>0</v>
      </c>
      <c r="P28" s="76">
        <f t="shared" si="4"/>
        <v>0</v>
      </c>
      <c r="Q28" s="75">
        <f t="shared" si="5"/>
        <v>0</v>
      </c>
      <c r="R28" s="77">
        <f t="shared" si="6"/>
        <v>0</v>
      </c>
      <c r="S28" s="78">
        <f t="shared" si="7"/>
        <v>0</v>
      </c>
      <c r="T28" s="79" t="str">
        <f t="shared" si="8"/>
        <v>لم يحن موعده</v>
      </c>
    </row>
    <row r="29" spans="1:20" ht="18" customHeight="1">
      <c r="A29" s="10"/>
      <c r="B29" s="9"/>
      <c r="C29" s="9"/>
      <c r="D29" s="7"/>
      <c r="E29" s="10" t="s">
        <v>53</v>
      </c>
      <c r="F29" s="80" t="s">
        <v>24</v>
      </c>
      <c r="G29" s="80" t="s">
        <v>25</v>
      </c>
      <c r="H29" s="80">
        <v>41</v>
      </c>
      <c r="I29" s="80">
        <f>H29-10</f>
        <v>31</v>
      </c>
      <c r="J29" s="80">
        <f t="shared" si="0"/>
        <v>10</v>
      </c>
      <c r="K29" s="81">
        <f t="shared" si="1"/>
        <v>0.75609756097560976</v>
      </c>
      <c r="L29" s="81">
        <f t="shared" si="2"/>
        <v>0.24390243902439024</v>
      </c>
      <c r="M29" s="82">
        <v>46272</v>
      </c>
      <c r="N29" s="83">
        <v>46280</v>
      </c>
      <c r="O29" s="84">
        <f t="shared" si="3"/>
        <v>1</v>
      </c>
      <c r="P29" s="85">
        <f t="shared" si="4"/>
        <v>41</v>
      </c>
      <c r="Q29" s="84">
        <f t="shared" si="5"/>
        <v>0.75609756097560976</v>
      </c>
      <c r="R29" s="86">
        <f t="shared" si="6"/>
        <v>-0.24390243902439024</v>
      </c>
      <c r="S29" s="87">
        <f t="shared" si="7"/>
        <v>-10</v>
      </c>
      <c r="T29" s="88" t="str">
        <f t="shared" si="8"/>
        <v>متأخر</v>
      </c>
    </row>
    <row r="30" spans="1:20" ht="18" customHeight="1">
      <c r="A30" s="10"/>
      <c r="B30" s="9"/>
      <c r="C30" s="9"/>
      <c r="D30" s="7"/>
      <c r="E30" s="10"/>
      <c r="F30" s="71" t="s">
        <v>50</v>
      </c>
      <c r="G30" s="71" t="s">
        <v>32</v>
      </c>
      <c r="H30" s="71">
        <v>2226</v>
      </c>
      <c r="I30" s="71">
        <f>H30-598</f>
        <v>1628</v>
      </c>
      <c r="J30" s="71">
        <f t="shared" si="0"/>
        <v>598</v>
      </c>
      <c r="K30" s="72">
        <f t="shared" si="1"/>
        <v>0.73135669362084454</v>
      </c>
      <c r="L30" s="72">
        <f t="shared" si="2"/>
        <v>0.26864330637915546</v>
      </c>
      <c r="M30" s="73">
        <v>46272</v>
      </c>
      <c r="N30" s="74">
        <v>46280</v>
      </c>
      <c r="O30" s="75">
        <f t="shared" si="3"/>
        <v>1</v>
      </c>
      <c r="P30" s="76">
        <f t="shared" si="4"/>
        <v>2226</v>
      </c>
      <c r="Q30" s="75">
        <f t="shared" si="5"/>
        <v>0.73135669362084454</v>
      </c>
      <c r="R30" s="77">
        <f t="shared" si="6"/>
        <v>-0.26864330637915546</v>
      </c>
      <c r="S30" s="78">
        <f t="shared" si="7"/>
        <v>-598</v>
      </c>
      <c r="T30" s="79" t="str">
        <f t="shared" si="8"/>
        <v>متأخر</v>
      </c>
    </row>
    <row r="31" spans="1:20" ht="18" customHeight="1">
      <c r="A31" s="10"/>
      <c r="B31" s="9"/>
      <c r="C31" s="9"/>
      <c r="D31" s="7"/>
      <c r="E31" s="10"/>
      <c r="F31" s="71" t="s">
        <v>54</v>
      </c>
      <c r="G31" s="71" t="s">
        <v>25</v>
      </c>
      <c r="H31" s="71">
        <v>41</v>
      </c>
      <c r="I31" s="71">
        <f>H31-41</f>
        <v>0</v>
      </c>
      <c r="J31" s="71">
        <f t="shared" si="0"/>
        <v>41</v>
      </c>
      <c r="K31" s="72">
        <f t="shared" si="1"/>
        <v>0</v>
      </c>
      <c r="L31" s="72">
        <f t="shared" si="2"/>
        <v>1</v>
      </c>
      <c r="M31" s="73">
        <v>46274</v>
      </c>
      <c r="N31" s="74">
        <v>46282</v>
      </c>
      <c r="O31" s="75">
        <f t="shared" si="3"/>
        <v>1</v>
      </c>
      <c r="P31" s="76">
        <f t="shared" si="4"/>
        <v>41</v>
      </c>
      <c r="Q31" s="75">
        <f t="shared" si="5"/>
        <v>0</v>
      </c>
      <c r="R31" s="77">
        <f t="shared" si="6"/>
        <v>-1</v>
      </c>
      <c r="S31" s="78">
        <f t="shared" si="7"/>
        <v>-41</v>
      </c>
      <c r="T31" s="79" t="str">
        <f t="shared" si="8"/>
        <v>متأخر</v>
      </c>
    </row>
    <row r="32" spans="1:20" ht="18" customHeight="1">
      <c r="A32" s="10"/>
      <c r="B32" s="9"/>
      <c r="C32" s="9"/>
      <c r="D32" s="7"/>
      <c r="E32" s="10"/>
      <c r="F32" s="71" t="s">
        <v>55</v>
      </c>
      <c r="G32" s="71" t="s">
        <v>25</v>
      </c>
      <c r="H32" s="71">
        <v>41</v>
      </c>
      <c r="I32" s="71">
        <f>H32-41</f>
        <v>0</v>
      </c>
      <c r="J32" s="71">
        <f t="shared" si="0"/>
        <v>41</v>
      </c>
      <c r="K32" s="72">
        <f t="shared" si="1"/>
        <v>0</v>
      </c>
      <c r="L32" s="72">
        <f t="shared" si="2"/>
        <v>1</v>
      </c>
      <c r="M32" s="73">
        <v>46280</v>
      </c>
      <c r="N32" s="74">
        <v>46282</v>
      </c>
      <c r="O32" s="75">
        <f t="shared" si="3"/>
        <v>1</v>
      </c>
      <c r="P32" s="76">
        <f t="shared" si="4"/>
        <v>41</v>
      </c>
      <c r="Q32" s="75">
        <f t="shared" si="5"/>
        <v>0</v>
      </c>
      <c r="R32" s="77">
        <f t="shared" si="6"/>
        <v>-1</v>
      </c>
      <c r="S32" s="78">
        <f t="shared" si="7"/>
        <v>-41</v>
      </c>
      <c r="T32" s="79" t="str">
        <f t="shared" si="8"/>
        <v>متأخر</v>
      </c>
    </row>
    <row r="33" spans="1:20" ht="18" customHeight="1">
      <c r="A33" s="10"/>
      <c r="B33" s="9"/>
      <c r="C33" s="9"/>
      <c r="D33" s="7"/>
      <c r="E33" s="10"/>
      <c r="F33" s="89" t="s">
        <v>56</v>
      </c>
      <c r="G33" s="89" t="s">
        <v>32</v>
      </c>
      <c r="H33" s="89">
        <v>2226</v>
      </c>
      <c r="I33" s="89">
        <f>H33-598</f>
        <v>1628</v>
      </c>
      <c r="J33" s="89">
        <f t="shared" si="0"/>
        <v>598</v>
      </c>
      <c r="K33" s="90">
        <f t="shared" si="1"/>
        <v>0.73135669362084454</v>
      </c>
      <c r="L33" s="90">
        <f t="shared" si="2"/>
        <v>0.26864330637915546</v>
      </c>
      <c r="M33" s="91">
        <v>46310</v>
      </c>
      <c r="N33" s="92">
        <v>46325</v>
      </c>
      <c r="O33" s="93">
        <f t="shared" si="3"/>
        <v>0</v>
      </c>
      <c r="P33" s="94">
        <f t="shared" si="4"/>
        <v>0</v>
      </c>
      <c r="Q33" s="93">
        <f t="shared" si="5"/>
        <v>0.73135669362084454</v>
      </c>
      <c r="R33" s="95">
        <f t="shared" si="6"/>
        <v>0.73135669362084454</v>
      </c>
      <c r="S33" s="96">
        <f t="shared" si="7"/>
        <v>1628</v>
      </c>
      <c r="T33" s="97" t="str">
        <f t="shared" si="8"/>
        <v>متقدم</v>
      </c>
    </row>
    <row r="34" spans="1:20" ht="18" customHeight="1">
      <c r="A34" s="10"/>
      <c r="B34" s="9"/>
      <c r="C34" s="9"/>
      <c r="D34" s="7"/>
      <c r="E34" s="10" t="s">
        <v>30</v>
      </c>
      <c r="F34" s="80" t="s">
        <v>31</v>
      </c>
      <c r="G34" s="80" t="s">
        <v>32</v>
      </c>
      <c r="H34" s="80">
        <v>2800</v>
      </c>
      <c r="I34" s="80">
        <f>H34-1389</f>
        <v>1411</v>
      </c>
      <c r="J34" s="80">
        <f t="shared" ref="J34:J65" si="9">H34-I34</f>
        <v>1389</v>
      </c>
      <c r="K34" s="81">
        <f t="shared" ref="K34:K65" si="10">I34/H34</f>
        <v>0.50392857142857139</v>
      </c>
      <c r="L34" s="81">
        <f t="shared" ref="L34:L65" si="11">J34/H34</f>
        <v>0.49607142857142855</v>
      </c>
      <c r="M34" s="82">
        <v>46275</v>
      </c>
      <c r="N34" s="83">
        <v>46282</v>
      </c>
      <c r="O34" s="84">
        <f t="shared" ref="O34:O65" si="12">IF(OR(M34="",N34=""),"",IF($V$2&lt;M34,0,IF($V$2&gt;=N34,1,NETWORKDAYS.INTL(M34,$V$2,"0000110")/MAX(1,NETWORKDAYS.INTL(M34,N34,"0000110")))))</f>
        <v>1</v>
      </c>
      <c r="P34" s="85">
        <f t="shared" ref="P34:P65" si="13">IF(O34="","",O34*H34)</f>
        <v>2800</v>
      </c>
      <c r="Q34" s="84">
        <f t="shared" ref="Q34:Q65" si="14">K34</f>
        <v>0.50392857142857139</v>
      </c>
      <c r="R34" s="86">
        <f t="shared" ref="R34:R65" si="15">IF(O34="","",Q34-O34)</f>
        <v>-0.49607142857142861</v>
      </c>
      <c r="S34" s="87">
        <f t="shared" ref="S34:S65" si="16">IF(O34="","",I34-P34)</f>
        <v>-1389</v>
      </c>
      <c r="T34" s="88" t="str">
        <f t="shared" ref="T34:T65" si="17">IF(O34="","",IF(AND(O34=0,Q34=0),"لم يحن موعده",IF(R34&lt;-0.005,"متأخر",IF(R34&gt;0.005,"متقدم","مطابق"))))</f>
        <v>متأخر</v>
      </c>
    </row>
    <row r="35" spans="1:20" ht="18" customHeight="1">
      <c r="A35" s="10"/>
      <c r="B35" s="9"/>
      <c r="C35" s="9"/>
      <c r="D35" s="7"/>
      <c r="E35" s="10"/>
      <c r="F35" s="71" t="s">
        <v>57</v>
      </c>
      <c r="G35" s="71" t="s">
        <v>25</v>
      </c>
      <c r="H35" s="71">
        <v>3</v>
      </c>
      <c r="I35" s="71">
        <f>H35-3</f>
        <v>0</v>
      </c>
      <c r="J35" s="71">
        <f t="shared" si="9"/>
        <v>3</v>
      </c>
      <c r="K35" s="72">
        <f t="shared" si="10"/>
        <v>0</v>
      </c>
      <c r="L35" s="72">
        <f t="shared" si="11"/>
        <v>1</v>
      </c>
      <c r="M35" s="73">
        <v>46283</v>
      </c>
      <c r="N35" s="74">
        <v>46283</v>
      </c>
      <c r="O35" s="75">
        <f t="shared" si="12"/>
        <v>1</v>
      </c>
      <c r="P35" s="76">
        <f t="shared" si="13"/>
        <v>3</v>
      </c>
      <c r="Q35" s="75">
        <f t="shared" si="14"/>
        <v>0</v>
      </c>
      <c r="R35" s="77">
        <f t="shared" si="15"/>
        <v>-1</v>
      </c>
      <c r="S35" s="78">
        <f t="shared" si="16"/>
        <v>-3</v>
      </c>
      <c r="T35" s="79" t="str">
        <f t="shared" si="17"/>
        <v>متأخر</v>
      </c>
    </row>
    <row r="36" spans="1:20" ht="18" customHeight="1">
      <c r="A36" s="10"/>
      <c r="B36" s="9"/>
      <c r="C36" s="9"/>
      <c r="D36" s="7"/>
      <c r="E36" s="10"/>
      <c r="F36" s="71" t="s">
        <v>34</v>
      </c>
      <c r="G36" s="71" t="s">
        <v>25</v>
      </c>
      <c r="H36" s="71">
        <v>19</v>
      </c>
      <c r="I36" s="71">
        <f>H36-19</f>
        <v>0</v>
      </c>
      <c r="J36" s="71">
        <f t="shared" si="9"/>
        <v>19</v>
      </c>
      <c r="K36" s="72">
        <f t="shared" si="10"/>
        <v>0</v>
      </c>
      <c r="L36" s="72">
        <f t="shared" si="11"/>
        <v>1</v>
      </c>
      <c r="M36" s="73">
        <v>46283</v>
      </c>
      <c r="N36" s="74">
        <v>46290</v>
      </c>
      <c r="O36" s="75">
        <f t="shared" si="12"/>
        <v>1</v>
      </c>
      <c r="P36" s="76">
        <f t="shared" si="13"/>
        <v>19</v>
      </c>
      <c r="Q36" s="75">
        <f t="shared" si="14"/>
        <v>0</v>
      </c>
      <c r="R36" s="77">
        <f t="shared" si="15"/>
        <v>-1</v>
      </c>
      <c r="S36" s="78">
        <f t="shared" si="16"/>
        <v>-19</v>
      </c>
      <c r="T36" s="79" t="str">
        <f t="shared" si="17"/>
        <v>متأخر</v>
      </c>
    </row>
    <row r="37" spans="1:20" ht="18" customHeight="1">
      <c r="A37" s="10"/>
      <c r="B37" s="9"/>
      <c r="C37" s="9"/>
      <c r="D37" s="7"/>
      <c r="E37" s="10"/>
      <c r="F37" s="71" t="s">
        <v>58</v>
      </c>
      <c r="G37" s="71" t="s">
        <v>25</v>
      </c>
      <c r="H37" s="71">
        <v>3</v>
      </c>
      <c r="I37" s="71">
        <f>H37-3</f>
        <v>0</v>
      </c>
      <c r="J37" s="71">
        <f t="shared" si="9"/>
        <v>3</v>
      </c>
      <c r="K37" s="72">
        <f t="shared" si="10"/>
        <v>0</v>
      </c>
      <c r="L37" s="72">
        <f t="shared" si="11"/>
        <v>1</v>
      </c>
      <c r="M37" s="73">
        <v>46283</v>
      </c>
      <c r="N37" s="74">
        <v>46290</v>
      </c>
      <c r="O37" s="75">
        <f t="shared" si="12"/>
        <v>1</v>
      </c>
      <c r="P37" s="76">
        <f t="shared" si="13"/>
        <v>3</v>
      </c>
      <c r="Q37" s="75">
        <f t="shared" si="14"/>
        <v>0</v>
      </c>
      <c r="R37" s="77">
        <f t="shared" si="15"/>
        <v>-1</v>
      </c>
      <c r="S37" s="78">
        <f t="shared" si="16"/>
        <v>-3</v>
      </c>
      <c r="T37" s="79" t="str">
        <f t="shared" si="17"/>
        <v>متأخر</v>
      </c>
    </row>
    <row r="38" spans="1:20" ht="18" customHeight="1">
      <c r="A38" s="10"/>
      <c r="B38" s="9"/>
      <c r="C38" s="9"/>
      <c r="D38" s="7"/>
      <c r="E38" s="10"/>
      <c r="F38" s="71" t="s">
        <v>59</v>
      </c>
      <c r="G38" s="71" t="s">
        <v>25</v>
      </c>
      <c r="H38" s="71">
        <v>16</v>
      </c>
      <c r="I38" s="71">
        <f>H38-16</f>
        <v>0</v>
      </c>
      <c r="J38" s="71">
        <f t="shared" si="9"/>
        <v>16</v>
      </c>
      <c r="K38" s="72">
        <f t="shared" si="10"/>
        <v>0</v>
      </c>
      <c r="L38" s="72">
        <f t="shared" si="11"/>
        <v>1</v>
      </c>
      <c r="M38" s="73">
        <v>46296</v>
      </c>
      <c r="N38" s="74">
        <v>46304</v>
      </c>
      <c r="O38" s="75">
        <f t="shared" si="12"/>
        <v>0</v>
      </c>
      <c r="P38" s="76">
        <f t="shared" si="13"/>
        <v>0</v>
      </c>
      <c r="Q38" s="75">
        <f t="shared" si="14"/>
        <v>0</v>
      </c>
      <c r="R38" s="77">
        <f t="shared" si="15"/>
        <v>0</v>
      </c>
      <c r="S38" s="78">
        <f t="shared" si="16"/>
        <v>0</v>
      </c>
      <c r="T38" s="79" t="str">
        <f t="shared" si="17"/>
        <v>لم يحن موعده</v>
      </c>
    </row>
    <row r="39" spans="1:20" ht="18" customHeight="1">
      <c r="A39" s="10"/>
      <c r="B39" s="9"/>
      <c r="C39" s="9"/>
      <c r="D39" s="7"/>
      <c r="E39" s="10"/>
      <c r="F39" s="89" t="s">
        <v>60</v>
      </c>
      <c r="G39" s="89" t="s">
        <v>32</v>
      </c>
      <c r="H39" s="89">
        <v>2800</v>
      </c>
      <c r="I39" s="89">
        <f>H39-2800</f>
        <v>0</v>
      </c>
      <c r="J39" s="89">
        <f t="shared" si="9"/>
        <v>2800</v>
      </c>
      <c r="K39" s="90">
        <f t="shared" si="10"/>
        <v>0</v>
      </c>
      <c r="L39" s="90">
        <f t="shared" si="11"/>
        <v>1</v>
      </c>
      <c r="M39" s="91">
        <v>46310</v>
      </c>
      <c r="N39" s="92">
        <v>46325</v>
      </c>
      <c r="O39" s="93">
        <f t="shared" si="12"/>
        <v>0</v>
      </c>
      <c r="P39" s="94">
        <f t="shared" si="13"/>
        <v>0</v>
      </c>
      <c r="Q39" s="93">
        <f t="shared" si="14"/>
        <v>0</v>
      </c>
      <c r="R39" s="95">
        <f t="shared" si="15"/>
        <v>0</v>
      </c>
      <c r="S39" s="96">
        <f t="shared" si="16"/>
        <v>0</v>
      </c>
      <c r="T39" s="97" t="str">
        <f t="shared" si="17"/>
        <v>لم يحن موعده</v>
      </c>
    </row>
    <row r="40" spans="1:20" ht="18" customHeight="1">
      <c r="A40" s="10"/>
      <c r="B40" s="9"/>
      <c r="C40" s="9"/>
      <c r="D40" s="7"/>
      <c r="E40" s="10" t="s">
        <v>61</v>
      </c>
      <c r="F40" s="80" t="s">
        <v>31</v>
      </c>
      <c r="G40" s="80" t="s">
        <v>32</v>
      </c>
      <c r="H40" s="80">
        <v>3634</v>
      </c>
      <c r="I40" s="80">
        <f>H40-3634</f>
        <v>0</v>
      </c>
      <c r="J40" s="80">
        <f t="shared" si="9"/>
        <v>3634</v>
      </c>
      <c r="K40" s="81">
        <f t="shared" si="10"/>
        <v>0</v>
      </c>
      <c r="L40" s="81">
        <f t="shared" si="11"/>
        <v>1</v>
      </c>
      <c r="M40" s="82">
        <v>46283</v>
      </c>
      <c r="N40" s="83">
        <v>46290</v>
      </c>
      <c r="O40" s="84">
        <f t="shared" si="12"/>
        <v>1</v>
      </c>
      <c r="P40" s="85">
        <f t="shared" si="13"/>
        <v>3634</v>
      </c>
      <c r="Q40" s="84">
        <f t="shared" si="14"/>
        <v>0</v>
      </c>
      <c r="R40" s="86">
        <f t="shared" si="15"/>
        <v>-1</v>
      </c>
      <c r="S40" s="87">
        <f t="shared" si="16"/>
        <v>-3634</v>
      </c>
      <c r="T40" s="88" t="str">
        <f t="shared" si="17"/>
        <v>متأخر</v>
      </c>
    </row>
    <row r="41" spans="1:20" ht="18" customHeight="1">
      <c r="A41" s="10"/>
      <c r="B41" s="9"/>
      <c r="C41" s="9"/>
      <c r="D41" s="7"/>
      <c r="E41" s="10"/>
      <c r="F41" s="71" t="s">
        <v>35</v>
      </c>
      <c r="G41" s="71" t="s">
        <v>25</v>
      </c>
      <c r="H41" s="71">
        <v>3</v>
      </c>
      <c r="I41" s="71">
        <f>H41-3</f>
        <v>0</v>
      </c>
      <c r="J41" s="71">
        <f t="shared" si="9"/>
        <v>3</v>
      </c>
      <c r="K41" s="72">
        <f t="shared" si="10"/>
        <v>0</v>
      </c>
      <c r="L41" s="72">
        <f t="shared" si="11"/>
        <v>1</v>
      </c>
      <c r="M41" s="73">
        <v>46285</v>
      </c>
      <c r="N41" s="74">
        <v>46292</v>
      </c>
      <c r="O41" s="75">
        <f t="shared" si="12"/>
        <v>1</v>
      </c>
      <c r="P41" s="76">
        <f t="shared" si="13"/>
        <v>3</v>
      </c>
      <c r="Q41" s="75">
        <f t="shared" si="14"/>
        <v>0</v>
      </c>
      <c r="R41" s="77">
        <f t="shared" si="15"/>
        <v>-1</v>
      </c>
      <c r="S41" s="78">
        <f t="shared" si="16"/>
        <v>-3</v>
      </c>
      <c r="T41" s="79" t="str">
        <f t="shared" si="17"/>
        <v>متأخر</v>
      </c>
    </row>
    <row r="42" spans="1:20" ht="34.5" customHeight="1">
      <c r="A42" s="10"/>
      <c r="B42" s="9"/>
      <c r="C42" s="9"/>
      <c r="D42" s="7"/>
      <c r="E42" s="10"/>
      <c r="F42" s="71" t="s">
        <v>36</v>
      </c>
      <c r="G42" s="71" t="s">
        <v>25</v>
      </c>
      <c r="H42" s="71">
        <v>3</v>
      </c>
      <c r="I42" s="71">
        <f>H42-3</f>
        <v>0</v>
      </c>
      <c r="J42" s="71">
        <f t="shared" si="9"/>
        <v>3</v>
      </c>
      <c r="K42" s="72">
        <f t="shared" si="10"/>
        <v>0</v>
      </c>
      <c r="L42" s="72">
        <f t="shared" si="11"/>
        <v>1</v>
      </c>
      <c r="M42" s="73">
        <v>46286</v>
      </c>
      <c r="N42" s="74">
        <v>46286</v>
      </c>
      <c r="O42" s="75">
        <f t="shared" si="12"/>
        <v>1</v>
      </c>
      <c r="P42" s="76">
        <f t="shared" si="13"/>
        <v>3</v>
      </c>
      <c r="Q42" s="75">
        <f t="shared" si="14"/>
        <v>0</v>
      </c>
      <c r="R42" s="77">
        <f t="shared" si="15"/>
        <v>-1</v>
      </c>
      <c r="S42" s="78">
        <f t="shared" si="16"/>
        <v>-3</v>
      </c>
      <c r="T42" s="79" t="str">
        <f t="shared" si="17"/>
        <v>متأخر</v>
      </c>
    </row>
    <row r="43" spans="1:20" ht="18" customHeight="1">
      <c r="A43" s="10"/>
      <c r="B43" s="9"/>
      <c r="C43" s="9"/>
      <c r="D43" s="7"/>
      <c r="E43" s="10"/>
      <c r="F43" s="71" t="s">
        <v>34</v>
      </c>
      <c r="G43" s="71" t="s">
        <v>25</v>
      </c>
      <c r="H43" s="71">
        <v>38</v>
      </c>
      <c r="I43" s="71">
        <f>H43-38</f>
        <v>0</v>
      </c>
      <c r="J43" s="71">
        <f t="shared" si="9"/>
        <v>38</v>
      </c>
      <c r="K43" s="72">
        <f t="shared" si="10"/>
        <v>0</v>
      </c>
      <c r="L43" s="72">
        <f t="shared" si="11"/>
        <v>1</v>
      </c>
      <c r="M43" s="73">
        <v>46286</v>
      </c>
      <c r="N43" s="74">
        <v>46293</v>
      </c>
      <c r="O43" s="75">
        <f t="shared" si="12"/>
        <v>1</v>
      </c>
      <c r="P43" s="76">
        <f t="shared" si="13"/>
        <v>38</v>
      </c>
      <c r="Q43" s="75">
        <f t="shared" si="14"/>
        <v>0</v>
      </c>
      <c r="R43" s="77">
        <f t="shared" si="15"/>
        <v>-1</v>
      </c>
      <c r="S43" s="78">
        <f t="shared" si="16"/>
        <v>-38</v>
      </c>
      <c r="T43" s="79" t="str">
        <f t="shared" si="17"/>
        <v>متأخر</v>
      </c>
    </row>
    <row r="44" spans="1:20" ht="18" customHeight="1">
      <c r="A44" s="10"/>
      <c r="B44" s="9"/>
      <c r="C44" s="9"/>
      <c r="D44" s="7"/>
      <c r="E44" s="10"/>
      <c r="F44" s="89" t="s">
        <v>37</v>
      </c>
      <c r="G44" s="89" t="s">
        <v>32</v>
      </c>
      <c r="H44" s="89">
        <v>3634</v>
      </c>
      <c r="I44" s="89">
        <f>H44-3634</f>
        <v>0</v>
      </c>
      <c r="J44" s="89">
        <f t="shared" si="9"/>
        <v>3634</v>
      </c>
      <c r="K44" s="90">
        <f t="shared" si="10"/>
        <v>0</v>
      </c>
      <c r="L44" s="90">
        <f t="shared" si="11"/>
        <v>1</v>
      </c>
      <c r="M44" s="91">
        <v>46310</v>
      </c>
      <c r="N44" s="92">
        <v>46325</v>
      </c>
      <c r="O44" s="93">
        <f t="shared" si="12"/>
        <v>0</v>
      </c>
      <c r="P44" s="94">
        <f t="shared" si="13"/>
        <v>0</v>
      </c>
      <c r="Q44" s="93">
        <f t="shared" si="14"/>
        <v>0</v>
      </c>
      <c r="R44" s="95">
        <f t="shared" si="15"/>
        <v>0</v>
      </c>
      <c r="S44" s="96">
        <f t="shared" si="16"/>
        <v>0</v>
      </c>
      <c r="T44" s="97" t="str">
        <f t="shared" si="17"/>
        <v>لم يحن موعده</v>
      </c>
    </row>
    <row r="45" spans="1:20" ht="34.5" customHeight="1">
      <c r="A45" s="10"/>
      <c r="B45" s="9"/>
      <c r="C45" s="9"/>
      <c r="D45" s="7"/>
      <c r="E45" s="10" t="s">
        <v>62</v>
      </c>
      <c r="F45" s="80" t="s">
        <v>63</v>
      </c>
      <c r="G45" s="80" t="s">
        <v>32</v>
      </c>
      <c r="H45" s="80">
        <v>6600</v>
      </c>
      <c r="I45" s="80">
        <f>H45-6600</f>
        <v>0</v>
      </c>
      <c r="J45" s="80">
        <f t="shared" si="9"/>
        <v>6600</v>
      </c>
      <c r="K45" s="81">
        <f t="shared" si="10"/>
        <v>0</v>
      </c>
      <c r="L45" s="81">
        <f t="shared" si="11"/>
        <v>1</v>
      </c>
      <c r="M45" s="82">
        <v>46283</v>
      </c>
      <c r="N45" s="83">
        <v>46290</v>
      </c>
      <c r="O45" s="84">
        <f t="shared" si="12"/>
        <v>1</v>
      </c>
      <c r="P45" s="85">
        <f t="shared" si="13"/>
        <v>6600</v>
      </c>
      <c r="Q45" s="84">
        <f t="shared" si="14"/>
        <v>0</v>
      </c>
      <c r="R45" s="86">
        <f t="shared" si="15"/>
        <v>-1</v>
      </c>
      <c r="S45" s="87">
        <f t="shared" si="16"/>
        <v>-6600</v>
      </c>
      <c r="T45" s="88" t="str">
        <f t="shared" si="17"/>
        <v>متأخر</v>
      </c>
    </row>
    <row r="46" spans="1:20" ht="18" customHeight="1">
      <c r="A46" s="10"/>
      <c r="B46" s="9"/>
      <c r="C46" s="9"/>
      <c r="D46" s="7"/>
      <c r="E46" s="10"/>
      <c r="F46" s="71" t="s">
        <v>64</v>
      </c>
      <c r="G46" s="71" t="s">
        <v>25</v>
      </c>
      <c r="H46" s="71">
        <v>2</v>
      </c>
      <c r="I46" s="71">
        <f>H46-1</f>
        <v>1</v>
      </c>
      <c r="J46" s="71">
        <f t="shared" si="9"/>
        <v>1</v>
      </c>
      <c r="K46" s="72">
        <f t="shared" si="10"/>
        <v>0.5</v>
      </c>
      <c r="L46" s="72">
        <f t="shared" si="11"/>
        <v>0.5</v>
      </c>
      <c r="M46" s="73">
        <v>46283</v>
      </c>
      <c r="N46" s="74">
        <v>46283</v>
      </c>
      <c r="O46" s="75">
        <f t="shared" si="12"/>
        <v>1</v>
      </c>
      <c r="P46" s="76">
        <f t="shared" si="13"/>
        <v>2</v>
      </c>
      <c r="Q46" s="75">
        <f t="shared" si="14"/>
        <v>0.5</v>
      </c>
      <c r="R46" s="77">
        <f t="shared" si="15"/>
        <v>-0.5</v>
      </c>
      <c r="S46" s="78">
        <f t="shared" si="16"/>
        <v>-1</v>
      </c>
      <c r="T46" s="79" t="str">
        <f t="shared" si="17"/>
        <v>متأخر</v>
      </c>
    </row>
    <row r="47" spans="1:20" ht="34.5" customHeight="1">
      <c r="A47" s="10"/>
      <c r="B47" s="9"/>
      <c r="C47" s="9"/>
      <c r="D47" s="7"/>
      <c r="E47" s="10"/>
      <c r="F47" s="71" t="s">
        <v>65</v>
      </c>
      <c r="G47" s="71" t="s">
        <v>25</v>
      </c>
      <c r="H47" s="71">
        <v>2</v>
      </c>
      <c r="I47" s="71">
        <f>H47-1</f>
        <v>1</v>
      </c>
      <c r="J47" s="71">
        <f t="shared" si="9"/>
        <v>1</v>
      </c>
      <c r="K47" s="72">
        <f t="shared" si="10"/>
        <v>0.5</v>
      </c>
      <c r="L47" s="72">
        <f t="shared" si="11"/>
        <v>0.5</v>
      </c>
      <c r="M47" s="73">
        <v>46285</v>
      </c>
      <c r="N47" s="74">
        <v>46285</v>
      </c>
      <c r="O47" s="75">
        <f t="shared" si="12"/>
        <v>1</v>
      </c>
      <c r="P47" s="76">
        <f t="shared" si="13"/>
        <v>2</v>
      </c>
      <c r="Q47" s="75">
        <f t="shared" si="14"/>
        <v>0.5</v>
      </c>
      <c r="R47" s="77">
        <f t="shared" si="15"/>
        <v>-0.5</v>
      </c>
      <c r="S47" s="78">
        <f t="shared" si="16"/>
        <v>-1</v>
      </c>
      <c r="T47" s="79" t="str">
        <f t="shared" si="17"/>
        <v>متأخر</v>
      </c>
    </row>
    <row r="48" spans="1:20" ht="34.5" customHeight="1">
      <c r="A48" s="10"/>
      <c r="B48" s="9"/>
      <c r="C48" s="9"/>
      <c r="D48" s="7"/>
      <c r="E48" s="10"/>
      <c r="F48" s="89" t="s">
        <v>66</v>
      </c>
      <c r="G48" s="89" t="s">
        <v>25</v>
      </c>
      <c r="H48" s="89">
        <v>2</v>
      </c>
      <c r="I48" s="89">
        <f>H48-1</f>
        <v>1</v>
      </c>
      <c r="J48" s="89">
        <f t="shared" si="9"/>
        <v>1</v>
      </c>
      <c r="K48" s="90">
        <f t="shared" si="10"/>
        <v>0.5</v>
      </c>
      <c r="L48" s="90">
        <f t="shared" si="11"/>
        <v>0.5</v>
      </c>
      <c r="M48" s="91">
        <v>46291</v>
      </c>
      <c r="N48" s="92">
        <v>46291</v>
      </c>
      <c r="O48" s="93">
        <f t="shared" si="12"/>
        <v>1</v>
      </c>
      <c r="P48" s="94">
        <f t="shared" si="13"/>
        <v>2</v>
      </c>
      <c r="Q48" s="93">
        <f t="shared" si="14"/>
        <v>0.5</v>
      </c>
      <c r="R48" s="95">
        <f t="shared" si="15"/>
        <v>-0.5</v>
      </c>
      <c r="S48" s="96">
        <f t="shared" si="16"/>
        <v>-1</v>
      </c>
      <c r="T48" s="97" t="str">
        <f t="shared" si="17"/>
        <v>متأخر</v>
      </c>
    </row>
    <row r="49" spans="1:20" ht="18" customHeight="1">
      <c r="A49" s="10"/>
      <c r="B49" s="9"/>
      <c r="C49" s="9"/>
      <c r="D49" s="7"/>
      <c r="E49" s="10" t="s">
        <v>67</v>
      </c>
      <c r="F49" s="80" t="s">
        <v>63</v>
      </c>
      <c r="G49" s="80" t="s">
        <v>32</v>
      </c>
      <c r="H49" s="80">
        <v>7276</v>
      </c>
      <c r="I49" s="80">
        <f>H49-7276</f>
        <v>0</v>
      </c>
      <c r="J49" s="80">
        <f t="shared" si="9"/>
        <v>7276</v>
      </c>
      <c r="K49" s="81">
        <f t="shared" si="10"/>
        <v>0</v>
      </c>
      <c r="L49" s="81">
        <f t="shared" si="11"/>
        <v>1</v>
      </c>
      <c r="M49" s="82">
        <v>46283</v>
      </c>
      <c r="N49" s="83">
        <v>46291</v>
      </c>
      <c r="O49" s="84">
        <f t="shared" si="12"/>
        <v>1</v>
      </c>
      <c r="P49" s="85">
        <f t="shared" si="13"/>
        <v>7276</v>
      </c>
      <c r="Q49" s="84">
        <f t="shared" si="14"/>
        <v>0</v>
      </c>
      <c r="R49" s="86">
        <f t="shared" si="15"/>
        <v>-1</v>
      </c>
      <c r="S49" s="87">
        <f t="shared" si="16"/>
        <v>-7276</v>
      </c>
      <c r="T49" s="88" t="str">
        <f t="shared" si="17"/>
        <v>متأخر</v>
      </c>
    </row>
    <row r="50" spans="1:20" ht="18" customHeight="1">
      <c r="A50" s="10"/>
      <c r="B50" s="9"/>
      <c r="C50" s="9"/>
      <c r="D50" s="7"/>
      <c r="E50" s="10"/>
      <c r="F50" s="71" t="s">
        <v>68</v>
      </c>
      <c r="G50" s="71" t="s">
        <v>25</v>
      </c>
      <c r="H50" s="71">
        <v>126</v>
      </c>
      <c r="I50" s="71">
        <f>H50-126</f>
        <v>0</v>
      </c>
      <c r="J50" s="71">
        <f t="shared" si="9"/>
        <v>126</v>
      </c>
      <c r="K50" s="72">
        <f t="shared" si="10"/>
        <v>0</v>
      </c>
      <c r="L50" s="72">
        <f t="shared" si="11"/>
        <v>1</v>
      </c>
      <c r="M50" s="73">
        <v>46272</v>
      </c>
      <c r="N50" s="74">
        <v>46287</v>
      </c>
      <c r="O50" s="75">
        <f t="shared" si="12"/>
        <v>1</v>
      </c>
      <c r="P50" s="76">
        <f t="shared" si="13"/>
        <v>126</v>
      </c>
      <c r="Q50" s="75">
        <f t="shared" si="14"/>
        <v>0</v>
      </c>
      <c r="R50" s="77">
        <f t="shared" si="15"/>
        <v>-1</v>
      </c>
      <c r="S50" s="78">
        <f t="shared" si="16"/>
        <v>-126</v>
      </c>
      <c r="T50" s="79" t="str">
        <f t="shared" si="17"/>
        <v>متأخر</v>
      </c>
    </row>
    <row r="51" spans="1:20" ht="18" customHeight="1">
      <c r="A51" s="10"/>
      <c r="B51" s="9"/>
      <c r="C51" s="9"/>
      <c r="D51" s="7"/>
      <c r="E51" s="10"/>
      <c r="F51" s="71" t="s">
        <v>69</v>
      </c>
      <c r="G51" s="71" t="s">
        <v>25</v>
      </c>
      <c r="H51" s="71">
        <v>126</v>
      </c>
      <c r="I51" s="71">
        <f>H51-126</f>
        <v>0</v>
      </c>
      <c r="J51" s="71">
        <f t="shared" si="9"/>
        <v>126</v>
      </c>
      <c r="K51" s="72">
        <f t="shared" si="10"/>
        <v>0</v>
      </c>
      <c r="L51" s="72">
        <f t="shared" si="11"/>
        <v>1</v>
      </c>
      <c r="M51" s="73">
        <v>46278</v>
      </c>
      <c r="N51" s="74">
        <v>46293</v>
      </c>
      <c r="O51" s="75">
        <f t="shared" si="12"/>
        <v>1</v>
      </c>
      <c r="P51" s="76">
        <f t="shared" si="13"/>
        <v>126</v>
      </c>
      <c r="Q51" s="75">
        <f t="shared" si="14"/>
        <v>0</v>
      </c>
      <c r="R51" s="77">
        <f t="shared" si="15"/>
        <v>-1</v>
      </c>
      <c r="S51" s="78">
        <f t="shared" si="16"/>
        <v>-126</v>
      </c>
      <c r="T51" s="79" t="str">
        <f t="shared" si="17"/>
        <v>متأخر</v>
      </c>
    </row>
    <row r="52" spans="1:20" ht="18" customHeight="1">
      <c r="A52" s="10"/>
      <c r="B52" s="9"/>
      <c r="C52" s="9"/>
      <c r="D52" s="7"/>
      <c r="E52" s="10"/>
      <c r="F52" s="89" t="s">
        <v>70</v>
      </c>
      <c r="G52" s="89" t="s">
        <v>25</v>
      </c>
      <c r="H52" s="89">
        <v>126</v>
      </c>
      <c r="I52" s="89">
        <f>H52-126</f>
        <v>0</v>
      </c>
      <c r="J52" s="89">
        <f t="shared" si="9"/>
        <v>126</v>
      </c>
      <c r="K52" s="90">
        <f t="shared" si="10"/>
        <v>0</v>
      </c>
      <c r="L52" s="90">
        <f t="shared" si="11"/>
        <v>1</v>
      </c>
      <c r="M52" s="91">
        <v>46281</v>
      </c>
      <c r="N52" s="92">
        <v>46307</v>
      </c>
      <c r="O52" s="93">
        <f t="shared" si="12"/>
        <v>0.52631578947368418</v>
      </c>
      <c r="P52" s="94">
        <f t="shared" si="13"/>
        <v>66.315789473684205</v>
      </c>
      <c r="Q52" s="93">
        <f t="shared" si="14"/>
        <v>0</v>
      </c>
      <c r="R52" s="95">
        <f t="shared" si="15"/>
        <v>-0.52631578947368418</v>
      </c>
      <c r="S52" s="96">
        <f t="shared" si="16"/>
        <v>-66.315789473684205</v>
      </c>
      <c r="T52" s="97" t="str">
        <f t="shared" si="17"/>
        <v>متأخر</v>
      </c>
    </row>
    <row r="53" spans="1:20" ht="18" customHeight="1">
      <c r="A53" s="10"/>
      <c r="B53" s="9"/>
      <c r="C53" s="9"/>
      <c r="D53" s="7"/>
      <c r="E53" s="10" t="s">
        <v>71</v>
      </c>
      <c r="F53" s="80" t="s">
        <v>39</v>
      </c>
      <c r="G53" s="80" t="s">
        <v>32</v>
      </c>
      <c r="H53" s="80">
        <v>3314</v>
      </c>
      <c r="I53" s="80">
        <f>H53-3314</f>
        <v>0</v>
      </c>
      <c r="J53" s="80">
        <f t="shared" si="9"/>
        <v>3314</v>
      </c>
      <c r="K53" s="81">
        <f t="shared" si="10"/>
        <v>0</v>
      </c>
      <c r="L53" s="81">
        <f t="shared" si="11"/>
        <v>1</v>
      </c>
      <c r="M53" s="82">
        <v>46286</v>
      </c>
      <c r="N53" s="83">
        <v>46295</v>
      </c>
      <c r="O53" s="84">
        <f t="shared" si="12"/>
        <v>0.875</v>
      </c>
      <c r="P53" s="85">
        <f t="shared" si="13"/>
        <v>2899.75</v>
      </c>
      <c r="Q53" s="84">
        <f t="shared" si="14"/>
        <v>0</v>
      </c>
      <c r="R53" s="86">
        <f t="shared" si="15"/>
        <v>-0.875</v>
      </c>
      <c r="S53" s="87">
        <f t="shared" si="16"/>
        <v>-2899.75</v>
      </c>
      <c r="T53" s="88" t="str">
        <f t="shared" si="17"/>
        <v>متأخر</v>
      </c>
    </row>
    <row r="54" spans="1:20" ht="18" customHeight="1">
      <c r="A54" s="10"/>
      <c r="B54" s="9"/>
      <c r="C54" s="9"/>
      <c r="D54" s="7"/>
      <c r="E54" s="10"/>
      <c r="F54" s="89" t="s">
        <v>40</v>
      </c>
      <c r="G54" s="89" t="s">
        <v>25</v>
      </c>
      <c r="H54" s="89">
        <v>18</v>
      </c>
      <c r="I54" s="89">
        <f>H54-18</f>
        <v>0</v>
      </c>
      <c r="J54" s="89">
        <f t="shared" si="9"/>
        <v>18</v>
      </c>
      <c r="K54" s="90">
        <f t="shared" si="10"/>
        <v>0</v>
      </c>
      <c r="L54" s="90">
        <f t="shared" si="11"/>
        <v>1</v>
      </c>
      <c r="M54" s="91">
        <v>46286</v>
      </c>
      <c r="N54" s="92">
        <v>46295</v>
      </c>
      <c r="O54" s="93">
        <f t="shared" si="12"/>
        <v>0.875</v>
      </c>
      <c r="P54" s="94">
        <f t="shared" si="13"/>
        <v>15.75</v>
      </c>
      <c r="Q54" s="93">
        <f t="shared" si="14"/>
        <v>0</v>
      </c>
      <c r="R54" s="95">
        <f t="shared" si="15"/>
        <v>-0.875</v>
      </c>
      <c r="S54" s="96">
        <f t="shared" si="16"/>
        <v>-15.75</v>
      </c>
      <c r="T54" s="97" t="str">
        <f t="shared" si="17"/>
        <v>متأخر</v>
      </c>
    </row>
    <row r="55" spans="1:20" ht="18" customHeight="1">
      <c r="A55" s="10"/>
      <c r="B55" s="9"/>
      <c r="C55" s="9"/>
      <c r="D55" s="7"/>
      <c r="E55" s="10" t="s">
        <v>41</v>
      </c>
      <c r="F55" s="98" t="s">
        <v>43</v>
      </c>
      <c r="G55" s="98" t="s">
        <v>44</v>
      </c>
      <c r="H55" s="98">
        <v>16682</v>
      </c>
      <c r="I55" s="98">
        <f>H55-16682</f>
        <v>0</v>
      </c>
      <c r="J55" s="98">
        <f t="shared" si="9"/>
        <v>16682</v>
      </c>
      <c r="K55" s="99">
        <f t="shared" si="10"/>
        <v>0</v>
      </c>
      <c r="L55" s="99">
        <f t="shared" si="11"/>
        <v>1</v>
      </c>
      <c r="M55" s="100">
        <v>46280</v>
      </c>
      <c r="N55" s="101">
        <v>46284</v>
      </c>
      <c r="O55" s="102">
        <f t="shared" si="12"/>
        <v>1</v>
      </c>
      <c r="P55" s="103">
        <f t="shared" si="13"/>
        <v>16682</v>
      </c>
      <c r="Q55" s="102">
        <f t="shared" si="14"/>
        <v>0</v>
      </c>
      <c r="R55" s="104">
        <f t="shared" si="15"/>
        <v>-1</v>
      </c>
      <c r="S55" s="105">
        <f t="shared" si="16"/>
        <v>-16682</v>
      </c>
      <c r="T55" s="106" t="str">
        <f t="shared" si="17"/>
        <v>متأخر</v>
      </c>
    </row>
    <row r="56" spans="1:20" ht="18" customHeight="1">
      <c r="A56" s="10"/>
      <c r="B56" s="9"/>
      <c r="C56" s="9"/>
      <c r="D56" s="7"/>
      <c r="E56" s="10"/>
      <c r="F56" s="71" t="s">
        <v>45</v>
      </c>
      <c r="G56" s="71" t="s">
        <v>44</v>
      </c>
      <c r="H56" s="71">
        <v>16771</v>
      </c>
      <c r="I56" s="71">
        <f>H56-16771</f>
        <v>0</v>
      </c>
      <c r="J56" s="71">
        <f t="shared" si="9"/>
        <v>16771</v>
      </c>
      <c r="K56" s="72">
        <f t="shared" si="10"/>
        <v>0</v>
      </c>
      <c r="L56" s="72">
        <f t="shared" si="11"/>
        <v>1</v>
      </c>
      <c r="M56" s="73">
        <v>46282</v>
      </c>
      <c r="N56" s="74">
        <v>46290</v>
      </c>
      <c r="O56" s="75">
        <f t="shared" si="12"/>
        <v>1</v>
      </c>
      <c r="P56" s="76">
        <f t="shared" si="13"/>
        <v>16771</v>
      </c>
      <c r="Q56" s="75">
        <f t="shared" si="14"/>
        <v>0</v>
      </c>
      <c r="R56" s="77">
        <f t="shared" si="15"/>
        <v>-1</v>
      </c>
      <c r="S56" s="78">
        <f t="shared" si="16"/>
        <v>-16771</v>
      </c>
      <c r="T56" s="79" t="str">
        <f t="shared" si="17"/>
        <v>متأخر</v>
      </c>
    </row>
    <row r="57" spans="1:20" ht="18" customHeight="1">
      <c r="A57" s="10"/>
      <c r="B57" s="9"/>
      <c r="C57" s="9"/>
      <c r="D57" s="7"/>
      <c r="E57" s="10"/>
      <c r="F57" s="71" t="s">
        <v>46</v>
      </c>
      <c r="G57" s="71" t="s">
        <v>44</v>
      </c>
      <c r="H57" s="71">
        <v>10347</v>
      </c>
      <c r="I57" s="71">
        <f>H57-10347</f>
        <v>0</v>
      </c>
      <c r="J57" s="71">
        <f t="shared" si="9"/>
        <v>10347</v>
      </c>
      <c r="K57" s="72">
        <f t="shared" si="10"/>
        <v>0</v>
      </c>
      <c r="L57" s="72">
        <f t="shared" si="11"/>
        <v>1</v>
      </c>
      <c r="M57" s="73">
        <v>46291</v>
      </c>
      <c r="N57" s="74">
        <v>46295</v>
      </c>
      <c r="O57" s="75">
        <f t="shared" si="12"/>
        <v>0.75</v>
      </c>
      <c r="P57" s="76">
        <f t="shared" si="13"/>
        <v>7760.25</v>
      </c>
      <c r="Q57" s="75">
        <f t="shared" si="14"/>
        <v>0</v>
      </c>
      <c r="R57" s="77">
        <f t="shared" si="15"/>
        <v>-0.75</v>
      </c>
      <c r="S57" s="78">
        <f t="shared" si="16"/>
        <v>-7760.25</v>
      </c>
      <c r="T57" s="79" t="str">
        <f t="shared" si="17"/>
        <v>متأخر</v>
      </c>
    </row>
    <row r="58" spans="1:20" ht="18" customHeight="1">
      <c r="A58" s="10"/>
      <c r="B58" s="9"/>
      <c r="C58" s="9"/>
      <c r="D58" s="7"/>
      <c r="E58" s="10"/>
      <c r="F58" s="71" t="s">
        <v>72</v>
      </c>
      <c r="G58" s="71" t="s">
        <v>44</v>
      </c>
      <c r="H58" s="71">
        <v>4053.3333333333298</v>
      </c>
      <c r="I58" s="71">
        <v>0</v>
      </c>
      <c r="J58" s="71">
        <f t="shared" si="9"/>
        <v>4053.3333333333298</v>
      </c>
      <c r="K58" s="72">
        <f t="shared" si="10"/>
        <v>0</v>
      </c>
      <c r="L58" s="72">
        <f t="shared" si="11"/>
        <v>1</v>
      </c>
      <c r="M58" s="73">
        <v>46298</v>
      </c>
      <c r="N58" s="74">
        <v>46302</v>
      </c>
      <c r="O58" s="75">
        <f t="shared" si="12"/>
        <v>0</v>
      </c>
      <c r="P58" s="76">
        <f t="shared" si="13"/>
        <v>0</v>
      </c>
      <c r="Q58" s="75">
        <f t="shared" si="14"/>
        <v>0</v>
      </c>
      <c r="R58" s="77">
        <f t="shared" si="15"/>
        <v>0</v>
      </c>
      <c r="S58" s="78">
        <f t="shared" si="16"/>
        <v>0</v>
      </c>
      <c r="T58" s="79" t="str">
        <f t="shared" si="17"/>
        <v>لم يحن موعده</v>
      </c>
    </row>
    <row r="59" spans="1:20" ht="18" customHeight="1">
      <c r="A59" s="10"/>
      <c r="B59" s="9"/>
      <c r="C59" s="9"/>
      <c r="D59" s="7"/>
      <c r="E59" s="10"/>
      <c r="F59" s="89" t="s">
        <v>72</v>
      </c>
      <c r="G59" s="89" t="s">
        <v>44</v>
      </c>
      <c r="H59" s="89">
        <v>2533.3333333333298</v>
      </c>
      <c r="I59" s="89">
        <v>0</v>
      </c>
      <c r="J59" s="89">
        <f t="shared" si="9"/>
        <v>2533.3333333333298</v>
      </c>
      <c r="K59" s="90">
        <f t="shared" si="10"/>
        <v>0</v>
      </c>
      <c r="L59" s="90">
        <f t="shared" si="11"/>
        <v>1</v>
      </c>
      <c r="M59" s="91">
        <v>46320</v>
      </c>
      <c r="N59" s="92">
        <v>46321</v>
      </c>
      <c r="O59" s="93">
        <f t="shared" si="12"/>
        <v>0</v>
      </c>
      <c r="P59" s="94">
        <f t="shared" si="13"/>
        <v>0</v>
      </c>
      <c r="Q59" s="93">
        <f t="shared" si="14"/>
        <v>0</v>
      </c>
      <c r="R59" s="95">
        <f t="shared" si="15"/>
        <v>0</v>
      </c>
      <c r="S59" s="96">
        <f t="shared" si="16"/>
        <v>0</v>
      </c>
      <c r="T59" s="97" t="str">
        <f t="shared" si="17"/>
        <v>لم يحن موعده</v>
      </c>
    </row>
    <row r="60" spans="1:20" ht="36" customHeight="1">
      <c r="A60" s="6">
        <v>3</v>
      </c>
      <c r="B60" s="5" t="s">
        <v>73</v>
      </c>
      <c r="C60" s="4">
        <v>46287</v>
      </c>
      <c r="D60" s="3" t="s">
        <v>22</v>
      </c>
      <c r="E60" s="108" t="s">
        <v>62</v>
      </c>
      <c r="F60" s="109" t="s">
        <v>63</v>
      </c>
      <c r="G60" s="109" t="s">
        <v>32</v>
      </c>
      <c r="H60" s="110">
        <v>641</v>
      </c>
      <c r="I60" s="110">
        <f>H60-0</f>
        <v>641</v>
      </c>
      <c r="J60" s="110">
        <f t="shared" si="9"/>
        <v>0</v>
      </c>
      <c r="K60" s="111">
        <f t="shared" si="10"/>
        <v>1</v>
      </c>
      <c r="L60" s="111">
        <f t="shared" si="11"/>
        <v>0</v>
      </c>
      <c r="M60" s="112">
        <v>46287</v>
      </c>
      <c r="N60" s="113">
        <v>46289</v>
      </c>
      <c r="O60" s="114">
        <f t="shared" si="12"/>
        <v>1</v>
      </c>
      <c r="P60" s="115">
        <f t="shared" si="13"/>
        <v>641</v>
      </c>
      <c r="Q60" s="114">
        <f t="shared" si="14"/>
        <v>1</v>
      </c>
      <c r="R60" s="116">
        <f t="shared" si="15"/>
        <v>0</v>
      </c>
      <c r="S60" s="117">
        <f t="shared" si="16"/>
        <v>0</v>
      </c>
      <c r="T60" s="118" t="str">
        <f t="shared" si="17"/>
        <v>مطابق</v>
      </c>
    </row>
    <row r="61" spans="1:20" ht="18.75" customHeight="1">
      <c r="A61" s="6"/>
      <c r="B61" s="5"/>
      <c r="C61" s="5"/>
      <c r="D61" s="3"/>
      <c r="E61" s="108" t="s">
        <v>41</v>
      </c>
      <c r="F61" s="109" t="s">
        <v>74</v>
      </c>
      <c r="G61" s="109" t="s">
        <v>44</v>
      </c>
      <c r="H61" s="110">
        <v>865</v>
      </c>
      <c r="I61" s="110">
        <v>0</v>
      </c>
      <c r="J61" s="110">
        <f t="shared" si="9"/>
        <v>865</v>
      </c>
      <c r="K61" s="111">
        <f t="shared" si="10"/>
        <v>0</v>
      </c>
      <c r="L61" s="111">
        <f t="shared" si="11"/>
        <v>1</v>
      </c>
      <c r="M61" s="112">
        <v>46311</v>
      </c>
      <c r="N61" s="113">
        <v>46311</v>
      </c>
      <c r="O61" s="114">
        <f t="shared" si="12"/>
        <v>0</v>
      </c>
      <c r="P61" s="115">
        <f t="shared" si="13"/>
        <v>0</v>
      </c>
      <c r="Q61" s="114">
        <f t="shared" si="14"/>
        <v>0</v>
      </c>
      <c r="R61" s="116">
        <f t="shared" si="15"/>
        <v>0</v>
      </c>
      <c r="S61" s="117">
        <f t="shared" si="16"/>
        <v>0</v>
      </c>
      <c r="T61" s="118" t="str">
        <f t="shared" si="17"/>
        <v>لم يحن موعده</v>
      </c>
    </row>
    <row r="62" spans="1:20" ht="18.75" customHeight="1">
      <c r="A62" s="6"/>
      <c r="B62" s="5"/>
      <c r="C62" s="5"/>
      <c r="D62" s="3"/>
      <c r="E62" s="107" t="s">
        <v>61</v>
      </c>
      <c r="F62" s="109" t="s">
        <v>31</v>
      </c>
      <c r="G62" s="109" t="s">
        <v>32</v>
      </c>
      <c r="H62" s="110">
        <v>694</v>
      </c>
      <c r="I62" s="110">
        <f>H62-694</f>
        <v>0</v>
      </c>
      <c r="J62" s="110">
        <f t="shared" si="9"/>
        <v>694</v>
      </c>
      <c r="K62" s="111">
        <f t="shared" si="10"/>
        <v>0</v>
      </c>
      <c r="L62" s="111">
        <f t="shared" si="11"/>
        <v>1</v>
      </c>
      <c r="M62" s="112">
        <v>46310</v>
      </c>
      <c r="N62" s="113">
        <v>46325</v>
      </c>
      <c r="O62" s="114">
        <f t="shared" si="12"/>
        <v>0</v>
      </c>
      <c r="P62" s="115">
        <f t="shared" si="13"/>
        <v>0</v>
      </c>
      <c r="Q62" s="114">
        <f t="shared" si="14"/>
        <v>0</v>
      </c>
      <c r="R62" s="116">
        <f t="shared" si="15"/>
        <v>0</v>
      </c>
      <c r="S62" s="117">
        <f t="shared" si="16"/>
        <v>0</v>
      </c>
      <c r="T62" s="118" t="str">
        <f t="shared" si="17"/>
        <v>لم يحن موعده</v>
      </c>
    </row>
    <row r="63" spans="1:20" ht="18" customHeight="1">
      <c r="A63" s="2">
        <v>4</v>
      </c>
      <c r="B63" s="1" t="s">
        <v>75</v>
      </c>
      <c r="C63" s="347">
        <v>46275</v>
      </c>
      <c r="D63" s="348">
        <v>46309</v>
      </c>
      <c r="E63" s="349"/>
      <c r="F63" s="119" t="s">
        <v>47</v>
      </c>
      <c r="G63" s="119" t="s">
        <v>44</v>
      </c>
      <c r="H63" s="120">
        <v>668.66666666666697</v>
      </c>
      <c r="I63" s="120">
        <v>271.64999999999998</v>
      </c>
      <c r="J63" s="120">
        <f t="shared" si="9"/>
        <v>397.01666666666699</v>
      </c>
      <c r="K63" s="121">
        <f t="shared" si="10"/>
        <v>0.40625623130608152</v>
      </c>
      <c r="L63" s="121">
        <f t="shared" si="11"/>
        <v>0.59374376869391843</v>
      </c>
      <c r="M63" s="122">
        <v>46275</v>
      </c>
      <c r="N63" s="123">
        <v>46276</v>
      </c>
      <c r="O63" s="124">
        <f t="shared" si="12"/>
        <v>1</v>
      </c>
      <c r="P63" s="125">
        <f t="shared" si="13"/>
        <v>668.66666666666697</v>
      </c>
      <c r="Q63" s="124">
        <f t="shared" si="14"/>
        <v>0.40625623130608152</v>
      </c>
      <c r="R63" s="126">
        <f t="shared" si="15"/>
        <v>-0.59374376869391843</v>
      </c>
      <c r="S63" s="127">
        <f t="shared" si="16"/>
        <v>-397.01666666666699</v>
      </c>
      <c r="T63" s="128" t="str">
        <f t="shared" si="17"/>
        <v>متأخر</v>
      </c>
    </row>
    <row r="64" spans="1:20" ht="18" customHeight="1">
      <c r="A64" s="2"/>
      <c r="B64" s="1"/>
      <c r="C64" s="1"/>
      <c r="D64" s="348"/>
      <c r="E64" s="349"/>
      <c r="F64" s="119" t="s">
        <v>42</v>
      </c>
      <c r="G64" s="119" t="s">
        <v>32</v>
      </c>
      <c r="H64" s="120">
        <v>7380</v>
      </c>
      <c r="I64" s="120">
        <f>H64-7380</f>
        <v>0</v>
      </c>
      <c r="J64" s="120">
        <f t="shared" si="9"/>
        <v>7380</v>
      </c>
      <c r="K64" s="121">
        <f t="shared" si="10"/>
        <v>0</v>
      </c>
      <c r="L64" s="121">
        <f t="shared" si="11"/>
        <v>1</v>
      </c>
      <c r="M64" s="122">
        <v>46278</v>
      </c>
      <c r="N64" s="123">
        <v>46290</v>
      </c>
      <c r="O64" s="124">
        <f t="shared" si="12"/>
        <v>1</v>
      </c>
      <c r="P64" s="125">
        <f t="shared" si="13"/>
        <v>7380</v>
      </c>
      <c r="Q64" s="124">
        <f t="shared" si="14"/>
        <v>0</v>
      </c>
      <c r="R64" s="126">
        <f t="shared" si="15"/>
        <v>-1</v>
      </c>
      <c r="S64" s="127">
        <f t="shared" si="16"/>
        <v>-7380</v>
      </c>
      <c r="T64" s="128" t="str">
        <f t="shared" si="17"/>
        <v>متأخر</v>
      </c>
    </row>
    <row r="65" spans="1:20" ht="18" customHeight="1">
      <c r="A65" s="2"/>
      <c r="B65" s="1"/>
      <c r="C65" s="1"/>
      <c r="D65" s="348"/>
      <c r="E65" s="349"/>
      <c r="F65" s="129" t="s">
        <v>74</v>
      </c>
      <c r="G65" s="129" t="s">
        <v>44</v>
      </c>
      <c r="H65" s="130">
        <v>417.91666666666703</v>
      </c>
      <c r="I65" s="130">
        <v>0</v>
      </c>
      <c r="J65" s="130">
        <f t="shared" si="9"/>
        <v>417.91666666666703</v>
      </c>
      <c r="K65" s="131">
        <f t="shared" si="10"/>
        <v>0</v>
      </c>
      <c r="L65" s="131">
        <f t="shared" si="11"/>
        <v>1</v>
      </c>
      <c r="M65" s="132">
        <v>46308</v>
      </c>
      <c r="N65" s="133">
        <v>46309</v>
      </c>
      <c r="O65" s="134">
        <f t="shared" si="12"/>
        <v>0</v>
      </c>
      <c r="P65" s="135">
        <f t="shared" si="13"/>
        <v>0</v>
      </c>
      <c r="Q65" s="134">
        <f t="shared" si="14"/>
        <v>0</v>
      </c>
      <c r="R65" s="136">
        <f t="shared" si="15"/>
        <v>0</v>
      </c>
      <c r="S65" s="137">
        <f t="shared" si="16"/>
        <v>0</v>
      </c>
      <c r="T65" s="138" t="str">
        <f t="shared" si="17"/>
        <v>لم يحن موعده</v>
      </c>
    </row>
    <row r="66" spans="1:20" ht="18" customHeight="1">
      <c r="A66" s="350">
        <v>5</v>
      </c>
      <c r="B66" s="351" t="s">
        <v>76</v>
      </c>
      <c r="C66" s="352">
        <v>46272</v>
      </c>
      <c r="D66" s="353">
        <v>46307</v>
      </c>
      <c r="E66" s="350" t="s">
        <v>41</v>
      </c>
      <c r="F66" s="139" t="s">
        <v>42</v>
      </c>
      <c r="G66" s="139" t="s">
        <v>32</v>
      </c>
      <c r="H66" s="140">
        <v>3478</v>
      </c>
      <c r="I66" s="140">
        <f>H66-0</f>
        <v>3478</v>
      </c>
      <c r="J66" s="140">
        <f t="shared" ref="J66:J97" si="18">H66-I66</f>
        <v>0</v>
      </c>
      <c r="K66" s="141">
        <f t="shared" ref="K66:K93" si="19">I66/H66</f>
        <v>1</v>
      </c>
      <c r="L66" s="141">
        <f t="shared" ref="L66:L93" si="20">J66/H66</f>
        <v>0</v>
      </c>
      <c r="M66" s="142">
        <v>46272</v>
      </c>
      <c r="N66" s="143">
        <v>46286</v>
      </c>
      <c r="O66" s="144">
        <f t="shared" ref="O66:O97" si="21">IF(OR(M66="",N66=""),"",IF($V$2&lt;M66,0,IF($V$2&gt;=N66,1,NETWORKDAYS.INTL(M66,$V$2,"0000110")/MAX(1,NETWORKDAYS.INTL(M66,N66,"0000110")))))</f>
        <v>1</v>
      </c>
      <c r="P66" s="145">
        <f t="shared" ref="P66:P97" si="22">IF(O66="","",O66*H66)</f>
        <v>3478</v>
      </c>
      <c r="Q66" s="144">
        <f t="shared" ref="Q66:Q93" si="23">K66</f>
        <v>1</v>
      </c>
      <c r="R66" s="146">
        <f t="shared" ref="R66:R97" si="24">IF(O66="","",Q66-O66)</f>
        <v>0</v>
      </c>
      <c r="S66" s="147">
        <f t="shared" ref="S66:S93" si="25">IF(O66="","",I66-P66)</f>
        <v>0</v>
      </c>
      <c r="T66" s="148" t="str">
        <f t="shared" ref="T66:T93" si="26">IF(O66="","",IF(AND(O66=0,Q66=0),"لم يحن موعده",IF(R66&lt;-0.005,"متأخر",IF(R66&gt;0.005,"متقدم","مطابق"))))</f>
        <v>مطابق</v>
      </c>
    </row>
    <row r="67" spans="1:20" s="159" customFormat="1" ht="18" customHeight="1">
      <c r="A67" s="350"/>
      <c r="B67" s="351"/>
      <c r="C67" s="351"/>
      <c r="D67" s="353"/>
      <c r="E67" s="350"/>
      <c r="F67" s="149" t="s">
        <v>74</v>
      </c>
      <c r="G67" s="149" t="s">
        <v>44</v>
      </c>
      <c r="H67" s="150">
        <v>1414.32</v>
      </c>
      <c r="I67" s="150">
        <v>0</v>
      </c>
      <c r="J67" s="150">
        <f t="shared" si="18"/>
        <v>1414.32</v>
      </c>
      <c r="K67" s="151">
        <f t="shared" si="19"/>
        <v>0</v>
      </c>
      <c r="L67" s="151">
        <f t="shared" si="20"/>
        <v>1</v>
      </c>
      <c r="M67" s="152">
        <v>46306</v>
      </c>
      <c r="N67" s="153">
        <v>46307</v>
      </c>
      <c r="O67" s="154">
        <f t="shared" si="21"/>
        <v>0</v>
      </c>
      <c r="P67" s="155">
        <f t="shared" si="22"/>
        <v>0</v>
      </c>
      <c r="Q67" s="154">
        <f t="shared" si="23"/>
        <v>0</v>
      </c>
      <c r="R67" s="156">
        <f t="shared" si="24"/>
        <v>0</v>
      </c>
      <c r="S67" s="157">
        <f t="shared" si="25"/>
        <v>0</v>
      </c>
      <c r="T67" s="158" t="str">
        <f t="shared" si="26"/>
        <v>لم يحن موعده</v>
      </c>
    </row>
    <row r="68" spans="1:20" s="159" customFormat="1" ht="24" customHeight="1">
      <c r="A68" s="354">
        <v>6</v>
      </c>
      <c r="B68" s="355" t="s">
        <v>77</v>
      </c>
      <c r="C68" s="356">
        <v>46272</v>
      </c>
      <c r="D68" s="357">
        <v>46305</v>
      </c>
      <c r="E68" s="354" t="s">
        <v>41</v>
      </c>
      <c r="F68" s="160" t="s">
        <v>42</v>
      </c>
      <c r="G68" s="160" t="s">
        <v>32</v>
      </c>
      <c r="H68" s="161">
        <v>3321</v>
      </c>
      <c r="I68" s="161">
        <f>H68-0</f>
        <v>3321</v>
      </c>
      <c r="J68" s="161">
        <f t="shared" si="18"/>
        <v>0</v>
      </c>
      <c r="K68" s="162">
        <f t="shared" si="19"/>
        <v>1</v>
      </c>
      <c r="L68" s="162">
        <f t="shared" si="20"/>
        <v>0</v>
      </c>
      <c r="M68" s="163">
        <v>46272</v>
      </c>
      <c r="N68" s="164">
        <v>46286</v>
      </c>
      <c r="O68" s="165">
        <f t="shared" si="21"/>
        <v>1</v>
      </c>
      <c r="P68" s="166">
        <f t="shared" si="22"/>
        <v>3321</v>
      </c>
      <c r="Q68" s="165">
        <f t="shared" si="23"/>
        <v>1</v>
      </c>
      <c r="R68" s="167">
        <f t="shared" si="24"/>
        <v>0</v>
      </c>
      <c r="S68" s="168">
        <f t="shared" si="25"/>
        <v>0</v>
      </c>
      <c r="T68" s="169" t="str">
        <f t="shared" si="26"/>
        <v>مطابق</v>
      </c>
    </row>
    <row r="69" spans="1:20" s="159" customFormat="1" ht="24" customHeight="1">
      <c r="A69" s="354"/>
      <c r="B69" s="355"/>
      <c r="C69" s="355"/>
      <c r="D69" s="357"/>
      <c r="E69" s="354"/>
      <c r="F69" s="170" t="s">
        <v>74</v>
      </c>
      <c r="G69" s="170" t="s">
        <v>44</v>
      </c>
      <c r="H69" s="171">
        <v>1401.6</v>
      </c>
      <c r="I69" s="171">
        <v>0</v>
      </c>
      <c r="J69" s="171">
        <f t="shared" si="18"/>
        <v>1401.6</v>
      </c>
      <c r="K69" s="172">
        <f t="shared" si="19"/>
        <v>0</v>
      </c>
      <c r="L69" s="172">
        <f t="shared" si="20"/>
        <v>1</v>
      </c>
      <c r="M69" s="173">
        <v>46304</v>
      </c>
      <c r="N69" s="174">
        <v>46305</v>
      </c>
      <c r="O69" s="175">
        <f t="shared" si="21"/>
        <v>0</v>
      </c>
      <c r="P69" s="176">
        <f t="shared" si="22"/>
        <v>0</v>
      </c>
      <c r="Q69" s="175">
        <f t="shared" si="23"/>
        <v>0</v>
      </c>
      <c r="R69" s="177">
        <f t="shared" si="24"/>
        <v>0</v>
      </c>
      <c r="S69" s="178">
        <f t="shared" si="25"/>
        <v>0</v>
      </c>
      <c r="T69" s="179" t="str">
        <f t="shared" si="26"/>
        <v>لم يحن موعده</v>
      </c>
    </row>
    <row r="70" spans="1:20" s="159" customFormat="1" ht="24" customHeight="1">
      <c r="A70" s="358">
        <v>7</v>
      </c>
      <c r="B70" s="359" t="s">
        <v>78</v>
      </c>
      <c r="C70" s="360">
        <v>46272</v>
      </c>
      <c r="D70" s="361">
        <v>46303</v>
      </c>
      <c r="E70" s="358" t="s">
        <v>41</v>
      </c>
      <c r="F70" s="180" t="s">
        <v>42</v>
      </c>
      <c r="G70" s="180" t="s">
        <v>32</v>
      </c>
      <c r="H70" s="181">
        <v>3147</v>
      </c>
      <c r="I70" s="181">
        <f>H70-0</f>
        <v>3147</v>
      </c>
      <c r="J70" s="181">
        <f t="shared" si="18"/>
        <v>0</v>
      </c>
      <c r="K70" s="182">
        <f t="shared" si="19"/>
        <v>1</v>
      </c>
      <c r="L70" s="182">
        <f t="shared" si="20"/>
        <v>0</v>
      </c>
      <c r="M70" s="183">
        <v>46272</v>
      </c>
      <c r="N70" s="184">
        <v>46286</v>
      </c>
      <c r="O70" s="185">
        <f t="shared" si="21"/>
        <v>1</v>
      </c>
      <c r="P70" s="186">
        <f t="shared" si="22"/>
        <v>3147</v>
      </c>
      <c r="Q70" s="185">
        <f t="shared" si="23"/>
        <v>1</v>
      </c>
      <c r="R70" s="187">
        <f t="shared" si="24"/>
        <v>0</v>
      </c>
      <c r="S70" s="188">
        <f t="shared" si="25"/>
        <v>0</v>
      </c>
      <c r="T70" s="189" t="str">
        <f t="shared" si="26"/>
        <v>مطابق</v>
      </c>
    </row>
    <row r="71" spans="1:20" s="159" customFormat="1" ht="24" customHeight="1">
      <c r="A71" s="358"/>
      <c r="B71" s="359"/>
      <c r="C71" s="359"/>
      <c r="D71" s="361"/>
      <c r="E71" s="358"/>
      <c r="F71" s="190" t="s">
        <v>74</v>
      </c>
      <c r="G71" s="190" t="s">
        <v>44</v>
      </c>
      <c r="H71" s="191">
        <v>987.24</v>
      </c>
      <c r="I71" s="191">
        <v>0</v>
      </c>
      <c r="J71" s="191">
        <f t="shared" si="18"/>
        <v>987.24</v>
      </c>
      <c r="K71" s="192">
        <f t="shared" si="19"/>
        <v>0</v>
      </c>
      <c r="L71" s="192">
        <f t="shared" si="20"/>
        <v>1</v>
      </c>
      <c r="M71" s="193">
        <v>46302</v>
      </c>
      <c r="N71" s="194">
        <v>46303</v>
      </c>
      <c r="O71" s="195">
        <f t="shared" si="21"/>
        <v>0</v>
      </c>
      <c r="P71" s="196">
        <f t="shared" si="22"/>
        <v>0</v>
      </c>
      <c r="Q71" s="195">
        <f t="shared" si="23"/>
        <v>0</v>
      </c>
      <c r="R71" s="197">
        <f t="shared" si="24"/>
        <v>0</v>
      </c>
      <c r="S71" s="198">
        <f t="shared" si="25"/>
        <v>0</v>
      </c>
      <c r="T71" s="199" t="str">
        <f t="shared" si="26"/>
        <v>لم يحن موعده</v>
      </c>
    </row>
    <row r="72" spans="1:20" s="159" customFormat="1" ht="24" customHeight="1">
      <c r="A72" s="362">
        <v>8</v>
      </c>
      <c r="B72" s="363" t="s">
        <v>79</v>
      </c>
      <c r="C72" s="364">
        <v>46272</v>
      </c>
      <c r="D72" s="365">
        <v>46301</v>
      </c>
      <c r="E72" s="362" t="s">
        <v>41</v>
      </c>
      <c r="F72" s="200" t="s">
        <v>42</v>
      </c>
      <c r="G72" s="200" t="s">
        <v>32</v>
      </c>
      <c r="H72" s="201">
        <v>3051</v>
      </c>
      <c r="I72" s="201">
        <f>H72-0</f>
        <v>3051</v>
      </c>
      <c r="J72" s="201">
        <f t="shared" si="18"/>
        <v>0</v>
      </c>
      <c r="K72" s="202">
        <f t="shared" si="19"/>
        <v>1</v>
      </c>
      <c r="L72" s="202">
        <f t="shared" si="20"/>
        <v>0</v>
      </c>
      <c r="M72" s="203">
        <v>46272</v>
      </c>
      <c r="N72" s="204">
        <v>46286</v>
      </c>
      <c r="O72" s="205">
        <f t="shared" si="21"/>
        <v>1</v>
      </c>
      <c r="P72" s="206">
        <f t="shared" si="22"/>
        <v>3051</v>
      </c>
      <c r="Q72" s="205">
        <f t="shared" si="23"/>
        <v>1</v>
      </c>
      <c r="R72" s="207">
        <f t="shared" si="24"/>
        <v>0</v>
      </c>
      <c r="S72" s="208">
        <f t="shared" si="25"/>
        <v>0</v>
      </c>
      <c r="T72" s="209" t="str">
        <f t="shared" si="26"/>
        <v>مطابق</v>
      </c>
    </row>
    <row r="73" spans="1:20" s="159" customFormat="1" ht="24" customHeight="1">
      <c r="A73" s="362"/>
      <c r="B73" s="363"/>
      <c r="C73" s="363"/>
      <c r="D73" s="365"/>
      <c r="E73" s="362"/>
      <c r="F73" s="210" t="s">
        <v>74</v>
      </c>
      <c r="G73" s="210" t="s">
        <v>44</v>
      </c>
      <c r="H73" s="211">
        <v>1301.8800000000001</v>
      </c>
      <c r="I73" s="211">
        <v>0</v>
      </c>
      <c r="J73" s="211">
        <f t="shared" si="18"/>
        <v>1301.8800000000001</v>
      </c>
      <c r="K73" s="212">
        <f t="shared" si="19"/>
        <v>0</v>
      </c>
      <c r="L73" s="212">
        <f t="shared" si="20"/>
        <v>1</v>
      </c>
      <c r="M73" s="213">
        <v>46300</v>
      </c>
      <c r="N73" s="214">
        <v>46301</v>
      </c>
      <c r="O73" s="215">
        <f t="shared" si="21"/>
        <v>0</v>
      </c>
      <c r="P73" s="216">
        <f t="shared" si="22"/>
        <v>0</v>
      </c>
      <c r="Q73" s="215">
        <f t="shared" si="23"/>
        <v>0</v>
      </c>
      <c r="R73" s="217">
        <f t="shared" si="24"/>
        <v>0</v>
      </c>
      <c r="S73" s="218">
        <f t="shared" si="25"/>
        <v>0</v>
      </c>
      <c r="T73" s="219" t="str">
        <f t="shared" si="26"/>
        <v>لم يحن موعده</v>
      </c>
    </row>
    <row r="74" spans="1:20" ht="18" customHeight="1">
      <c r="A74" s="366">
        <v>9</v>
      </c>
      <c r="B74" s="367" t="s">
        <v>80</v>
      </c>
      <c r="C74" s="368">
        <v>46272</v>
      </c>
      <c r="D74" s="369" t="s">
        <v>81</v>
      </c>
      <c r="E74" s="370" t="s">
        <v>23</v>
      </c>
      <c r="F74" s="220" t="s">
        <v>24</v>
      </c>
      <c r="G74" s="220" t="s">
        <v>25</v>
      </c>
      <c r="H74" s="221">
        <v>25</v>
      </c>
      <c r="I74" s="221">
        <f>H74-3</f>
        <v>22</v>
      </c>
      <c r="J74" s="221">
        <f t="shared" si="18"/>
        <v>3</v>
      </c>
      <c r="K74" s="222">
        <f t="shared" si="19"/>
        <v>0.88</v>
      </c>
      <c r="L74" s="222">
        <f t="shared" si="20"/>
        <v>0.12</v>
      </c>
      <c r="M74" s="223">
        <v>46272</v>
      </c>
      <c r="N74" s="224">
        <v>46275</v>
      </c>
      <c r="O74" s="225">
        <f t="shared" si="21"/>
        <v>1</v>
      </c>
      <c r="P74" s="226">
        <f t="shared" si="22"/>
        <v>25</v>
      </c>
      <c r="Q74" s="225">
        <f t="shared" si="23"/>
        <v>0.88</v>
      </c>
      <c r="R74" s="227">
        <f t="shared" si="24"/>
        <v>-0.12</v>
      </c>
      <c r="S74" s="228">
        <f t="shared" si="25"/>
        <v>-3</v>
      </c>
      <c r="T74" s="229" t="str">
        <f t="shared" si="26"/>
        <v>متأخر</v>
      </c>
    </row>
    <row r="75" spans="1:20" ht="18" customHeight="1">
      <c r="A75" s="366"/>
      <c r="B75" s="367"/>
      <c r="C75" s="367"/>
      <c r="D75" s="369"/>
      <c r="E75" s="370"/>
      <c r="F75" s="230" t="s">
        <v>27</v>
      </c>
      <c r="G75" s="230" t="s">
        <v>25</v>
      </c>
      <c r="H75" s="231">
        <v>25</v>
      </c>
      <c r="I75" s="231">
        <f>H75-25</f>
        <v>0</v>
      </c>
      <c r="J75" s="231">
        <f t="shared" si="18"/>
        <v>25</v>
      </c>
      <c r="K75" s="232">
        <f t="shared" si="19"/>
        <v>0</v>
      </c>
      <c r="L75" s="232">
        <f t="shared" si="20"/>
        <v>1</v>
      </c>
      <c r="M75" s="233">
        <v>46272</v>
      </c>
      <c r="N75" s="234">
        <v>46280</v>
      </c>
      <c r="O75" s="235">
        <f t="shared" si="21"/>
        <v>1</v>
      </c>
      <c r="P75" s="236">
        <f t="shared" si="22"/>
        <v>25</v>
      </c>
      <c r="Q75" s="235">
        <f t="shared" si="23"/>
        <v>0</v>
      </c>
      <c r="R75" s="237">
        <f t="shared" si="24"/>
        <v>-1</v>
      </c>
      <c r="S75" s="238">
        <f t="shared" si="25"/>
        <v>-25</v>
      </c>
      <c r="T75" s="239" t="str">
        <f t="shared" si="26"/>
        <v>متأخر</v>
      </c>
    </row>
    <row r="76" spans="1:20" ht="34.5" customHeight="1">
      <c r="A76" s="366"/>
      <c r="B76" s="367"/>
      <c r="C76" s="367"/>
      <c r="D76" s="369"/>
      <c r="E76" s="370"/>
      <c r="F76" s="230" t="s">
        <v>29</v>
      </c>
      <c r="G76" s="230" t="s">
        <v>25</v>
      </c>
      <c r="H76" s="231">
        <v>25</v>
      </c>
      <c r="I76" s="231">
        <f>H76-25</f>
        <v>0</v>
      </c>
      <c r="J76" s="231">
        <f t="shared" si="18"/>
        <v>25</v>
      </c>
      <c r="K76" s="232">
        <f t="shared" si="19"/>
        <v>0</v>
      </c>
      <c r="L76" s="232">
        <f t="shared" si="20"/>
        <v>1</v>
      </c>
      <c r="M76" s="233">
        <v>46313</v>
      </c>
      <c r="N76" s="234">
        <v>46320</v>
      </c>
      <c r="O76" s="235">
        <f t="shared" si="21"/>
        <v>0</v>
      </c>
      <c r="P76" s="236">
        <f t="shared" si="22"/>
        <v>0</v>
      </c>
      <c r="Q76" s="235">
        <f t="shared" si="23"/>
        <v>0</v>
      </c>
      <c r="R76" s="237">
        <f t="shared" si="24"/>
        <v>0</v>
      </c>
      <c r="S76" s="238">
        <f t="shared" si="25"/>
        <v>0</v>
      </c>
      <c r="T76" s="239" t="str">
        <f t="shared" si="26"/>
        <v>لم يحن موعده</v>
      </c>
    </row>
    <row r="77" spans="1:20" ht="35.25" customHeight="1">
      <c r="A77" s="366"/>
      <c r="B77" s="367"/>
      <c r="C77" s="367"/>
      <c r="D77" s="369"/>
      <c r="E77" s="370"/>
      <c r="F77" s="240" t="s">
        <v>28</v>
      </c>
      <c r="G77" s="240" t="s">
        <v>25</v>
      </c>
      <c r="H77" s="241">
        <v>65</v>
      </c>
      <c r="I77" s="241">
        <f>H77-65</f>
        <v>0</v>
      </c>
      <c r="J77" s="241">
        <f t="shared" si="18"/>
        <v>65</v>
      </c>
      <c r="K77" s="242">
        <f t="shared" si="19"/>
        <v>0</v>
      </c>
      <c r="L77" s="242">
        <f t="shared" si="20"/>
        <v>1</v>
      </c>
      <c r="M77" s="243">
        <v>46313</v>
      </c>
      <c r="N77" s="244">
        <v>46320</v>
      </c>
      <c r="O77" s="245">
        <f t="shared" si="21"/>
        <v>0</v>
      </c>
      <c r="P77" s="246">
        <f t="shared" si="22"/>
        <v>0</v>
      </c>
      <c r="Q77" s="245">
        <f t="shared" si="23"/>
        <v>0</v>
      </c>
      <c r="R77" s="247">
        <f t="shared" si="24"/>
        <v>0</v>
      </c>
      <c r="S77" s="248">
        <f t="shared" si="25"/>
        <v>0</v>
      </c>
      <c r="T77" s="249" t="str">
        <f t="shared" si="26"/>
        <v>لم يحن موعده</v>
      </c>
    </row>
    <row r="78" spans="1:20" ht="18" customHeight="1">
      <c r="A78" s="366"/>
      <c r="B78" s="367"/>
      <c r="C78" s="367"/>
      <c r="D78" s="369"/>
      <c r="E78" s="370" t="s">
        <v>53</v>
      </c>
      <c r="F78" s="220" t="s">
        <v>50</v>
      </c>
      <c r="G78" s="220" t="s">
        <v>32</v>
      </c>
      <c r="H78" s="221">
        <v>1900</v>
      </c>
      <c r="I78" s="221">
        <f>H78-1380</f>
        <v>520</v>
      </c>
      <c r="J78" s="221">
        <f t="shared" si="18"/>
        <v>1380</v>
      </c>
      <c r="K78" s="222">
        <f t="shared" si="19"/>
        <v>0.27368421052631581</v>
      </c>
      <c r="L78" s="222">
        <f t="shared" si="20"/>
        <v>0.72631578947368425</v>
      </c>
      <c r="M78" s="223">
        <v>46274</v>
      </c>
      <c r="N78" s="224">
        <v>46280</v>
      </c>
      <c r="O78" s="225">
        <f t="shared" si="21"/>
        <v>1</v>
      </c>
      <c r="P78" s="226">
        <f t="shared" si="22"/>
        <v>1900</v>
      </c>
      <c r="Q78" s="225">
        <f t="shared" si="23"/>
        <v>0.27368421052631581</v>
      </c>
      <c r="R78" s="227">
        <f t="shared" si="24"/>
        <v>-0.72631578947368425</v>
      </c>
      <c r="S78" s="228">
        <f t="shared" si="25"/>
        <v>-1380</v>
      </c>
      <c r="T78" s="229" t="str">
        <f t="shared" si="26"/>
        <v>متأخر</v>
      </c>
    </row>
    <row r="79" spans="1:20" ht="18" customHeight="1">
      <c r="A79" s="366"/>
      <c r="B79" s="367"/>
      <c r="C79" s="367"/>
      <c r="D79" s="369"/>
      <c r="E79" s="370"/>
      <c r="F79" s="230" t="s">
        <v>56</v>
      </c>
      <c r="G79" s="230" t="s">
        <v>32</v>
      </c>
      <c r="H79" s="231">
        <v>1900</v>
      </c>
      <c r="I79" s="231">
        <f>H79-1900</f>
        <v>0</v>
      </c>
      <c r="J79" s="231">
        <f t="shared" si="18"/>
        <v>1900</v>
      </c>
      <c r="K79" s="232">
        <f t="shared" si="19"/>
        <v>0</v>
      </c>
      <c r="L79" s="232">
        <f t="shared" si="20"/>
        <v>1</v>
      </c>
      <c r="M79" s="233">
        <v>46286</v>
      </c>
      <c r="N79" s="234">
        <v>46293</v>
      </c>
      <c r="O79" s="235">
        <f t="shared" si="21"/>
        <v>1</v>
      </c>
      <c r="P79" s="236">
        <f t="shared" si="22"/>
        <v>1900</v>
      </c>
      <c r="Q79" s="235">
        <f t="shared" si="23"/>
        <v>0</v>
      </c>
      <c r="R79" s="237">
        <f t="shared" si="24"/>
        <v>-1</v>
      </c>
      <c r="S79" s="238">
        <f t="shared" si="25"/>
        <v>-1900</v>
      </c>
      <c r="T79" s="239" t="str">
        <f t="shared" si="26"/>
        <v>متأخر</v>
      </c>
    </row>
    <row r="80" spans="1:20" ht="18" customHeight="1">
      <c r="A80" s="366"/>
      <c r="B80" s="367"/>
      <c r="C80" s="367"/>
      <c r="D80" s="369"/>
      <c r="E80" s="370"/>
      <c r="F80" s="240" t="s">
        <v>82</v>
      </c>
      <c r="G80" s="240" t="s">
        <v>25</v>
      </c>
      <c r="H80" s="241">
        <v>7</v>
      </c>
      <c r="I80" s="241">
        <f>H80-7</f>
        <v>0</v>
      </c>
      <c r="J80" s="241">
        <f t="shared" si="18"/>
        <v>7</v>
      </c>
      <c r="K80" s="242">
        <f t="shared" si="19"/>
        <v>0</v>
      </c>
      <c r="L80" s="242">
        <f t="shared" si="20"/>
        <v>1</v>
      </c>
      <c r="M80" s="243">
        <v>46292</v>
      </c>
      <c r="N80" s="244">
        <v>46293</v>
      </c>
      <c r="O80" s="245">
        <f t="shared" si="21"/>
        <v>1</v>
      </c>
      <c r="P80" s="246">
        <f t="shared" si="22"/>
        <v>7</v>
      </c>
      <c r="Q80" s="245">
        <f t="shared" si="23"/>
        <v>0</v>
      </c>
      <c r="R80" s="247">
        <f t="shared" si="24"/>
        <v>-1</v>
      </c>
      <c r="S80" s="248">
        <f t="shared" si="25"/>
        <v>-7</v>
      </c>
      <c r="T80" s="249" t="str">
        <f t="shared" si="26"/>
        <v>متأخر</v>
      </c>
    </row>
    <row r="81" spans="1:20" ht="18" customHeight="1">
      <c r="A81" s="366"/>
      <c r="B81" s="367"/>
      <c r="C81" s="367"/>
      <c r="D81" s="369"/>
      <c r="E81" s="370" t="s">
        <v>30</v>
      </c>
      <c r="F81" s="250" t="s">
        <v>31</v>
      </c>
      <c r="G81" s="250" t="s">
        <v>32</v>
      </c>
      <c r="H81" s="251">
        <v>1050</v>
      </c>
      <c r="I81" s="251">
        <f>H81-280</f>
        <v>770</v>
      </c>
      <c r="J81" s="251">
        <f t="shared" si="18"/>
        <v>280</v>
      </c>
      <c r="K81" s="252">
        <f t="shared" si="19"/>
        <v>0.73333333333333328</v>
      </c>
      <c r="L81" s="252">
        <f t="shared" si="20"/>
        <v>0.26666666666666666</v>
      </c>
      <c r="M81" s="253">
        <v>46294</v>
      </c>
      <c r="N81" s="254">
        <v>46294</v>
      </c>
      <c r="O81" s="255">
        <f t="shared" si="21"/>
        <v>1</v>
      </c>
      <c r="P81" s="256">
        <f t="shared" si="22"/>
        <v>1050</v>
      </c>
      <c r="Q81" s="255">
        <f t="shared" si="23"/>
        <v>0.73333333333333328</v>
      </c>
      <c r="R81" s="257">
        <f t="shared" si="24"/>
        <v>-0.26666666666666672</v>
      </c>
      <c r="S81" s="258">
        <f t="shared" si="25"/>
        <v>-280</v>
      </c>
      <c r="T81" s="259" t="str">
        <f t="shared" si="26"/>
        <v>متأخر</v>
      </c>
    </row>
    <row r="82" spans="1:20" ht="18" customHeight="1">
      <c r="A82" s="366"/>
      <c r="B82" s="367"/>
      <c r="C82" s="367"/>
      <c r="D82" s="369"/>
      <c r="E82" s="370"/>
      <c r="F82" s="240" t="s">
        <v>60</v>
      </c>
      <c r="G82" s="240" t="s">
        <v>32</v>
      </c>
      <c r="H82" s="241">
        <v>1050</v>
      </c>
      <c r="I82" s="241">
        <f>H82-1050</f>
        <v>0</v>
      </c>
      <c r="J82" s="241">
        <f t="shared" si="18"/>
        <v>1050</v>
      </c>
      <c r="K82" s="242">
        <f t="shared" si="19"/>
        <v>0</v>
      </c>
      <c r="L82" s="242">
        <f t="shared" si="20"/>
        <v>1</v>
      </c>
      <c r="M82" s="243">
        <v>46298</v>
      </c>
      <c r="N82" s="244">
        <v>46300</v>
      </c>
      <c r="O82" s="245">
        <f t="shared" si="21"/>
        <v>0</v>
      </c>
      <c r="P82" s="246">
        <f t="shared" si="22"/>
        <v>0</v>
      </c>
      <c r="Q82" s="245">
        <f t="shared" si="23"/>
        <v>0</v>
      </c>
      <c r="R82" s="247">
        <f t="shared" si="24"/>
        <v>0</v>
      </c>
      <c r="S82" s="248">
        <f t="shared" si="25"/>
        <v>0</v>
      </c>
      <c r="T82" s="249" t="str">
        <f t="shared" si="26"/>
        <v>لم يحن موعده</v>
      </c>
    </row>
    <row r="83" spans="1:20" ht="18" customHeight="1">
      <c r="A83" s="366"/>
      <c r="B83" s="367"/>
      <c r="C83" s="367"/>
      <c r="D83" s="369"/>
      <c r="E83" s="366" t="s">
        <v>41</v>
      </c>
      <c r="F83" s="230" t="s">
        <v>43</v>
      </c>
      <c r="G83" s="230" t="s">
        <v>44</v>
      </c>
      <c r="H83" s="231">
        <v>11759</v>
      </c>
      <c r="I83" s="231">
        <f>H83-5879.5</f>
        <v>5879.5</v>
      </c>
      <c r="J83" s="231">
        <f t="shared" si="18"/>
        <v>5879.5</v>
      </c>
      <c r="K83" s="232">
        <f t="shared" si="19"/>
        <v>0.5</v>
      </c>
      <c r="L83" s="232">
        <f t="shared" si="20"/>
        <v>0.5</v>
      </c>
      <c r="M83" s="233">
        <v>46294</v>
      </c>
      <c r="N83" s="234">
        <v>46301</v>
      </c>
      <c r="O83" s="235">
        <f t="shared" si="21"/>
        <v>0.16666666666666666</v>
      </c>
      <c r="P83" s="236">
        <f t="shared" si="22"/>
        <v>1959.8333333333333</v>
      </c>
      <c r="Q83" s="235">
        <f t="shared" si="23"/>
        <v>0.5</v>
      </c>
      <c r="R83" s="237">
        <f t="shared" si="24"/>
        <v>0.33333333333333337</v>
      </c>
      <c r="S83" s="238">
        <f t="shared" si="25"/>
        <v>3919.666666666667</v>
      </c>
      <c r="T83" s="239" t="str">
        <f t="shared" si="26"/>
        <v>متقدم</v>
      </c>
    </row>
    <row r="84" spans="1:20" ht="18" customHeight="1">
      <c r="A84" s="366"/>
      <c r="B84" s="367"/>
      <c r="C84" s="367"/>
      <c r="D84" s="369"/>
      <c r="E84" s="366"/>
      <c r="F84" s="230" t="s">
        <v>45</v>
      </c>
      <c r="G84" s="230" t="s">
        <v>44</v>
      </c>
      <c r="H84" s="231">
        <v>11295</v>
      </c>
      <c r="I84" s="231">
        <f>H84-5647.5</f>
        <v>5647.5</v>
      </c>
      <c r="J84" s="231">
        <f t="shared" si="18"/>
        <v>5647.5</v>
      </c>
      <c r="K84" s="232">
        <f t="shared" si="19"/>
        <v>0.5</v>
      </c>
      <c r="L84" s="232">
        <f t="shared" si="20"/>
        <v>0.5</v>
      </c>
      <c r="M84" s="233">
        <v>46299</v>
      </c>
      <c r="N84" s="234">
        <v>46305</v>
      </c>
      <c r="O84" s="235">
        <f t="shared" si="21"/>
        <v>0</v>
      </c>
      <c r="P84" s="236">
        <f t="shared" si="22"/>
        <v>0</v>
      </c>
      <c r="Q84" s="235">
        <f t="shared" si="23"/>
        <v>0.5</v>
      </c>
      <c r="R84" s="237">
        <f t="shared" si="24"/>
        <v>0.5</v>
      </c>
      <c r="S84" s="238">
        <f t="shared" si="25"/>
        <v>5647.5</v>
      </c>
      <c r="T84" s="239" t="str">
        <f t="shared" si="26"/>
        <v>متقدم</v>
      </c>
    </row>
    <row r="85" spans="1:20" ht="18" customHeight="1">
      <c r="A85" s="366"/>
      <c r="B85" s="367"/>
      <c r="C85" s="367"/>
      <c r="D85" s="369"/>
      <c r="E85" s="366"/>
      <c r="F85" s="230" t="s">
        <v>46</v>
      </c>
      <c r="G85" s="230" t="s">
        <v>44</v>
      </c>
      <c r="H85" s="231">
        <v>7259</v>
      </c>
      <c r="I85" s="231">
        <f>H85-3629.5</f>
        <v>3629.5</v>
      </c>
      <c r="J85" s="231">
        <f t="shared" si="18"/>
        <v>3629.5</v>
      </c>
      <c r="K85" s="232">
        <f t="shared" si="19"/>
        <v>0.5</v>
      </c>
      <c r="L85" s="232">
        <f t="shared" si="20"/>
        <v>0.5</v>
      </c>
      <c r="M85" s="233">
        <v>46306</v>
      </c>
      <c r="N85" s="234">
        <v>46310</v>
      </c>
      <c r="O85" s="235">
        <f t="shared" si="21"/>
        <v>0</v>
      </c>
      <c r="P85" s="236">
        <f t="shared" si="22"/>
        <v>0</v>
      </c>
      <c r="Q85" s="235">
        <f t="shared" si="23"/>
        <v>0.5</v>
      </c>
      <c r="R85" s="237">
        <f t="shared" si="24"/>
        <v>0.5</v>
      </c>
      <c r="S85" s="238">
        <f t="shared" si="25"/>
        <v>3629.5</v>
      </c>
      <c r="T85" s="239" t="str">
        <f t="shared" si="26"/>
        <v>متقدم</v>
      </c>
    </row>
    <row r="86" spans="1:20" ht="18" customHeight="1">
      <c r="A86" s="366"/>
      <c r="B86" s="367"/>
      <c r="C86" s="367"/>
      <c r="D86" s="369"/>
      <c r="E86" s="366"/>
      <c r="F86" s="230" t="s">
        <v>47</v>
      </c>
      <c r="G86" s="230" t="s">
        <v>44</v>
      </c>
      <c r="H86" s="231">
        <v>2841.3333333333298</v>
      </c>
      <c r="I86" s="231">
        <v>2308.58</v>
      </c>
      <c r="J86" s="231">
        <f t="shared" si="18"/>
        <v>532.75333333332992</v>
      </c>
      <c r="K86" s="232">
        <f t="shared" si="19"/>
        <v>0.81249882684185926</v>
      </c>
      <c r="L86" s="232">
        <f t="shared" si="20"/>
        <v>0.18750117315814074</v>
      </c>
      <c r="M86" s="233">
        <v>46311</v>
      </c>
      <c r="N86" s="234">
        <v>46312</v>
      </c>
      <c r="O86" s="235">
        <f t="shared" si="21"/>
        <v>0</v>
      </c>
      <c r="P86" s="236">
        <f t="shared" si="22"/>
        <v>0</v>
      </c>
      <c r="Q86" s="235">
        <f t="shared" si="23"/>
        <v>0.81249882684185926</v>
      </c>
      <c r="R86" s="237">
        <f t="shared" si="24"/>
        <v>0.81249882684185926</v>
      </c>
      <c r="S86" s="238">
        <f t="shared" si="25"/>
        <v>2308.58</v>
      </c>
      <c r="T86" s="239" t="str">
        <f t="shared" si="26"/>
        <v>متقدم</v>
      </c>
    </row>
    <row r="87" spans="1:20" ht="18" customHeight="1">
      <c r="A87" s="366"/>
      <c r="B87" s="367"/>
      <c r="C87" s="367"/>
      <c r="D87" s="369"/>
      <c r="E87" s="366"/>
      <c r="F87" s="260" t="s">
        <v>72</v>
      </c>
      <c r="G87" s="260" t="s">
        <v>44</v>
      </c>
      <c r="H87" s="261">
        <v>1775.8333333333301</v>
      </c>
      <c r="I87" s="261">
        <v>0</v>
      </c>
      <c r="J87" s="261">
        <f t="shared" si="18"/>
        <v>1775.8333333333301</v>
      </c>
      <c r="K87" s="262">
        <f t="shared" si="19"/>
        <v>0</v>
      </c>
      <c r="L87" s="262">
        <f t="shared" si="20"/>
        <v>1</v>
      </c>
      <c r="M87" s="263">
        <v>46321</v>
      </c>
      <c r="N87" s="264">
        <v>46322</v>
      </c>
      <c r="O87" s="265">
        <f t="shared" si="21"/>
        <v>0</v>
      </c>
      <c r="P87" s="266">
        <f t="shared" si="22"/>
        <v>0</v>
      </c>
      <c r="Q87" s="265">
        <f t="shared" si="23"/>
        <v>0</v>
      </c>
      <c r="R87" s="267">
        <f t="shared" si="24"/>
        <v>0</v>
      </c>
      <c r="S87" s="268">
        <f t="shared" si="25"/>
        <v>0</v>
      </c>
      <c r="T87" s="269" t="str">
        <f t="shared" si="26"/>
        <v>لم يحن موعده</v>
      </c>
    </row>
    <row r="88" spans="1:20" ht="18" customHeight="1">
      <c r="A88" s="371">
        <v>10</v>
      </c>
      <c r="B88" s="372" t="s">
        <v>83</v>
      </c>
      <c r="C88" s="373" t="s">
        <v>84</v>
      </c>
      <c r="D88" s="374">
        <v>46302</v>
      </c>
      <c r="E88" s="371" t="s">
        <v>53</v>
      </c>
      <c r="F88" s="270" t="s">
        <v>50</v>
      </c>
      <c r="G88" s="270" t="s">
        <v>32</v>
      </c>
      <c r="H88" s="271">
        <v>2199</v>
      </c>
      <c r="I88" s="271">
        <f>H88-1449</f>
        <v>750</v>
      </c>
      <c r="J88" s="271">
        <f t="shared" si="18"/>
        <v>1449</v>
      </c>
      <c r="K88" s="272">
        <f t="shared" si="19"/>
        <v>0.34106412005457026</v>
      </c>
      <c r="L88" s="272">
        <f t="shared" si="20"/>
        <v>0.65893587994542979</v>
      </c>
      <c r="M88" s="273">
        <v>46285</v>
      </c>
      <c r="N88" s="274">
        <v>46290</v>
      </c>
      <c r="O88" s="275">
        <f t="shared" si="21"/>
        <v>1</v>
      </c>
      <c r="P88" s="276">
        <f t="shared" si="22"/>
        <v>2199</v>
      </c>
      <c r="Q88" s="275">
        <f t="shared" si="23"/>
        <v>0.34106412005457026</v>
      </c>
      <c r="R88" s="277">
        <f t="shared" si="24"/>
        <v>-0.65893587994542968</v>
      </c>
      <c r="S88" s="278">
        <f t="shared" si="25"/>
        <v>-1449</v>
      </c>
      <c r="T88" s="279" t="str">
        <f t="shared" si="26"/>
        <v>متأخر</v>
      </c>
    </row>
    <row r="89" spans="1:20" ht="18" customHeight="1">
      <c r="A89" s="371"/>
      <c r="B89" s="372"/>
      <c r="C89" s="372"/>
      <c r="D89" s="374"/>
      <c r="E89" s="371"/>
      <c r="F89" s="280" t="s">
        <v>56</v>
      </c>
      <c r="G89" s="280" t="s">
        <v>32</v>
      </c>
      <c r="H89" s="281">
        <v>2199</v>
      </c>
      <c r="I89" s="281">
        <f>H89-1599</f>
        <v>600</v>
      </c>
      <c r="J89" s="281">
        <f t="shared" si="18"/>
        <v>1599</v>
      </c>
      <c r="K89" s="282">
        <f t="shared" si="19"/>
        <v>0.27285129604365621</v>
      </c>
      <c r="L89" s="282">
        <f t="shared" si="20"/>
        <v>0.72714870395634379</v>
      </c>
      <c r="M89" s="283">
        <v>46310</v>
      </c>
      <c r="N89" s="284">
        <v>46325</v>
      </c>
      <c r="O89" s="285">
        <f t="shared" si="21"/>
        <v>0</v>
      </c>
      <c r="P89" s="286">
        <f t="shared" si="22"/>
        <v>0</v>
      </c>
      <c r="Q89" s="285">
        <f t="shared" si="23"/>
        <v>0.27285129604365621</v>
      </c>
      <c r="R89" s="287">
        <f t="shared" si="24"/>
        <v>0.27285129604365621</v>
      </c>
      <c r="S89" s="288">
        <f t="shared" si="25"/>
        <v>600</v>
      </c>
      <c r="T89" s="289" t="str">
        <f t="shared" si="26"/>
        <v>متقدم</v>
      </c>
    </row>
    <row r="90" spans="1:20" ht="18" customHeight="1">
      <c r="A90" s="371"/>
      <c r="B90" s="372"/>
      <c r="C90" s="372"/>
      <c r="D90" s="374"/>
      <c r="E90" s="371"/>
      <c r="F90" s="290" t="s">
        <v>82</v>
      </c>
      <c r="G90" s="290" t="s">
        <v>25</v>
      </c>
      <c r="H90" s="291">
        <v>7</v>
      </c>
      <c r="I90" s="291">
        <f>H90-7</f>
        <v>0</v>
      </c>
      <c r="J90" s="291">
        <f t="shared" si="18"/>
        <v>7</v>
      </c>
      <c r="K90" s="292">
        <f t="shared" si="19"/>
        <v>0</v>
      </c>
      <c r="L90" s="292">
        <f t="shared" si="20"/>
        <v>1</v>
      </c>
      <c r="M90" s="293">
        <v>46298</v>
      </c>
      <c r="N90" s="294">
        <v>46302</v>
      </c>
      <c r="O90" s="295">
        <f t="shared" si="21"/>
        <v>0</v>
      </c>
      <c r="P90" s="296">
        <f t="shared" si="22"/>
        <v>0</v>
      </c>
      <c r="Q90" s="295">
        <f t="shared" si="23"/>
        <v>0</v>
      </c>
      <c r="R90" s="297">
        <f t="shared" si="24"/>
        <v>0</v>
      </c>
      <c r="S90" s="298">
        <f t="shared" si="25"/>
        <v>0</v>
      </c>
      <c r="T90" s="299" t="str">
        <f t="shared" si="26"/>
        <v>لم يحن موعده</v>
      </c>
    </row>
    <row r="91" spans="1:20" ht="18" customHeight="1">
      <c r="A91" s="375"/>
      <c r="B91" s="376" t="s">
        <v>85</v>
      </c>
      <c r="C91" s="377">
        <v>46272</v>
      </c>
      <c r="D91" s="377" t="s">
        <v>86</v>
      </c>
      <c r="E91" s="378"/>
      <c r="F91" s="300" t="s">
        <v>87</v>
      </c>
      <c r="G91" s="300" t="s">
        <v>44</v>
      </c>
      <c r="H91" s="300">
        <v>1</v>
      </c>
      <c r="I91" s="300">
        <v>1</v>
      </c>
      <c r="J91" s="300">
        <f t="shared" si="18"/>
        <v>0</v>
      </c>
      <c r="K91" s="300">
        <f t="shared" si="19"/>
        <v>1</v>
      </c>
      <c r="L91" s="300">
        <f t="shared" si="20"/>
        <v>0</v>
      </c>
      <c r="M91" s="301">
        <v>46272</v>
      </c>
      <c r="N91" s="302">
        <v>46279</v>
      </c>
      <c r="O91" s="303">
        <f t="shared" si="21"/>
        <v>1</v>
      </c>
      <c r="P91" s="304">
        <f t="shared" si="22"/>
        <v>1</v>
      </c>
      <c r="Q91" s="303">
        <f t="shared" si="23"/>
        <v>1</v>
      </c>
      <c r="R91" s="305">
        <f t="shared" si="24"/>
        <v>0</v>
      </c>
      <c r="S91" s="306">
        <f t="shared" si="25"/>
        <v>0</v>
      </c>
      <c r="T91" s="307" t="str">
        <f t="shared" si="26"/>
        <v>مطابق</v>
      </c>
    </row>
    <row r="92" spans="1:20" ht="18.75" customHeight="1">
      <c r="A92" s="375"/>
      <c r="B92" s="376"/>
      <c r="C92" s="376"/>
      <c r="D92" s="376"/>
      <c r="E92" s="378"/>
      <c r="F92" s="308" t="s">
        <v>88</v>
      </c>
      <c r="G92" s="308" t="s">
        <v>44</v>
      </c>
      <c r="H92" s="308">
        <v>1</v>
      </c>
      <c r="I92" s="308">
        <v>0.3</v>
      </c>
      <c r="J92" s="308">
        <f t="shared" si="18"/>
        <v>0.7</v>
      </c>
      <c r="K92" s="308">
        <f t="shared" si="19"/>
        <v>0.3</v>
      </c>
      <c r="L92" s="308">
        <f t="shared" si="20"/>
        <v>0.7</v>
      </c>
      <c r="M92" s="309">
        <v>46280</v>
      </c>
      <c r="N92" s="310">
        <v>46302</v>
      </c>
      <c r="O92" s="311">
        <f t="shared" si="21"/>
        <v>0.6470588235294118</v>
      </c>
      <c r="P92" s="312">
        <f t="shared" si="22"/>
        <v>0.6470588235294118</v>
      </c>
      <c r="Q92" s="311">
        <f t="shared" si="23"/>
        <v>0.3</v>
      </c>
      <c r="R92" s="313">
        <f t="shared" si="24"/>
        <v>-0.34705882352941181</v>
      </c>
      <c r="S92" s="314">
        <f t="shared" si="25"/>
        <v>-0.34705882352941181</v>
      </c>
      <c r="T92" s="315" t="str">
        <f t="shared" si="26"/>
        <v>متأخر</v>
      </c>
    </row>
    <row r="93" spans="1:20" ht="18" customHeight="1">
      <c r="A93" s="375"/>
      <c r="B93" s="376"/>
      <c r="C93" s="376"/>
      <c r="D93" s="376"/>
      <c r="E93" s="378"/>
      <c r="F93" s="316" t="s">
        <v>89</v>
      </c>
      <c r="G93" s="317" t="s">
        <v>90</v>
      </c>
      <c r="H93" s="317">
        <v>1</v>
      </c>
      <c r="I93" s="317">
        <v>0</v>
      </c>
      <c r="J93" s="317">
        <f t="shared" si="18"/>
        <v>1</v>
      </c>
      <c r="K93" s="317">
        <f t="shared" si="19"/>
        <v>0</v>
      </c>
      <c r="L93" s="317">
        <f t="shared" si="20"/>
        <v>1</v>
      </c>
      <c r="M93" s="318">
        <v>46296</v>
      </c>
      <c r="N93" s="319">
        <v>46315</v>
      </c>
      <c r="O93" s="320">
        <f t="shared" si="21"/>
        <v>0</v>
      </c>
      <c r="P93" s="321">
        <f t="shared" si="22"/>
        <v>0</v>
      </c>
      <c r="Q93" s="320">
        <f t="shared" si="23"/>
        <v>0</v>
      </c>
      <c r="R93" s="322">
        <f t="shared" si="24"/>
        <v>0</v>
      </c>
      <c r="S93" s="323">
        <f t="shared" si="25"/>
        <v>0</v>
      </c>
      <c r="T93" s="324" t="str">
        <f t="shared" si="26"/>
        <v>لم يحن موعده</v>
      </c>
    </row>
    <row r="94" spans="1:20" ht="18" customHeight="1"/>
  </sheetData>
  <autoFilter ref="A1:T93" xr:uid="{00000000-0009-0000-0000-000000000000}"/>
  <mergeCells count="68">
    <mergeCell ref="A91:A93"/>
    <mergeCell ref="B91:B93"/>
    <mergeCell ref="C91:C93"/>
    <mergeCell ref="D91:D93"/>
    <mergeCell ref="E91:E93"/>
    <mergeCell ref="A88:A90"/>
    <mergeCell ref="B88:B90"/>
    <mergeCell ref="C88:C90"/>
    <mergeCell ref="D88:D90"/>
    <mergeCell ref="E88:E90"/>
    <mergeCell ref="A74:A87"/>
    <mergeCell ref="B74:B87"/>
    <mergeCell ref="C74:C87"/>
    <mergeCell ref="D74:D87"/>
    <mergeCell ref="E74:E77"/>
    <mergeCell ref="E78:E80"/>
    <mergeCell ref="E81:E82"/>
    <mergeCell ref="E83:E87"/>
    <mergeCell ref="A72:A73"/>
    <mergeCell ref="B72:B73"/>
    <mergeCell ref="C72:C73"/>
    <mergeCell ref="D72:D73"/>
    <mergeCell ref="E72:E73"/>
    <mergeCell ref="A70:A71"/>
    <mergeCell ref="B70:B71"/>
    <mergeCell ref="C70:C71"/>
    <mergeCell ref="D70:D71"/>
    <mergeCell ref="E70:E71"/>
    <mergeCell ref="A68:A69"/>
    <mergeCell ref="B68:B69"/>
    <mergeCell ref="C68:C69"/>
    <mergeCell ref="D68:D69"/>
    <mergeCell ref="E68:E69"/>
    <mergeCell ref="E63:E65"/>
    <mergeCell ref="A66:A67"/>
    <mergeCell ref="B66:B67"/>
    <mergeCell ref="C66:C67"/>
    <mergeCell ref="D66:D67"/>
    <mergeCell ref="E66:E67"/>
    <mergeCell ref="A60:A62"/>
    <mergeCell ref="B60:B62"/>
    <mergeCell ref="C60:C62"/>
    <mergeCell ref="D60:D62"/>
    <mergeCell ref="A63:A65"/>
    <mergeCell ref="B63:B65"/>
    <mergeCell ref="C63:C65"/>
    <mergeCell ref="D63:D65"/>
    <mergeCell ref="V3:W6"/>
    <mergeCell ref="E8:E12"/>
    <mergeCell ref="E13:E14"/>
    <mergeCell ref="E15:E20"/>
    <mergeCell ref="A21:A59"/>
    <mergeCell ref="B21:B59"/>
    <mergeCell ref="C21:C59"/>
    <mergeCell ref="D21:D59"/>
    <mergeCell ref="E21:E28"/>
    <mergeCell ref="E29:E33"/>
    <mergeCell ref="E34:E39"/>
    <mergeCell ref="E40:E44"/>
    <mergeCell ref="E45:E48"/>
    <mergeCell ref="E49:E52"/>
    <mergeCell ref="E53:E54"/>
    <mergeCell ref="E55:E59"/>
    <mergeCell ref="A2:A20"/>
    <mergeCell ref="B2:B20"/>
    <mergeCell ref="C2:C20"/>
    <mergeCell ref="D2:D20"/>
    <mergeCell ref="E2:E6"/>
  </mergeCells>
  <conditionalFormatting sqref="R2:S93">
    <cfRule type="expression" dxfId="4" priority="2">
      <formula>AND(ISNUMBER(R2),R2&lt;-0.005)</formula>
    </cfRule>
  </conditionalFormatting>
  <conditionalFormatting sqref="T2:T93">
    <cfRule type="expression" dxfId="3" priority="3">
      <formula>T2="متأخر"</formula>
    </cfRule>
    <cfRule type="expression" dxfId="2" priority="4">
      <formula>T2="متقدم"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rightToLeft="1" zoomScaleNormal="100" workbookViewId="0">
      <selection activeCell="B17" sqref="B17"/>
    </sheetView>
  </sheetViews>
  <sheetFormatPr defaultColWidth="8.6640625" defaultRowHeight="14.4"/>
  <cols>
    <col min="1" max="2" width="33.109375" customWidth="1"/>
    <col min="3" max="3" width="15.88671875" customWidth="1"/>
    <col min="4" max="4" width="41" customWidth="1"/>
    <col min="5" max="5" width="17.109375" customWidth="1"/>
    <col min="6" max="6" width="22" customWidth="1"/>
    <col min="7" max="8" width="16.33203125" customWidth="1"/>
    <col min="9" max="9" width="16.6640625" customWidth="1"/>
  </cols>
  <sheetData>
    <row r="1" spans="1:10" ht="21" customHeight="1">
      <c r="A1" s="325" t="s">
        <v>91</v>
      </c>
      <c r="B1" s="326" t="s">
        <v>92</v>
      </c>
    </row>
    <row r="2" spans="1:10" ht="21" customHeight="1">
      <c r="A2" s="327" t="s">
        <v>93</v>
      </c>
      <c r="B2" s="328">
        <v>20</v>
      </c>
    </row>
    <row r="3" spans="1:10" ht="21" customHeight="1">
      <c r="A3" s="327" t="s">
        <v>94</v>
      </c>
      <c r="B3" s="328">
        <v>5</v>
      </c>
    </row>
    <row r="4" spans="1:10" ht="21" customHeight="1">
      <c r="A4" s="327" t="s">
        <v>95</v>
      </c>
      <c r="B4" s="328">
        <v>5</v>
      </c>
      <c r="D4" s="329"/>
      <c r="E4" s="329"/>
      <c r="F4" s="329"/>
      <c r="G4" s="329"/>
      <c r="H4" s="329"/>
      <c r="I4" s="329"/>
      <c r="J4" s="329"/>
    </row>
    <row r="5" spans="1:10" ht="21" customHeight="1">
      <c r="A5" s="327" t="s">
        <v>96</v>
      </c>
      <c r="B5" s="328">
        <v>3</v>
      </c>
    </row>
    <row r="6" spans="1:10" ht="21" customHeight="1">
      <c r="A6" s="327" t="s">
        <v>97</v>
      </c>
      <c r="B6" s="328">
        <v>5</v>
      </c>
    </row>
    <row r="7" spans="1:10" ht="21" customHeight="1">
      <c r="A7" s="327" t="s">
        <v>98</v>
      </c>
      <c r="B7" s="328">
        <v>10</v>
      </c>
    </row>
    <row r="8" spans="1:10" ht="21" customHeight="1">
      <c r="A8" s="327" t="s">
        <v>99</v>
      </c>
      <c r="B8" s="328">
        <v>5</v>
      </c>
    </row>
    <row r="9" spans="1:10" ht="21" customHeight="1">
      <c r="A9" s="327" t="s">
        <v>100</v>
      </c>
      <c r="B9" s="328">
        <v>10</v>
      </c>
    </row>
    <row r="10" spans="1:10" ht="21" customHeight="1">
      <c r="A10" s="327" t="s">
        <v>101</v>
      </c>
      <c r="B10" s="328">
        <v>10</v>
      </c>
    </row>
    <row r="11" spans="1:10" ht="21" customHeight="1">
      <c r="A11" s="327" t="s">
        <v>102</v>
      </c>
      <c r="B11" s="328">
        <v>3</v>
      </c>
    </row>
    <row r="12" spans="1:10" ht="21" customHeight="1">
      <c r="A12" s="327" t="s">
        <v>103</v>
      </c>
      <c r="B12" s="328">
        <v>3</v>
      </c>
    </row>
    <row r="13" spans="1:10" ht="21" customHeight="1">
      <c r="A13" s="327" t="s">
        <v>104</v>
      </c>
      <c r="B13" s="328">
        <v>3</v>
      </c>
    </row>
    <row r="14" spans="1:10" ht="21" customHeight="1">
      <c r="A14" s="327" t="s">
        <v>105</v>
      </c>
      <c r="B14" s="328">
        <v>2</v>
      </c>
    </row>
    <row r="15" spans="1:10" ht="21" customHeight="1">
      <c r="A15" s="330" t="s">
        <v>106</v>
      </c>
      <c r="B15" s="331">
        <v>16</v>
      </c>
    </row>
    <row r="16" spans="1:10" ht="21" customHeight="1">
      <c r="A16" s="332" t="s">
        <v>107</v>
      </c>
      <c r="B16" s="333">
        <v>208</v>
      </c>
    </row>
    <row r="17" spans="1:2" s="329" customFormat="1" ht="18" customHeight="1">
      <c r="A17" s="334" t="s">
        <v>108</v>
      </c>
      <c r="B17" s="335">
        <f>SUM(B2:B14)</f>
        <v>84</v>
      </c>
    </row>
    <row r="18" spans="1:2" ht="15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rightToLeft="1" zoomScaleNormal="100" workbookViewId="0">
      <selection activeCell="D21" sqref="D21"/>
    </sheetView>
  </sheetViews>
  <sheetFormatPr defaultColWidth="8.6640625" defaultRowHeight="14.4"/>
  <cols>
    <col min="1" max="1" width="16" customWidth="1"/>
    <col min="2" max="2" width="12" customWidth="1"/>
    <col min="3" max="4" width="16" customWidth="1"/>
    <col min="5" max="5" width="20" customWidth="1"/>
    <col min="6" max="6" width="14" customWidth="1"/>
    <col min="7" max="8" width="18" customWidth="1"/>
  </cols>
  <sheetData>
    <row r="1" spans="1:8" ht="17.25" customHeight="1">
      <c r="A1" s="379" t="s">
        <v>109</v>
      </c>
      <c r="B1" s="379"/>
      <c r="C1" s="379"/>
      <c r="D1" s="379"/>
      <c r="E1" s="379"/>
      <c r="F1" s="379"/>
      <c r="G1" s="379"/>
      <c r="H1" s="379"/>
    </row>
    <row r="2" spans="1:8">
      <c r="A2" s="336" t="s">
        <v>20</v>
      </c>
      <c r="B2" s="337">
        <f>Sheet3!V2</f>
        <v>46294</v>
      </c>
    </row>
    <row r="4" spans="1:8" ht="36" customHeight="1">
      <c r="A4" s="338" t="s">
        <v>1</v>
      </c>
      <c r="B4" s="338" t="s">
        <v>110</v>
      </c>
      <c r="C4" s="338" t="s">
        <v>111</v>
      </c>
      <c r="D4" s="338" t="s">
        <v>112</v>
      </c>
      <c r="E4" s="338" t="s">
        <v>17</v>
      </c>
      <c r="F4" s="338" t="s">
        <v>113</v>
      </c>
      <c r="G4" s="338" t="s">
        <v>114</v>
      </c>
      <c r="H4" s="338" t="s">
        <v>115</v>
      </c>
    </row>
    <row r="5" spans="1:8">
      <c r="A5" s="339" t="s">
        <v>21</v>
      </c>
      <c r="B5" s="340">
        <f>COUNTA(Sheet3!F2:F20)</f>
        <v>19</v>
      </c>
      <c r="C5" s="341">
        <f>AVERAGE(Sheet3!O2:O20)</f>
        <v>0.7192982456140351</v>
      </c>
      <c r="D5" s="341">
        <f>AVERAGE(Sheet3!Q2:Q20)</f>
        <v>0.18812702232382861</v>
      </c>
      <c r="E5" s="342">
        <f t="shared" ref="E5:E16" si="0">D5-C5</f>
        <v>-0.5311712232902065</v>
      </c>
      <c r="F5" s="340">
        <f>COUNTIF(Sheet3!T2:T20,"متأخر")</f>
        <v>14</v>
      </c>
      <c r="G5" s="340">
        <f>COUNTIF(Sheet3!T2:T20,"مطابق")+COUNTIF(Sheet3!T2:T20,"متقدم")</f>
        <v>0</v>
      </c>
      <c r="H5" s="340">
        <f>COUNTIF(Sheet3!T2:T20,"لم يحن موعده")</f>
        <v>5</v>
      </c>
    </row>
    <row r="6" spans="1:8">
      <c r="A6" s="339" t="s">
        <v>49</v>
      </c>
      <c r="B6" s="340">
        <f>COUNTA(Sheet3!F21:F59)</f>
        <v>39</v>
      </c>
      <c r="C6" s="341">
        <f>AVERAGE(Sheet3!O21:O59)</f>
        <v>0.74426450742240213</v>
      </c>
      <c r="D6" s="341">
        <f>AVERAGE(Sheet3!Q21:Q59)</f>
        <v>0.17037892418889464</v>
      </c>
      <c r="E6" s="342">
        <f t="shared" si="0"/>
        <v>-0.57388558323350747</v>
      </c>
      <c r="F6" s="340">
        <f>COUNTIF(Sheet3!T21:T59,"متأخر")</f>
        <v>30</v>
      </c>
      <c r="G6" s="340">
        <f>COUNTIF(Sheet3!T21:T59,"مطابق")+COUNTIF(Sheet3!T21:T59,"متقدم")</f>
        <v>1</v>
      </c>
      <c r="H6" s="340">
        <f>COUNTIF(Sheet3!T21:T59,"لم يحن موعده")</f>
        <v>8</v>
      </c>
    </row>
    <row r="7" spans="1:8">
      <c r="A7" s="339" t="s">
        <v>73</v>
      </c>
      <c r="B7" s="340">
        <f>COUNTA(Sheet3!F60:F62)</f>
        <v>3</v>
      </c>
      <c r="C7" s="341">
        <f>AVERAGE(Sheet3!O60:O62)</f>
        <v>0.33333333333333331</v>
      </c>
      <c r="D7" s="341">
        <f>AVERAGE(Sheet3!Q60:Q62)</f>
        <v>0.33333333333333331</v>
      </c>
      <c r="E7" s="342">
        <f t="shared" si="0"/>
        <v>0</v>
      </c>
      <c r="F7" s="340">
        <f>COUNTIF(Sheet3!T60:T62,"متأخر")</f>
        <v>0</v>
      </c>
      <c r="G7" s="340">
        <f>COUNTIF(Sheet3!T60:T62,"مطابق")+COUNTIF(Sheet3!T60:T62,"متقدم")</f>
        <v>1</v>
      </c>
      <c r="H7" s="340">
        <f>COUNTIF(Sheet3!T60:T62,"لم يحن موعده")</f>
        <v>2</v>
      </c>
    </row>
    <row r="8" spans="1:8">
      <c r="A8" s="339" t="s">
        <v>116</v>
      </c>
      <c r="B8" s="340">
        <f>COUNTA(Sheet3!F63:F65)</f>
        <v>3</v>
      </c>
      <c r="C8" s="341">
        <f>AVERAGE(Sheet3!O63:O65)</f>
        <v>0.66666666666666663</v>
      </c>
      <c r="D8" s="341">
        <f>AVERAGE(Sheet3!Q63:Q65)</f>
        <v>0.13541874376869384</v>
      </c>
      <c r="E8" s="342">
        <f t="shared" si="0"/>
        <v>-0.53124792289797274</v>
      </c>
      <c r="F8" s="340">
        <f>COUNTIF(Sheet3!T63:T65,"متأخر")</f>
        <v>2</v>
      </c>
      <c r="G8" s="340">
        <f>COUNTIF(Sheet3!T63:T65,"مطابق")+COUNTIF(Sheet3!T63:T65,"متقدم")</f>
        <v>0</v>
      </c>
      <c r="H8" s="340">
        <f>COUNTIF(Sheet3!T63:T65,"لم يحن موعده")</f>
        <v>1</v>
      </c>
    </row>
    <row r="9" spans="1:8">
      <c r="A9" s="339" t="s">
        <v>76</v>
      </c>
      <c r="B9" s="340">
        <f>COUNTA(Sheet3!F66:F67)</f>
        <v>2</v>
      </c>
      <c r="C9" s="341">
        <f>AVERAGE(Sheet3!O66:O67)</f>
        <v>0.5</v>
      </c>
      <c r="D9" s="341">
        <f>AVERAGE(Sheet3!Q66:Q67)</f>
        <v>0.5</v>
      </c>
      <c r="E9" s="342">
        <f t="shared" si="0"/>
        <v>0</v>
      </c>
      <c r="F9" s="340">
        <f>COUNTIF(Sheet3!T66:T67,"متأخر")</f>
        <v>0</v>
      </c>
      <c r="G9" s="340">
        <f>COUNTIF(Sheet3!T66:T67,"مطابق")+COUNTIF(Sheet3!T66:T67,"متقدم")</f>
        <v>1</v>
      </c>
      <c r="H9" s="340">
        <f>COUNTIF(Sheet3!T66:T67,"لم يحن موعده")</f>
        <v>1</v>
      </c>
    </row>
    <row r="10" spans="1:8">
      <c r="A10" s="339" t="s">
        <v>77</v>
      </c>
      <c r="B10" s="340">
        <f>COUNTA(Sheet3!F68:F69)</f>
        <v>2</v>
      </c>
      <c r="C10" s="341">
        <f>AVERAGE(Sheet3!O68:O69)</f>
        <v>0.5</v>
      </c>
      <c r="D10" s="341">
        <f>AVERAGE(Sheet3!Q68:Q69)</f>
        <v>0.5</v>
      </c>
      <c r="E10" s="342">
        <f t="shared" si="0"/>
        <v>0</v>
      </c>
      <c r="F10" s="340">
        <f>COUNTIF(Sheet3!T68:T69,"متأخر")</f>
        <v>0</v>
      </c>
      <c r="G10" s="340">
        <f>COUNTIF(Sheet3!T68:T69,"مطابق")+COUNTIF(Sheet3!T68:T69,"متقدم")</f>
        <v>1</v>
      </c>
      <c r="H10" s="340">
        <f>COUNTIF(Sheet3!T68:T69,"لم يحن موعده")</f>
        <v>1</v>
      </c>
    </row>
    <row r="11" spans="1:8">
      <c r="A11" s="339" t="s">
        <v>78</v>
      </c>
      <c r="B11" s="340">
        <f>COUNTA(Sheet3!F70:F71)</f>
        <v>2</v>
      </c>
      <c r="C11" s="341">
        <f>AVERAGE(Sheet3!O70:O71)</f>
        <v>0.5</v>
      </c>
      <c r="D11" s="341">
        <f>AVERAGE(Sheet3!Q70:Q71)</f>
        <v>0.5</v>
      </c>
      <c r="E11" s="342">
        <f t="shared" si="0"/>
        <v>0</v>
      </c>
      <c r="F11" s="340">
        <f>COUNTIF(Sheet3!T70:T71,"متأخر")</f>
        <v>0</v>
      </c>
      <c r="G11" s="340">
        <f>COUNTIF(Sheet3!T70:T71,"مطابق")+COUNTIF(Sheet3!T70:T71,"متقدم")</f>
        <v>1</v>
      </c>
      <c r="H11" s="340">
        <f>COUNTIF(Sheet3!T70:T71,"لم يحن موعده")</f>
        <v>1</v>
      </c>
    </row>
    <row r="12" spans="1:8">
      <c r="A12" s="339" t="s">
        <v>79</v>
      </c>
      <c r="B12" s="340">
        <f>COUNTA(Sheet3!F72:F73)</f>
        <v>2</v>
      </c>
      <c r="C12" s="341">
        <f>AVERAGE(Sheet3!O72:O73)</f>
        <v>0.5</v>
      </c>
      <c r="D12" s="341">
        <f>AVERAGE(Sheet3!Q72:Q73)</f>
        <v>0.5</v>
      </c>
      <c r="E12" s="342">
        <f t="shared" si="0"/>
        <v>0</v>
      </c>
      <c r="F12" s="340">
        <f>COUNTIF(Sheet3!T72:T73,"متأخر")</f>
        <v>0</v>
      </c>
      <c r="G12" s="340">
        <f>COUNTIF(Sheet3!T72:T73,"مطابق")+COUNTIF(Sheet3!T72:T73,"متقدم")</f>
        <v>1</v>
      </c>
      <c r="H12" s="340">
        <f>COUNTIF(Sheet3!T72:T73,"لم يحن موعده")</f>
        <v>1</v>
      </c>
    </row>
    <row r="13" spans="1:8">
      <c r="A13" s="339" t="s">
        <v>80</v>
      </c>
      <c r="B13" s="340">
        <f>COUNTA(Sheet3!F74:F87)</f>
        <v>14</v>
      </c>
      <c r="C13" s="341">
        <f>AVERAGE(Sheet3!O74:O87)</f>
        <v>0.44047619047619052</v>
      </c>
      <c r="D13" s="341">
        <f>AVERAGE(Sheet3!Q74:Q87)</f>
        <v>0.29996545505010774</v>
      </c>
      <c r="E13" s="342">
        <f t="shared" si="0"/>
        <v>-0.14051073542608278</v>
      </c>
      <c r="F13" s="340">
        <f>COUNTIF(Sheet3!T74:T87,"متأخر")</f>
        <v>6</v>
      </c>
      <c r="G13" s="340">
        <f>COUNTIF(Sheet3!T74:T87,"مطابق")+COUNTIF(Sheet3!T74:T87,"متقدم")</f>
        <v>4</v>
      </c>
      <c r="H13" s="340">
        <f>COUNTIF(Sheet3!T74:T87,"لم يحن موعده")</f>
        <v>4</v>
      </c>
    </row>
    <row r="14" spans="1:8">
      <c r="A14" s="339" t="s">
        <v>83</v>
      </c>
      <c r="B14" s="340">
        <f>COUNTA(Sheet3!F88:F90)</f>
        <v>3</v>
      </c>
      <c r="C14" s="341">
        <f>AVERAGE(Sheet3!O88:O90)</f>
        <v>0.33333333333333331</v>
      </c>
      <c r="D14" s="341">
        <f>AVERAGE(Sheet3!Q88:Q90)</f>
        <v>0.20463847203274219</v>
      </c>
      <c r="E14" s="342">
        <f t="shared" si="0"/>
        <v>-0.12869486130059113</v>
      </c>
      <c r="F14" s="340">
        <f>COUNTIF(Sheet3!T88:T90,"متأخر")</f>
        <v>1</v>
      </c>
      <c r="G14" s="340">
        <f>COUNTIF(Sheet3!T88:T90,"مطابق")+COUNTIF(Sheet3!T88:T90,"متقدم")</f>
        <v>1</v>
      </c>
      <c r="H14" s="340">
        <f>COUNTIF(Sheet3!T88:T90,"لم يحن موعده")</f>
        <v>1</v>
      </c>
    </row>
    <row r="15" spans="1:8">
      <c r="A15" s="339" t="s">
        <v>85</v>
      </c>
      <c r="B15" s="340">
        <f>COUNTA(Sheet3!F91:F93)</f>
        <v>3</v>
      </c>
      <c r="C15" s="341">
        <f>AVERAGE(Sheet3!O91:O93)</f>
        <v>0.54901960784313719</v>
      </c>
      <c r="D15" s="341">
        <f>AVERAGE(Sheet3!Q91:Q93)</f>
        <v>0.43333333333333335</v>
      </c>
      <c r="E15" s="342">
        <f t="shared" si="0"/>
        <v>-0.11568627450980384</v>
      </c>
      <c r="F15" s="340">
        <f>COUNTIF(Sheet3!T91:T93,"متأخر")</f>
        <v>1</v>
      </c>
      <c r="G15" s="340">
        <f>COUNTIF(Sheet3!T91:T93,"مطابق")+COUNTIF(Sheet3!T91:T93,"متقدم")</f>
        <v>1</v>
      </c>
      <c r="H15" s="340">
        <f>COUNTIF(Sheet3!T91:T93,"لم يحن موعده")</f>
        <v>1</v>
      </c>
    </row>
    <row r="16" spans="1:8">
      <c r="A16" s="343" t="s">
        <v>117</v>
      </c>
      <c r="B16" s="343">
        <f>SUM(B5:B15)</f>
        <v>92</v>
      </c>
      <c r="C16" s="344">
        <f>AVERAGE(Sheet3!O2:O93)</f>
        <v>0.63594247767756984</v>
      </c>
      <c r="D16" s="344">
        <f>AVERAGE(Sheet3!Q2:Q93)</f>
        <v>0.2362921683220158</v>
      </c>
      <c r="E16" s="345">
        <f t="shared" si="0"/>
        <v>-0.39965030935555401</v>
      </c>
      <c r="F16" s="343">
        <f>SUM(F5:F15)</f>
        <v>54</v>
      </c>
      <c r="G16" s="343">
        <f>SUM(G5:G15)</f>
        <v>12</v>
      </c>
      <c r="H16" s="343">
        <f>SUM(H5:H15)</f>
        <v>26</v>
      </c>
    </row>
    <row r="18" spans="1:1">
      <c r="A18" s="336"/>
    </row>
    <row r="19" spans="1:1">
      <c r="A19" s="346"/>
    </row>
    <row r="20" spans="1:1">
      <c r="A20" s="346"/>
    </row>
    <row r="21" spans="1:1">
      <c r="A21" s="346"/>
    </row>
  </sheetData>
  <mergeCells count="1">
    <mergeCell ref="A1:H1"/>
  </mergeCells>
  <conditionalFormatting sqref="E5:E16">
    <cfRule type="cellIs" dxfId="1" priority="2" operator="lessThan">
      <formula>-0.005</formula>
    </cfRule>
  </conditionalFormatting>
  <conditionalFormatting sqref="F5:F16">
    <cfRule type="cellIs" dxfId="0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Sheet3</vt:lpstr>
      <vt:lpstr>Sheet2</vt:lpstr>
      <vt:lpstr>ملخص الانحراف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Gomaa Mohamed</cp:lastModifiedBy>
  <cp:revision>0</cp:revision>
  <dcterms:created xsi:type="dcterms:W3CDTF">2026-08-12T07:15:24Z</dcterms:created>
  <dcterms:modified xsi:type="dcterms:W3CDTF">2026-10-01T10:35:11Z</dcterms:modified>
  <dc:language>en-US</dc:language>
</cp:coreProperties>
</file>
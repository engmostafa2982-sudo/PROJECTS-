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(1) Ansab General Contracting Company\(6)MODON PROJECT\2.2 PROJECT DATA - BLOCK J\03 Updates Programme\02 Weekly Reports\Oct-2026\03.DAM3-02-007-WPR.92-Infrastructure_BLOCK J_MODON (3) @13-OCT.2026\"/>
    </mc:Choice>
  </mc:AlternateContent>
  <xr:revisionPtr revIDLastSave="0" documentId="13_ncr:1_{9EE5ACE5-404B-4540-8A16-506D86285B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<sst xmlns="http://schemas.openxmlformats.org/spreadsheetml/2006/main" count="25" uniqueCount="22">
  <si>
    <t>#</t>
  </si>
  <si>
    <t>كود المشروع</t>
  </si>
  <si>
    <t>اسم المشروع</t>
  </si>
  <si>
    <t>نهاية المشروع</t>
  </si>
  <si>
    <t>المتوقعة/ الالتزام</t>
  </si>
  <si>
    <t>قيمة المشروع</t>
  </si>
  <si>
    <t>Planned (%)</t>
  </si>
  <si>
    <t>AS PER BASELINE</t>
  </si>
  <si>
    <t>حتى الاسبوع الحالي</t>
  </si>
  <si>
    <t>Actual (%)</t>
  </si>
  <si>
    <t>حتى الاسبوع السابق</t>
  </si>
  <si>
    <t>خلال الاسبوع</t>
  </si>
  <si>
    <t>الأعمال المنفذه خلال الاسبوع</t>
  </si>
  <si>
    <t>أسباب التأخير</t>
  </si>
  <si>
    <t>في حالة وجود تأخير</t>
  </si>
  <si>
    <t>تحديات المشروع</t>
  </si>
  <si>
    <t>DAM3-02-007</t>
  </si>
  <si>
    <t>مشروع تطوير شبكات البنية التحتية بالمنطقة الصناعية للمدينة الصناعية الثالثة بالدمام المرحلة الثانية J</t>
  </si>
  <si>
    <t>135,000,540  ريال</t>
  </si>
  <si>
    <t xml:space="preserve">نهاية المشروع التعاقدية </t>
  </si>
  <si>
    <t>1-أرتفاع منسوب المياة الجوفية,تم زيادة عدد المضخات للسيطرة على الوضع .
2-زيادة العمالة والمعدات لإنهاء المشروع بشهر 2/2026 حسب مستهدفات مدن.</t>
  </si>
  <si>
    <t>تنزيل 450م من خطوط المياه والصرف والري للخط الخارجي
تنزيل 10 كاتشات و 2 منهول لصرف المطر 
تنزيل واختبار 200 م من خط الصرف
تنزيل 1000 من كابلات الجهد المتوسط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</si>
</sst>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7"/>
      <color rgb="FF000000"/>
      <name val="TheSansArab Light"/>
    </font>
    <font>
      <b/>
      <sz val="28"/>
      <color rgb="FF000000"/>
      <name val="TheSansArab Light"/>
    </font>
    <font>
      <b/>
      <sz val="20"/>
      <color rgb="FF000000"/>
      <name val="Times New Roman"/>
      <family val="1"/>
    </font>
    <font>
      <b/>
      <sz val="20"/>
      <color rgb="FF000000"/>
      <name val="Aptos Narrow"/>
      <family val="2"/>
    </font>
    <font>
      <sz val="11"/>
      <color rgb="FF242424"/>
      <name val="Arial"/>
      <family val="2"/>
    </font>
    <font>
      <b/>
      <sz val="14"/>
      <color rgb="FF000000"/>
      <name val="Arial"/>
      <family val="2"/>
    </font>
    <font>
      <b/>
      <sz val="14"/>
      <color rgb="FF000000"/>
      <name val="Times New Roman"/>
      <family val="1"/>
    </font>
    <font>
      <b/>
      <sz val="14"/>
      <color rgb="FF4D93D9"/>
      <name val="TheSansArab Light"/>
    </font>
    <font>
      <b/>
      <sz val="14"/>
      <color rgb="FF4D93D9"/>
      <name val="Times New Roman"/>
      <family val="1"/>
    </font>
    <font>
      <sz val="14"/>
      <color theme="1"/>
      <name val="Aptos Narrow"/>
      <family val="2"/>
      <scheme val="minor"/>
    </font>
    <font>
      <b/>
      <sz val="26"/>
      <color rgb="FF000000"/>
      <name val="Aptos Narrow"/>
      <family val="2"/>
    </font>
    <font>
      <b/>
      <sz val="24"/>
      <color rgb="FF000000"/>
      <name val="Aptos Narrow"/>
      <family val="2"/>
    </font>
    <font>
      <b/>
      <sz val="11"/>
      <color rgb="FF000000"/>
      <name val="Times New Roman"/>
      <family val="1"/>
    </font>
    <font>
      <b/>
      <sz val="20"/>
      <color theme="1"/>
      <name val="Aptos Narrow"/>
      <family val="2"/>
      <scheme val="minor"/>
    </font>
    <font>
      <b/>
      <sz val="9"/>
      <color rgb="FFD86DCD"/>
      <name val="Times New Roman"/>
      <family val="1"/>
    </font>
    <font>
      <b/>
      <sz val="11"/>
      <name val="ADLaM Display"/>
    </font>
    <font>
      <b/>
      <sz val="14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7" xfId="0" applyFont="1" applyFill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8" fillId="2" borderId="3" xfId="0" applyFont="1" applyFill="1" applyBorder="1" applyAlignment="1">
      <alignment horizontal="center" vertical="center" wrapText="1" readingOrder="2"/>
    </xf>
    <xf numFmtId="0" fontId="9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 readingOrder="2"/>
    </xf>
    <xf numFmtId="0" fontId="8" fillId="2" borderId="4" xfId="0" applyFont="1" applyFill="1" applyBorder="1" applyAlignment="1">
      <alignment horizontal="center" vertical="center" wrapText="1" readingOrder="2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 readingOrder="2"/>
    </xf>
    <xf numFmtId="0" fontId="11" fillId="2" borderId="4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 readingOrder="2"/>
    </xf>
    <xf numFmtId="10" fontId="5" fillId="3" borderId="5" xfId="1" applyNumberFormat="1" applyFont="1" applyFill="1" applyBorder="1" applyAlignment="1">
      <alignment horizontal="center" vertical="center" wrapText="1"/>
    </xf>
    <xf numFmtId="10" fontId="13" fillId="3" borderId="5" xfId="1" applyNumberFormat="1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right" vertical="center" wrapText="1" readingOrder="2"/>
    </xf>
    <xf numFmtId="0" fontId="15" fillId="0" borderId="10" xfId="0" applyFont="1" applyBorder="1" applyAlignment="1">
      <alignment horizontal="center" vertical="center" wrapText="1"/>
    </xf>
    <xf numFmtId="10" fontId="12" fillId="3" borderId="5" xfId="1" applyNumberFormat="1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right" vertical="center" wrapText="1" readingOrder="2"/>
    </xf>
    <xf numFmtId="164" fontId="17" fillId="0" borderId="11" xfId="0" applyNumberFormat="1" applyFont="1" applyBorder="1" applyAlignment="1">
      <alignment horizontal="center" vertical="center" readingOrder="2"/>
    </xf>
    <xf numFmtId="10" fontId="0" fillId="0" borderId="0" xfId="0" applyNumberFormat="1"/>
    <xf numFmtId="0" fontId="18" fillId="3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 readingOrder="2"/>
    </xf>
    <xf numFmtId="0" fontId="10" fillId="2" borderId="2" xfId="0" applyFont="1" applyFill="1" applyBorder="1" applyAlignment="1">
      <alignment horizontal="center" vertical="center" wrapText="1" readingOrder="2"/>
    </xf>
    <xf numFmtId="0" fontId="10" fillId="2" borderId="8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 readingOrder="2"/>
    </xf>
    <xf numFmtId="0" fontId="8" fillId="2" borderId="2" xfId="0" applyFont="1" applyFill="1" applyBorder="1" applyAlignment="1">
      <alignment horizontal="center" vertical="center" wrapText="1" readingOrder="2"/>
    </xf>
    <xf numFmtId="0" fontId="8" fillId="2" borderId="8" xfId="0" applyFont="1" applyFill="1" applyBorder="1" applyAlignment="1">
      <alignment horizontal="center" vertical="center" wrapText="1" readingOrder="2"/>
    </xf>
    <xf numFmtId="0" fontId="8" fillId="2" borderId="9" xfId="0" applyFont="1" applyFill="1" applyBorder="1" applyAlignment="1">
      <alignment horizontal="center" vertical="center" wrapText="1" readingOrder="2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rightToLeft="1" tabSelected="1" view="pageBreakPreview" zoomScale="85" zoomScaleNormal="85" zoomScaleSheetLayoutView="85" workbookViewId="0">
      <selection activeCell="K6" sqref="K6"/>
    </sheetView>
  </sheetViews>
  <sheetFormatPr defaultRowHeight="14.4"/>
  <cols>
    <col min="1" max="1" width="5.109375" bestFit="1" customWidth="1"/>
    <col min="2" max="2" width="22.6640625" bestFit="1" customWidth="1"/>
    <col min="3" max="3" width="81.6640625" bestFit="1" customWidth="1"/>
    <col min="4" max="4" width="14.5546875" customWidth="1"/>
    <col min="5" max="5" width="15" bestFit="1" customWidth="1"/>
    <col min="6" max="6" width="15.109375" customWidth="1"/>
    <col min="7" max="7" width="22.88671875" bestFit="1" customWidth="1"/>
    <col min="8" max="8" width="19" bestFit="1" customWidth="1"/>
    <col min="9" max="9" width="20.21875" bestFit="1" customWidth="1"/>
    <col min="10" max="10" width="17.88671875" customWidth="1"/>
    <col min="11" max="11" width="31" bestFit="1" customWidth="1"/>
    <col min="12" max="12" width="12.33203125" customWidth="1"/>
    <col min="13" max="13" width="37.88671875" customWidth="1"/>
  </cols>
  <sheetData>
    <row r="1" spans="1:13" ht="15" thickBot="1"/>
    <row r="2" spans="1:13" ht="17.399999999999999">
      <c r="A2" s="25" t="s">
        <v>0</v>
      </c>
      <c r="B2" s="28" t="s">
        <v>1</v>
      </c>
      <c r="C2" s="31" t="s">
        <v>2</v>
      </c>
      <c r="D2" s="31" t="s">
        <v>19</v>
      </c>
      <c r="E2" s="3" t="s">
        <v>3</v>
      </c>
      <c r="F2" s="31" t="s">
        <v>5</v>
      </c>
      <c r="G2" s="4" t="s">
        <v>6</v>
      </c>
      <c r="H2" s="4" t="s">
        <v>9</v>
      </c>
      <c r="I2" s="4" t="s">
        <v>9</v>
      </c>
      <c r="J2" s="4" t="s">
        <v>9</v>
      </c>
      <c r="K2" s="22" t="s">
        <v>12</v>
      </c>
      <c r="L2" s="5" t="s">
        <v>13</v>
      </c>
      <c r="M2" s="22" t="s">
        <v>15</v>
      </c>
    </row>
    <row r="3" spans="1:13" ht="34.799999999999997">
      <c r="A3" s="26"/>
      <c r="B3" s="29"/>
      <c r="C3" s="32"/>
      <c r="D3" s="32"/>
      <c r="E3" s="6" t="s">
        <v>4</v>
      </c>
      <c r="F3" s="32"/>
      <c r="G3" s="7" t="s">
        <v>7</v>
      </c>
      <c r="H3" s="8" t="s">
        <v>10</v>
      </c>
      <c r="I3" s="8" t="s">
        <v>8</v>
      </c>
      <c r="J3" s="8" t="s">
        <v>11</v>
      </c>
      <c r="K3" s="23"/>
      <c r="L3" s="9" t="s">
        <v>14</v>
      </c>
      <c r="M3" s="23"/>
    </row>
    <row r="4" spans="1:13" ht="18.600000000000001" thickBot="1">
      <c r="A4" s="27"/>
      <c r="B4" s="30"/>
      <c r="C4" s="33"/>
      <c r="D4" s="34"/>
      <c r="E4" s="10"/>
      <c r="F4" s="33"/>
      <c r="G4" s="8" t="s">
        <v>8</v>
      </c>
      <c r="H4" s="10"/>
      <c r="I4" s="10"/>
      <c r="J4" s="10"/>
      <c r="K4" s="24"/>
      <c r="L4" s="11"/>
      <c r="M4" s="24"/>
    </row>
    <row r="5" spans="1:13" ht="111" customHeight="1" thickBot="1">
      <c r="A5" s="1">
        <v>1</v>
      </c>
      <c r="B5" s="16" t="s">
        <v>16</v>
      </c>
      <c r="C5" s="16" t="s">
        <v>17</v>
      </c>
      <c r="D5" s="19">
        <v>46397</v>
      </c>
      <c r="E5" s="19">
        <v>46397</v>
      </c>
      <c r="F5" s="21" t="s">
        <v>18</v>
      </c>
      <c r="G5" s="13">
        <v>0.84509999999999996</v>
      </c>
      <c r="H5" s="14">
        <v>0.73850000000000005</v>
      </c>
      <c r="I5" s="14">
        <v>0.75009999999999999</v>
      </c>
      <c r="J5" s="17">
        <f>I5-H5</f>
        <v>1.1599999999999944E-2</v>
      </c>
      <c r="K5" s="18" t="s">
        <v>21</v>
      </c>
      <c r="L5" s="12"/>
      <c r="M5" s="15" t="s">
        <v>20</v>
      </c>
    </row>
    <row r="6" spans="1:13">
      <c r="A6" s="2"/>
    </row>
    <row r="8" spans="1:13">
      <c r="H8" s="20"/>
    </row>
  </sheetData>
  <mergeCells count="7">
    <mergeCell ref="M2:M4"/>
    <mergeCell ref="A2:A4"/>
    <mergeCell ref="B2:B4"/>
    <mergeCell ref="C2:C4"/>
    <mergeCell ref="F2:F4"/>
    <mergeCell ref="K2:K4"/>
    <mergeCell ref="D2:D4"/>
  </mergeCells>
  <conditionalFormatting sqref="B5">
    <cfRule type="duplicateValues" dxfId="0" priority="1"/>
  </conditionalFormatting>
  <pageMargins left="0.7" right="0.7" top="0.75" bottom="0.75" header="0.3" footer="0.3"/>
  <pageSetup scale="2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Gomaa Mohamed</dc:creator>
  <cp:lastModifiedBy>Ahmed Gomaa Mohamed</cp:lastModifiedBy>
  <dcterms:created xsi:type="dcterms:W3CDTF">2025-04-15T12:34:30Z</dcterms:created>
  <dcterms:modified xsi:type="dcterms:W3CDTF">2026-10-13T12:30:54Z</dcterms:modified>
</cp:coreProperties>
</file>
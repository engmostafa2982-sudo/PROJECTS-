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(1) Ansab General Contracting Company\(6)MODON PROJECT\2.2 PROJECT DATA - BLOCK J\03 Updates Programme\02 Weekly Reports\Oct-2026\03.DAM3-02-007-WPR.93-Infrastructure_BLOCK J_MODON (3) @20-OCT.2026\5. Additional reports\"/>
    </mc:Choice>
  </mc:AlternateContent>
  <xr:revisionPtr revIDLastSave="0" documentId="13_ncr:1_{4B2522BB-C4AB-4779-9EAD-947F9FCD433D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Sheet1 (2)" sheetId="2" state="hidden" r:id="rId1"/>
    <sheet name="Conclusion" sheetId="3" r:id="rId2"/>
  </sheets>
  <definedNames>
    <definedName name="_xlnm.Print_Area" localSheetId="1">Conclusion!$A$1:$O$28</definedName>
    <definedName name="_xlnm.Print_Area" localSheetId="0">'Sheet1 (2)'!$A$1:$O$28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3" l="1"/>
  <c r="I5" i="3"/>
  <c r="I6" i="3"/>
  <c r="I7" i="3"/>
  <c r="I8" i="3"/>
  <c r="I9" i="3"/>
  <c r="G5" i="3"/>
  <c r="C14" i="3" l="1"/>
  <c r="C13" i="3"/>
  <c r="C10" i="3"/>
  <c r="J19" i="3"/>
  <c r="I19" i="3"/>
  <c r="J18" i="3"/>
  <c r="I18" i="3"/>
  <c r="J17" i="3"/>
  <c r="I17" i="3"/>
  <c r="J16" i="3"/>
  <c r="I16" i="3"/>
  <c r="J15" i="3"/>
  <c r="I15" i="3"/>
  <c r="J14" i="3"/>
  <c r="I14" i="3"/>
  <c r="J10" i="3"/>
  <c r="J9" i="3"/>
  <c r="J8" i="3"/>
  <c r="J7" i="3"/>
  <c r="J6" i="3"/>
  <c r="J5" i="3"/>
  <c r="J4" i="3"/>
  <c r="I4" i="3"/>
</calcChain>
</file>

<file path=xl/sharedStrings.xml><?xml version="1.0" encoding="utf-8"?>
<sst xmlns="http://schemas.openxmlformats.org/spreadsheetml/2006/main" count="138" uniqueCount="74">
  <si>
    <t>المقاول</t>
  </si>
  <si>
    <t>الاستشاري</t>
  </si>
  <si>
    <t>تاريخ استلام الموقع</t>
  </si>
  <si>
    <t>مدة التنفيذ</t>
  </si>
  <si>
    <t>24  شهرًا ميلاديًا</t>
  </si>
  <si>
    <t>بداية العقد</t>
  </si>
  <si>
    <t>من تاريخ استلام الموقع</t>
  </si>
  <si>
    <t>نسبة الإنجاز المخطط له</t>
  </si>
  <si>
    <t>نسبة الإنجاز الفعلي</t>
  </si>
  <si>
    <t>معلومات المشروع</t>
  </si>
  <si>
    <t>النسبة الاجمالية</t>
  </si>
  <si>
    <t xml:space="preserve">مكونات المشروع </t>
  </si>
  <si>
    <t>تنفيذ أعمال شبكة مياه الشرب</t>
  </si>
  <si>
    <t>تنفيذ أعمال شبكة الري</t>
  </si>
  <si>
    <t>تنفيذ أعمال شبكة التوزيع الكهربائية للجهد المتوسط</t>
  </si>
  <si>
    <t>تنفيذ أعمال إنارة الشوارع والاتصالات</t>
  </si>
  <si>
    <t>تنفيذ أعمال شبكة الصرف الصحي ومحطات رفع الصرف الصحي</t>
  </si>
  <si>
    <t>20,92 %</t>
  </si>
  <si>
    <t>تنفيذ أعمال شبكة صرف مياه الامطار</t>
  </si>
  <si>
    <t xml:space="preserve">ملخص جدول الكميات </t>
  </si>
  <si>
    <t>التكلفة
(غير شامل ضريبة القيمة المضافة)</t>
  </si>
  <si>
    <t>موقع المشروع</t>
  </si>
  <si>
    <t xml:space="preserve">انتهاء من تجهيزات الموقع </t>
  </si>
  <si>
    <t>التاريخ حسب الجدول الزمني</t>
  </si>
  <si>
    <t xml:space="preserve"> ملاحظة</t>
  </si>
  <si>
    <t>تم الإنتهاء</t>
  </si>
  <si>
    <t xml:space="preserve">انتهاء من تقديم خطة العمل والبرنامج الزمنى </t>
  </si>
  <si>
    <t>انتهاء من تقديم واعتماد المخططات والمواد</t>
  </si>
  <si>
    <t>انتهاء من أعمال الطرق والرصف</t>
  </si>
  <si>
    <t xml:space="preserve">انتهاء من أعمال الكهربائية </t>
  </si>
  <si>
    <t>انتهاء من أعمال شبكة مياه الشرب</t>
  </si>
  <si>
    <t>انتهاء من أعمال شبكة الري</t>
  </si>
  <si>
    <t xml:space="preserve">انتهاء من أعمال شبكة مياه الصرف الصحي </t>
  </si>
  <si>
    <t xml:space="preserve">انتهاء من أعمال  شبكة صرف مياه الامطار </t>
  </si>
  <si>
    <r>
      <t xml:space="preserve">قيمة العقد 
</t>
    </r>
    <r>
      <rPr>
        <b/>
        <sz val="9"/>
        <color rgb="FFFFFFFF"/>
        <rFont val="Arial"/>
        <family val="2"/>
      </rPr>
      <t>(شامل ضريبة القيمة المضافة)</t>
    </r>
  </si>
  <si>
    <t>معالم البرنامج الزمني</t>
  </si>
  <si>
    <t>نطاق المشروع</t>
  </si>
  <si>
    <t xml:space="preserve">أعمال الطرق الرئيسية والثانوية </t>
  </si>
  <si>
    <t>البند</t>
  </si>
  <si>
    <t xml:space="preserve">شبكة تصريف مياة السيول </t>
  </si>
  <si>
    <t xml:space="preserve">شبكة الصرف الصحي </t>
  </si>
  <si>
    <t>شبكة المياة</t>
  </si>
  <si>
    <t>شبكة الري</t>
  </si>
  <si>
    <t>شبكة الجهد المتوسط</t>
  </si>
  <si>
    <t>شبكة الهاتف والانارة</t>
  </si>
  <si>
    <t>نسبة المنفذ</t>
  </si>
  <si>
    <t>ملخص التوريدات</t>
  </si>
  <si>
    <t>الكمية الكلية
(م.ط)</t>
  </si>
  <si>
    <t>الكمية المنفذة 
(م.ط)</t>
  </si>
  <si>
    <t>الكمية المتبقية
(م.ط)</t>
  </si>
  <si>
    <t>الكمية المورده 
(م.ط)</t>
  </si>
  <si>
    <t>نسبة التوريد</t>
  </si>
  <si>
    <t>التحديات والعوائق</t>
  </si>
  <si>
    <t>1-</t>
  </si>
  <si>
    <t>2-</t>
  </si>
  <si>
    <t>3-</t>
  </si>
  <si>
    <t>4-</t>
  </si>
  <si>
    <t>5-</t>
  </si>
  <si>
    <t>6-</t>
  </si>
  <si>
    <t>7-</t>
  </si>
  <si>
    <t>تقدم أعمال  layout</t>
  </si>
  <si>
    <t>تقدم سير المشروع لتطوير شبكات البنية التحتية للمدينة الصناعية الثالثة بالدمام</t>
  </si>
  <si>
    <r>
      <t>شركة أنساب للمقاولات</t>
    </r>
    <r>
      <rPr>
        <sz val="11"/>
        <rFont val="Calibri"/>
        <family val="2"/>
      </rPr>
      <t xml:space="preserve"> العامة </t>
    </r>
  </si>
  <si>
    <t>شبكة الإنارة</t>
  </si>
  <si>
    <t>شبكة الانارة</t>
  </si>
  <si>
    <t>ملخص التنفيذ</t>
  </si>
  <si>
    <t>135,000,540  ريال</t>
  </si>
  <si>
    <t>تقدم سير المشروع لتطوير شبكات البنية التحتية للمدينة الصناعية الثالثة بالدمام المرحلة الثانية J</t>
  </si>
  <si>
    <t>تنفيذ أعمال الطرق والرصف</t>
  </si>
  <si>
    <t>شبكة السيول والأمطار</t>
  </si>
  <si>
    <t xml:space="preserve">شبكة الطرق </t>
  </si>
  <si>
    <t>جاري ألاعمال</t>
  </si>
  <si>
    <t>جاري الاعمال</t>
  </si>
  <si>
    <t>EGIS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</si>
</sst>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yy;@"/>
  </numFmts>
  <fonts count="1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Arial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b/>
      <sz val="11"/>
      <color rgb="FF000000"/>
      <name val="Calibri"/>
      <family val="2"/>
    </font>
    <font>
      <b/>
      <sz val="11"/>
      <color rgb="FF00B050"/>
      <name val="Calibri"/>
      <family val="2"/>
    </font>
    <font>
      <b/>
      <sz val="14"/>
      <color theme="0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Calibri"/>
      <family val="2"/>
    </font>
    <font>
      <sz val="10"/>
      <color rgb="FF000000"/>
      <name val="Arial"/>
      <family val="2"/>
    </font>
    <font>
      <sz val="9"/>
      <color rgb="FF000000"/>
      <name val="Calibri"/>
      <family val="2"/>
    </font>
    <font>
      <sz val="9"/>
      <color rgb="FF000000"/>
      <name val="Arial"/>
      <family val="2"/>
    </font>
    <font>
      <b/>
      <sz val="9"/>
      <color rgb="FFFFFFFF"/>
      <name val="Arial"/>
      <family val="2"/>
    </font>
    <font>
      <sz val="11"/>
      <color theme="1"/>
      <name val="Calibri"/>
      <family val="2"/>
      <scheme val="minor"/>
    </font>
    <font>
      <b/>
      <sz val="24"/>
      <color rgb="FFFF0000"/>
      <name val="Calibri"/>
      <family val="2"/>
      <scheme val="minor"/>
    </font>
    <font>
      <sz val="11"/>
      <name val="Arial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FD5EA"/>
        <bgColor indexed="64"/>
      </patternFill>
    </fill>
    <fill>
      <patternFill patternType="solid">
        <fgColor rgb="FFE9EBF5"/>
        <bgColor indexed="64"/>
      </patternFill>
    </fill>
    <fill>
      <patternFill patternType="solid">
        <fgColor theme="3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4" fillId="0" borderId="0" applyFont="0" applyFill="0" applyBorder="0" applyAlignment="0" applyProtection="0"/>
    <xf numFmtId="9" fontId="14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3" fontId="9" fillId="3" borderId="12" xfId="0" applyNumberFormat="1" applyFont="1" applyFill="1" applyBorder="1" applyAlignment="1">
      <alignment horizontal="center" vertical="center" wrapText="1" readingOrder="1"/>
    </xf>
    <xf numFmtId="10" fontId="9" fillId="3" borderId="12" xfId="0" applyNumberFormat="1" applyFont="1" applyFill="1" applyBorder="1" applyAlignment="1">
      <alignment horizontal="center" vertical="center" wrapText="1" readingOrder="1"/>
    </xf>
    <xf numFmtId="3" fontId="9" fillId="4" borderId="12" xfId="0" applyNumberFormat="1" applyFont="1" applyFill="1" applyBorder="1" applyAlignment="1">
      <alignment horizontal="center" vertical="center" wrapText="1" readingOrder="1"/>
    </xf>
    <xf numFmtId="10" fontId="9" fillId="4" borderId="12" xfId="0" applyNumberFormat="1" applyFont="1" applyFill="1" applyBorder="1" applyAlignment="1">
      <alignment horizontal="center" vertical="center" wrapText="1" readingOrder="1"/>
    </xf>
    <xf numFmtId="0" fontId="9" fillId="3" borderId="12" xfId="0" applyFont="1" applyFill="1" applyBorder="1" applyAlignment="1">
      <alignment horizontal="center" vertical="center" wrapText="1" readingOrder="1"/>
    </xf>
    <xf numFmtId="15" fontId="11" fillId="4" borderId="12" xfId="0" applyNumberFormat="1" applyFont="1" applyFill="1" applyBorder="1" applyAlignment="1">
      <alignment horizontal="center" vertical="center" wrapText="1" readingOrder="2"/>
    </xf>
    <xf numFmtId="15" fontId="11" fillId="0" borderId="12" xfId="0" applyNumberFormat="1" applyFont="1" applyBorder="1" applyAlignment="1">
      <alignment horizontal="center" vertical="center" wrapText="1" readingOrder="2"/>
    </xf>
    <xf numFmtId="0" fontId="12" fillId="4" borderId="12" xfId="0" applyFont="1" applyFill="1" applyBorder="1" applyAlignment="1">
      <alignment vertical="center" wrapText="1" readingOrder="2"/>
    </xf>
    <xf numFmtId="15" fontId="11" fillId="4" borderId="12" xfId="0" applyNumberFormat="1" applyFont="1" applyFill="1" applyBorder="1" applyAlignment="1">
      <alignment vertical="center" wrapText="1" readingOrder="2"/>
    </xf>
    <xf numFmtId="0" fontId="2" fillId="2" borderId="12" xfId="0" applyFont="1" applyFill="1" applyBorder="1" applyAlignment="1">
      <alignment horizontal="center" vertical="center" wrapText="1" readingOrder="2"/>
    </xf>
    <xf numFmtId="0" fontId="4" fillId="4" borderId="12" xfId="0" applyFont="1" applyFill="1" applyBorder="1" applyAlignment="1">
      <alignment horizontal="center" vertical="center" wrapText="1" readingOrder="2"/>
    </xf>
    <xf numFmtId="0" fontId="3" fillId="3" borderId="12" xfId="0" applyFont="1" applyFill="1" applyBorder="1" applyAlignment="1">
      <alignment horizontal="center" vertical="center" wrapText="1" readingOrder="2"/>
    </xf>
    <xf numFmtId="0" fontId="3" fillId="4" borderId="12" xfId="0" applyFont="1" applyFill="1" applyBorder="1" applyAlignment="1">
      <alignment horizontal="center" vertical="center" wrapText="1" readingOrder="2"/>
    </xf>
    <xf numFmtId="10" fontId="5" fillId="3" borderId="12" xfId="0" applyNumberFormat="1" applyFont="1" applyFill="1" applyBorder="1" applyAlignment="1">
      <alignment horizontal="center" vertical="center" wrapText="1" readingOrder="2"/>
    </xf>
    <xf numFmtId="10" fontId="6" fillId="3" borderId="12" xfId="0" applyNumberFormat="1" applyFont="1" applyFill="1" applyBorder="1" applyAlignment="1">
      <alignment horizontal="center" vertical="center" wrapText="1" readingOrder="2"/>
    </xf>
    <xf numFmtId="0" fontId="2" fillId="2" borderId="13" xfId="0" applyFont="1" applyFill="1" applyBorder="1" applyAlignment="1">
      <alignment horizontal="center" vertical="center" wrapText="1" readingOrder="2"/>
    </xf>
    <xf numFmtId="0" fontId="4" fillId="4" borderId="13" xfId="0" applyFont="1" applyFill="1" applyBorder="1" applyAlignment="1">
      <alignment horizontal="center" vertical="center" wrapText="1" readingOrder="2"/>
    </xf>
    <xf numFmtId="0" fontId="8" fillId="2" borderId="13" xfId="0" applyFont="1" applyFill="1" applyBorder="1" applyAlignment="1">
      <alignment horizontal="center" vertical="center" wrapText="1" readingOrder="1"/>
    </xf>
    <xf numFmtId="0" fontId="12" fillId="4" borderId="12" xfId="0" applyFont="1" applyFill="1" applyBorder="1" applyAlignment="1">
      <alignment horizontal="center" vertical="center" wrapText="1" readingOrder="2"/>
    </xf>
    <xf numFmtId="0" fontId="12" fillId="0" borderId="12" xfId="0" applyFont="1" applyBorder="1" applyAlignment="1">
      <alignment horizontal="center" vertical="center" wrapText="1" readingOrder="2"/>
    </xf>
    <xf numFmtId="0" fontId="12" fillId="0" borderId="12" xfId="0" applyFont="1" applyBorder="1" applyAlignment="1">
      <alignment vertical="center" wrapText="1" readingOrder="2"/>
    </xf>
    <xf numFmtId="0" fontId="8" fillId="2" borderId="13" xfId="0" applyFont="1" applyFill="1" applyBorder="1" applyAlignment="1">
      <alignment vertical="center" wrapText="1" readingOrder="1"/>
    </xf>
    <xf numFmtId="164" fontId="11" fillId="4" borderId="12" xfId="1" applyNumberFormat="1" applyFont="1" applyFill="1" applyBorder="1" applyAlignment="1">
      <alignment horizontal="center" vertical="center" wrapText="1" readingOrder="2"/>
    </xf>
    <xf numFmtId="164" fontId="12" fillId="4" borderId="12" xfId="1" applyNumberFormat="1" applyFont="1" applyFill="1" applyBorder="1" applyAlignment="1">
      <alignment horizontal="center" vertical="center" wrapText="1" readingOrder="2"/>
    </xf>
    <xf numFmtId="164" fontId="11" fillId="0" borderId="12" xfId="1" applyNumberFormat="1" applyFont="1" applyBorder="1" applyAlignment="1">
      <alignment horizontal="center" vertical="center" wrapText="1" readingOrder="2"/>
    </xf>
    <xf numFmtId="164" fontId="12" fillId="0" borderId="12" xfId="1" applyNumberFormat="1" applyFont="1" applyBorder="1" applyAlignment="1">
      <alignment horizontal="center" vertical="center" wrapText="1" readingOrder="2"/>
    </xf>
    <xf numFmtId="164" fontId="11" fillId="4" borderId="12" xfId="1" applyNumberFormat="1" applyFont="1" applyFill="1" applyBorder="1" applyAlignment="1">
      <alignment vertical="center" wrapText="1" readingOrder="2"/>
    </xf>
    <xf numFmtId="0" fontId="1" fillId="0" borderId="8" xfId="0" applyFont="1" applyBorder="1" applyAlignment="1">
      <alignment horizontal="center" vertical="center"/>
    </xf>
    <xf numFmtId="9" fontId="12" fillId="4" borderId="12" xfId="2" applyFont="1" applyFill="1" applyBorder="1" applyAlignment="1">
      <alignment horizontal="center" vertical="center" wrapText="1" readingOrder="2"/>
    </xf>
    <xf numFmtId="9" fontId="12" fillId="0" borderId="12" xfId="2" applyFont="1" applyBorder="1" applyAlignment="1">
      <alignment horizontal="center" vertical="center" wrapText="1" readingOrder="2"/>
    </xf>
    <xf numFmtId="0" fontId="1" fillId="0" borderId="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6" fillId="4" borderId="13" xfId="0" applyFont="1" applyFill="1" applyBorder="1" applyAlignment="1">
      <alignment horizontal="center" vertical="center" wrapText="1" readingOrder="2"/>
    </xf>
    <xf numFmtId="15" fontId="11" fillId="4" borderId="12" xfId="0" applyNumberFormat="1" applyFont="1" applyFill="1" applyBorder="1" applyAlignment="1">
      <alignment horizontal="center" vertical="center" wrapText="1" readingOrder="1"/>
    </xf>
    <xf numFmtId="15" fontId="11" fillId="0" borderId="12" xfId="0" applyNumberFormat="1" applyFont="1" applyBorder="1" applyAlignment="1">
      <alignment horizontal="center" vertical="center" wrapText="1" readingOrder="1"/>
    </xf>
    <xf numFmtId="165" fontId="3" fillId="3" borderId="12" xfId="0" applyNumberFormat="1" applyFont="1" applyFill="1" applyBorder="1" applyAlignment="1">
      <alignment horizontal="center" vertical="center" wrapText="1" readingOrder="2"/>
    </xf>
    <xf numFmtId="3" fontId="11" fillId="4" borderId="12" xfId="1" applyNumberFormat="1" applyFont="1" applyFill="1" applyBorder="1" applyAlignment="1">
      <alignment horizontal="center" vertical="center" wrapText="1" readingOrder="2"/>
    </xf>
    <xf numFmtId="3" fontId="12" fillId="4" borderId="12" xfId="1" applyNumberFormat="1" applyFont="1" applyFill="1" applyBorder="1" applyAlignment="1">
      <alignment horizontal="center" vertical="center" wrapText="1" readingOrder="2"/>
    </xf>
    <xf numFmtId="3" fontId="11" fillId="0" borderId="12" xfId="1" applyNumberFormat="1" applyFont="1" applyBorder="1" applyAlignment="1">
      <alignment horizontal="center" vertical="center" wrapText="1" readingOrder="2"/>
    </xf>
    <xf numFmtId="3" fontId="12" fillId="0" borderId="12" xfId="1" applyNumberFormat="1" applyFont="1" applyBorder="1" applyAlignment="1">
      <alignment horizontal="center" vertical="center" wrapText="1" readingOrder="2"/>
    </xf>
    <xf numFmtId="10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12" fillId="4" borderId="12" xfId="0" applyFont="1" applyFill="1" applyBorder="1" applyAlignment="1">
      <alignment horizontal="center" vertical="center" wrapText="1" readingOrder="2"/>
    </xf>
    <xf numFmtId="0" fontId="12" fillId="4" borderId="12" xfId="0" applyFont="1" applyFill="1" applyBorder="1" applyAlignment="1">
      <alignment horizontal="right" vertical="center" wrapText="1" readingOrder="2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 readingOrder="2"/>
    </xf>
    <xf numFmtId="0" fontId="7" fillId="5" borderId="6" xfId="0" applyFont="1" applyFill="1" applyBorder="1" applyAlignment="1">
      <alignment horizontal="center" vertical="center"/>
    </xf>
    <xf numFmtId="0" fontId="12" fillId="4" borderId="13" xfId="0" applyFont="1" applyFill="1" applyBorder="1" applyAlignment="1">
      <alignment horizontal="right" vertical="center" wrapText="1" readingOrder="2"/>
    </xf>
    <xf numFmtId="0" fontId="10" fillId="4" borderId="12" xfId="0" applyFont="1" applyFill="1" applyBorder="1" applyAlignment="1">
      <alignment horizontal="center" vertical="center" wrapText="1" readingOrder="2"/>
    </xf>
    <xf numFmtId="0" fontId="10" fillId="3" borderId="12" xfId="0" applyFont="1" applyFill="1" applyBorder="1" applyAlignment="1">
      <alignment horizontal="center" vertical="center" wrapText="1" readingOrder="1"/>
    </xf>
    <xf numFmtId="0" fontId="10" fillId="4" borderId="12" xfId="0" applyFont="1" applyFill="1" applyBorder="1" applyAlignment="1">
      <alignment horizontal="center" vertical="center" wrapText="1" readingOrder="1"/>
    </xf>
    <xf numFmtId="0" fontId="7" fillId="5" borderId="14" xfId="0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center" vertical="center"/>
    </xf>
    <xf numFmtId="0" fontId="7" fillId="5" borderId="16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 wrapText="1" readingOrder="1"/>
    </xf>
    <xf numFmtId="0" fontId="10" fillId="3" borderId="12" xfId="0" applyFont="1" applyFill="1" applyBorder="1" applyAlignment="1">
      <alignment horizontal="center" vertical="center" wrapText="1" readingOrder="2"/>
    </xf>
    <xf numFmtId="0" fontId="7" fillId="5" borderId="17" xfId="0" applyFont="1" applyFill="1" applyBorder="1" applyAlignment="1">
      <alignment horizontal="center" vertical="center"/>
    </xf>
    <xf numFmtId="0" fontId="7" fillId="5" borderId="18" xfId="0" applyFont="1" applyFill="1" applyBorder="1" applyAlignment="1">
      <alignment horizontal="center" vertical="center"/>
    </xf>
    <xf numFmtId="0" fontId="7" fillId="5" borderId="19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43715</xdr:colOff>
      <xdr:row>2</xdr:row>
      <xdr:rowOff>212480</xdr:rowOff>
    </xdr:from>
    <xdr:to>
      <xdr:col>12</xdr:col>
      <xdr:colOff>952042</xdr:colOff>
      <xdr:row>7</xdr:row>
      <xdr:rowOff>93911</xdr:rowOff>
    </xdr:to>
    <xdr:pic>
      <xdr:nvPicPr>
        <xdr:cNvPr id="5" name="Picture 4" descr="A satellite view of a city&#10;&#10;Description automatically generated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99" t="8940" r="14798" b="15689"/>
        <a:stretch/>
      </xdr:blipFill>
      <xdr:spPr>
        <a:xfrm>
          <a:off x="9477101797" y="871903"/>
          <a:ext cx="1980623" cy="1443403"/>
        </a:xfrm>
        <a:prstGeom prst="rect">
          <a:avLst/>
        </a:prstGeom>
      </xdr:spPr>
    </xdr:pic>
    <xdr:clientData/>
  </xdr:twoCellAnchor>
  <xdr:twoCellAnchor editAs="oneCell">
    <xdr:from>
      <xdr:col>12</xdr:col>
      <xdr:colOff>1013425</xdr:colOff>
      <xdr:row>2</xdr:row>
      <xdr:rowOff>315058</xdr:rowOff>
    </xdr:from>
    <xdr:to>
      <xdr:col>14</xdr:col>
      <xdr:colOff>1010492</xdr:colOff>
      <xdr:row>7</xdr:row>
      <xdr:rowOff>98967</xdr:rowOff>
    </xdr:to>
    <xdr:pic>
      <xdr:nvPicPr>
        <xdr:cNvPr id="6" name="Picture 5" descr="A diagram of a project&#10;&#10;Description automatically generated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19" r="3916"/>
        <a:stretch/>
      </xdr:blipFill>
      <xdr:spPr>
        <a:xfrm>
          <a:off x="9474889232" y="974481"/>
          <a:ext cx="2146420" cy="1333499"/>
        </a:xfrm>
        <a:prstGeom prst="ellipse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11</xdr:col>
      <xdr:colOff>289891</xdr:colOff>
      <xdr:row>12</xdr:row>
      <xdr:rowOff>34535</xdr:rowOff>
    </xdr:from>
    <xdr:to>
      <xdr:col>12</xdr:col>
      <xdr:colOff>822546</xdr:colOff>
      <xdr:row>16</xdr:row>
      <xdr:rowOff>16565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92863478" y="3504948"/>
          <a:ext cx="1615109" cy="876552"/>
        </a:xfrm>
        <a:prstGeom prst="rect">
          <a:avLst/>
        </a:prstGeom>
      </xdr:spPr>
    </xdr:pic>
    <xdr:clientData/>
  </xdr:twoCellAnchor>
  <xdr:twoCellAnchor editAs="oneCell">
    <xdr:from>
      <xdr:col>11</xdr:col>
      <xdr:colOff>256762</xdr:colOff>
      <xdr:row>17</xdr:row>
      <xdr:rowOff>59422</xdr:rowOff>
    </xdr:from>
    <xdr:to>
      <xdr:col>12</xdr:col>
      <xdr:colOff>911088</xdr:colOff>
      <xdr:row>21</xdr:row>
      <xdr:rowOff>209747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92780651" y="4623139"/>
          <a:ext cx="1731065" cy="1021326"/>
        </a:xfrm>
        <a:prstGeom prst="rect">
          <a:avLst/>
        </a:prstGeom>
      </xdr:spPr>
    </xdr:pic>
    <xdr:clientData/>
  </xdr:twoCellAnchor>
  <xdr:twoCellAnchor editAs="oneCell">
    <xdr:from>
      <xdr:col>13</xdr:col>
      <xdr:colOff>95252</xdr:colOff>
      <xdr:row>12</xdr:row>
      <xdr:rowOff>53494</xdr:rowOff>
    </xdr:from>
    <xdr:to>
      <xdr:col>14</xdr:col>
      <xdr:colOff>1027259</xdr:colOff>
      <xdr:row>16</xdr:row>
      <xdr:rowOff>154305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63CD0C-5F33-D45A-7CC9-28856CFB3C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0800000" flipV="1">
          <a:off x="9666790591" y="3396769"/>
          <a:ext cx="2036907" cy="977111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"/>
  <sheetViews>
    <sheetView rightToLeft="1" view="pageBreakPreview" zoomScale="44" zoomScaleNormal="44" zoomScaleSheetLayoutView="44" workbookViewId="0">
      <selection activeCell="G35" sqref="G35"/>
    </sheetView>
  </sheetViews>
  <sheetFormatPr defaultColWidth="8.6640625" defaultRowHeight="14.4" x14ac:dyDescent="0.3"/>
  <cols>
    <col min="1" max="1" width="16.44140625" style="1" bestFit="1" customWidth="1"/>
    <col min="2" max="2" width="20.109375" style="1" bestFit="1" customWidth="1"/>
    <col min="3" max="3" width="22.44140625" style="1" customWidth="1"/>
    <col min="4" max="4" width="17.44140625" style="1" bestFit="1" customWidth="1"/>
    <col min="5" max="5" width="2.109375" style="1" customWidth="1"/>
    <col min="6" max="6" width="17.109375" style="1" customWidth="1"/>
    <col min="7" max="7" width="9.5546875" style="1" customWidth="1"/>
    <col min="8" max="8" width="9.109375" style="1" customWidth="1"/>
    <col min="9" max="9" width="9.44140625" style="1" customWidth="1"/>
    <col min="10" max="10" width="9.5546875" style="1" bestFit="1" customWidth="1"/>
    <col min="11" max="11" width="2.109375" style="1" customWidth="1"/>
    <col min="12" max="15" width="16.109375" style="1" customWidth="1"/>
    <col min="16" max="16384" width="8.6640625" style="1"/>
  </cols>
  <sheetData>
    <row r="1" spans="1:15" ht="45.9" customHeight="1" thickBot="1" x14ac:dyDescent="0.35">
      <c r="A1" s="71" t="s">
        <v>61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3"/>
    </row>
    <row r="2" spans="1:15" ht="30.6" customHeight="1" thickBot="1" x14ac:dyDescent="0.35">
      <c r="A2" s="85" t="s">
        <v>9</v>
      </c>
      <c r="B2" s="86"/>
      <c r="C2" s="86"/>
      <c r="D2" s="87"/>
      <c r="F2" s="88" t="s">
        <v>36</v>
      </c>
      <c r="G2" s="89"/>
      <c r="H2" s="89"/>
      <c r="I2" s="89"/>
      <c r="J2" s="90"/>
      <c r="L2" s="88" t="s">
        <v>21</v>
      </c>
      <c r="M2" s="89"/>
      <c r="N2" s="89"/>
      <c r="O2" s="89"/>
    </row>
    <row r="3" spans="1:15" ht="29.4" customHeight="1" x14ac:dyDescent="0.3">
      <c r="A3" s="31" t="s">
        <v>0</v>
      </c>
      <c r="B3" s="32"/>
      <c r="C3" s="31" t="s">
        <v>1</v>
      </c>
      <c r="D3" s="32"/>
      <c r="F3" s="37" t="s">
        <v>38</v>
      </c>
      <c r="G3" s="33" t="s">
        <v>47</v>
      </c>
      <c r="H3" s="33" t="s">
        <v>48</v>
      </c>
      <c r="I3" s="33" t="s">
        <v>49</v>
      </c>
      <c r="J3" s="33" t="s">
        <v>45</v>
      </c>
      <c r="L3" s="2"/>
      <c r="M3" s="3"/>
      <c r="N3" s="3"/>
      <c r="O3" s="3"/>
    </row>
    <row r="4" spans="1:15" ht="25.5" customHeight="1" x14ac:dyDescent="0.3">
      <c r="A4" s="25" t="s">
        <v>2</v>
      </c>
      <c r="B4" s="27"/>
      <c r="C4" s="25" t="s">
        <v>3</v>
      </c>
      <c r="D4" s="27"/>
      <c r="F4" s="23" t="s">
        <v>37</v>
      </c>
      <c r="G4" s="38"/>
      <c r="H4" s="39"/>
      <c r="I4" s="39"/>
      <c r="J4" s="44"/>
      <c r="L4" s="4"/>
      <c r="M4" s="5"/>
      <c r="N4" s="5"/>
      <c r="O4" s="5"/>
    </row>
    <row r="5" spans="1:15" ht="25.8" x14ac:dyDescent="0.3">
      <c r="A5" s="25" t="s">
        <v>5</v>
      </c>
      <c r="B5" s="26"/>
      <c r="C5" s="25" t="s">
        <v>34</v>
      </c>
      <c r="D5" s="28"/>
      <c r="F5" s="36" t="s">
        <v>39</v>
      </c>
      <c r="G5" s="40"/>
      <c r="H5" s="41"/>
      <c r="I5" s="41"/>
      <c r="J5" s="45"/>
      <c r="L5" s="4"/>
      <c r="M5" s="5"/>
      <c r="N5" s="5"/>
      <c r="O5" s="5"/>
    </row>
    <row r="6" spans="1:15" ht="15.6" customHeight="1" x14ac:dyDescent="0.3">
      <c r="A6" s="25" t="s">
        <v>7</v>
      </c>
      <c r="B6" s="29"/>
      <c r="C6" s="25" t="s">
        <v>8</v>
      </c>
      <c r="D6" s="30"/>
      <c r="F6" s="23" t="s">
        <v>40</v>
      </c>
      <c r="G6" s="42"/>
      <c r="H6" s="39"/>
      <c r="I6" s="39"/>
      <c r="J6" s="44"/>
      <c r="L6" s="4"/>
      <c r="M6" s="5"/>
      <c r="N6" s="5"/>
      <c r="O6" s="5"/>
    </row>
    <row r="7" spans="1:15" ht="17.100000000000001" customHeight="1" thickBot="1" x14ac:dyDescent="0.35">
      <c r="F7" s="36" t="s">
        <v>41</v>
      </c>
      <c r="G7" s="40"/>
      <c r="H7" s="41"/>
      <c r="I7" s="41"/>
      <c r="J7" s="45"/>
      <c r="L7" s="4"/>
      <c r="M7" s="5"/>
      <c r="N7" s="5"/>
      <c r="O7" s="5"/>
    </row>
    <row r="8" spans="1:15" ht="18.899999999999999" customHeight="1" thickBot="1" x14ac:dyDescent="0.35">
      <c r="A8" s="67" t="s">
        <v>19</v>
      </c>
      <c r="B8" s="68"/>
      <c r="C8" s="68"/>
      <c r="D8" s="75"/>
      <c r="F8" s="23" t="s">
        <v>42</v>
      </c>
      <c r="G8" s="38"/>
      <c r="H8" s="39"/>
      <c r="I8" s="39"/>
      <c r="J8" s="44"/>
      <c r="L8" s="4"/>
      <c r="M8" s="5"/>
      <c r="N8" s="5"/>
      <c r="O8" s="5"/>
    </row>
    <row r="9" spans="1:15" ht="39.6" x14ac:dyDescent="0.3">
      <c r="A9" s="83" t="s">
        <v>11</v>
      </c>
      <c r="B9" s="83"/>
      <c r="C9" s="33" t="s">
        <v>20</v>
      </c>
      <c r="D9" s="33" t="s">
        <v>10</v>
      </c>
      <c r="F9" s="36" t="s">
        <v>43</v>
      </c>
      <c r="G9" s="40"/>
      <c r="H9" s="41"/>
      <c r="I9" s="41"/>
      <c r="J9" s="45"/>
      <c r="L9" s="4"/>
      <c r="M9" s="5"/>
      <c r="N9" s="5"/>
      <c r="O9" s="5"/>
    </row>
    <row r="10" spans="1:15" ht="24.6" customHeight="1" thickBot="1" x14ac:dyDescent="0.35">
      <c r="A10" s="84"/>
      <c r="B10" s="84"/>
      <c r="C10" s="16"/>
      <c r="D10" s="17"/>
      <c r="F10" s="23" t="s">
        <v>44</v>
      </c>
      <c r="G10" s="38"/>
      <c r="H10" s="39"/>
      <c r="I10" s="39"/>
      <c r="J10" s="44"/>
      <c r="L10" s="6"/>
      <c r="M10" s="7"/>
      <c r="N10" s="7"/>
      <c r="O10" s="7"/>
    </row>
    <row r="11" spans="1:15" ht="25.5" customHeight="1" thickBot="1" x14ac:dyDescent="0.35">
      <c r="A11" s="77"/>
      <c r="B11" s="77"/>
      <c r="C11" s="18"/>
      <c r="D11" s="19"/>
    </row>
    <row r="12" spans="1:15" ht="18.600000000000001" thickBot="1" x14ac:dyDescent="0.35">
      <c r="A12" s="78"/>
      <c r="B12" s="78"/>
      <c r="C12" s="16"/>
      <c r="D12" s="17"/>
      <c r="F12" s="67" t="s">
        <v>46</v>
      </c>
      <c r="G12" s="68"/>
      <c r="H12" s="68"/>
      <c r="I12" s="68"/>
      <c r="J12" s="75"/>
      <c r="L12" s="67" t="s">
        <v>60</v>
      </c>
      <c r="M12" s="68"/>
      <c r="N12" s="68"/>
      <c r="O12" s="68"/>
    </row>
    <row r="13" spans="1:15" ht="24.9" customHeight="1" x14ac:dyDescent="0.3">
      <c r="A13" s="79"/>
      <c r="B13" s="79"/>
      <c r="C13" s="18"/>
      <c r="D13" s="19"/>
      <c r="F13" s="33" t="s">
        <v>38</v>
      </c>
      <c r="G13" s="33" t="s">
        <v>47</v>
      </c>
      <c r="H13" s="33" t="s">
        <v>50</v>
      </c>
      <c r="I13" s="33" t="s">
        <v>49</v>
      </c>
      <c r="J13" s="33" t="s">
        <v>51</v>
      </c>
      <c r="L13" s="8"/>
      <c r="M13" s="10"/>
      <c r="N13" s="8"/>
      <c r="O13" s="10"/>
    </row>
    <row r="14" spans="1:15" ht="24.9" customHeight="1" x14ac:dyDescent="0.3">
      <c r="A14" s="78"/>
      <c r="B14" s="78"/>
      <c r="C14" s="16"/>
      <c r="D14" s="17"/>
      <c r="F14" s="34" t="s">
        <v>39</v>
      </c>
      <c r="G14" s="42"/>
      <c r="H14" s="38"/>
      <c r="I14" s="39"/>
      <c r="J14" s="44"/>
      <c r="L14" s="11"/>
      <c r="M14" s="12"/>
      <c r="N14" s="11"/>
      <c r="O14" s="12"/>
    </row>
    <row r="15" spans="1:15" ht="29.1" customHeight="1" x14ac:dyDescent="0.3">
      <c r="A15" s="79"/>
      <c r="B15" s="79"/>
      <c r="C15" s="18"/>
      <c r="D15" s="19"/>
      <c r="F15" s="35" t="s">
        <v>40</v>
      </c>
      <c r="G15" s="40"/>
      <c r="H15" s="40"/>
      <c r="I15" s="41"/>
      <c r="J15" s="45"/>
      <c r="L15" s="11"/>
      <c r="M15" s="12"/>
      <c r="N15" s="11"/>
      <c r="O15" s="12"/>
    </row>
    <row r="16" spans="1:15" ht="24.9" customHeight="1" x14ac:dyDescent="0.3">
      <c r="A16" s="78"/>
      <c r="B16" s="78"/>
      <c r="C16" s="16"/>
      <c r="D16" s="20"/>
      <c r="F16" s="34" t="s">
        <v>41</v>
      </c>
      <c r="G16" s="42"/>
      <c r="H16" s="38"/>
      <c r="I16" s="39"/>
      <c r="J16" s="44"/>
      <c r="L16" s="11"/>
      <c r="M16" s="12"/>
      <c r="N16" s="11"/>
      <c r="O16" s="12"/>
    </row>
    <row r="17" spans="1:15" ht="18" customHeight="1" thickBot="1" x14ac:dyDescent="0.35">
      <c r="F17" s="35" t="s">
        <v>42</v>
      </c>
      <c r="G17" s="40"/>
      <c r="H17" s="40"/>
      <c r="I17" s="41"/>
      <c r="J17" s="45"/>
      <c r="L17" s="4"/>
      <c r="M17" s="43"/>
      <c r="N17" s="4"/>
      <c r="O17" s="43"/>
    </row>
    <row r="18" spans="1:15" ht="18.600000000000001" thickBot="1" x14ac:dyDescent="0.35">
      <c r="A18" s="80" t="s">
        <v>35</v>
      </c>
      <c r="B18" s="81"/>
      <c r="C18" s="81"/>
      <c r="D18" s="82"/>
      <c r="F18" s="34" t="s">
        <v>43</v>
      </c>
      <c r="G18" s="42"/>
      <c r="H18" s="38"/>
      <c r="I18" s="39"/>
      <c r="J18" s="44"/>
      <c r="L18" s="11"/>
      <c r="M18" s="12"/>
      <c r="N18" s="11"/>
      <c r="O18" s="12"/>
    </row>
    <row r="19" spans="1:15" ht="26.1" customHeight="1" x14ac:dyDescent="0.3">
      <c r="A19" s="83" t="s">
        <v>38</v>
      </c>
      <c r="B19" s="83"/>
      <c r="C19" s="33" t="s">
        <v>23</v>
      </c>
      <c r="D19" s="33" t="s">
        <v>24</v>
      </c>
      <c r="F19" s="35" t="s">
        <v>44</v>
      </c>
      <c r="G19" s="40"/>
      <c r="H19" s="40"/>
      <c r="I19" s="41"/>
      <c r="J19" s="45"/>
      <c r="L19" s="11"/>
      <c r="M19" s="12"/>
      <c r="N19" s="11"/>
      <c r="O19" s="12"/>
    </row>
    <row r="20" spans="1:15" ht="15" thickBot="1" x14ac:dyDescent="0.35">
      <c r="A20" s="69"/>
      <c r="B20" s="69"/>
      <c r="C20" s="21"/>
      <c r="D20" s="34"/>
      <c r="L20" s="13"/>
      <c r="M20" s="15"/>
      <c r="N20" s="13"/>
      <c r="O20" s="15"/>
    </row>
    <row r="21" spans="1:15" ht="23.1" customHeight="1" thickBot="1" x14ac:dyDescent="0.35">
      <c r="A21" s="74"/>
      <c r="B21" s="74"/>
      <c r="C21" s="22"/>
      <c r="D21" s="35"/>
      <c r="F21" s="67" t="s">
        <v>52</v>
      </c>
      <c r="G21" s="68"/>
      <c r="H21" s="68"/>
      <c r="I21" s="68"/>
      <c r="J21" s="75"/>
      <c r="L21" s="8"/>
      <c r="M21" s="10"/>
      <c r="N21" s="9"/>
      <c r="O21" s="10"/>
    </row>
    <row r="22" spans="1:15" x14ac:dyDescent="0.3">
      <c r="A22" s="69"/>
      <c r="B22" s="69"/>
      <c r="C22" s="24"/>
      <c r="D22" s="34"/>
      <c r="F22" s="76" t="s">
        <v>53</v>
      </c>
      <c r="G22" s="76"/>
      <c r="H22" s="76"/>
      <c r="I22" s="76"/>
      <c r="J22" s="76"/>
      <c r="L22" s="11"/>
      <c r="M22" s="12"/>
      <c r="O22" s="12"/>
    </row>
    <row r="23" spans="1:15" ht="23.1" customHeight="1" x14ac:dyDescent="0.3">
      <c r="A23" s="74"/>
      <c r="B23" s="74"/>
      <c r="C23" s="22"/>
      <c r="D23" s="35"/>
      <c r="F23" s="70" t="s">
        <v>54</v>
      </c>
      <c r="G23" s="70"/>
      <c r="H23" s="70"/>
      <c r="I23" s="70"/>
      <c r="J23" s="70"/>
      <c r="L23" s="11"/>
      <c r="M23" s="12"/>
      <c r="O23" s="12"/>
    </row>
    <row r="24" spans="1:15" x14ac:dyDescent="0.3">
      <c r="A24" s="69"/>
      <c r="B24" s="69"/>
      <c r="C24" s="21"/>
      <c r="D24" s="34"/>
      <c r="F24" s="70" t="s">
        <v>55</v>
      </c>
      <c r="G24" s="70"/>
      <c r="H24" s="70"/>
      <c r="I24" s="70"/>
      <c r="J24" s="70"/>
      <c r="L24" s="11"/>
      <c r="M24" s="12"/>
      <c r="O24" s="12"/>
    </row>
    <row r="25" spans="1:15" ht="23.1" customHeight="1" x14ac:dyDescent="0.3">
      <c r="A25" s="74"/>
      <c r="B25" s="74"/>
      <c r="C25" s="22"/>
      <c r="D25" s="35"/>
      <c r="F25" s="70" t="s">
        <v>56</v>
      </c>
      <c r="G25" s="70"/>
      <c r="H25" s="70"/>
      <c r="I25" s="70"/>
      <c r="J25" s="70"/>
      <c r="L25" s="11"/>
      <c r="M25" s="12"/>
      <c r="O25" s="12"/>
    </row>
    <row r="26" spans="1:15" x14ac:dyDescent="0.3">
      <c r="A26" s="69"/>
      <c r="B26" s="69"/>
      <c r="C26" s="21"/>
      <c r="D26" s="34"/>
      <c r="F26" s="70" t="s">
        <v>57</v>
      </c>
      <c r="G26" s="70"/>
      <c r="H26" s="70"/>
      <c r="I26" s="70"/>
      <c r="J26" s="70"/>
      <c r="L26" s="11"/>
      <c r="M26" s="12"/>
      <c r="O26" s="12"/>
    </row>
    <row r="27" spans="1:15" ht="23.1" customHeight="1" x14ac:dyDescent="0.3">
      <c r="A27" s="74"/>
      <c r="B27" s="74"/>
      <c r="C27" s="22"/>
      <c r="D27" s="35"/>
      <c r="F27" s="70" t="s">
        <v>58</v>
      </c>
      <c r="G27" s="70"/>
      <c r="H27" s="70"/>
      <c r="I27" s="70"/>
      <c r="J27" s="70"/>
      <c r="L27" s="11"/>
      <c r="M27" s="12"/>
      <c r="O27" s="12"/>
    </row>
    <row r="28" spans="1:15" ht="23.1" customHeight="1" thickBot="1" x14ac:dyDescent="0.35">
      <c r="A28" s="69"/>
      <c r="B28" s="69"/>
      <c r="C28" s="21"/>
      <c r="D28" s="34"/>
      <c r="F28" s="70" t="s">
        <v>59</v>
      </c>
      <c r="G28" s="70"/>
      <c r="H28" s="70"/>
      <c r="I28" s="70"/>
      <c r="J28" s="70"/>
      <c r="L28" s="13"/>
      <c r="M28" s="15"/>
      <c r="N28" s="14"/>
      <c r="O28" s="15"/>
    </row>
  </sheetData>
  <mergeCells count="34">
    <mergeCell ref="A10:B10"/>
    <mergeCell ref="A2:D2"/>
    <mergeCell ref="F2:J2"/>
    <mergeCell ref="L2:O2"/>
    <mergeCell ref="A8:D8"/>
    <mergeCell ref="A9:B9"/>
    <mergeCell ref="A21:B21"/>
    <mergeCell ref="A11:B11"/>
    <mergeCell ref="A12:B12"/>
    <mergeCell ref="F12:J12"/>
    <mergeCell ref="L12:O12"/>
    <mergeCell ref="A13:B13"/>
    <mergeCell ref="A14:B14"/>
    <mergeCell ref="A15:B15"/>
    <mergeCell ref="A16:B16"/>
    <mergeCell ref="A18:D18"/>
    <mergeCell ref="A19:B19"/>
    <mergeCell ref="A20:B20"/>
    <mergeCell ref="A28:B28"/>
    <mergeCell ref="F28:J28"/>
    <mergeCell ref="A1:O1"/>
    <mergeCell ref="A25:B25"/>
    <mergeCell ref="F25:J25"/>
    <mergeCell ref="A26:B26"/>
    <mergeCell ref="F26:J26"/>
    <mergeCell ref="A27:B27"/>
    <mergeCell ref="F27:J27"/>
    <mergeCell ref="F21:J21"/>
    <mergeCell ref="A22:B22"/>
    <mergeCell ref="F22:J22"/>
    <mergeCell ref="A23:B23"/>
    <mergeCell ref="F23:J23"/>
    <mergeCell ref="A24:B24"/>
    <mergeCell ref="F24:J24"/>
  </mergeCells>
  <printOptions horizontalCentered="1" verticalCentered="1"/>
  <pageMargins left="0.25" right="0.25" top="0.25" bottom="0.2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8"/>
  <sheetViews>
    <sheetView rightToLeft="1" tabSelected="1" view="pageBreakPreview" topLeftCell="A2" zoomScaleNormal="44" zoomScaleSheetLayoutView="100" workbookViewId="0">
      <selection activeCell="H10" sqref="H10"/>
    </sheetView>
  </sheetViews>
  <sheetFormatPr defaultColWidth="8.6640625" defaultRowHeight="14.4" x14ac:dyDescent="0.3"/>
  <cols>
    <col min="1" max="1" width="16.44140625" style="1" bestFit="1" customWidth="1"/>
    <col min="2" max="2" width="25.33203125" style="1" customWidth="1"/>
    <col min="3" max="3" width="22.44140625" style="1" customWidth="1"/>
    <col min="4" max="4" width="26.109375" style="1" customWidth="1"/>
    <col min="5" max="5" width="2.109375" style="1" customWidth="1"/>
    <col min="6" max="6" width="31.44140625" style="1" customWidth="1"/>
    <col min="7" max="10" width="10.88671875" style="1" customWidth="1"/>
    <col min="11" max="11" width="2.109375" style="1" customWidth="1"/>
    <col min="12" max="15" width="16.109375" style="1" customWidth="1"/>
    <col min="16" max="16384" width="8.6640625" style="1"/>
  </cols>
  <sheetData>
    <row r="1" spans="1:17" ht="31.8" thickBot="1" x14ac:dyDescent="0.35">
      <c r="A1" s="71" t="s">
        <v>67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3"/>
    </row>
    <row r="2" spans="1:17" ht="18.600000000000001" thickBot="1" x14ac:dyDescent="0.35">
      <c r="A2" s="85" t="s">
        <v>9</v>
      </c>
      <c r="B2" s="86"/>
      <c r="C2" s="86"/>
      <c r="D2" s="87"/>
      <c r="F2" s="88" t="s">
        <v>65</v>
      </c>
      <c r="G2" s="89"/>
      <c r="H2" s="89"/>
      <c r="I2" s="89"/>
      <c r="J2" s="90"/>
      <c r="L2" s="67" t="s">
        <v>21</v>
      </c>
      <c r="M2" s="68"/>
      <c r="N2" s="68"/>
      <c r="O2" s="75"/>
    </row>
    <row r="3" spans="1:17" ht="26.4" x14ac:dyDescent="0.3">
      <c r="A3" s="31" t="s">
        <v>0</v>
      </c>
      <c r="B3" s="48" t="s">
        <v>62</v>
      </c>
      <c r="C3" s="31" t="s">
        <v>1</v>
      </c>
      <c r="D3" s="32" t="s">
        <v>73</v>
      </c>
      <c r="F3" s="37" t="s">
        <v>38</v>
      </c>
      <c r="G3" s="33" t="s">
        <v>47</v>
      </c>
      <c r="H3" s="33" t="s">
        <v>48</v>
      </c>
      <c r="I3" s="33" t="s">
        <v>49</v>
      </c>
      <c r="J3" s="33" t="s">
        <v>45</v>
      </c>
      <c r="L3" s="2"/>
      <c r="M3" s="3"/>
      <c r="N3" s="3"/>
      <c r="O3" s="46"/>
    </row>
    <row r="4" spans="1:17" x14ac:dyDescent="0.3">
      <c r="A4" s="25" t="s">
        <v>2</v>
      </c>
      <c r="B4" s="51">
        <v>45700</v>
      </c>
      <c r="C4" s="25" t="s">
        <v>3</v>
      </c>
      <c r="D4" s="27" t="s">
        <v>4</v>
      </c>
      <c r="F4" s="23" t="s">
        <v>37</v>
      </c>
      <c r="G4" s="52">
        <v>8146</v>
      </c>
      <c r="H4" s="53">
        <v>5000</v>
      </c>
      <c r="I4" s="53">
        <f>G4-H4</f>
        <v>3146</v>
      </c>
      <c r="J4" s="44">
        <f>H4/G4</f>
        <v>0.61379818315737789</v>
      </c>
      <c r="L4" s="4"/>
      <c r="M4" s="5"/>
      <c r="N4" s="5"/>
      <c r="O4" s="43"/>
    </row>
    <row r="5" spans="1:17" ht="25.8" x14ac:dyDescent="0.3">
      <c r="A5" s="25" t="s">
        <v>5</v>
      </c>
      <c r="B5" s="26" t="s">
        <v>6</v>
      </c>
      <c r="C5" s="25" t="s">
        <v>34</v>
      </c>
      <c r="D5" s="28" t="s">
        <v>66</v>
      </c>
      <c r="F5" s="36" t="s">
        <v>39</v>
      </c>
      <c r="G5" s="54">
        <f>10622+7932</f>
        <v>18554</v>
      </c>
      <c r="H5" s="55">
        <v>17450</v>
      </c>
      <c r="I5" s="53">
        <f t="shared" ref="I5:I9" si="0">G5-H5</f>
        <v>1104</v>
      </c>
      <c r="J5" s="45">
        <f t="shared" ref="J5:J10" si="1">H5/G5</f>
        <v>0.9404980058208473</v>
      </c>
      <c r="L5" s="4"/>
      <c r="M5" s="5"/>
      <c r="N5" s="5"/>
      <c r="O5" s="43"/>
    </row>
    <row r="6" spans="1:17" ht="24.6" customHeight="1" x14ac:dyDescent="0.3">
      <c r="A6" s="25" t="s">
        <v>7</v>
      </c>
      <c r="B6" s="29">
        <v>0.8579</v>
      </c>
      <c r="C6" s="25" t="s">
        <v>8</v>
      </c>
      <c r="D6" s="30">
        <v>0.75760000000000005</v>
      </c>
      <c r="F6" s="23" t="s">
        <v>40</v>
      </c>
      <c r="G6" s="52">
        <v>9152</v>
      </c>
      <c r="H6" s="53">
        <v>8752</v>
      </c>
      <c r="I6" s="53">
        <f t="shared" si="0"/>
        <v>400</v>
      </c>
      <c r="J6" s="44">
        <f t="shared" si="1"/>
        <v>0.95629370629370625</v>
      </c>
      <c r="L6" s="4"/>
      <c r="M6" s="5"/>
      <c r="N6" s="5"/>
      <c r="O6" s="43"/>
    </row>
    <row r="7" spans="1:17" ht="15" thickBot="1" x14ac:dyDescent="0.35">
      <c r="F7" s="36" t="s">
        <v>41</v>
      </c>
      <c r="G7" s="54">
        <v>12200</v>
      </c>
      <c r="H7" s="55">
        <v>10800</v>
      </c>
      <c r="I7" s="53">
        <f t="shared" si="0"/>
        <v>1400</v>
      </c>
      <c r="J7" s="45">
        <f t="shared" si="1"/>
        <v>0.88524590163934425</v>
      </c>
      <c r="L7" s="4"/>
      <c r="M7" s="5"/>
      <c r="N7" s="5"/>
      <c r="O7" s="43"/>
      <c r="Q7" s="56"/>
    </row>
    <row r="8" spans="1:17" ht="18.600000000000001" thickBot="1" x14ac:dyDescent="0.35">
      <c r="A8" s="67" t="s">
        <v>19</v>
      </c>
      <c r="B8" s="68"/>
      <c r="C8" s="68"/>
      <c r="D8" s="75"/>
      <c r="F8" s="23" t="s">
        <v>42</v>
      </c>
      <c r="G8" s="52">
        <v>14494</v>
      </c>
      <c r="H8" s="53">
        <v>8074</v>
      </c>
      <c r="I8" s="53">
        <f t="shared" si="0"/>
        <v>6420</v>
      </c>
      <c r="J8" s="44">
        <f t="shared" si="1"/>
        <v>0.55705809300400166</v>
      </c>
      <c r="L8" s="4"/>
      <c r="M8" s="5"/>
      <c r="N8" s="5"/>
      <c r="O8" s="43"/>
    </row>
    <row r="9" spans="1:17" ht="40.200000000000003" thickBot="1" x14ac:dyDescent="0.35">
      <c r="A9" s="83" t="s">
        <v>11</v>
      </c>
      <c r="B9" s="83"/>
      <c r="C9" s="33" t="s">
        <v>20</v>
      </c>
      <c r="D9" s="33" t="s">
        <v>10</v>
      </c>
      <c r="F9" s="36" t="s">
        <v>43</v>
      </c>
      <c r="G9" s="54">
        <v>17328</v>
      </c>
      <c r="H9" s="55">
        <v>11328</v>
      </c>
      <c r="I9" s="53">
        <f t="shared" si="0"/>
        <v>6000</v>
      </c>
      <c r="J9" s="45">
        <f t="shared" si="1"/>
        <v>0.65373961218836563</v>
      </c>
      <c r="L9" s="6"/>
      <c r="M9" s="7"/>
      <c r="N9" s="7"/>
      <c r="O9" s="47"/>
    </row>
    <row r="10" spans="1:17" x14ac:dyDescent="0.3">
      <c r="A10" s="84" t="s">
        <v>68</v>
      </c>
      <c r="B10" s="84"/>
      <c r="C10" s="16">
        <f>7561696+23746423</f>
        <v>31308119</v>
      </c>
      <c r="D10" s="17">
        <v>0.48480000000000001</v>
      </c>
      <c r="F10" s="23" t="s">
        <v>64</v>
      </c>
      <c r="G10" s="52">
        <v>12786</v>
      </c>
      <c r="H10" s="53">
        <v>3550</v>
      </c>
      <c r="I10" s="53">
        <f>G10-H10</f>
        <v>9236</v>
      </c>
      <c r="J10" s="44">
        <f t="shared" si="1"/>
        <v>0.27764742687314248</v>
      </c>
    </row>
    <row r="11" spans="1:17" ht="15" thickBot="1" x14ac:dyDescent="0.35">
      <c r="A11" s="77" t="s">
        <v>12</v>
      </c>
      <c r="B11" s="77"/>
      <c r="C11" s="18">
        <v>10220942</v>
      </c>
      <c r="D11" s="19">
        <v>6.6000000000000003E-2</v>
      </c>
    </row>
    <row r="12" spans="1:17" ht="18.600000000000001" thickBot="1" x14ac:dyDescent="0.35">
      <c r="A12" s="78" t="s">
        <v>13</v>
      </c>
      <c r="B12" s="78"/>
      <c r="C12" s="16">
        <v>6738491</v>
      </c>
      <c r="D12" s="17">
        <v>3.5700000000000003E-2</v>
      </c>
      <c r="F12" s="67" t="s">
        <v>46</v>
      </c>
      <c r="G12" s="68"/>
      <c r="H12" s="68"/>
      <c r="I12" s="68"/>
      <c r="J12" s="75"/>
      <c r="L12" s="67" t="s">
        <v>60</v>
      </c>
      <c r="M12" s="68"/>
      <c r="N12" s="68"/>
      <c r="O12" s="68"/>
    </row>
    <row r="13" spans="1:17" ht="26.4" x14ac:dyDescent="0.3">
      <c r="A13" s="79" t="s">
        <v>14</v>
      </c>
      <c r="B13" s="79"/>
      <c r="C13" s="18">
        <f>4788987</f>
        <v>4788987</v>
      </c>
      <c r="D13" s="19">
        <v>3.3099999999999997E-2</v>
      </c>
      <c r="F13" s="33" t="s">
        <v>38</v>
      </c>
      <c r="G13" s="33" t="s">
        <v>47</v>
      </c>
      <c r="H13" s="33" t="s">
        <v>50</v>
      </c>
      <c r="I13" s="33" t="s">
        <v>49</v>
      </c>
      <c r="J13" s="33" t="s">
        <v>51</v>
      </c>
      <c r="L13" s="57" t="s">
        <v>40</v>
      </c>
      <c r="M13" s="58"/>
      <c r="N13" s="11"/>
      <c r="O13" s="12"/>
    </row>
    <row r="14" spans="1:17" x14ac:dyDescent="0.3">
      <c r="A14" s="78" t="s">
        <v>15</v>
      </c>
      <c r="B14" s="78"/>
      <c r="C14" s="16">
        <f>1816571+4623782</f>
        <v>6440353</v>
      </c>
      <c r="D14" s="17">
        <v>7.2040000000000007E-2</v>
      </c>
      <c r="F14" s="34" t="s">
        <v>39</v>
      </c>
      <c r="G14" s="52">
        <v>18554</v>
      </c>
      <c r="H14" s="52">
        <v>17626</v>
      </c>
      <c r="I14" s="53">
        <f>G14-H14</f>
        <v>928</v>
      </c>
      <c r="J14" s="44">
        <f>H14/G14</f>
        <v>0.94998383097984263</v>
      </c>
      <c r="L14" s="59"/>
      <c r="M14" s="60"/>
      <c r="N14" s="11"/>
      <c r="O14" s="12"/>
    </row>
    <row r="15" spans="1:17" x14ac:dyDescent="0.3">
      <c r="A15" s="79" t="s">
        <v>16</v>
      </c>
      <c r="B15" s="79"/>
      <c r="C15" s="18">
        <v>24177287</v>
      </c>
      <c r="D15" s="19">
        <v>9.8799999999999999E-2</v>
      </c>
      <c r="F15" s="35" t="s">
        <v>40</v>
      </c>
      <c r="G15" s="54">
        <v>9152</v>
      </c>
      <c r="H15" s="54">
        <v>9152</v>
      </c>
      <c r="I15" s="55">
        <f t="shared" ref="I15:I19" si="2">G15-H15</f>
        <v>0</v>
      </c>
      <c r="J15" s="45">
        <f t="shared" ref="J15:J19" si="3">H15/G15</f>
        <v>1</v>
      </c>
      <c r="L15" s="59"/>
      <c r="M15" s="60"/>
      <c r="N15" s="11"/>
      <c r="O15" s="12"/>
    </row>
    <row r="16" spans="1:17" x14ac:dyDescent="0.3">
      <c r="A16" s="78" t="s">
        <v>18</v>
      </c>
      <c r="B16" s="78"/>
      <c r="C16" s="16">
        <v>33717565</v>
      </c>
      <c r="D16" s="20" t="s">
        <v>17</v>
      </c>
      <c r="F16" s="34" t="s">
        <v>41</v>
      </c>
      <c r="G16" s="52">
        <v>12200</v>
      </c>
      <c r="H16" s="52">
        <v>12000</v>
      </c>
      <c r="I16" s="53">
        <f t="shared" si="2"/>
        <v>200</v>
      </c>
      <c r="J16" s="44">
        <f t="shared" si="3"/>
        <v>0.98360655737704916</v>
      </c>
      <c r="L16" s="59"/>
      <c r="M16" s="60"/>
      <c r="N16" s="4"/>
      <c r="O16" s="43"/>
    </row>
    <row r="17" spans="1:15" ht="15" thickBot="1" x14ac:dyDescent="0.35">
      <c r="F17" s="35" t="s">
        <v>42</v>
      </c>
      <c r="G17" s="54">
        <v>14494</v>
      </c>
      <c r="H17" s="54">
        <v>8774</v>
      </c>
      <c r="I17" s="55">
        <f t="shared" si="2"/>
        <v>5720</v>
      </c>
      <c r="J17" s="45">
        <f t="shared" si="3"/>
        <v>0.60535393956119776</v>
      </c>
      <c r="L17" s="61"/>
      <c r="M17" s="62"/>
    </row>
    <row r="18" spans="1:15" ht="18.600000000000001" thickBot="1" x14ac:dyDescent="0.35">
      <c r="A18" s="80" t="s">
        <v>35</v>
      </c>
      <c r="B18" s="81"/>
      <c r="C18" s="81"/>
      <c r="D18" s="82"/>
      <c r="F18" s="34" t="s">
        <v>43</v>
      </c>
      <c r="G18" s="52">
        <v>17328</v>
      </c>
      <c r="H18" s="52">
        <v>17328</v>
      </c>
      <c r="I18" s="53">
        <f t="shared" si="2"/>
        <v>0</v>
      </c>
      <c r="J18" s="44">
        <f t="shared" si="3"/>
        <v>1</v>
      </c>
      <c r="L18" s="63"/>
      <c r="M18" s="64"/>
      <c r="N18" s="63" t="s">
        <v>70</v>
      </c>
      <c r="O18" s="64"/>
    </row>
    <row r="19" spans="1:15" x14ac:dyDescent="0.3">
      <c r="A19" s="83" t="s">
        <v>38</v>
      </c>
      <c r="B19" s="83"/>
      <c r="C19" s="33" t="s">
        <v>23</v>
      </c>
      <c r="D19" s="33" t="s">
        <v>24</v>
      </c>
      <c r="F19" s="35" t="s">
        <v>63</v>
      </c>
      <c r="G19" s="54">
        <v>12786</v>
      </c>
      <c r="H19" s="54">
        <v>12786</v>
      </c>
      <c r="I19" s="55">
        <f t="shared" si="2"/>
        <v>0</v>
      </c>
      <c r="J19" s="45">
        <f t="shared" si="3"/>
        <v>1</v>
      </c>
      <c r="L19" s="65"/>
      <c r="M19" s="66"/>
      <c r="O19" s="12"/>
    </row>
    <row r="20" spans="1:15" ht="15" thickBot="1" x14ac:dyDescent="0.35">
      <c r="A20" s="69" t="s">
        <v>22</v>
      </c>
      <c r="B20" s="69"/>
      <c r="C20" s="49">
        <v>45728</v>
      </c>
      <c r="D20" s="34" t="s">
        <v>25</v>
      </c>
      <c r="L20" s="65"/>
      <c r="M20" s="66"/>
      <c r="O20" s="12"/>
    </row>
    <row r="21" spans="1:15" ht="18.600000000000001" thickBot="1" x14ac:dyDescent="0.35">
      <c r="A21" s="74" t="s">
        <v>26</v>
      </c>
      <c r="B21" s="74"/>
      <c r="C21" s="50">
        <v>45698</v>
      </c>
      <c r="D21" s="35" t="s">
        <v>25</v>
      </c>
      <c r="F21" s="67" t="s">
        <v>52</v>
      </c>
      <c r="G21" s="68"/>
      <c r="H21" s="68"/>
      <c r="I21" s="68"/>
      <c r="J21" s="75"/>
      <c r="L21" s="65"/>
      <c r="M21" s="66"/>
      <c r="O21" s="12"/>
    </row>
    <row r="22" spans="1:15" ht="21.6" customHeight="1" x14ac:dyDescent="0.3">
      <c r="A22" s="69" t="s">
        <v>27</v>
      </c>
      <c r="B22" s="69"/>
      <c r="C22" s="49">
        <v>45698</v>
      </c>
      <c r="D22" s="34" t="s">
        <v>25</v>
      </c>
      <c r="F22" s="76"/>
      <c r="G22" s="76"/>
      <c r="H22" s="76"/>
      <c r="I22" s="76"/>
      <c r="J22" s="76"/>
      <c r="L22" s="11"/>
      <c r="M22" s="12"/>
      <c r="O22" s="12"/>
    </row>
    <row r="23" spans="1:15" ht="26.25" customHeight="1" x14ac:dyDescent="0.3">
      <c r="A23" s="74" t="s">
        <v>28</v>
      </c>
      <c r="B23" s="74"/>
      <c r="C23" s="50">
        <v>46376</v>
      </c>
      <c r="D23" s="35" t="s">
        <v>72</v>
      </c>
      <c r="F23" s="70"/>
      <c r="G23" s="70"/>
      <c r="H23" s="70"/>
      <c r="I23" s="70"/>
      <c r="J23" s="70"/>
      <c r="L23" s="65" t="s">
        <v>69</v>
      </c>
      <c r="M23" s="66"/>
      <c r="O23" s="12"/>
    </row>
    <row r="24" spans="1:15" x14ac:dyDescent="0.3">
      <c r="A24" s="69" t="s">
        <v>29</v>
      </c>
      <c r="B24" s="69"/>
      <c r="C24" s="49">
        <v>46300</v>
      </c>
      <c r="D24" s="34" t="s">
        <v>71</v>
      </c>
      <c r="F24" s="70" t="s">
        <v>55</v>
      </c>
      <c r="G24" s="70"/>
      <c r="H24" s="70"/>
      <c r="I24" s="70"/>
      <c r="J24" s="70"/>
      <c r="L24" s="11"/>
      <c r="M24" s="12"/>
      <c r="O24" s="12"/>
    </row>
    <row r="25" spans="1:15" x14ac:dyDescent="0.3">
      <c r="A25" s="74" t="s">
        <v>30</v>
      </c>
      <c r="B25" s="74"/>
      <c r="C25" s="50">
        <v>46312</v>
      </c>
      <c r="D25" s="35" t="s">
        <v>71</v>
      </c>
      <c r="F25" s="70" t="s">
        <v>56</v>
      </c>
      <c r="G25" s="70"/>
      <c r="H25" s="70"/>
      <c r="I25" s="70"/>
      <c r="J25" s="70"/>
      <c r="L25" s="11"/>
      <c r="M25" s="12"/>
      <c r="O25" s="12"/>
    </row>
    <row r="26" spans="1:15" x14ac:dyDescent="0.3">
      <c r="A26" s="69" t="s">
        <v>31</v>
      </c>
      <c r="B26" s="69"/>
      <c r="C26" s="49">
        <v>46299</v>
      </c>
      <c r="D26" s="34" t="s">
        <v>71</v>
      </c>
      <c r="F26" s="70" t="s">
        <v>57</v>
      </c>
      <c r="G26" s="70"/>
      <c r="H26" s="70"/>
      <c r="I26" s="70"/>
      <c r="J26" s="70"/>
      <c r="L26" s="11"/>
      <c r="M26" s="12"/>
      <c r="O26" s="12"/>
    </row>
    <row r="27" spans="1:15" x14ac:dyDescent="0.3">
      <c r="A27" s="74" t="s">
        <v>32</v>
      </c>
      <c r="B27" s="74"/>
      <c r="C27" s="50">
        <v>46301</v>
      </c>
      <c r="D27" s="35" t="s">
        <v>71</v>
      </c>
      <c r="F27" s="70" t="s">
        <v>58</v>
      </c>
      <c r="G27" s="70"/>
      <c r="H27" s="70"/>
      <c r="I27" s="70"/>
      <c r="J27" s="70"/>
      <c r="L27" s="11"/>
      <c r="M27" s="12"/>
      <c r="O27" s="12"/>
    </row>
    <row r="28" spans="1:15" ht="15" thickBot="1" x14ac:dyDescent="0.35">
      <c r="A28" s="69" t="s">
        <v>33</v>
      </c>
      <c r="B28" s="69"/>
      <c r="C28" s="49">
        <v>46316</v>
      </c>
      <c r="D28" s="34" t="s">
        <v>71</v>
      </c>
      <c r="F28" s="70" t="s">
        <v>59</v>
      </c>
      <c r="G28" s="70"/>
      <c r="H28" s="70"/>
      <c r="I28" s="70"/>
      <c r="J28" s="70"/>
      <c r="L28" s="13"/>
      <c r="M28" s="15"/>
      <c r="N28" s="14"/>
      <c r="O28" s="15"/>
    </row>
  </sheetData>
  <mergeCells count="38">
    <mergeCell ref="A10:B10"/>
    <mergeCell ref="A2:D2"/>
    <mergeCell ref="F2:J2"/>
    <mergeCell ref="L2:O2"/>
    <mergeCell ref="A8:D8"/>
    <mergeCell ref="A9:B9"/>
    <mergeCell ref="A21:B21"/>
    <mergeCell ref="A11:B11"/>
    <mergeCell ref="A12:B12"/>
    <mergeCell ref="F12:J12"/>
    <mergeCell ref="A13:B13"/>
    <mergeCell ref="A14:B14"/>
    <mergeCell ref="A15:B15"/>
    <mergeCell ref="A16:B16"/>
    <mergeCell ref="A18:D18"/>
    <mergeCell ref="A19:B19"/>
    <mergeCell ref="A20:B20"/>
    <mergeCell ref="A28:B28"/>
    <mergeCell ref="F28:J28"/>
    <mergeCell ref="A1:O1"/>
    <mergeCell ref="A25:B25"/>
    <mergeCell ref="F25:J25"/>
    <mergeCell ref="A26:B26"/>
    <mergeCell ref="F26:J26"/>
    <mergeCell ref="A27:B27"/>
    <mergeCell ref="F27:J27"/>
    <mergeCell ref="F21:J21"/>
    <mergeCell ref="A22:B22"/>
    <mergeCell ref="F22:J22"/>
    <mergeCell ref="A23:B23"/>
    <mergeCell ref="F23:J23"/>
    <mergeCell ref="A24:B24"/>
    <mergeCell ref="F24:J24"/>
    <mergeCell ref="L13:M17"/>
    <mergeCell ref="L18:M21"/>
    <mergeCell ref="L23:M23"/>
    <mergeCell ref="N18:O18"/>
    <mergeCell ref="L12:O12"/>
  </mergeCells>
  <printOptions horizontalCentered="1" verticalCentered="1"/>
  <pageMargins left="0.25" right="0.25" top="0.25" bottom="0.25" header="0.3" footer="0.3"/>
  <pageSetup paperSize="8" scale="8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 (2)</vt:lpstr>
      <vt:lpstr>Conclusion</vt:lpstr>
      <vt:lpstr>Conclusion!Print_Area</vt:lpstr>
      <vt:lpstr>'Sheet1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Hamed, Walid</dc:creator>
  <cp:lastModifiedBy>Ahmed Gomaa Mohamed</cp:lastModifiedBy>
  <cp:lastPrinted>2025-01-22T09:55:46Z</cp:lastPrinted>
  <dcterms:created xsi:type="dcterms:W3CDTF">2015-06-05T18:17:20Z</dcterms:created>
  <dcterms:modified xsi:type="dcterms:W3CDTF">2026-10-20T09:46:24Z</dcterms:modified>
</cp:coreProperties>
</file>
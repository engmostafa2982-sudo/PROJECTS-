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Enjazco\MKH2-02-004 Project\Weekly Report\WPR\4. WPR Oct 2026\13. MKH2-02-004-ENJ-WPR-016-13-10-2026\"/>
    </mc:Choice>
  </mc:AlternateContent>
  <xr:revisionPtr revIDLastSave="0" documentId="13_ncr:1_{6431BAAB-20CF-4119-A02C-5D0FCD0D31D2}" xr6:coauthVersionLast="47" xr6:coauthVersionMax="47" xr10:uidLastSave="{00000000-0000-0000-0000-000000000000}"/>
  <bookViews>
    <workbookView xWindow="28680" yWindow="-120" windowWidth="29040" windowHeight="15720" xr2:uid="{BE1FC19B-52DC-4566-B1DB-F27690BBBF3A}"/>
  </bookViews>
  <sheets>
    <sheet name="مشاريع جدة" sheetId="1" r:id="rId1"/>
  </sheets>
  <definedNames>
    <definedName name="_xlnm._FilterDatabase" localSheetId="0" hidden="1">'مشاريع جدة'!$A$1:$L$2</definedName>
    <definedName name="_xlnm.Print_Area" localSheetId="0">'مشاريع جدة'!$A$1:$L$2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A2" i="1"/>
</calcChain>
</file>

<file path=xl/sharedStrings.xml><?xml version="1.0" encoding="utf-8"?>
<sst xmlns="http://schemas.openxmlformats.org/spreadsheetml/2006/main" count="17" uniqueCount="17">
  <si>
    <t>#</t>
  </si>
  <si>
    <t>كود المشروع</t>
  </si>
  <si>
    <t>المشروع</t>
  </si>
  <si>
    <t>مدير المشروع</t>
  </si>
  <si>
    <t>المقاول</t>
  </si>
  <si>
    <t>نهاية المشروع
 المتوقعة/ الالتزام</t>
  </si>
  <si>
    <t>قيمة المشروع</t>
  </si>
  <si>
    <t>Actual (%)
حتى الاسبوع السابق</t>
  </si>
  <si>
    <t>Actual (%)
حتى الاسبوع الحالي</t>
  </si>
  <si>
    <t>Actual (%)
خلال الاسبوع</t>
  </si>
  <si>
    <t>الأعمال التي تمت خلال هذا الاسبوع</t>
  </si>
  <si>
    <t>تحديات المشروع</t>
  </si>
  <si>
    <t>شركة الانجاز للتجارة والمقاولات</t>
  </si>
  <si>
    <t>المهندس عبد الله الجليفي</t>
  </si>
  <si>
    <t>MKH2-02-004</t>
  </si>
  <si>
    <t xml:space="preserve"> تطوير الطرق لمنطقة الخدمات المساندة بالمدينة الصناعية الثانية بمكة المكرمة (العكيشية)</t>
  </si>
  <si>
    <t xml:space="preserve">	1.	أعمال القطع في الموقع رقم 11 (3480 م3)
2.	أعمال القطع في الموقع رقم 17 (4950 م3)
3.	أعمال القطع في الموقع رقم 31 (4590 م3)
4.	أعمال طبقة ما تحت الأساس الموقع رقم 28 (1000 م3)
5.	تركيب أنابيب GRP (587 متراً)
6.	تركيب أغطية غرف التفتيش (5 أغطية)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</si>
</sst>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8">
    <font>
      <sz val="11"/>
      <color theme="1"/>
      <name val="Aptos Narrow"/>
      <family val="2"/>
      <scheme val="minor"/>
    </font>
    <font>
      <sz val="11"/>
      <color theme="1"/>
      <name val="Aptos Narrow"/>
      <family val="2"/>
      <scheme val="minor"/>
    </font>
    <font>
      <b/>
      <sz val="15"/>
      <color theme="3"/>
      <name val="Aptos Narrow"/>
      <family val="2"/>
      <scheme val="minor"/>
    </font>
    <font>
      <b/>
      <sz val="12"/>
      <color theme="1"/>
      <name val="TheSansArab Light"/>
      <family val="2"/>
    </font>
    <font>
      <b/>
      <sz val="12"/>
      <color theme="3" tint="0.499984740745262"/>
      <name val="TheSansArab Light"/>
      <family val="2"/>
    </font>
    <font>
      <sz val="12"/>
      <color theme="1"/>
      <name val="Aptos Narrow"/>
      <family val="2"/>
      <scheme val="minor"/>
    </font>
    <font>
      <b/>
      <sz val="12"/>
      <color theme="1"/>
      <name val="Aptos Narrow"/>
      <family val="2"/>
      <scheme val="minor"/>
    </font>
    <font>
      <sz val="12"/>
      <color theme="3" tint="0.499984740745262"/>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5">
    <border>
      <left/>
      <right/>
      <top/>
      <bottom/>
      <diagonal/>
    </border>
    <border>
      <left/>
      <right/>
      <top/>
      <bottom style="thick">
        <color theme="4"/>
      </bottom>
      <diagonal/>
    </border>
    <border>
      <left style="thin">
        <color auto="1"/>
      </left>
      <right style="thin">
        <color auto="1"/>
      </right>
      <top style="thin">
        <color auto="1"/>
      </top>
      <bottom/>
      <diagonal/>
    </border>
    <border>
      <left style="thin">
        <color auto="1"/>
      </left>
      <right style="thin">
        <color auto="1"/>
      </right>
      <top style="thin">
        <color auto="1"/>
      </top>
      <bottom style="thin">
        <color indexed="64"/>
      </bottom>
      <diagonal/>
    </border>
    <border>
      <left style="thin">
        <color auto="1"/>
      </left>
      <right style="thin">
        <color auto="1"/>
      </right>
      <top style="medium">
        <color auto="1"/>
      </top>
      <bottom style="medium">
        <color auto="1"/>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cellStyleXfs>
  <cellXfs count="17">
    <xf numFmtId="0" fontId="0" fillId="0" borderId="0" xfId="0"/>
    <xf numFmtId="0" fontId="5" fillId="0" borderId="0" xfId="0" applyFont="1"/>
    <xf numFmtId="0" fontId="6" fillId="0" borderId="3" xfId="0" applyFont="1" applyBorder="1" applyAlignment="1">
      <alignment horizontal="center" vertical="center" wrapText="1"/>
    </xf>
    <xf numFmtId="14" fontId="6" fillId="0" borderId="3" xfId="0" applyNumberFormat="1" applyFont="1" applyBorder="1" applyAlignment="1">
      <alignment horizontal="center" vertical="center" wrapText="1"/>
    </xf>
    <xf numFmtId="43" fontId="6" fillId="0" borderId="3" xfId="1" applyFont="1" applyFill="1" applyBorder="1" applyAlignment="1">
      <alignment horizontal="center" vertical="center" wrapText="1"/>
    </xf>
    <xf numFmtId="10" fontId="6" fillId="0" borderId="3" xfId="2" applyNumberFormat="1" applyFont="1" applyFill="1" applyBorder="1" applyAlignment="1">
      <alignment horizontal="center" vertical="center" wrapText="1"/>
    </xf>
    <xf numFmtId="0" fontId="6" fillId="0" borderId="3" xfId="0" applyFont="1" applyBorder="1" applyAlignment="1">
      <alignment horizontal="right" vertical="center" wrapText="1" readingOrder="2"/>
    </xf>
    <xf numFmtId="0" fontId="5" fillId="0" borderId="0" xfId="0" applyFont="1" applyAlignment="1">
      <alignment horizontal="center" vertical="center"/>
    </xf>
    <xf numFmtId="14" fontId="5" fillId="0" borderId="0" xfId="0" applyNumberFormat="1" applyFont="1" applyAlignment="1">
      <alignment horizontal="center" vertical="center"/>
    </xf>
    <xf numFmtId="10" fontId="7" fillId="0" borderId="0" xfId="2" applyNumberFormat="1" applyFont="1" applyFill="1" applyAlignment="1">
      <alignment horizontal="center" vertical="center"/>
    </xf>
    <xf numFmtId="0" fontId="5" fillId="0" borderId="0" xfId="0" applyFont="1" applyAlignment="1">
      <alignment horizontal="center" vertical="center" readingOrder="2"/>
    </xf>
    <xf numFmtId="0" fontId="3" fillId="2" borderId="2" xfId="3" applyFont="1" applyFill="1" applyBorder="1" applyAlignment="1">
      <alignment horizontal="center" vertical="center" wrapText="1"/>
    </xf>
    <xf numFmtId="10" fontId="4" fillId="2" borderId="2" xfId="2" applyNumberFormat="1" applyFont="1" applyFill="1" applyBorder="1" applyAlignment="1">
      <alignment horizontal="center" vertical="center" wrapText="1"/>
    </xf>
    <xf numFmtId="0" fontId="3" fillId="2" borderId="3" xfId="3" applyFont="1" applyFill="1" applyBorder="1" applyAlignment="1">
      <alignment horizontal="center" vertical="center" wrapText="1" readingOrder="2"/>
    </xf>
    <xf numFmtId="0" fontId="3" fillId="2" borderId="3" xfId="0" applyFont="1" applyFill="1" applyBorder="1" applyAlignment="1">
      <alignment horizontal="center" vertical="center"/>
    </xf>
    <xf numFmtId="9" fontId="6" fillId="3" borderId="4" xfId="0" applyNumberFormat="1" applyFont="1" applyFill="1" applyBorder="1" applyAlignment="1">
      <alignment horizontal="right" vertical="center" wrapText="1" readingOrder="2"/>
    </xf>
    <xf numFmtId="0" fontId="6" fillId="3" borderId="3" xfId="0" applyFont="1" applyFill="1" applyBorder="1" applyAlignment="1">
      <alignment horizontal="center" vertical="center" wrapText="1"/>
    </xf>
  </cellXfs>
  <cellStyles count="4">
    <cellStyle name="Comma" xfId="1" builtinId="3"/>
    <cellStyle name="Heading 1" xfId="3" builtinId="16"/>
    <cellStyle name="Normal" xfId="0" builtinId="0"/>
    <cellStyle name="Percent" xfId="2"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C487B-02E5-480E-9FEF-4570601B51AE}">
  <dimension ref="A1:L36"/>
  <sheetViews>
    <sheetView rightToLeft="1" tabSelected="1" view="pageBreakPreview" topLeftCell="D1" zoomScaleNormal="100" zoomScaleSheetLayoutView="100" workbookViewId="0">
      <selection activeCell="K2" sqref="K2"/>
    </sheetView>
  </sheetViews>
  <sheetFormatPr defaultColWidth="9" defaultRowHeight="15.6"/>
  <cols>
    <col min="1" max="1" width="7.88671875" style="7" bestFit="1" customWidth="1"/>
    <col min="2" max="2" width="16.6640625" style="7" bestFit="1" customWidth="1"/>
    <col min="3" max="3" width="55" style="7" bestFit="1" customWidth="1"/>
    <col min="4" max="4" width="17.5546875" style="7" bestFit="1" customWidth="1"/>
    <col min="5" max="5" width="26.5546875" style="7" bestFit="1" customWidth="1"/>
    <col min="6" max="6" width="20.109375" style="7" bestFit="1" customWidth="1"/>
    <col min="7" max="7" width="20.5546875" style="7" customWidth="1"/>
    <col min="8" max="8" width="22.6640625" style="9" bestFit="1" customWidth="1"/>
    <col min="9" max="9" width="22" style="9" bestFit="1" customWidth="1"/>
    <col min="10" max="10" width="17.88671875" style="9" bestFit="1" customWidth="1"/>
    <col min="11" max="11" width="69.33203125" style="10" bestFit="1" customWidth="1"/>
    <col min="12" max="12" width="19.5546875" style="10" bestFit="1" customWidth="1"/>
    <col min="13" max="16384" width="9" style="1"/>
  </cols>
  <sheetData>
    <row r="1" spans="1:12" ht="120" customHeight="1" thickBot="1">
      <c r="A1" s="11" t="s">
        <v>0</v>
      </c>
      <c r="B1" s="11" t="s">
        <v>1</v>
      </c>
      <c r="C1" s="11" t="s">
        <v>2</v>
      </c>
      <c r="D1" s="11" t="s">
        <v>3</v>
      </c>
      <c r="E1" s="11" t="s">
        <v>4</v>
      </c>
      <c r="F1" s="11" t="s">
        <v>5</v>
      </c>
      <c r="G1" s="11" t="s">
        <v>6</v>
      </c>
      <c r="H1" s="12" t="s">
        <v>7</v>
      </c>
      <c r="I1" s="12" t="s">
        <v>8</v>
      </c>
      <c r="J1" s="12" t="s">
        <v>9</v>
      </c>
      <c r="K1" s="13" t="s">
        <v>10</v>
      </c>
      <c r="L1" s="13" t="s">
        <v>11</v>
      </c>
    </row>
    <row r="2" spans="1:12" ht="238.5" customHeight="1" thickBot="1">
      <c r="A2" s="14">
        <f>SUBTOTAL(3, C$2:C2)</f>
        <v>1</v>
      </c>
      <c r="B2" s="2" t="s">
        <v>14</v>
      </c>
      <c r="C2" s="2" t="s">
        <v>15</v>
      </c>
      <c r="D2" s="16" t="s">
        <v>13</v>
      </c>
      <c r="E2" s="16" t="s">
        <v>12</v>
      </c>
      <c r="F2" s="3">
        <v>46623</v>
      </c>
      <c r="G2" s="4">
        <v>33040004</v>
      </c>
      <c r="H2" s="5">
        <v>0.25380000000000003</v>
      </c>
      <c r="I2" s="5">
        <v>0.28499999999999998</v>
      </c>
      <c r="J2" s="5">
        <f>H2-I2</f>
        <v>-3.119999999999995E-2</v>
      </c>
      <c r="K2" s="15" t="s">
        <v>16</v>
      </c>
      <c r="L2" s="6"/>
    </row>
    <row r="3" spans="1:12">
      <c r="F3" s="8"/>
    </row>
    <row r="4" spans="1:12" s="7" customFormat="1">
      <c r="F4" s="8"/>
      <c r="H4" s="9"/>
      <c r="I4" s="9"/>
      <c r="J4" s="9"/>
      <c r="K4" s="10"/>
      <c r="L4" s="10"/>
    </row>
    <row r="5" spans="1:12" s="7" customFormat="1">
      <c r="F5" s="8"/>
      <c r="H5" s="9"/>
      <c r="I5" s="9"/>
      <c r="J5" s="9"/>
      <c r="K5" s="10"/>
      <c r="L5" s="10"/>
    </row>
    <row r="6" spans="1:12" s="7" customFormat="1">
      <c r="F6" s="8"/>
      <c r="H6" s="9"/>
      <c r="I6" s="9"/>
      <c r="J6" s="9"/>
      <c r="K6" s="10"/>
      <c r="L6" s="10"/>
    </row>
    <row r="7" spans="1:12" s="7" customFormat="1">
      <c r="F7" s="8"/>
      <c r="H7" s="9"/>
      <c r="I7" s="9"/>
      <c r="J7" s="9"/>
      <c r="K7" s="10"/>
      <c r="L7" s="10"/>
    </row>
    <row r="8" spans="1:12" s="7" customFormat="1">
      <c r="F8" s="8"/>
      <c r="H8" s="9"/>
      <c r="I8" s="9"/>
      <c r="J8" s="9"/>
      <c r="K8" s="10"/>
      <c r="L8" s="10"/>
    </row>
    <row r="9" spans="1:12" s="7" customFormat="1">
      <c r="F9" s="8"/>
      <c r="H9" s="9"/>
      <c r="I9" s="9"/>
      <c r="J9" s="9"/>
      <c r="K9" s="10"/>
      <c r="L9" s="10"/>
    </row>
    <row r="10" spans="1:12" s="7" customFormat="1">
      <c r="F10" s="8"/>
      <c r="H10" s="9"/>
      <c r="I10" s="9"/>
      <c r="J10" s="9"/>
      <c r="K10" s="10"/>
      <c r="L10" s="10"/>
    </row>
    <row r="11" spans="1:12" s="7" customFormat="1">
      <c r="F11" s="8"/>
      <c r="H11" s="9"/>
      <c r="I11" s="9"/>
      <c r="J11" s="9"/>
      <c r="K11" s="10"/>
      <c r="L11" s="10"/>
    </row>
    <row r="12" spans="1:12" s="7" customFormat="1">
      <c r="F12" s="8"/>
      <c r="H12" s="9"/>
      <c r="I12" s="9"/>
      <c r="J12" s="9"/>
      <c r="K12" s="10"/>
      <c r="L12" s="10"/>
    </row>
    <row r="13" spans="1:12" s="7" customFormat="1">
      <c r="F13" s="8"/>
      <c r="H13" s="9"/>
      <c r="I13" s="9"/>
      <c r="J13" s="9"/>
      <c r="K13" s="10"/>
      <c r="L13" s="10"/>
    </row>
    <row r="14" spans="1:12" s="7" customFormat="1">
      <c r="F14" s="8"/>
      <c r="H14" s="9"/>
      <c r="I14" s="9"/>
      <c r="J14" s="9"/>
      <c r="K14" s="10"/>
      <c r="L14" s="10"/>
    </row>
    <row r="15" spans="1:12" s="7" customFormat="1">
      <c r="F15" s="8"/>
      <c r="H15" s="9"/>
      <c r="I15" s="9"/>
      <c r="J15" s="9"/>
      <c r="K15" s="10"/>
      <c r="L15" s="10"/>
    </row>
    <row r="16" spans="1:12" s="7" customFormat="1">
      <c r="F16" s="8"/>
      <c r="H16" s="9"/>
      <c r="I16" s="9"/>
      <c r="J16" s="9"/>
      <c r="K16" s="10"/>
      <c r="L16" s="10"/>
    </row>
    <row r="17" spans="6:12" s="7" customFormat="1">
      <c r="F17" s="8"/>
      <c r="H17" s="9"/>
      <c r="I17" s="9"/>
      <c r="J17" s="9"/>
      <c r="K17" s="10"/>
      <c r="L17" s="10"/>
    </row>
    <row r="18" spans="6:12" s="7" customFormat="1">
      <c r="F18" s="8"/>
      <c r="H18" s="9"/>
      <c r="I18" s="9"/>
      <c r="J18" s="9"/>
      <c r="K18" s="10"/>
      <c r="L18" s="10"/>
    </row>
    <row r="19" spans="6:12" s="7" customFormat="1">
      <c r="F19" s="8"/>
      <c r="H19" s="9"/>
      <c r="I19" s="9"/>
      <c r="J19" s="9"/>
      <c r="K19" s="10"/>
      <c r="L19" s="10"/>
    </row>
    <row r="20" spans="6:12" s="7" customFormat="1">
      <c r="F20" s="8"/>
      <c r="H20" s="9"/>
      <c r="I20" s="9"/>
      <c r="J20" s="9"/>
      <c r="K20" s="10"/>
      <c r="L20" s="10"/>
    </row>
    <row r="21" spans="6:12" s="7" customFormat="1">
      <c r="F21" s="8"/>
      <c r="H21" s="9"/>
      <c r="I21" s="9"/>
      <c r="J21" s="9"/>
      <c r="K21" s="10"/>
      <c r="L21" s="10"/>
    </row>
    <row r="22" spans="6:12" s="7" customFormat="1">
      <c r="F22" s="8"/>
      <c r="H22" s="9"/>
      <c r="I22" s="9"/>
      <c r="J22" s="9"/>
      <c r="K22" s="10"/>
      <c r="L22" s="10"/>
    </row>
    <row r="23" spans="6:12" s="7" customFormat="1">
      <c r="F23" s="8"/>
      <c r="H23" s="9"/>
      <c r="I23" s="9"/>
      <c r="J23" s="9"/>
      <c r="K23" s="10"/>
      <c r="L23" s="10"/>
    </row>
    <row r="24" spans="6:12" s="7" customFormat="1">
      <c r="F24" s="8"/>
      <c r="H24" s="9"/>
      <c r="I24" s="9"/>
      <c r="J24" s="9"/>
      <c r="K24" s="10"/>
      <c r="L24" s="10"/>
    </row>
    <row r="25" spans="6:12" s="7" customFormat="1">
      <c r="F25" s="8"/>
      <c r="H25" s="9"/>
      <c r="I25" s="9"/>
      <c r="J25" s="9"/>
      <c r="K25" s="10"/>
      <c r="L25" s="10"/>
    </row>
    <row r="26" spans="6:12" s="7" customFormat="1">
      <c r="F26" s="8"/>
      <c r="H26" s="9"/>
      <c r="I26" s="9"/>
      <c r="J26" s="9"/>
      <c r="K26" s="10"/>
      <c r="L26" s="10"/>
    </row>
    <row r="27" spans="6:12" s="7" customFormat="1">
      <c r="F27" s="8"/>
      <c r="H27" s="9"/>
      <c r="I27" s="9"/>
      <c r="J27" s="9"/>
      <c r="K27" s="10"/>
      <c r="L27" s="10"/>
    </row>
    <row r="28" spans="6:12" s="7" customFormat="1">
      <c r="F28" s="8"/>
      <c r="H28" s="9"/>
      <c r="I28" s="9"/>
      <c r="J28" s="9"/>
      <c r="K28" s="10"/>
      <c r="L28" s="10"/>
    </row>
    <row r="29" spans="6:12" s="7" customFormat="1">
      <c r="F29" s="8"/>
      <c r="H29" s="9"/>
      <c r="I29" s="9"/>
      <c r="J29" s="9"/>
      <c r="K29" s="10"/>
      <c r="L29" s="10"/>
    </row>
    <row r="30" spans="6:12" s="7" customFormat="1">
      <c r="F30" s="8"/>
      <c r="H30" s="9"/>
      <c r="I30" s="9"/>
      <c r="J30" s="9"/>
      <c r="K30" s="10"/>
      <c r="L30" s="10"/>
    </row>
    <row r="31" spans="6:12" s="7" customFormat="1">
      <c r="F31" s="8"/>
      <c r="H31" s="9"/>
      <c r="I31" s="9"/>
      <c r="J31" s="9"/>
      <c r="K31" s="10"/>
      <c r="L31" s="10"/>
    </row>
    <row r="32" spans="6:12" s="7" customFormat="1">
      <c r="F32" s="8"/>
      <c r="H32" s="9"/>
      <c r="I32" s="9"/>
      <c r="J32" s="9"/>
      <c r="K32" s="10"/>
      <c r="L32" s="10"/>
    </row>
    <row r="33" spans="6:12" s="7" customFormat="1">
      <c r="F33" s="8"/>
      <c r="H33" s="9"/>
      <c r="I33" s="9"/>
      <c r="J33" s="9"/>
      <c r="K33" s="10"/>
      <c r="L33" s="10"/>
    </row>
    <row r="34" spans="6:12" s="7" customFormat="1">
      <c r="F34" s="8"/>
      <c r="H34" s="9"/>
      <c r="I34" s="9"/>
      <c r="J34" s="9"/>
      <c r="K34" s="10"/>
      <c r="L34" s="10"/>
    </row>
    <row r="35" spans="6:12" s="7" customFormat="1">
      <c r="F35" s="8"/>
      <c r="H35" s="9"/>
      <c r="I35" s="9"/>
      <c r="J35" s="9"/>
      <c r="K35" s="10"/>
      <c r="L35" s="10"/>
    </row>
    <row r="36" spans="6:12" s="7" customFormat="1">
      <c r="F36" s="8"/>
      <c r="H36" s="9"/>
      <c r="I36" s="9"/>
      <c r="J36" s="9"/>
      <c r="K36" s="10"/>
      <c r="L36" s="10"/>
    </row>
  </sheetData>
  <autoFilter ref="A1:L2" xr:uid="{00000000-0001-0000-0000-000000000000}"/>
  <conditionalFormatting sqref="B1:B2">
    <cfRule type="duplicateValues" dxfId="5" priority="15"/>
    <cfRule type="duplicateValues" dxfId="4" priority="16"/>
  </conditionalFormatting>
  <conditionalFormatting sqref="K2">
    <cfRule type="duplicateValues" dxfId="3" priority="17"/>
    <cfRule type="duplicateValues" dxfId="2" priority="18"/>
  </conditionalFormatting>
  <conditionalFormatting sqref="L2">
    <cfRule type="duplicateValues" dxfId="1" priority="19"/>
    <cfRule type="duplicateValues" dxfId="0" priority="20"/>
  </conditionalFormatting>
  <printOptions horizontalCentered="1"/>
  <pageMargins left="0.2" right="0.2" top="0.25" bottom="0.25" header="0.3" footer="0.3"/>
  <pageSetup paperSize="8" scale="28" fitToHeight="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مشاريع جدة</vt:lpstr>
      <vt:lpstr>'مشاريع جدة'!Print_Area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Hamed, Walid</dc:creator>
  <cp:lastModifiedBy>Safnas Mohamed</cp:lastModifiedBy>
  <cp:lastPrinted>2025-02-04T06:30:33Z</cp:lastPrinted>
  <dcterms:created xsi:type="dcterms:W3CDTF">2025-02-04T06:30:20Z</dcterms:created>
  <dcterms:modified xsi:type="dcterms:W3CDTF">2026-10-13T09:34:02Z</dcterms:modified>
</cp:coreProperties>
</file>
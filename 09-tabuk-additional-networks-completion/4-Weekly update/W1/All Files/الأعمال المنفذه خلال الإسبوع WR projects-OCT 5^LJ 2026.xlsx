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tabouk\التقرير الاسبوعي\5-10-2026\"/>
    </mc:Choice>
  </mc:AlternateContent>
  <xr:revisionPtr revIDLastSave="0" documentId="13_ncr:1_{510EAE09-BB0C-4968-B385-B57303312ED8}" xr6:coauthVersionLast="47" xr6:coauthVersionMax="47" xr10:uidLastSave="{00000000-0000-0000-0000-000000000000}"/>
  <bookViews>
    <workbookView xWindow="-108" yWindow="-108" windowWidth="23256" windowHeight="12456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الاسبوع'!$B$1:$X$3</definedName>
    <definedName name="_xlnm.Print_Area" localSheetId="0">'الأعماال المنفذه خلال الاسبوع'!$B$1:$S$14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3" i="1"/>
  <c r="P2" i="1"/>
</calcChain>
</file>

<file path=xl/sharedStrings.xml><?xml version="1.0" encoding="utf-8"?>
<sst xmlns="http://schemas.openxmlformats.org/spreadsheetml/2006/main" count="44" uniqueCount="40">
  <si>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</si>
  <si>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</si>
  <si>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</si>
  <si>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</si>
  <si>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</si>
  <si>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</si>
  <si>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</si>
  <si>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</si>
  <si>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</si>
  <si>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</si>
  <si>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</si>
  <si>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</si>
  <si>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</si>
  <si>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</si>
  <si>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</si>
  <si>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</si>
  <si>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</si>
  <si>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</si>
  <si>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</si>
  <si>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</si>
  <si>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</si>
  <si>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</si>
  <si>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</si>
  <si>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</si>
  <si>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JDH3-03-011</t>
  </si>
  <si>
    <t>مشروع ربط الخدمات والمرافق بين المدينة الصناعية الثانية والثالثة بجدة</t>
  </si>
  <si>
    <t>NA</t>
  </si>
  <si>
    <t>زياد الشباط
أسامه شعراوي</t>
  </si>
  <si>
    <t>0591654424
0553065836</t>
  </si>
  <si>
    <t>zshabat@modon.gov.sa</t>
  </si>
  <si>
    <t>MLTX-05-045</t>
  </si>
  <si>
    <t>تنفيذ المنتجات الجاهزة للتجمع الغذائية المدينة الصناعية الثانية و الثالثة بجدة</t>
  </si>
  <si>
    <t>أحمد عاطف</t>
  </si>
  <si>
    <t>0536078053</t>
  </si>
  <si>
    <t>Ahmed.Farag@jasarapmc.com</t>
  </si>
  <si>
    <t>تم تسليم المشروع ابتدائيا</t>
  </si>
  <si>
    <t>TAB1-01-009</t>
  </si>
  <si>
    <t>ADDITIONAL DEVELOPMENT IN TABOUK INDUSTRIAL CITY</t>
  </si>
  <si>
    <t>اعتماد ترقيه المخططات كود a + ربط mv بالمحطة</t>
  </si>
  <si>
    <t>1-اعمال حفر وتمديد شبكات الصرف الصحي الطريق الفرعي 21-6 
2-اعمال اختبار مواسير الصرف الصحي  والطرق 2
3-اعمال تمديد شبكة المياه والري الطريق طريق 8
4-اعمال حفر شبكة المياه 21 
5-اعمال  وتمديد وردم شبكة الري  والطريق المحل6
       6-اعمال تركيب العبارة الصندوقية للطريق المجمع 1 
7-اعمال مصائد الامطار طريق مجمع 2
8-اعمال تركيب وصب محابس وغرف المحابس الطريق المحلي-10-6-12-21
11-اعمال بردورة  طريق4-5
12-اعمالردم كهرباء طريق2-3
14-اعمال تمديد طريق 8-6- شبكة المياه والري
15-اعمال تركيب مناهيل الطرق 6
16-اعمال ردم  شبكة المياه والري - 32
18-اعمال اختبارات مطر طريق 2-3 
20-اعمال تمديد شبكة المياه طريق 6-8 والري 10-8
21-اعمالردم شبكة الجهد المتوسط طريق --26
22-اعمال ردم  كابلات طريق 20
23-اعمال الغريف طريق 10-2
24-اعمال حفر صرف الصحي والمياه طريق 21
27-اعمال ABC + SUBGRADE طريق مجمع 2
28-اعمال طريق  33 صرف صجي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</si>
</sst>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mmmm\ d\,\ yyyy;@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u/>
      <sz val="11"/>
      <color theme="10"/>
      <name val="Arial"/>
      <family val="2"/>
      <scheme val="minor"/>
    </font>
    <font>
      <sz val="36"/>
      <color theme="1"/>
      <name val="Arial"/>
      <family val="2"/>
      <scheme val="minor"/>
    </font>
    <font>
      <b/>
      <sz val="36"/>
      <color theme="1"/>
      <name val="TheSansArab Light"/>
      <family val="2"/>
    </font>
    <font>
      <b/>
      <sz val="20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rial"/>
      <family val="2"/>
      <scheme val="minor"/>
    </font>
    <font>
      <sz val="20"/>
      <color theme="1"/>
      <name val="Arial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sz val="11"/>
      <color theme="3" tint="0.499984740745262"/>
      <name val="Arial"/>
      <family val="2"/>
      <scheme val="minor"/>
    </font>
    <font>
      <b/>
      <sz val="24"/>
      <name val="Arial"/>
      <family val="2"/>
      <scheme val="minor"/>
    </font>
    <font>
      <b/>
      <sz val="22"/>
      <color theme="1"/>
      <name val="Calibri"/>
      <family val="2"/>
    </font>
    <font>
      <b/>
      <sz val="36"/>
      <color theme="1"/>
      <name val="Calibri"/>
      <family val="2"/>
    </font>
    <font>
      <b/>
      <sz val="16"/>
      <color theme="1"/>
      <name val="Arial"/>
      <family val="2"/>
      <scheme val="minor"/>
    </font>
    <font>
      <b/>
      <sz val="18"/>
      <color theme="8" tint="0.39997558519241921"/>
      <name val="Calibri"/>
      <family val="2"/>
    </font>
    <font>
      <b/>
      <sz val="18"/>
      <color theme="1"/>
      <name val="Calibri"/>
      <family val="2"/>
    </font>
    <font>
      <b/>
      <sz val="28"/>
      <color theme="8" tint="0.39997558519241921"/>
      <name val="Arial"/>
      <family val="2"/>
      <scheme val="minor"/>
    </font>
    <font>
      <b/>
      <sz val="36"/>
      <color theme="8" tint="0.39997558519241921"/>
      <name val="Arial"/>
      <family val="2"/>
      <scheme val="minor"/>
    </font>
    <font>
      <b/>
      <sz val="28"/>
      <color theme="1"/>
      <name val="Calibri"/>
      <family val="2"/>
    </font>
    <font>
      <sz val="36"/>
      <color theme="1"/>
      <name val="ADLaM Display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10" borderId="0" applyNumberFormat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10" fontId="7" fillId="2" borderId="2" xfId="2" applyNumberFormat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 readingOrder="2"/>
    </xf>
    <xf numFmtId="4" fontId="8" fillId="3" borderId="3" xfId="0" applyNumberFormat="1" applyFont="1" applyFill="1" applyBorder="1" applyAlignment="1">
      <alignment horizontal="center" vertical="center" wrapText="1" readingOrder="2"/>
    </xf>
    <xf numFmtId="0" fontId="9" fillId="0" borderId="0" xfId="0" applyFont="1"/>
    <xf numFmtId="0" fontId="1" fillId="0" borderId="0" xfId="0" applyFont="1"/>
    <xf numFmtId="0" fontId="10" fillId="2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4" fontId="12" fillId="4" borderId="3" xfId="0" applyNumberFormat="1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43" fontId="11" fillId="4" borderId="3" xfId="1" applyFont="1" applyFill="1" applyBorder="1" applyAlignment="1">
      <alignment horizontal="center" vertical="center" wrapText="1"/>
    </xf>
    <xf numFmtId="10" fontId="11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49" fontId="12" fillId="5" borderId="3" xfId="0" applyNumberFormat="1" applyFont="1" applyFill="1" applyBorder="1" applyAlignment="1">
      <alignment horizontal="center" vertical="center" wrapText="1"/>
    </xf>
    <xf numFmtId="49" fontId="12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43" fontId="11" fillId="7" borderId="3" xfId="1" applyFont="1" applyFill="1" applyBorder="1" applyAlignment="1">
      <alignment horizontal="center" vertical="center" wrapText="1"/>
    </xf>
    <xf numFmtId="10" fontId="11" fillId="7" borderId="3" xfId="2" applyNumberFormat="1" applyFont="1" applyFill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5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10" fontId="11" fillId="4" borderId="3" xfId="1" applyNumberFormat="1" applyFont="1" applyFill="1" applyBorder="1" applyAlignment="1">
      <alignment horizontal="center" vertical="center" wrapText="1"/>
    </xf>
    <xf numFmtId="10" fontId="11" fillId="7" borderId="3" xfId="0" applyNumberFormat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right" vertical="center" wrapText="1" readingOrder="2"/>
    </xf>
    <xf numFmtId="10" fontId="11" fillId="7" borderId="3" xfId="1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 wrapText="1" readingOrder="2"/>
    </xf>
    <xf numFmtId="14" fontId="13" fillId="7" borderId="3" xfId="0" applyNumberFormat="1" applyFont="1" applyFill="1" applyBorder="1" applyAlignment="1">
      <alignment horizontal="right" vertical="center" wrapText="1" indent="1"/>
    </xf>
    <xf numFmtId="0" fontId="16" fillId="4" borderId="3" xfId="0" applyFont="1" applyFill="1" applyBorder="1" applyAlignment="1">
      <alignment horizontal="right" vertical="center" wrapText="1" indent="2" readingOrder="2"/>
    </xf>
    <xf numFmtId="0" fontId="17" fillId="4" borderId="3" xfId="0" applyFont="1" applyFill="1" applyBorder="1" applyAlignment="1">
      <alignment horizontal="center" vertical="center" wrapText="1"/>
    </xf>
    <xf numFmtId="14" fontId="17" fillId="4" borderId="3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49" fontId="14" fillId="8" borderId="0" xfId="0" applyNumberFormat="1" applyFont="1" applyFill="1" applyAlignment="1">
      <alignment horizontal="center" vertical="center" wrapText="1"/>
    </xf>
    <xf numFmtId="49" fontId="14" fillId="9" borderId="0" xfId="0" applyNumberFormat="1" applyFont="1" applyFill="1" applyAlignment="1">
      <alignment horizontal="center" vertical="center" wrapText="1"/>
    </xf>
    <xf numFmtId="49" fontId="3" fillId="9" borderId="0" xfId="4" applyNumberFormat="1" applyFill="1" applyBorder="1" applyAlignment="1">
      <alignment horizontal="center" vertical="center" wrapText="1"/>
    </xf>
    <xf numFmtId="49" fontId="12" fillId="9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4" fontId="12" fillId="4" borderId="0" xfId="0" applyNumberFormat="1" applyFont="1" applyFill="1" applyAlignment="1">
      <alignment horizontal="center" vertical="center" wrapText="1"/>
    </xf>
    <xf numFmtId="9" fontId="11" fillId="4" borderId="3" xfId="1" applyNumberFormat="1" applyFont="1" applyFill="1" applyBorder="1" applyAlignment="1">
      <alignment horizontal="center" vertical="center" wrapText="1"/>
    </xf>
    <xf numFmtId="0" fontId="12" fillId="4" borderId="3" xfId="1" applyNumberFormat="1" applyFont="1" applyFill="1" applyBorder="1" applyAlignment="1">
      <alignment horizontal="right" vertical="center" wrapText="1" readingOrder="2"/>
    </xf>
    <xf numFmtId="0" fontId="19" fillId="0" borderId="3" xfId="0" applyFont="1" applyBorder="1" applyAlignment="1">
      <alignment horizontal="right" vertical="center" wrapText="1" readingOrder="2"/>
    </xf>
    <xf numFmtId="0" fontId="16" fillId="7" borderId="3" xfId="0" applyFont="1" applyFill="1" applyBorder="1" applyAlignment="1">
      <alignment horizontal="right" vertical="center" wrapText="1" readingOrder="2"/>
    </xf>
    <xf numFmtId="0" fontId="21" fillId="0" borderId="4" xfId="0" applyFont="1" applyBorder="1" applyAlignment="1">
      <alignment horizontal="right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0" fontId="18" fillId="4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right" vertical="center" wrapText="1" readingOrder="2"/>
    </xf>
    <xf numFmtId="0" fontId="22" fillId="0" borderId="3" xfId="0" applyFont="1" applyBorder="1" applyAlignment="1">
      <alignment horizontal="right" vertical="center" wrapText="1" readingOrder="2"/>
    </xf>
    <xf numFmtId="0" fontId="1" fillId="7" borderId="0" xfId="0" applyFont="1" applyFill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14" fontId="12" fillId="7" borderId="3" xfId="0" applyNumberFormat="1" applyFont="1" applyFill="1" applyBorder="1" applyAlignment="1">
      <alignment horizontal="center" vertical="center" wrapText="1"/>
    </xf>
    <xf numFmtId="10" fontId="11" fillId="7" borderId="3" xfId="2" applyNumberFormat="1" applyFont="1" applyFill="1" applyBorder="1" applyAlignment="1">
      <alignment horizontal="right" vertical="center" wrapText="1"/>
    </xf>
    <xf numFmtId="0" fontId="23" fillId="7" borderId="3" xfId="0" applyFont="1" applyFill="1" applyBorder="1" applyAlignment="1">
      <alignment horizontal="left" vertical="center" wrapText="1" readingOrder="2"/>
    </xf>
    <xf numFmtId="0" fontId="11" fillId="7" borderId="3" xfId="0" applyFont="1" applyFill="1" applyBorder="1" applyAlignment="1">
      <alignment horizontal="center" vertical="center" wrapText="1" readingOrder="2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right" vertical="center" wrapText="1"/>
    </xf>
    <xf numFmtId="0" fontId="18" fillId="4" borderId="0" xfId="0" applyFont="1" applyFill="1" applyAlignment="1">
      <alignment horizontal="center" vertical="center" wrapText="1"/>
    </xf>
    <xf numFmtId="14" fontId="18" fillId="4" borderId="0" xfId="0" applyNumberFormat="1" applyFont="1" applyFill="1" applyAlignment="1">
      <alignment horizontal="center" vertical="center" wrapText="1"/>
    </xf>
    <xf numFmtId="164" fontId="18" fillId="4" borderId="4" xfId="0" applyNumberFormat="1" applyFont="1" applyFill="1" applyBorder="1" applyAlignment="1">
      <alignment horizontal="center" vertical="center" wrapText="1"/>
    </xf>
    <xf numFmtId="43" fontId="18" fillId="4" borderId="4" xfId="1" applyFont="1" applyFill="1" applyBorder="1" applyAlignment="1">
      <alignment horizontal="left" vertical="center" wrapText="1"/>
    </xf>
    <xf numFmtId="10" fontId="18" fillId="4" borderId="4" xfId="2" applyNumberFormat="1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right" vertical="center" wrapText="1" readingOrder="2"/>
    </xf>
    <xf numFmtId="0" fontId="25" fillId="0" borderId="3" xfId="5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 readingOrder="2"/>
    </xf>
    <xf numFmtId="165" fontId="11" fillId="4" borderId="3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0" fontId="17" fillId="4" borderId="2" xfId="2" applyNumberFormat="1" applyFont="1" applyFill="1" applyBorder="1" applyAlignment="1">
      <alignment horizontal="center" vertical="center" wrapText="1"/>
    </xf>
    <xf numFmtId="10" fontId="17" fillId="4" borderId="4" xfId="2" applyNumberFormat="1" applyFont="1" applyFill="1" applyBorder="1" applyAlignment="1">
      <alignment horizontal="center" vertical="center" wrapText="1"/>
    </xf>
    <xf numFmtId="10" fontId="11" fillId="4" borderId="2" xfId="2" applyNumberFormat="1" applyFont="1" applyFill="1" applyBorder="1" applyAlignment="1">
      <alignment horizontal="center" vertical="center" wrapText="1"/>
    </xf>
    <xf numFmtId="10" fontId="11" fillId="4" borderId="4" xfId="2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right" vertical="center" wrapText="1" readingOrder="2"/>
    </xf>
    <xf numFmtId="0" fontId="20" fillId="0" borderId="4" xfId="0" applyFont="1" applyBorder="1" applyAlignment="1">
      <alignment horizontal="right" vertical="center" wrapText="1" readingOrder="2"/>
    </xf>
    <xf numFmtId="0" fontId="21" fillId="0" borderId="2" xfId="0" applyFont="1" applyBorder="1" applyAlignment="1">
      <alignment horizontal="center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0" fontId="18" fillId="4" borderId="2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wrapText="1"/>
    </xf>
    <xf numFmtId="164" fontId="17" fillId="4" borderId="4" xfId="0" applyNumberFormat="1" applyFont="1" applyFill="1" applyBorder="1" applyAlignment="1">
      <alignment horizontal="center" vertical="center" wrapText="1"/>
    </xf>
    <xf numFmtId="43" fontId="17" fillId="4" borderId="2" xfId="1" applyFont="1" applyFill="1" applyBorder="1" applyAlignment="1">
      <alignment horizontal="left" vertical="center" wrapText="1"/>
    </xf>
    <xf numFmtId="43" fontId="17" fillId="4" borderId="4" xfId="1" applyFont="1" applyFill="1" applyBorder="1" applyAlignment="1">
      <alignment horizontal="left" vertical="center" wrapText="1"/>
    </xf>
  </cellXfs>
  <cellStyles count="6">
    <cellStyle name="60% - Accent5" xfId="5" builtinId="48"/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shabat@modon.gov.sa" TargetMode="External"/><Relationship Id="rId1" Type="http://schemas.openxmlformats.org/officeDocument/2006/relationships/hyperlink" Target="mailto:Ahmed.Farag@jasarap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38"/>
  <sheetViews>
    <sheetView rightToLeft="1" tabSelected="1" view="pageBreakPreview" topLeftCell="E1" zoomScale="25" zoomScaleNormal="100" zoomScaleSheetLayoutView="25" zoomScalePageLayoutView="41" workbookViewId="0">
      <selection activeCell="Q6" sqref="Q6"/>
    </sheetView>
  </sheetViews>
  <sheetFormatPr defaultColWidth="9" defaultRowHeight="13.8"/>
  <cols>
    <col min="1" max="1" width="2.8984375" style="8" customWidth="1"/>
    <col min="2" max="2" width="14" style="27" customWidth="1"/>
    <col min="3" max="3" width="36.09765625" style="27" hidden="1" customWidth="1"/>
    <col min="4" max="4" width="48.59765625" style="27" customWidth="1"/>
    <col min="5" max="5" width="86.3984375" style="27" customWidth="1"/>
    <col min="6" max="6" width="36" style="27" hidden="1" customWidth="1"/>
    <col min="7" max="7" width="15" style="27" hidden="1" customWidth="1"/>
    <col min="8" max="8" width="23.3984375" style="27" hidden="1" customWidth="1"/>
    <col min="9" max="9" width="31.8984375" style="27" hidden="1" customWidth="1"/>
    <col min="10" max="10" width="57" style="27" bestFit="1" customWidth="1"/>
    <col min="11" max="11" width="51.09765625" style="27" bestFit="1" customWidth="1"/>
    <col min="12" max="12" width="60.59765625" style="27" customWidth="1"/>
    <col min="13" max="13" width="71.8984375" style="27" customWidth="1"/>
    <col min="14" max="16" width="60.59765625" style="29" customWidth="1"/>
    <col min="17" max="17" width="215.3984375" style="30" customWidth="1"/>
    <col min="18" max="18" width="104.296875" style="31" customWidth="1"/>
    <col min="19" max="19" width="96.3984375" style="31" customWidth="1"/>
    <col min="20" max="20" width="39.59765625" style="8" hidden="1" customWidth="1"/>
    <col min="21" max="21" width="40" style="8" hidden="1" customWidth="1"/>
    <col min="22" max="22" width="34" style="8" hidden="1" customWidth="1"/>
    <col min="23" max="23" width="32.8984375" style="8" hidden="1" customWidth="1"/>
    <col min="24" max="24" width="39.3984375" style="8" hidden="1" customWidth="1"/>
    <col min="25" max="25" width="31.3984375" style="8" hidden="1" customWidth="1"/>
    <col min="26" max="27" width="9" style="8" customWidth="1"/>
    <col min="28" max="16384" width="9" style="8"/>
  </cols>
  <sheetData>
    <row r="1" spans="1:25" s="7" customFormat="1" ht="141.6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20</v>
      </c>
    </row>
    <row r="2" spans="1:25" ht="408.6" hidden="1" customHeight="1">
      <c r="B2" s="9">
        <v>1</v>
      </c>
      <c r="C2" s="10" t="s">
        <v>23</v>
      </c>
      <c r="D2" s="11" t="s">
        <v>24</v>
      </c>
      <c r="E2" s="11" t="s">
        <v>25</v>
      </c>
      <c r="F2" s="11"/>
      <c r="G2" s="12"/>
      <c r="H2" s="13"/>
      <c r="I2" s="13"/>
      <c r="J2" s="14">
        <v>45955</v>
      </c>
      <c r="K2" s="15">
        <v>125646775.64826091</v>
      </c>
      <c r="L2" s="33">
        <v>1</v>
      </c>
      <c r="M2" s="15" t="s">
        <v>26</v>
      </c>
      <c r="N2" s="16">
        <v>1</v>
      </c>
      <c r="O2" s="16">
        <v>1</v>
      </c>
      <c r="P2" s="16">
        <f>O2-N2</f>
        <v>0</v>
      </c>
      <c r="Q2" s="52" t="s">
        <v>35</v>
      </c>
      <c r="R2" s="37"/>
      <c r="S2" s="17"/>
      <c r="T2" s="18" t="s">
        <v>27</v>
      </c>
      <c r="U2" s="19" t="s">
        <v>28</v>
      </c>
      <c r="V2" s="20" t="s">
        <v>29</v>
      </c>
      <c r="W2" s="19"/>
      <c r="X2" s="19"/>
      <c r="Y2" s="19"/>
    </row>
    <row r="3" spans="1:25" ht="408.6" hidden="1" customHeight="1">
      <c r="B3" s="65">
        <v>2</v>
      </c>
      <c r="C3" s="66" t="s">
        <v>23</v>
      </c>
      <c r="D3" s="21" t="s">
        <v>30</v>
      </c>
      <c r="E3" s="21" t="s">
        <v>31</v>
      </c>
      <c r="F3" s="21"/>
      <c r="G3" s="60"/>
      <c r="H3" s="61"/>
      <c r="I3" s="61"/>
      <c r="J3" s="22">
        <v>45868.56</v>
      </c>
      <c r="K3" s="23">
        <v>153793065.68000001</v>
      </c>
      <c r="L3" s="36">
        <v>0.88</v>
      </c>
      <c r="M3" s="23" t="s">
        <v>26</v>
      </c>
      <c r="N3" s="24">
        <v>1</v>
      </c>
      <c r="O3" s="24">
        <v>1</v>
      </c>
      <c r="P3" s="24">
        <f>O3-N3</f>
        <v>0</v>
      </c>
      <c r="Q3" s="68" t="s">
        <v>35</v>
      </c>
      <c r="R3" s="21"/>
      <c r="S3" s="35"/>
      <c r="T3" s="25" t="s">
        <v>32</v>
      </c>
      <c r="U3" s="25" t="s">
        <v>33</v>
      </c>
      <c r="V3" s="26" t="s">
        <v>34</v>
      </c>
      <c r="W3" s="25"/>
      <c r="X3" s="25"/>
      <c r="Y3" s="25"/>
    </row>
    <row r="4" spans="1:25" ht="409.6">
      <c r="B4" s="9">
        <v>1</v>
      </c>
      <c r="C4" s="42"/>
      <c r="D4" s="75" t="s">
        <v>36</v>
      </c>
      <c r="E4" s="11" t="s">
        <v>37</v>
      </c>
      <c r="F4" s="47"/>
      <c r="G4" s="48"/>
      <c r="H4" s="49"/>
      <c r="I4" s="49"/>
      <c r="J4" s="77">
        <v>46633</v>
      </c>
      <c r="K4" s="15">
        <v>140467862</v>
      </c>
      <c r="L4" s="33">
        <v>0.3695</v>
      </c>
      <c r="M4" s="50"/>
      <c r="N4" s="33">
        <v>0.4647</v>
      </c>
      <c r="O4" s="16">
        <v>0.46889999999999998</v>
      </c>
      <c r="P4" s="16">
        <f>O4-N4</f>
        <v>4.1999999999999815E-3</v>
      </c>
      <c r="Q4" s="76" t="s">
        <v>39</v>
      </c>
      <c r="R4" s="76"/>
      <c r="S4" s="76" t="s">
        <v>38</v>
      </c>
      <c r="T4" s="43"/>
      <c r="U4" s="44"/>
      <c r="V4" s="45"/>
      <c r="W4" s="46"/>
      <c r="X4" s="46"/>
      <c r="Y4" s="46"/>
    </row>
    <row r="5" spans="1:25" ht="363" customHeight="1">
      <c r="B5" s="9">
        <v>4</v>
      </c>
      <c r="D5" s="11"/>
      <c r="E5" s="11"/>
      <c r="J5" s="14"/>
      <c r="K5" s="15"/>
      <c r="L5" s="33"/>
      <c r="M5" s="16"/>
      <c r="N5" s="16"/>
      <c r="O5" s="16"/>
      <c r="P5" s="16"/>
      <c r="Q5" s="39"/>
      <c r="R5" s="51"/>
      <c r="S5" s="15"/>
    </row>
    <row r="6" spans="1:25" ht="282" customHeight="1">
      <c r="B6" s="9">
        <v>5</v>
      </c>
      <c r="D6" s="21"/>
      <c r="E6" s="21"/>
      <c r="J6" s="22"/>
      <c r="K6" s="23"/>
      <c r="L6" s="24"/>
      <c r="M6" s="24"/>
      <c r="N6" s="34"/>
      <c r="O6" s="34"/>
      <c r="P6" s="24"/>
      <c r="Q6" s="38"/>
      <c r="R6" s="22"/>
      <c r="S6" s="22"/>
    </row>
    <row r="7" spans="1:25" ht="408.6" customHeight="1">
      <c r="B7" s="78">
        <v>6</v>
      </c>
      <c r="D7" s="88"/>
      <c r="E7" s="90"/>
      <c r="F7" s="40"/>
      <c r="G7" s="40"/>
      <c r="H7" s="41"/>
      <c r="I7" s="41"/>
      <c r="J7" s="92"/>
      <c r="K7" s="94"/>
      <c r="L7" s="80"/>
      <c r="M7" s="80"/>
      <c r="N7" s="80"/>
      <c r="O7" s="80"/>
      <c r="P7" s="82"/>
      <c r="Q7" s="84"/>
      <c r="R7" s="86"/>
      <c r="S7" s="86"/>
    </row>
    <row r="8" spans="1:25" ht="242.4" customHeight="1">
      <c r="B8" s="79"/>
      <c r="D8" s="89"/>
      <c r="E8" s="91"/>
      <c r="F8" s="40"/>
      <c r="G8" s="40"/>
      <c r="H8" s="41"/>
      <c r="I8" s="41"/>
      <c r="J8" s="93"/>
      <c r="K8" s="95"/>
      <c r="L8" s="81"/>
      <c r="M8" s="81"/>
      <c r="N8" s="81"/>
      <c r="O8" s="81"/>
      <c r="P8" s="83"/>
      <c r="Q8" s="85"/>
      <c r="R8" s="87"/>
      <c r="S8" s="87"/>
    </row>
    <row r="9" spans="1:25" ht="374.1" customHeight="1">
      <c r="B9" s="65">
        <v>7</v>
      </c>
      <c r="D9" s="21"/>
      <c r="E9" s="21"/>
      <c r="J9" s="22"/>
      <c r="K9" s="23"/>
      <c r="L9" s="24"/>
      <c r="M9" s="22"/>
      <c r="N9" s="24"/>
      <c r="O9" s="24"/>
      <c r="P9" s="24"/>
      <c r="Q9" s="53"/>
      <c r="R9" s="22"/>
      <c r="S9" s="22"/>
    </row>
    <row r="10" spans="1:25" ht="45">
      <c r="B10" s="9">
        <v>8</v>
      </c>
      <c r="D10" s="11"/>
      <c r="E10" s="11"/>
      <c r="F10" s="11"/>
      <c r="G10" s="12"/>
      <c r="H10" s="13"/>
      <c r="I10" s="13"/>
      <c r="J10" s="14"/>
      <c r="K10" s="15"/>
      <c r="L10" s="16"/>
      <c r="M10" s="16"/>
      <c r="N10" s="16"/>
      <c r="O10" s="16"/>
      <c r="P10" s="16"/>
      <c r="Q10" s="58"/>
      <c r="R10" s="17"/>
      <c r="S10" s="37"/>
    </row>
    <row r="11" spans="1:25" ht="45">
      <c r="B11" s="65">
        <v>9</v>
      </c>
      <c r="C11" s="59"/>
      <c r="D11" s="21"/>
      <c r="E11" s="21"/>
      <c r="F11" s="21"/>
      <c r="G11" s="60"/>
      <c r="H11" s="61"/>
      <c r="I11" s="61"/>
      <c r="J11" s="22"/>
      <c r="K11" s="23"/>
      <c r="L11" s="36"/>
      <c r="M11" s="36"/>
      <c r="N11" s="24"/>
      <c r="O11" s="24"/>
      <c r="P11" s="24"/>
      <c r="Q11" s="62"/>
      <c r="R11" s="63"/>
      <c r="S11" s="64"/>
      <c r="T11" s="17"/>
    </row>
    <row r="12" spans="1:25" ht="164.4" customHeight="1">
      <c r="B12" s="67">
        <v>10</v>
      </c>
      <c r="D12" s="56"/>
      <c r="E12" s="56"/>
      <c r="F12" s="69"/>
      <c r="G12" s="69"/>
      <c r="H12" s="70"/>
      <c r="I12" s="70"/>
      <c r="J12" s="71"/>
      <c r="K12" s="72"/>
      <c r="L12" s="73"/>
      <c r="M12" s="73"/>
      <c r="N12" s="73"/>
      <c r="O12" s="73"/>
      <c r="P12" s="16"/>
      <c r="Q12" s="57"/>
      <c r="R12" s="54"/>
      <c r="S12" s="55"/>
    </row>
    <row r="13" spans="1:25" ht="183.75" customHeight="1">
      <c r="B13" s="67">
        <v>11</v>
      </c>
      <c r="D13" s="56"/>
      <c r="E13" s="56"/>
      <c r="F13" s="69"/>
      <c r="G13" s="69"/>
      <c r="H13" s="70"/>
      <c r="I13" s="70"/>
      <c r="J13" s="71"/>
      <c r="K13" s="72"/>
      <c r="L13" s="73"/>
      <c r="M13" s="73"/>
      <c r="N13" s="73"/>
      <c r="O13" s="73"/>
      <c r="P13" s="16"/>
      <c r="Q13" s="74"/>
      <c r="R13" s="54"/>
      <c r="S13" s="55"/>
    </row>
    <row r="14" spans="1:25" ht="210" customHeight="1">
      <c r="B14" s="67">
        <v>12</v>
      </c>
      <c r="D14" s="56"/>
      <c r="E14" s="56"/>
      <c r="F14" s="69"/>
      <c r="G14" s="69"/>
      <c r="H14" s="70"/>
      <c r="I14" s="70"/>
      <c r="J14" s="71"/>
      <c r="K14" s="72"/>
      <c r="L14" s="73"/>
      <c r="M14" s="73"/>
      <c r="N14" s="73"/>
      <c r="O14" s="73"/>
      <c r="P14" s="16"/>
      <c r="Q14" s="74"/>
      <c r="R14" s="54"/>
      <c r="S14" s="55"/>
    </row>
    <row r="15" spans="1:25">
      <c r="J15" s="28"/>
      <c r="Q15" s="32"/>
    </row>
    <row r="16" spans="1:25">
      <c r="J16" s="28"/>
    </row>
    <row r="17" spans="10:10">
      <c r="J17" s="28"/>
    </row>
    <row r="18" spans="10:10">
      <c r="J18" s="28"/>
    </row>
    <row r="19" spans="10:10">
      <c r="J19" s="28"/>
    </row>
    <row r="20" spans="10:10">
      <c r="J20" s="28"/>
    </row>
    <row r="21" spans="10:10">
      <c r="J21" s="28"/>
    </row>
    <row r="22" spans="10:10">
      <c r="J22" s="28"/>
    </row>
    <row r="23" spans="10:10">
      <c r="J23" s="28"/>
    </row>
    <row r="24" spans="10:10">
      <c r="J24" s="28"/>
    </row>
    <row r="25" spans="10:10">
      <c r="J25" s="28"/>
    </row>
    <row r="26" spans="10:10">
      <c r="J26" s="28"/>
    </row>
    <row r="27" spans="10:10">
      <c r="J27" s="28"/>
    </row>
    <row r="28" spans="10:10">
      <c r="J28" s="28"/>
    </row>
    <row r="29" spans="10:10">
      <c r="J29" s="28"/>
    </row>
    <row r="30" spans="10:10">
      <c r="J30" s="28"/>
    </row>
    <row r="31" spans="10:10">
      <c r="J31" s="28"/>
    </row>
    <row r="32" spans="10:10">
      <c r="J32" s="28"/>
    </row>
    <row r="33" spans="10:10">
      <c r="J33" s="28"/>
    </row>
    <row r="34" spans="10:10">
      <c r="J34" s="28"/>
    </row>
    <row r="35" spans="10:10">
      <c r="J35" s="28"/>
    </row>
    <row r="36" spans="10:10">
      <c r="J36" s="28"/>
    </row>
    <row r="37" spans="10:10">
      <c r="J37" s="28"/>
    </row>
    <row r="38" spans="10:10">
      <c r="J38" s="28"/>
    </row>
  </sheetData>
  <autoFilter ref="B1:X3" xr:uid="{00000000-0001-0000-0000-000000000000}"/>
  <mergeCells count="13">
    <mergeCell ref="R7:R8"/>
    <mergeCell ref="S7:S8"/>
    <mergeCell ref="D7:D8"/>
    <mergeCell ref="E7:E8"/>
    <mergeCell ref="J7:J8"/>
    <mergeCell ref="K7:K8"/>
    <mergeCell ref="L7:L8"/>
    <mergeCell ref="M7:M8"/>
    <mergeCell ref="B7:B8"/>
    <mergeCell ref="N7:N8"/>
    <mergeCell ref="O7:O8"/>
    <mergeCell ref="P7:P8"/>
    <mergeCell ref="Q7:Q8"/>
  </mergeCells>
  <conditionalFormatting sqref="C1">
    <cfRule type="duplicateValues" dxfId="41" priority="40"/>
    <cfRule type="duplicateValues" dxfId="40" priority="39"/>
  </conditionalFormatting>
  <conditionalFormatting sqref="D1:D3">
    <cfRule type="duplicateValues" dxfId="39" priority="69"/>
    <cfRule type="duplicateValues" dxfId="38" priority="70"/>
  </conditionalFormatting>
  <conditionalFormatting sqref="D5">
    <cfRule type="duplicateValues" dxfId="37" priority="34"/>
    <cfRule type="duplicateValues" dxfId="36" priority="33"/>
  </conditionalFormatting>
  <conditionalFormatting sqref="D6">
    <cfRule type="duplicateValues" dxfId="35" priority="36"/>
    <cfRule type="duplicateValues" dxfId="34" priority="35"/>
  </conditionalFormatting>
  <conditionalFormatting sqref="D7">
    <cfRule type="duplicateValues" dxfId="33" priority="26"/>
    <cfRule type="duplicateValues" dxfId="32" priority="25"/>
  </conditionalFormatting>
  <conditionalFormatting sqref="D9">
    <cfRule type="duplicateValues" dxfId="31" priority="23"/>
    <cfRule type="duplicateValues" dxfId="30" priority="24"/>
  </conditionalFormatting>
  <conditionalFormatting sqref="D10">
    <cfRule type="duplicateValues" dxfId="29" priority="11"/>
    <cfRule type="duplicateValues" dxfId="28" priority="12"/>
  </conditionalFormatting>
  <conditionalFormatting sqref="D11">
    <cfRule type="duplicateValues" dxfId="27" priority="3"/>
    <cfRule type="duplicateValues" dxfId="26" priority="4"/>
  </conditionalFormatting>
  <conditionalFormatting sqref="Q2 Q4:R4">
    <cfRule type="duplicateValues" dxfId="25" priority="71"/>
    <cfRule type="duplicateValues" dxfId="24" priority="72"/>
  </conditionalFormatting>
  <conditionalFormatting sqref="Q7">
    <cfRule type="duplicateValues" dxfId="23" priority="28"/>
    <cfRule type="duplicateValues" dxfId="22" priority="27"/>
  </conditionalFormatting>
  <conditionalFormatting sqref="Q10">
    <cfRule type="duplicateValues" dxfId="21" priority="13"/>
    <cfRule type="duplicateValues" dxfId="20" priority="14"/>
  </conditionalFormatting>
  <conditionalFormatting sqref="R2">
    <cfRule type="duplicateValues" dxfId="19" priority="48"/>
    <cfRule type="duplicateValues" dxfId="18" priority="47"/>
  </conditionalFormatting>
  <conditionalFormatting sqref="R7">
    <cfRule type="duplicateValues" dxfId="17" priority="32"/>
    <cfRule type="duplicateValues" dxfId="16" priority="31"/>
  </conditionalFormatting>
  <conditionalFormatting sqref="R10">
    <cfRule type="duplicateValues" dxfId="15" priority="17"/>
    <cfRule type="duplicateValues" dxfId="14" priority="18"/>
  </conditionalFormatting>
  <conditionalFormatting sqref="R11">
    <cfRule type="duplicateValues" dxfId="13" priority="5"/>
    <cfRule type="duplicateValues" dxfId="12" priority="6"/>
  </conditionalFormatting>
  <conditionalFormatting sqref="S2:S3">
    <cfRule type="duplicateValues" dxfId="11" priority="73"/>
    <cfRule type="duplicateValues" dxfId="10" priority="74"/>
  </conditionalFormatting>
  <conditionalFormatting sqref="S4">
    <cfRule type="duplicateValues" dxfId="9" priority="1"/>
    <cfRule type="duplicateValues" dxfId="8" priority="2"/>
  </conditionalFormatting>
  <conditionalFormatting sqref="S7">
    <cfRule type="duplicateValues" dxfId="7" priority="29"/>
    <cfRule type="duplicateValues" dxfId="6" priority="30"/>
  </conditionalFormatting>
  <conditionalFormatting sqref="S10">
    <cfRule type="duplicateValues" dxfId="5" priority="15"/>
    <cfRule type="duplicateValues" dxfId="4" priority="16"/>
  </conditionalFormatting>
  <conditionalFormatting sqref="S11">
    <cfRule type="duplicateValues" dxfId="3" priority="10"/>
    <cfRule type="duplicateValues" dxfId="2" priority="9"/>
  </conditionalFormatting>
  <conditionalFormatting sqref="T11">
    <cfRule type="duplicateValues" dxfId="1" priority="8"/>
    <cfRule type="duplicateValues" dxfId="0" priority="7"/>
  </conditionalFormatting>
  <hyperlinks>
    <hyperlink ref="V3" r:id="rId1" xr:uid="{316BE599-EE8B-4486-97E0-BE1198EA5078}"/>
    <hyperlink ref="V2" r:id="rId2" xr:uid="{68F6556D-E53C-4A68-9DC7-52E5EA488D8B}"/>
  </hyperlinks>
  <printOptions horizontalCentered="1" verticalCentered="1"/>
  <pageMargins left="0.1" right="0.1" top="0.1" bottom="0.1" header="0.05" footer="0.05"/>
  <pageSetup paperSize="8" scale="16" fitToHeight="0" orientation="landscape" horizontalDpi="300" verticalDpi="300" r:id="rId3"/>
  <headerFooter>
    <oddFooter>&amp;L_x000D_&amp;1#&amp;"Calibri"&amp;10&amp;K000000 Data sensitivity - Public</oddFooter>
  </headerFooter>
  <rowBreaks count="1" manualBreakCount="1">
    <brk id="16" min="1" max="2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63AC2CAB523B4590321806A0E8A29B" ma:contentTypeVersion="14" ma:contentTypeDescription="Create a new document." ma:contentTypeScope="" ma:versionID="f9269db9a158e72c0961aa7b18c2c251">
  <xsd:schema xmlns:xsd="http://www.w3.org/2001/XMLSchema" xmlns:xs="http://www.w3.org/2001/XMLSchema" xmlns:p="http://schemas.microsoft.com/office/2006/metadata/properties" xmlns:ns2="decf9503-7f53-4ed5-a92a-76297135fbe0" xmlns:ns3="9ab79c64-0323-4bba-aca3-05ede8172601" targetNamespace="http://schemas.microsoft.com/office/2006/metadata/properties" ma:root="true" ma:fieldsID="0230487427a969d1e64a1ae2560bf589" ns2:_="" ns3:_="">
    <xsd:import namespace="decf9503-7f53-4ed5-a92a-76297135fbe0"/>
    <xsd:import namespace="9ab79c64-0323-4bba-aca3-05ede81726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f9503-7f53-4ed5-a92a-76297135f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c5fc1f-2f46-46f7-8373-eebef43654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79c64-0323-4bba-aca3-05ede81726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1de25c-363f-4ddd-b56d-a72a72c7c7d0}" ma:internalName="TaxCatchAll" ma:showField="CatchAllData" ma:web="9ab79c64-0323-4bba-aca3-05ede81726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b79c64-0323-4bba-aca3-05ede8172601" xsi:nil="true"/>
    <lcf76f155ced4ddcb4097134ff3c332f xmlns="decf9503-7f53-4ed5-a92a-76297135fb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A5B7F7-BD25-4BCE-8854-D477AC26EA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9BD479-E099-43CC-8F1E-0D058970B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cf9503-7f53-4ed5-a92a-76297135fbe0"/>
    <ds:schemaRef ds:uri="9ab79c64-0323-4bba-aca3-05ede81726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96F64C-920B-4A53-815F-3A1AFCA6A8F3}">
  <ds:schemaRefs>
    <ds:schemaRef ds:uri="decf9503-7f53-4ed5-a92a-76297135fbe0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9ab79c64-0323-4bba-aca3-05ede817260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Hamed, Walid</dc:creator>
  <cp:keywords/>
  <dc:description/>
  <cp:lastModifiedBy>ahmed hany</cp:lastModifiedBy>
  <cp:revision/>
  <dcterms:created xsi:type="dcterms:W3CDTF">2025-04-14T06:00:16Z</dcterms:created>
  <dcterms:modified xsi:type="dcterms:W3CDTF">2026-10-06T05:42:54Z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0x0101006663AC2CAB523B4590321806A0E8A29B</vt:lpwstr>
  </property>
  <property fmtid="{D5CDD505-2E9C-101B-9397-08002B2CF9AE}" pid="5" name="MediaServiceImageTags">
    <vt:lpwstr/>
  </property>
  <property fmtid="{D5CDD505-2E9C-101B-9397-08002B2CF9AE}" pid="6" name="MSIP_Label_4a30d458-cd10-4a48-9232-50530e63d4a6_Enabled">
    <vt:lpwstr>true</vt:lpwstr>
  </property>
  <property fmtid="{D5CDD505-2E9C-101B-9397-08002B2CF9AE}" pid="7" name="MSIP_Label_4a30d458-cd10-4a48-9232-50530e63d4a6_SetDate">
    <vt:lpwstr>2025-09-22T08:09:24Z</vt:lpwstr>
  </property>
  <property fmtid="{D5CDD505-2E9C-101B-9397-08002B2CF9AE}" pid="8" name="MSIP_Label_4a30d458-cd10-4a48-9232-50530e63d4a6_Method">
    <vt:lpwstr>Privileged</vt:lpwstr>
  </property>
  <property fmtid="{D5CDD505-2E9C-101B-9397-08002B2CF9AE}" pid="9" name="MSIP_Label_4a30d458-cd10-4a48-9232-50530e63d4a6_Name">
    <vt:lpwstr>l0_public</vt:lpwstr>
  </property>
  <property fmtid="{D5CDD505-2E9C-101B-9397-08002B2CF9AE}" pid="10" name="MSIP_Label_4a30d458-cd10-4a48-9232-50530e63d4a6_SiteId">
    <vt:lpwstr>a5877034-8d6a-496a-8cf8-ceb5e3451109</vt:lpwstr>
  </property>
  <property fmtid="{D5CDD505-2E9C-101B-9397-08002B2CF9AE}" pid="11" name="MSIP_Label_4a30d458-cd10-4a48-9232-50530e63d4a6_ActionId">
    <vt:lpwstr>6c1db0da-9cb0-4e44-a99a-a9f5e06f735a</vt:lpwstr>
  </property>
  <property fmtid="{D5CDD505-2E9C-101B-9397-08002B2CF9AE}" pid="12" name="MSIP_Label_4a30d458-cd10-4a48-9232-50530e63d4a6_ContentBits">
    <vt:lpwstr>2</vt:lpwstr>
  </property>
  <property fmtid="{D5CDD505-2E9C-101B-9397-08002B2CF9AE}" pid="13" name="MSIP_Label_4a30d458-cd10-4a48-9232-50530e63d4a6_Tag">
    <vt:lpwstr>10, 0, 1, 1</vt:lpwstr>
  </property>
</Properties>
</file>